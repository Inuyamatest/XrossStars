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comments13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IS進捗" sheetId="2" state="visible" r:id="rId4"/>
    <sheet name="FS進捗" sheetId="3" state="visible" r:id="rId5"/>
    <sheet name="合計サマリー(大阪)" sheetId="4" state="visible" r:id="rId6"/>
    <sheet name="合計サマリー(京都)" sheetId="5" state="visible" r:id="rId7"/>
    <sheet name="クローザーサマリー" sheetId="6" state="visible" r:id="rId8"/>
    <sheet name="月次実績" sheetId="7" state="visible" r:id="rId9"/>
    <sheet name="全体集計(入力)触るな(大阪)" sheetId="8" state="visible" r:id="rId10"/>
    <sheet name="全体集計(入力)触るな(京都)" sheetId="9" state="visible" r:id="rId11"/>
    <sheet name="クローザー集計(入力)触るな" sheetId="10" state="visible" r:id="rId12"/>
    <sheet name="シフト入力" sheetId="11" state="visible" r:id="rId13"/>
    <sheet name="設定" sheetId="12" state="visible" r:id="rId14"/>
    <sheet name="マスタ" sheetId="13" state="visible" r:id="rId15"/>
  </sheets>
  <definedNames>
    <definedName function="false" hidden="true" localSheetId="9" name="_xlnm._FilterDatabase" vbProcedure="false">'クローザー集計(入力)触るな'!$A$1:$R$501</definedName>
    <definedName function="false" hidden="true" localSheetId="10" name="_xlnm._FilterDatabase" vbProcedure="false">シフト入力!$A$1:$O$1501</definedName>
    <definedName function="false" hidden="true" localSheetId="8" name="_xlnm._FilterDatabase" vbProcedure="false">'全体集計(入力)触るな(京都)'!$A$1:$AI$501</definedName>
    <definedName function="false" hidden="true" localSheetId="7" name="_xlnm._FilterDatabase" vbProcedure="false">'全体集計(入力)触るな(大阪)'!$A$1:$AI$501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WenQuanYi Zen Hei"/>
            <family val="2"/>
          </rPr>
          <t xml:space="preserve">「事前リスケ」と入れた行は商談割り当てに数えません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WenQuanYi Zen Hei"/>
            <family val="2"/>
          </rPr>
          <t xml:space="preserve">「事前リスケ」と入れた行は商談割り当てに数えません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WenQuanYi Zen Hei"/>
            <family val="2"/>
          </rPr>
          <t xml:space="preserve">初期設定まで完了した案件だけ「受注」にする（順位・売上はこの列で計算）</t>
        </r>
      </text>
    </comment>
    <comment ref="P1" authorId="0">
      <text>
        <r>
          <rPr>
            <sz val="10"/>
            <rFont val="WenQuanYi Zen Hei"/>
            <family val="2"/>
          </rPr>
          <t xml:space="preserve">自アポ・紹介案件は〇（売上が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WenQuanYi Zen Hei"/>
            <family val="2"/>
          </rPr>
          <t xml:space="preserve">倍で計算されます）</t>
        </r>
      </text>
    </comment>
    <comment ref="Q1" authorId="0">
      <text>
        <r>
          <rPr>
            <sz val="10"/>
            <rFont val="WenQuanYi Zen Hei"/>
            <family val="2"/>
          </rPr>
          <t xml:space="preserve">初回引き落としが飛んだ案件は〇。受注率が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件につき</t>
        </r>
        <r>
          <rPr>
            <sz val="10"/>
            <rFont val="Arial"/>
            <family val="2"/>
          </rPr>
          <t xml:space="preserve">3%</t>
        </r>
        <r>
          <rPr>
            <sz val="10"/>
            <rFont val="WenQuanYi Zen Hei"/>
            <family val="2"/>
          </rPr>
          <t xml:space="preserve">下がり、その案件の月額＋初期費用が売上から引かれます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WenQuanYi Zen Hei"/>
            <family val="2"/>
          </rPr>
          <t xml:space="preserve">マスタ「シフト名簿／シフトエリア」から自動表示。大阪・京都の人だけ</t>
        </r>
        <r>
          <rPr>
            <sz val="10"/>
            <rFont val="Arial"/>
            <family val="2"/>
          </rPr>
          <t xml:space="preserve">IS</t>
        </r>
        <r>
          <rPr>
            <sz val="10"/>
            <rFont val="WenQuanYi Zen Hei"/>
            <family val="2"/>
          </rPr>
          <t xml:space="preserve">稼働時間に入ります</t>
        </r>
      </text>
    </comment>
    <comment ref="M1" authorId="0">
      <text>
        <r>
          <rPr>
            <sz val="10"/>
            <rFont val="WenQuanYi Zen Hei"/>
            <family val="2"/>
          </rPr>
          <t xml:space="preserve">（退勤－出勤－昼休憩）－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分休憩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回数　を時間に換算</t>
        </r>
      </text>
    </comment>
    <comment ref="N1" authorId="0">
      <text>
        <r>
          <rPr>
            <sz val="10"/>
            <rFont val="WenQuanYi Zen Hei"/>
            <family val="2"/>
          </rPr>
          <t xml:space="preserve">勤怠が「欠席」なら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時間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大阪・京都を入れた人の稼働時間が、そのエリアの</t>
        </r>
        <r>
          <rPr>
            <sz val="10"/>
            <rFont val="Arial"/>
            <family val="2"/>
          </rPr>
          <t xml:space="preserve">IS</t>
        </r>
        <r>
          <rPr>
            <sz val="10"/>
            <rFont val="WenQuanYi Zen Hei"/>
            <family val="2"/>
          </rPr>
          <t xml:space="preserve">稼働時間・</t>
        </r>
        <r>
          <rPr>
            <sz val="10"/>
            <rFont val="Arial"/>
            <family val="2"/>
          </rPr>
          <t xml:space="preserve">SPH</t>
        </r>
        <r>
          <rPr>
            <sz val="10"/>
            <rFont val="WenQuanYi Zen Hei"/>
            <family val="2"/>
          </rPr>
          <t xml:space="preserve">に入ります。空欄・対象外は数えません</t>
        </r>
      </text>
    </comment>
  </commentList>
</comments>
</file>

<file path=xl/sharedStrings.xml><?xml version="1.0" encoding="utf-8"?>
<sst xmlns="http://schemas.openxmlformats.org/spreadsheetml/2006/main" count="848" uniqueCount="447">
  <si>
    <r>
      <rPr>
        <b val="true"/>
        <sz val="16"/>
        <color rgb="FF1F4E78"/>
        <rFont val="WenQuanYi Zen Hei"/>
        <family val="2"/>
      </rPr>
      <t xml:space="preserve">アポ管理表（</t>
    </r>
    <r>
      <rPr>
        <b val="true"/>
        <sz val="16"/>
        <color rgb="FF1F4E78"/>
        <rFont val="Meiryo UI"/>
        <family val="0"/>
        <charset val="1"/>
      </rPr>
      <t xml:space="preserve">LINE</t>
    </r>
    <r>
      <rPr>
        <b val="true"/>
        <sz val="16"/>
        <color rgb="FF1F4E78"/>
        <rFont val="WenQuanYi Zen Hei"/>
        <family val="2"/>
      </rPr>
      <t xml:space="preserve">・</t>
    </r>
    <r>
      <rPr>
        <b val="true"/>
        <sz val="16"/>
        <color rgb="FF1F4E78"/>
        <rFont val="Meiryo UI"/>
        <family val="0"/>
        <charset val="1"/>
      </rPr>
      <t xml:space="preserve">MEO</t>
    </r>
    <r>
      <rPr>
        <b val="true"/>
        <sz val="16"/>
        <color rgb="FF1F4E78"/>
        <rFont val="WenQuanYi Zen Hei"/>
        <family val="2"/>
      </rPr>
      <t xml:space="preserve">）の使い方</t>
    </r>
  </si>
  <si>
    <r>
      <rPr>
        <b val="true"/>
        <sz val="12"/>
        <color rgb="FF1F4E78"/>
        <rFont val="WenQuanYi Zen Hei"/>
        <family val="2"/>
      </rPr>
      <t xml:space="preserve">■ 入力するのは</t>
    </r>
    <r>
      <rPr>
        <b val="true"/>
        <sz val="12"/>
        <color rgb="FF1F4E78"/>
        <rFont val="Meiryo UI"/>
        <family val="0"/>
        <charset val="1"/>
      </rPr>
      <t xml:space="preserve">5</t>
    </r>
    <r>
      <rPr>
        <b val="true"/>
        <sz val="12"/>
        <color rgb="FF1F4E78"/>
        <rFont val="WenQuanYi Zen Hei"/>
        <family val="2"/>
      </rPr>
      <t xml:space="preserve">か所だけ</t>
    </r>
  </si>
  <si>
    <r>
      <rPr>
        <sz val="11"/>
        <rFont val="WenQuanYi Zen Hei"/>
        <family val="2"/>
      </rPr>
      <t xml:space="preserve">① 全体集計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触るな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大阪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／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京都</t>
    </r>
    <r>
      <rPr>
        <sz val="11"/>
        <rFont val="Meiryo UI"/>
        <family val="0"/>
        <charset val="1"/>
      </rPr>
      <t xml:space="preserve">) …… </t>
    </r>
    <r>
      <rPr>
        <sz val="11"/>
        <rFont val="WenQuanYi Zen Hei"/>
        <family val="2"/>
      </rPr>
      <t xml:space="preserve">アポインター・詰め直し・商談の結果（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行＝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アポ）。メニュー「ダービー貼付」から登録できます</t>
    </r>
  </si>
  <si>
    <r>
      <rPr>
        <sz val="11"/>
        <rFont val="WenQuanYi Zen Hei"/>
        <family val="2"/>
      </rPr>
      <t xml:space="preserve">② クローザー集計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触るな …… クローザーの商談結果（大阪・京都共通、自アポ・紹介も含む）。商談メモ登録で自動追加。最終結果・月額・初期費用・ジアポは手入力</t>
    </r>
  </si>
  <si>
    <r>
      <rPr>
        <sz val="11"/>
        <rFont val="WenQuanYi Zen Hei"/>
        <family val="2"/>
      </rPr>
      <t xml:space="preserve">③ シフト入力 …… 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行＝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人</t>
    </r>
    <r>
      <rPr>
        <sz val="11"/>
        <rFont val="Meiryo UI"/>
        <family val="0"/>
        <charset val="1"/>
      </rPr>
      <t xml:space="preserve">×1</t>
    </r>
    <r>
      <rPr>
        <sz val="11"/>
        <rFont val="WenQuanYi Zen Hei"/>
        <family val="2"/>
      </rPr>
      <t xml:space="preserve">日。提出（予定）と実際の出勤・退勤・休憩を入力すると稼働時間が自動計算</t>
    </r>
  </si>
  <si>
    <r>
      <rPr>
        <sz val="11"/>
        <rFont val="WenQuanYi Zen Hei"/>
        <family val="2"/>
      </rPr>
      <t xml:space="preserve">④ 設定 …… 対象月・営業日数・目標（大阪</t>
    </r>
    <r>
      <rPr>
        <sz val="11"/>
        <rFont val="Meiryo UI"/>
        <family val="0"/>
        <charset val="1"/>
      </rPr>
      <t xml:space="preserve">/</t>
    </r>
    <r>
      <rPr>
        <sz val="11"/>
        <rFont val="WenQuanYi Zen Hei"/>
        <family val="2"/>
      </rPr>
      <t xml:space="preserve">京都）・想定の率・順位ルールの数値</t>
    </r>
  </si>
  <si>
    <t xml:space="preserve">⑤ マスタ …… メンバーと選択肢（シフト名簿の「シフトエリア」で、誰の稼働時間をどのエリアに入れるか決める）</t>
  </si>
  <si>
    <r>
      <rPr>
        <sz val="11"/>
        <rFont val="WenQuanYi Zen Hei"/>
        <family val="2"/>
      </rPr>
      <t xml:space="preserve">それ以外（</t>
    </r>
    <r>
      <rPr>
        <sz val="11"/>
        <rFont val="Meiryo UI"/>
        <family val="0"/>
        <charset val="1"/>
      </rPr>
      <t xml:space="preserve">IS</t>
    </r>
    <r>
      <rPr>
        <sz val="11"/>
        <rFont val="WenQuanYi Zen Hei"/>
        <family val="2"/>
      </rPr>
      <t xml:space="preserve">進捗・</t>
    </r>
    <r>
      <rPr>
        <sz val="11"/>
        <rFont val="Meiryo UI"/>
        <family val="0"/>
        <charset val="1"/>
      </rPr>
      <t xml:space="preserve">FS</t>
    </r>
    <r>
      <rPr>
        <sz val="11"/>
        <rFont val="WenQuanYi Zen Hei"/>
        <family val="2"/>
      </rPr>
      <t xml:space="preserve">進捗・合計サマリー・クローザーサマリー）は全部自動計算です。</t>
    </r>
  </si>
  <si>
    <t xml:space="preserve">■ 毎月の始め方</t>
  </si>
  <si>
    <r>
      <rPr>
        <sz val="11"/>
        <rFont val="Meiryo UI"/>
        <family val="0"/>
        <charset val="1"/>
      </rPr>
      <t xml:space="preserve">1. </t>
    </r>
    <r>
      <rPr>
        <sz val="11"/>
        <rFont val="WenQuanYi Zen Hei"/>
        <family val="2"/>
      </rPr>
      <t xml:space="preserve">前月のファイルの「月次実績」</t>
    </r>
    <r>
      <rPr>
        <sz val="11"/>
        <rFont val="Meiryo UI"/>
        <family val="0"/>
        <charset val="1"/>
      </rPr>
      <t xml:space="preserve">4</t>
    </r>
    <r>
      <rPr>
        <sz val="11"/>
        <rFont val="WenQuanYi Zen Hei"/>
        <family val="2"/>
      </rPr>
      <t xml:space="preserve">行目を、下の空いている行に「値のみ貼り付け」して実績を残す</t>
    </r>
  </si>
  <si>
    <r>
      <rPr>
        <sz val="11"/>
        <rFont val="Meiryo UI"/>
        <family val="0"/>
        <charset val="1"/>
      </rPr>
      <t xml:space="preserve">2. </t>
    </r>
    <r>
      <rPr>
        <sz val="11"/>
        <rFont val="WenQuanYi Zen Hei"/>
        <family val="2"/>
      </rPr>
      <t xml:space="preserve">このファイルを「ひな形」として、ファイル → コピーを作成 で新しい月のファイルを作る（月次実績シートは前月ファイルからコピー）</t>
    </r>
  </si>
  <si>
    <r>
      <rPr>
        <sz val="11"/>
        <rFont val="Meiryo UI"/>
        <family val="0"/>
        <charset val="1"/>
      </rPr>
      <t xml:space="preserve">3. </t>
    </r>
    <r>
      <rPr>
        <sz val="11"/>
        <rFont val="WenQuanYi Zen Hei"/>
        <family val="2"/>
      </rPr>
      <t xml:space="preserve">設定シートの「対象月」「営業日数」「目標」を更新</t>
    </r>
  </si>
  <si>
    <r>
      <rPr>
        <sz val="11"/>
        <rFont val="Meiryo UI"/>
        <family val="0"/>
        <charset val="1"/>
      </rPr>
      <t xml:space="preserve">4. </t>
    </r>
    <r>
      <rPr>
        <sz val="11"/>
        <rFont val="WenQuanYi Zen Hei"/>
        <family val="2"/>
      </rPr>
      <t xml:space="preserve">前月に「検討」「再訪」「リスケ」だった案件は、新しい月の入力シートにコピーして追いかける</t>
    </r>
  </si>
  <si>
    <r>
      <rPr>
        <sz val="11"/>
        <rFont val="WenQuanYi Zen Hei"/>
        <family val="2"/>
      </rPr>
      <t xml:space="preserve">   ※ クローザー集計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入力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触るな は前月のデータを必ず消す（残っていると今月の順位・売上に入ってしまう）</t>
    </r>
  </si>
  <si>
    <t xml:space="preserve">■ シフト入力のコツ</t>
  </si>
  <si>
    <r>
      <rPr>
        <sz val="11"/>
        <rFont val="WenQuanYi Zen Hei"/>
        <family val="2"/>
      </rPr>
      <t xml:space="preserve">・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週間分（全員</t>
    </r>
    <r>
      <rPr>
        <sz val="11"/>
        <rFont val="Meiryo UI"/>
        <family val="0"/>
        <charset val="1"/>
      </rPr>
      <t xml:space="preserve">×5</t>
    </r>
    <r>
      <rPr>
        <sz val="11"/>
        <rFont val="WenQuanYi Zen Hei"/>
        <family val="2"/>
      </rPr>
      <t xml:space="preserve">日）をまとめて入力 → 前の週の行をコピーして日付だけ変えると早いです</t>
    </r>
  </si>
  <si>
    <r>
      <rPr>
        <sz val="11"/>
        <rFont val="WenQuanYi Zen Hei"/>
        <family val="2"/>
      </rPr>
      <t xml:space="preserve">・休みの日は行を作らなくて</t>
    </r>
    <r>
      <rPr>
        <sz val="11"/>
        <rFont val="Meiryo UI"/>
        <family val="0"/>
        <charset val="1"/>
      </rPr>
      <t xml:space="preserve">OK</t>
    </r>
    <r>
      <rPr>
        <sz val="11"/>
        <rFont val="WenQuanYi Zen Hei"/>
        <family val="2"/>
      </rPr>
      <t xml:space="preserve">。欠席は勤怠を「欠席」にすると実際の稼働時間が</t>
    </r>
    <r>
      <rPr>
        <sz val="11"/>
        <rFont val="Meiryo UI"/>
        <family val="0"/>
        <charset val="1"/>
      </rPr>
      <t xml:space="preserve">0</t>
    </r>
    <r>
      <rPr>
        <sz val="11"/>
        <rFont val="WenQuanYi Zen Hei"/>
        <family val="2"/>
      </rPr>
      <t xml:space="preserve">になります</t>
    </r>
  </si>
  <si>
    <r>
      <rPr>
        <sz val="11"/>
        <rFont val="WenQuanYi Zen Hei"/>
        <family val="2"/>
      </rPr>
      <t xml:space="preserve">・名前はマスタ「シフト名簿」と同じ表記にする（アポ獲得者と同じ名前にすると、合計サマリーで個人の</t>
    </r>
    <r>
      <rPr>
        <sz val="11"/>
        <rFont val="Meiryo UI"/>
        <family val="0"/>
        <charset val="1"/>
      </rPr>
      <t xml:space="preserve">SPH</t>
    </r>
    <r>
      <rPr>
        <sz val="11"/>
        <rFont val="WenQuanYi Zen Hei"/>
        <family val="2"/>
      </rPr>
      <t xml:space="preserve">が出ます）</t>
    </r>
  </si>
  <si>
    <t xml:space="preserve">■ メンバーや選択肢を増やすとき</t>
  </si>
  <si>
    <r>
      <rPr>
        <sz val="11"/>
        <rFont val="WenQuanYi Zen Hei"/>
        <family val="2"/>
      </rPr>
      <t xml:space="preserve">・「マスタ」シートの各列に追加するだけ。アポインター（</t>
    </r>
    <r>
      <rPr>
        <sz val="11"/>
        <rFont val="Meiryo UI"/>
        <family val="0"/>
        <charset val="1"/>
      </rPr>
      <t xml:space="preserve">15</t>
    </r>
    <r>
      <rPr>
        <sz val="11"/>
        <rFont val="WenQuanYi Zen Hei"/>
        <family val="2"/>
      </rPr>
      <t xml:space="preserve">人まで）・クローザー（</t>
    </r>
    <r>
      <rPr>
        <sz val="11"/>
        <rFont val="Meiryo UI"/>
        <family val="0"/>
        <charset val="1"/>
      </rPr>
      <t xml:space="preserve">8</t>
    </r>
    <r>
      <rPr>
        <sz val="11"/>
        <rFont val="WenQuanYi Zen Hei"/>
        <family val="2"/>
      </rPr>
      <t xml:space="preserve">人まで）は集計表に自動反映</t>
    </r>
  </si>
  <si>
    <t xml:space="preserve">・ステータス名（受注・失注・リスケなど）は集計に使っているので、名前は変えないでください</t>
  </si>
  <si>
    <t xml:space="preserve">■ セルの色</t>
  </si>
  <si>
    <t xml:space="preserve">黄色＝入力するセル　／　青灰色＝自動計算　／　青文字＝設定値</t>
  </si>
  <si>
    <r>
      <rPr>
        <b val="true"/>
        <sz val="16"/>
        <color rgb="FF1F4E78"/>
        <rFont val="Meiryo UI"/>
        <family val="0"/>
        <charset val="1"/>
      </rPr>
      <t xml:space="preserve">IS</t>
    </r>
    <r>
      <rPr>
        <b val="true"/>
        <sz val="16"/>
        <color rgb="FF1F4E78"/>
        <rFont val="WenQuanYi Zen Hei"/>
        <family val="2"/>
      </rPr>
      <t xml:space="preserve">進捗（アポ）</t>
    </r>
  </si>
  <si>
    <t xml:space="preserve">エリア比較</t>
  </si>
  <si>
    <t xml:space="preserve">項目</t>
  </si>
  <si>
    <t xml:space="preserve">大阪</t>
  </si>
  <si>
    <t xml:space="preserve">京都</t>
  </si>
  <si>
    <t xml:space="preserve">合計</t>
  </si>
  <si>
    <t xml:space="preserve">アポ件数</t>
  </si>
  <si>
    <t xml:space="preserve">決済者アポ件数</t>
  </si>
  <si>
    <r>
      <rPr>
        <b val="true"/>
        <sz val="10"/>
        <rFont val="WenQuanYi Zen Hei"/>
        <family val="2"/>
      </rPr>
      <t xml:space="preserve">決済詰め</t>
    </r>
    <r>
      <rPr>
        <b val="true"/>
        <sz val="10"/>
        <rFont val="Meiryo UI"/>
        <family val="0"/>
        <charset val="1"/>
      </rPr>
      <t xml:space="preserve">OK</t>
    </r>
  </si>
  <si>
    <t xml:space="preserve">決済者商談実施数</t>
  </si>
  <si>
    <t xml:space="preserve">受注数</t>
  </si>
  <si>
    <t xml:space="preserve">実施待ち件数</t>
  </si>
  <si>
    <t xml:space="preserve">アポ件数（着地予想）</t>
  </si>
  <si>
    <r>
      <rPr>
        <b val="true"/>
        <sz val="10"/>
        <rFont val="WenQuanYi Zen Hei"/>
        <family val="2"/>
      </rPr>
      <t xml:space="preserve">アポ件数進捗（着地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目標）</t>
    </r>
  </si>
  <si>
    <t xml:space="preserve">稼働時間（実際）</t>
  </si>
  <si>
    <t xml:space="preserve">SPH</t>
  </si>
  <si>
    <t xml:space="preserve">■ 大阪</t>
  </si>
  <si>
    <t xml:space="preserve">営業日数値・目標</t>
  </si>
  <si>
    <r>
      <rPr>
        <b val="true"/>
        <sz val="10"/>
        <color rgb="FFFFFFFF"/>
        <rFont val="Meiryo UI"/>
        <family val="0"/>
        <charset val="1"/>
      </rPr>
      <t xml:space="preserve">IS</t>
    </r>
    <r>
      <rPr>
        <b val="true"/>
        <sz val="10"/>
        <color rgb="FFFFFFFF"/>
        <rFont val="WenQuanYi Zen Hei"/>
        <family val="2"/>
      </rPr>
      <t xml:space="preserve">現状数値</t>
    </r>
  </si>
  <si>
    <t xml:space="preserve">予想数値（このペースの着地）</t>
  </si>
  <si>
    <t xml:space="preserve">営業日数</t>
  </si>
  <si>
    <t xml:space="preserve">残り営業日数</t>
  </si>
  <si>
    <t xml:space="preserve">稼働日数</t>
  </si>
  <si>
    <t xml:space="preserve">アポ件数進捗</t>
  </si>
  <si>
    <t xml:space="preserve">目標アポ数</t>
  </si>
  <si>
    <t xml:space="preserve">詰め直し通過率</t>
  </si>
  <si>
    <t xml:space="preserve">決済者アポ件数進捗</t>
  </si>
  <si>
    <t xml:space="preserve">目標決済アポ数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</si>
  <si>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  <r>
      <rPr>
        <b val="true"/>
        <sz val="10"/>
        <rFont val="WenQuanYi Zen Hei"/>
        <family val="2"/>
      </rPr>
      <t xml:space="preserve">数（目標）</t>
    </r>
  </si>
  <si>
    <t xml:space="preserve">実施待ち件数（自動）</t>
  </si>
  <si>
    <t xml:space="preserve">実施数（目標）</t>
  </si>
  <si>
    <t xml:space="preserve">受注数（目標）</t>
  </si>
  <si>
    <t xml:space="preserve">決済者商談実施率</t>
  </si>
  <si>
    <t xml:space="preserve">売上</t>
  </si>
  <si>
    <t xml:space="preserve">売上（目標）</t>
  </si>
  <si>
    <t xml:space="preserve">決済者受注率</t>
  </si>
  <si>
    <t xml:space="preserve">稼働時間・目標</t>
  </si>
  <si>
    <t xml:space="preserve">稼働時間・現状</t>
  </si>
  <si>
    <t xml:space="preserve">稼働時間・予想</t>
  </si>
  <si>
    <t xml:space="preserve">予定稼働時間（シフト提出）</t>
  </si>
  <si>
    <t xml:space="preserve">稼働時間（実際・今日まで）</t>
  </si>
  <si>
    <r>
      <rPr>
        <b val="true"/>
        <sz val="10"/>
        <rFont val="WenQuanYi Zen Hei"/>
        <family val="2"/>
      </rPr>
      <t xml:space="preserve">アポ基準件数（目標</t>
    </r>
    <r>
      <rPr>
        <b val="true"/>
        <sz val="10"/>
        <rFont val="Meiryo UI"/>
        <family val="0"/>
        <charset val="1"/>
      </rPr>
      <t xml:space="preserve">SPH×</t>
    </r>
    <r>
      <rPr>
        <b val="true"/>
        <sz val="10"/>
        <rFont val="WenQuanYi Zen Hei"/>
        <family val="2"/>
      </rPr>
      <t xml:space="preserve">稼働）</t>
    </r>
  </si>
  <si>
    <r>
      <rPr>
        <b val="true"/>
        <sz val="10"/>
        <rFont val="WenQuanYi Zen Hei"/>
        <family val="2"/>
      </rPr>
      <t xml:space="preserve">目標</t>
    </r>
    <r>
      <rPr>
        <b val="true"/>
        <sz val="10"/>
        <rFont val="Meiryo UI"/>
        <family val="0"/>
        <charset val="1"/>
      </rPr>
      <t xml:space="preserve">SPH</t>
    </r>
  </si>
  <si>
    <r>
      <rPr>
        <b val="true"/>
        <sz val="10"/>
        <rFont val="Meiryo UI"/>
        <family val="0"/>
        <charset val="1"/>
      </rPr>
      <t xml:space="preserve">SPH</t>
    </r>
    <r>
      <rPr>
        <b val="true"/>
        <sz val="10"/>
        <rFont val="WenQuanYi Zen Hei"/>
        <family val="2"/>
      </rPr>
      <t xml:space="preserve">（アポ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稼働時間）</t>
    </r>
  </si>
  <si>
    <t xml:space="preserve">アポ件数ショート数</t>
  </si>
  <si>
    <r>
      <rPr>
        <b val="true"/>
        <sz val="10"/>
        <rFont val="Meiryo UI"/>
        <family val="0"/>
        <charset val="1"/>
      </rPr>
      <t xml:space="preserve">SPH×</t>
    </r>
    <r>
      <rPr>
        <b val="true"/>
        <sz val="10"/>
        <rFont val="WenQuanYi Zen Hei"/>
        <family val="2"/>
      </rPr>
      <t xml:space="preserve">予定稼働時間</t>
    </r>
  </si>
  <si>
    <t xml:space="preserve">予定稼働時間（今日まで）</t>
  </si>
  <si>
    <r>
      <rPr>
        <b val="true"/>
        <sz val="10"/>
        <rFont val="WenQuanYi Zen Hei"/>
        <family val="2"/>
      </rPr>
      <t xml:space="preserve">稼働時間割合（実際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予定）</t>
    </r>
  </si>
  <si>
    <t xml:space="preserve">■ 京都</t>
  </si>
  <si>
    <r>
      <rPr>
        <b val="true"/>
        <sz val="16"/>
        <color rgb="FF1F4E78"/>
        <rFont val="Meiryo UI"/>
        <family val="0"/>
        <charset val="1"/>
      </rPr>
      <t xml:space="preserve">FS</t>
    </r>
    <r>
      <rPr>
        <b val="true"/>
        <sz val="16"/>
        <color rgb="FF1F4E78"/>
        <rFont val="WenQuanYi Zen Hei"/>
        <family val="2"/>
      </rPr>
      <t xml:space="preserve">進捗（商談・受注／大阪＋京都）</t>
    </r>
  </si>
  <si>
    <r>
      <rPr>
        <b val="true"/>
        <sz val="10"/>
        <color rgb="FFFFFFFF"/>
        <rFont val="Meiryo UI"/>
        <family val="0"/>
        <charset val="1"/>
      </rPr>
      <t xml:space="preserve">FS</t>
    </r>
    <r>
      <rPr>
        <b val="true"/>
        <sz val="10"/>
        <color rgb="FFFFFFFF"/>
        <rFont val="WenQuanYi Zen Hei"/>
        <family val="2"/>
      </rPr>
      <t xml:space="preserve">現状数値</t>
    </r>
  </si>
  <si>
    <t xml:space="preserve">想定数値（想定受注率で）</t>
  </si>
  <si>
    <t xml:space="preserve">着地予想（実施待ちを含む）</t>
  </si>
  <si>
    <t xml:space="preserve">商談割り当て数</t>
  </si>
  <si>
    <t xml:space="preserve">獲得平均単価</t>
  </si>
  <si>
    <t xml:space="preserve">目標実施数（大阪＋京都）</t>
  </si>
  <si>
    <r>
      <rPr>
        <b val="true"/>
        <sz val="10"/>
        <rFont val="WenQuanYi Zen Hei"/>
        <family val="2"/>
      </rPr>
      <t xml:space="preserve">実施待ち</t>
    </r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実施率</t>
    </r>
  </si>
  <si>
    <t xml:space="preserve">目標受注数</t>
  </si>
  <si>
    <t xml:space="preserve">売上進捗率</t>
  </si>
  <si>
    <t xml:space="preserve">目標売上</t>
  </si>
  <si>
    <t xml:space="preserve">目標実施の今日時点ペース</t>
  </si>
  <si>
    <t xml:space="preserve">営業日進捗率</t>
  </si>
  <si>
    <t xml:space="preserve">売上（クローザー合計）</t>
  </si>
  <si>
    <t xml:space="preserve">ペース差分</t>
  </si>
  <si>
    <t xml:space="preserve">売上ショート</t>
  </si>
  <si>
    <t xml:space="preserve">初期費用合計</t>
  </si>
  <si>
    <t xml:space="preserve">初回結果（大阪＋京都）</t>
  </si>
  <si>
    <t xml:space="preserve">リスケ数</t>
  </si>
  <si>
    <t xml:space="preserve">商談前キャンセル</t>
  </si>
  <si>
    <t xml:space="preserve">リスケから実施</t>
  </si>
  <si>
    <t xml:space="preserve">リスケから調整率</t>
  </si>
  <si>
    <t xml:space="preserve">リスケからキャンセル数</t>
  </si>
  <si>
    <t xml:space="preserve">リスケからキャンセル率</t>
  </si>
  <si>
    <t xml:space="preserve">※ リスケからの実施は翌月末締めまで追う</t>
  </si>
  <si>
    <t xml:space="preserve">合計サマリー（大阪）</t>
  </si>
  <si>
    <t xml:space="preserve">全体アポ数値</t>
  </si>
  <si>
    <t xml:space="preserve">アポ数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</si>
  <si>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</si>
  <si>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</si>
  <si>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  <r>
      <rPr>
        <b val="true"/>
        <sz val="10"/>
        <color rgb="FFFFFFFF"/>
        <rFont val="WenQuanYi Zen Hei"/>
        <family val="2"/>
      </rPr>
      <t xml:space="preserve">数</t>
    </r>
  </si>
  <si>
    <t xml:space="preserve">決済者アポ</t>
  </si>
  <si>
    <t xml:space="preserve">商談キャンセル</t>
  </si>
  <si>
    <t xml:space="preserve">失注</t>
  </si>
  <si>
    <t xml:space="preserve">受注</t>
  </si>
  <si>
    <t xml:space="preserve">アポ課金</t>
  </si>
  <si>
    <t xml:space="preserve">目標件数</t>
  </si>
  <si>
    <t xml:space="preserve">日割り目標</t>
  </si>
  <si>
    <t xml:space="preserve">残り日割り</t>
  </si>
  <si>
    <t xml:space="preserve">全体商談数値</t>
  </si>
  <si>
    <t xml:space="preserve">商談実行数</t>
  </si>
  <si>
    <t xml:space="preserve">無効商談</t>
  </si>
  <si>
    <t xml:space="preserve">有効商談</t>
  </si>
  <si>
    <t xml:space="preserve">決済者</t>
  </si>
  <si>
    <t xml:space="preserve">非決済</t>
  </si>
  <si>
    <t xml:space="preserve">検討</t>
  </si>
  <si>
    <t xml:space="preserve">外人アポ</t>
  </si>
  <si>
    <t xml:space="preserve">平均獲得プラン</t>
  </si>
  <si>
    <t xml:space="preserve">全体の率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</si>
  <si>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</si>
  <si>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</si>
  <si>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  <r>
      <rPr>
        <b val="true"/>
        <sz val="10"/>
        <color rgb="FFFFFFFF"/>
        <rFont val="WenQuanYi Zen Hei"/>
        <family val="2"/>
      </rPr>
      <t xml:space="preserve">率</t>
    </r>
  </si>
  <si>
    <t xml:space="preserve">商談実行率</t>
  </si>
  <si>
    <t xml:space="preserve">無効商談率</t>
  </si>
  <si>
    <t xml:space="preserve">有効商談率</t>
  </si>
  <si>
    <t xml:space="preserve">リスケ率</t>
  </si>
  <si>
    <t xml:space="preserve">決済率</t>
  </si>
  <si>
    <t xml:space="preserve">非決済率</t>
  </si>
  <si>
    <t xml:space="preserve">失注率</t>
  </si>
  <si>
    <t xml:space="preserve">受注率</t>
  </si>
  <si>
    <t xml:space="preserve">アポ課金率</t>
  </si>
  <si>
    <t xml:space="preserve">検討率</t>
  </si>
  <si>
    <r>
      <rPr>
        <b val="true"/>
        <sz val="10"/>
        <color rgb="FFFFFFFF"/>
        <rFont val="WenQuanYi Zen Hei"/>
        <family val="2"/>
      </rPr>
      <t xml:space="preserve">アポインター担当別数値（インセンティブ：受注した月額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万円につき</t>
    </r>
    <r>
      <rPr>
        <b val="true"/>
        <sz val="10"/>
        <color rgb="FFFFFFFF"/>
        <rFont val="Meiryo UI"/>
        <family val="0"/>
        <charset val="1"/>
      </rPr>
      <t xml:space="preserve">1P</t>
    </r>
    <r>
      <rPr>
        <b val="true"/>
        <sz val="10"/>
        <color rgb="FFFFFFFF"/>
        <rFont val="WenQuanYi Zen Hei"/>
        <family val="2"/>
      </rPr>
      <t xml:space="preserve">／稼働時間はシフト入力の実際の時間）</t>
    </r>
  </si>
  <si>
    <t xml:space="preserve">担当者</t>
  </si>
  <si>
    <t xml:space="preserve">決済アポ</t>
  </si>
  <si>
    <t xml:space="preserve">非決済アポ</t>
  </si>
  <si>
    <t xml:space="preserve">うち外人</t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</si>
  <si>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</si>
  <si>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b val="true"/>
        <sz val="10"/>
        <color rgb="FFFFFFFF"/>
        <rFont val="WenQuanYi Zen Hei"/>
        <family val="2"/>
      </rPr>
      <t xml:space="preserve">決済詰め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</si>
  <si>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b val="true"/>
        <sz val="10"/>
        <color rgb="FFFFFFFF"/>
        <rFont val="WenQuanYi Zen Hei"/>
        <family val="2"/>
      </rPr>
      <t xml:space="preserve">詰め直し</t>
    </r>
    <r>
      <rPr>
        <b val="true"/>
        <sz val="10"/>
        <color rgb="FFFFFFFF"/>
        <rFont val="Meiryo UI"/>
        <family val="0"/>
        <charset val="1"/>
      </rPr>
      <t xml:space="preserve">NG</t>
    </r>
  </si>
  <si>
    <t xml:space="preserve">リスケ</t>
  </si>
  <si>
    <t xml:space="preserve">商談実行</t>
  </si>
  <si>
    <t xml:space="preserve">決済者商談</t>
  </si>
  <si>
    <t xml:space="preserve">有効商談＋失注</t>
  </si>
  <si>
    <t xml:space="preserve">有効商談＋検討</t>
  </si>
  <si>
    <t xml:space="preserve">合計獲得プラン</t>
  </si>
  <si>
    <r>
      <rPr>
        <b val="true"/>
        <sz val="10"/>
        <color rgb="FFFFFFFF"/>
        <rFont val="WenQuanYi Zen Hei"/>
        <family val="2"/>
      </rPr>
      <t xml:space="preserve">インセンティブ</t>
    </r>
    <r>
      <rPr>
        <b val="true"/>
        <sz val="10"/>
        <color rgb="FFFFFFFF"/>
        <rFont val="Meiryo UI"/>
        <family val="0"/>
        <charset val="1"/>
      </rPr>
      <t xml:space="preserve">P</t>
    </r>
  </si>
  <si>
    <t xml:space="preserve">稼働時間</t>
  </si>
  <si>
    <r>
      <rPr>
        <b val="true"/>
        <sz val="10"/>
        <color rgb="FFFFFFFF"/>
        <rFont val="WenQuanYi Zen Hei"/>
        <family val="2"/>
      </rPr>
      <t xml:space="preserve">詰め</t>
    </r>
    <r>
      <rPr>
        <b val="true"/>
        <sz val="10"/>
        <color rgb="FFFFFFFF"/>
        <rFont val="Meiryo UI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率</t>
    </r>
  </si>
  <si>
    <t xml:space="preserve">アポ→受注率</t>
  </si>
  <si>
    <t xml:space="preserve">クローザー担当別数値（大阪のアポ経由。自アポ込みの売上・順位は「クローザーサマリー」）</t>
  </si>
  <si>
    <t xml:space="preserve">商談割り当て</t>
  </si>
  <si>
    <r>
      <rPr>
        <b val="true"/>
        <sz val="10"/>
        <color rgb="FFFFFFFF"/>
        <rFont val="WenQuanYi Zen Hei"/>
        <family val="2"/>
      </rPr>
      <t xml:space="preserve">有効商談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決済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</si>
  <si>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有効商談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非決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</si>
  <si>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外人</t>
  </si>
  <si>
    <t xml:space="preserve">決済受注率</t>
  </si>
  <si>
    <t xml:space="preserve">合計サマリー（京都）</t>
  </si>
  <si>
    <t xml:space="preserve">クローザー担当別数値（京都のアポ経由。自アポ込みの売上・順位は「クローザーサマリー」）</t>
  </si>
  <si>
    <r>
      <rPr>
        <b val="true"/>
        <sz val="16"/>
        <color rgb="FF1F4E78"/>
        <rFont val="WenQuanYi Zen Hei"/>
        <family val="2"/>
      </rPr>
      <t xml:space="preserve">クローザーサマリー（クローザー集計</t>
    </r>
    <r>
      <rPr>
        <b val="true"/>
        <sz val="16"/>
        <color rgb="FF1F4E78"/>
        <rFont val="Meiryo UI"/>
        <family val="0"/>
        <charset val="1"/>
      </rPr>
      <t xml:space="preserve">(</t>
    </r>
    <r>
      <rPr>
        <b val="true"/>
        <sz val="16"/>
        <color rgb="FF1F4E78"/>
        <rFont val="WenQuanYi Zen Hei"/>
        <family val="2"/>
      </rPr>
      <t xml:space="preserve">入力</t>
    </r>
    <r>
      <rPr>
        <b val="true"/>
        <sz val="16"/>
        <color rgb="FF1F4E78"/>
        <rFont val="Meiryo UI"/>
        <family val="0"/>
        <charset val="1"/>
      </rPr>
      <t xml:space="preserve">)</t>
    </r>
    <r>
      <rPr>
        <b val="true"/>
        <sz val="16"/>
        <color rgb="FF1F4E78"/>
        <rFont val="WenQuanYi Zen Hei"/>
        <family val="2"/>
      </rPr>
      <t xml:space="preserve">ベース・大阪京都共通）</t>
    </r>
  </si>
  <si>
    <t xml:space="preserve">売上・順位は「最終結果＝受注」（初期設定完了）の案件だけで計算します。</t>
  </si>
  <si>
    <t xml:space="preserve">クローザー別数値と順位</t>
  </si>
  <si>
    <t xml:space="preserve">決済実行数</t>
  </si>
  <si>
    <t xml:space="preserve">獲得単価</t>
  </si>
  <si>
    <t xml:space="preserve">通常売上</t>
  </si>
  <si>
    <t xml:space="preserve">自アポ売上</t>
  </si>
  <si>
    <t xml:space="preserve">初期加算</t>
  </si>
  <si>
    <t xml:space="preserve">初期費用の余り</t>
  </si>
  <si>
    <t xml:space="preserve">解約受注</t>
  </si>
  <si>
    <t xml:space="preserve">引き落とし飛び</t>
  </si>
  <si>
    <t xml:space="preserve">飛び控除</t>
  </si>
  <si>
    <t xml:space="preserve">合計売上</t>
  </si>
  <si>
    <r>
      <rPr>
        <b val="true"/>
        <sz val="10"/>
        <color rgb="FFFFFFFF"/>
        <rFont val="WenQuanYi Zen Hei"/>
        <family val="2"/>
      </rPr>
      <t xml:space="preserve">受注率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</si>
  <si>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獲得単価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</si>
  <si>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実行率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</si>
  <si>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売上</t>
    </r>
    <r>
      <rPr>
        <b val="true"/>
        <sz val="10"/>
        <color rgb="FFFFFFFF"/>
        <rFont val="Meiryo UI"/>
        <family val="0"/>
        <charset val="1"/>
      </rPr>
      <t xml:space="preserve">P</t>
    </r>
  </si>
  <si>
    <r>
      <rPr>
        <b val="true"/>
        <sz val="10"/>
        <color rgb="FFFFFFFF"/>
        <rFont val="WenQuanYi Zen Hei"/>
        <family val="2"/>
      </rPr>
      <t xml:space="preserve">合計</t>
    </r>
    <r>
      <rPr>
        <b val="true"/>
        <sz val="10"/>
        <color rgb="FFFFFFFF"/>
        <rFont val="Meiryo UI"/>
        <family val="0"/>
        <charset val="1"/>
      </rPr>
      <t xml:space="preserve">P</t>
    </r>
  </si>
  <si>
    <t xml:space="preserve">順位</t>
  </si>
  <si>
    <t xml:space="preserve">会社の売上見込み（大阪＋京都）</t>
  </si>
  <si>
    <t xml:space="preserve">段階</t>
  </si>
  <si>
    <t xml:space="preserve">想定（アポ数から）</t>
  </si>
  <si>
    <t xml:space="preserve">現状（割り当てから）</t>
  </si>
  <si>
    <t xml:space="preserve">実行からの受注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</si>
  <si>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</si>
  <si>
    <t xml:space="preserve">商談実施</t>
  </si>
  <si>
    <t xml:space="preserve">クローザー合計売上</t>
  </si>
  <si>
    <t xml:space="preserve">現状見込みとの差（ショート）</t>
  </si>
  <si>
    <t xml:space="preserve">ルール（自動計算に反映済み）</t>
  </si>
  <si>
    <t xml:space="preserve">・合計ポイントの高いクローザーが勝利（同点なら合計売上 → それも同じなら初期費用の余りが多い方）</t>
  </si>
  <si>
    <r>
      <rPr>
        <sz val="10"/>
        <rFont val="WenQuanYi Zen Hei"/>
        <family val="2"/>
      </rPr>
      <t xml:space="preserve">・『受注率』『獲得単価』『商談実行率』は各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位に</t>
    </r>
    <r>
      <rPr>
        <sz val="10"/>
        <rFont val="Meiryo UI"/>
        <family val="0"/>
        <charset val="1"/>
      </rPr>
      <t xml:space="preserve">3P</t>
    </r>
    <r>
      <rPr>
        <sz val="10"/>
        <rFont val="WenQuanYi Zen Hei"/>
        <family val="2"/>
      </rPr>
      <t xml:space="preserve">。『合計売上』は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位</t>
    </r>
    <r>
      <rPr>
        <sz val="10"/>
        <rFont val="Meiryo UI"/>
        <family val="0"/>
        <charset val="1"/>
      </rPr>
      <t xml:space="preserve">3P</t>
    </r>
    <r>
      <rPr>
        <sz val="10"/>
        <rFont val="WenQuanYi Zen Hei"/>
        <family val="2"/>
      </rPr>
      <t xml:space="preserve">・</t>
    </r>
    <r>
      <rPr>
        <sz val="10"/>
        <rFont val="Meiryo UI"/>
        <family val="0"/>
        <charset val="1"/>
      </rPr>
      <t xml:space="preserve">2</t>
    </r>
    <r>
      <rPr>
        <sz val="10"/>
        <rFont val="WenQuanYi Zen Hei"/>
        <family val="2"/>
      </rPr>
      <t xml:space="preserve">位</t>
    </r>
    <r>
      <rPr>
        <sz val="10"/>
        <rFont val="Meiryo UI"/>
        <family val="0"/>
        <charset val="1"/>
      </rPr>
      <t xml:space="preserve">1P</t>
    </r>
    <r>
      <rPr>
        <sz val="10"/>
        <rFont val="WenQuanYi Zen Hei"/>
        <family val="2"/>
      </rPr>
      <t xml:space="preserve">・</t>
    </r>
    <r>
      <rPr>
        <sz val="10"/>
        <rFont val="Meiryo UI"/>
        <family val="0"/>
        <charset val="1"/>
      </rPr>
      <t xml:space="preserve">3</t>
    </r>
    <r>
      <rPr>
        <sz val="10"/>
        <rFont val="WenQuanYi Zen Hei"/>
        <family val="2"/>
      </rPr>
      <t xml:space="preserve">位以下</t>
    </r>
    <r>
      <rPr>
        <sz val="10"/>
        <rFont val="Meiryo UI"/>
        <family val="0"/>
        <charset val="1"/>
      </rPr>
      <t xml:space="preserve">0P</t>
    </r>
  </si>
  <si>
    <t xml:space="preserve">・非決済から受注したら決済者商談数（決済実行数）にカウント</t>
  </si>
  <si>
    <r>
      <rPr>
        <sz val="10"/>
        <rFont val="WenQuanYi Zen Hei"/>
        <family val="2"/>
      </rPr>
      <t xml:space="preserve">・自アポ・紹介案件（ジアポ＝〇）は売上</t>
    </r>
    <r>
      <rPr>
        <sz val="10"/>
        <rFont val="Meiryo UI"/>
        <family val="0"/>
        <charset val="1"/>
      </rPr>
      <t xml:space="preserve">1.5</t>
    </r>
    <r>
      <rPr>
        <sz val="10"/>
        <rFont val="WenQuanYi Zen Hei"/>
        <family val="2"/>
      </rPr>
      <t xml:space="preserve">倍で計算</t>
    </r>
  </si>
  <si>
    <r>
      <rPr>
        <sz val="10"/>
        <rFont val="WenQuanYi Zen Hei"/>
        <family val="2"/>
      </rPr>
      <t xml:space="preserve">・初期費用</t>
    </r>
    <r>
      <rPr>
        <sz val="10"/>
        <rFont val="Meiryo UI"/>
        <family val="0"/>
        <charset val="1"/>
      </rPr>
      <t xml:space="preserve">12</t>
    </r>
    <r>
      <rPr>
        <sz val="10"/>
        <rFont val="WenQuanYi Zen Hei"/>
        <family val="2"/>
      </rPr>
      <t xml:space="preserve">万円ごとに売上に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万円プラス</t>
    </r>
  </si>
  <si>
    <t xml:space="preserve">・最終結果は初期設定完了している案件だけ「受注」にする</t>
  </si>
  <si>
    <r>
      <rPr>
        <sz val="10"/>
        <rFont val="WenQuanYi Zen Hei"/>
        <family val="2"/>
      </rPr>
      <t xml:space="preserve">・初回引き落としが飛んだ案件（引き落とし飛び＝〇）：その月額＋初期費用を売上から引き、受注率を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件につき</t>
    </r>
    <r>
      <rPr>
        <sz val="10"/>
        <rFont val="Meiryo UI"/>
        <family val="0"/>
        <charset val="1"/>
      </rPr>
      <t xml:space="preserve">3%</t>
    </r>
    <r>
      <rPr>
        <sz val="10"/>
        <rFont val="WenQuanYi Zen Hei"/>
        <family val="2"/>
      </rPr>
      <t xml:space="preserve">引く</t>
    </r>
  </si>
  <si>
    <r>
      <rPr>
        <sz val="10"/>
        <rFont val="WenQuanYi Zen Hei"/>
        <family val="2"/>
      </rPr>
      <t xml:space="preserve">・解約受注は受注金額に関係なく一律</t>
    </r>
    <r>
      <rPr>
        <sz val="10"/>
        <rFont val="Meiryo UI"/>
        <family val="0"/>
        <charset val="1"/>
      </rPr>
      <t xml:space="preserve">5,000</t>
    </r>
    <r>
      <rPr>
        <sz val="10"/>
        <rFont val="WenQuanYi Zen Hei"/>
        <family val="2"/>
      </rPr>
      <t xml:space="preserve">円を売上に追加</t>
    </r>
  </si>
  <si>
    <r>
      <rPr>
        <sz val="10"/>
        <rFont val="WenQuanYi Zen Hei"/>
        <family val="2"/>
      </rPr>
      <t xml:space="preserve">・当日アポはそのとき対応可能なクローザーだけで決める／前月の成績上位からドラフト制で前日に行くアポを決める／</t>
    </r>
    <r>
      <rPr>
        <sz val="10"/>
        <rFont val="Meiryo UI"/>
        <family val="0"/>
        <charset val="1"/>
      </rPr>
      <t xml:space="preserve">CB</t>
    </r>
    <r>
      <rPr>
        <sz val="10"/>
        <rFont val="WenQuanYi Zen Hei"/>
        <family val="2"/>
      </rPr>
      <t xml:space="preserve">はなし</t>
    </r>
  </si>
  <si>
    <t xml:space="preserve">※ 倍率・金額・ポイントは「設定」シートで変更できます</t>
  </si>
  <si>
    <t xml:space="preserve">月次実績（毎月の結果を残す表）</t>
  </si>
  <si>
    <r>
      <rPr>
        <sz val="10"/>
        <color rgb="FF7F7F7F"/>
        <rFont val="WenQuanYi Zen Hei"/>
        <family val="2"/>
      </rPr>
      <t xml:space="preserve">月末（または翌月のファイルを作る前）に、</t>
    </r>
    <r>
      <rPr>
        <sz val="10"/>
        <color rgb="FF7F7F7F"/>
        <rFont val="Meiryo UI"/>
        <family val="0"/>
        <charset val="1"/>
      </rPr>
      <t xml:space="preserve">4</t>
    </r>
    <r>
      <rPr>
        <sz val="10"/>
        <color rgb="FF7F7F7F"/>
        <rFont val="WenQuanYi Zen Hei"/>
        <family val="2"/>
      </rPr>
      <t xml:space="preserve">行目「今月（自動）」をコピーして、</t>
    </r>
    <r>
      <rPr>
        <sz val="10"/>
        <color rgb="FF7F7F7F"/>
        <rFont val="Meiryo UI"/>
        <family val="0"/>
        <charset val="1"/>
      </rPr>
      <t xml:space="preserve">7</t>
    </r>
    <r>
      <rPr>
        <sz val="10"/>
        <color rgb="FF7F7F7F"/>
        <rFont val="WenQuanYi Zen Hei"/>
        <family val="2"/>
      </rPr>
      <t xml:space="preserve">行目以降の空いている行に「値のみ貼り付け」してください。</t>
    </r>
  </si>
  <si>
    <t xml:space="preserve">月</t>
  </si>
  <si>
    <t xml:space="preserve">大阪 アポ</t>
  </si>
  <si>
    <t xml:space="preserve">大阪 決済者アポ</t>
  </si>
  <si>
    <r>
      <rPr>
        <b val="true"/>
        <sz val="10"/>
        <color rgb="FFFFFFFF"/>
        <rFont val="WenQuanYi Zen Hei"/>
        <family val="2"/>
      </rPr>
      <t xml:space="preserve">大阪 決済詰め</t>
    </r>
    <r>
      <rPr>
        <b val="true"/>
        <sz val="10"/>
        <color rgb="FFFFFFFF"/>
        <rFont val="Meiryo UI"/>
        <family val="0"/>
        <charset val="1"/>
      </rPr>
      <t xml:space="preserve">OK</t>
    </r>
  </si>
  <si>
    <t xml:space="preserve">大阪 決済者実施</t>
  </si>
  <si>
    <t xml:space="preserve">大阪 受注</t>
  </si>
  <si>
    <t xml:space="preserve">大阪 稼働時間</t>
  </si>
  <si>
    <r>
      <rPr>
        <b val="true"/>
        <sz val="10"/>
        <color rgb="FFFFFFFF"/>
        <rFont val="WenQuanYi Zen Hei"/>
        <family val="2"/>
      </rPr>
      <t xml:space="preserve">大阪 </t>
    </r>
    <r>
      <rPr>
        <b val="true"/>
        <sz val="10"/>
        <color rgb="FFFFFFFF"/>
        <rFont val="Meiryo UI"/>
        <family val="0"/>
        <charset val="1"/>
      </rPr>
      <t xml:space="preserve">SPH</t>
    </r>
  </si>
  <si>
    <t xml:space="preserve">京都 アポ</t>
  </si>
  <si>
    <t xml:space="preserve">京都 決済者アポ</t>
  </si>
  <si>
    <r>
      <rPr>
        <b val="true"/>
        <sz val="10"/>
        <color rgb="FFFFFFFF"/>
        <rFont val="WenQuanYi Zen Hei"/>
        <family val="2"/>
      </rPr>
      <t xml:space="preserve">京都 決済詰め</t>
    </r>
    <r>
      <rPr>
        <b val="true"/>
        <sz val="10"/>
        <color rgb="FFFFFFFF"/>
        <rFont val="Meiryo UI"/>
        <family val="0"/>
        <charset val="1"/>
      </rPr>
      <t xml:space="preserve">OK</t>
    </r>
  </si>
  <si>
    <t xml:space="preserve">京都 決済者実施</t>
  </si>
  <si>
    <t xml:space="preserve">京都 受注</t>
  </si>
  <si>
    <t xml:space="preserve">京都 稼働時間</t>
  </si>
  <si>
    <r>
      <rPr>
        <b val="true"/>
        <sz val="10"/>
        <color rgb="FFFFFFFF"/>
        <rFont val="WenQuanYi Zen Hei"/>
        <family val="2"/>
      </rPr>
      <t xml:space="preserve">京都 </t>
    </r>
    <r>
      <rPr>
        <b val="true"/>
        <sz val="10"/>
        <color rgb="FFFFFFFF"/>
        <rFont val="Meiryo UI"/>
        <family val="0"/>
        <charset val="1"/>
      </rPr>
      <t xml:space="preserve">SPH</t>
    </r>
  </si>
  <si>
    <r>
      <rPr>
        <b val="true"/>
        <sz val="10"/>
        <color rgb="FFFFFFFF"/>
        <rFont val="WenQuanYi Zen Hei"/>
        <family val="2"/>
      </rPr>
      <t xml:space="preserve">決済者実施（</t>
    </r>
    <r>
      <rPr>
        <b val="true"/>
        <sz val="10"/>
        <color rgb="FFFFFFFF"/>
        <rFont val="Meiryo UI"/>
        <family val="0"/>
        <charset val="1"/>
      </rPr>
      <t xml:space="preserve">FS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</si>
  <si>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受注（</t>
    </r>
    <r>
      <rPr>
        <b val="true"/>
        <sz val="10"/>
        <color rgb="FFFFFFFF"/>
        <rFont val="Meiryo UI"/>
        <family val="0"/>
        <charset val="1"/>
      </rPr>
      <t xml:space="preserve">FS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</si>
  <si>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初期費用</t>
  </si>
  <si>
    <t xml:space="preserve">過去の実績（値で保存）</t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</si>
  <si>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6</t>
    </r>
    <r>
      <rPr>
        <sz val="10"/>
        <rFont val="WenQuanYi Zen Hei"/>
        <family val="2"/>
      </rPr>
      <t xml:space="preserve">月</t>
    </r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</si>
  <si>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7</t>
    </r>
    <r>
      <rPr>
        <sz val="10"/>
        <rFont val="WenQuanYi Zen Hei"/>
        <family val="2"/>
      </rPr>
      <t xml:space="preserve">月</t>
    </r>
  </si>
  <si>
    <r>
      <rPr>
        <sz val="10"/>
        <color rgb="FF7F7F7F"/>
        <rFont val="Meiryo UI"/>
        <family val="0"/>
        <charset val="1"/>
      </rPr>
      <t xml:space="preserve">※ 6</t>
    </r>
    <r>
      <rPr>
        <sz val="10"/>
        <color rgb="FF7F7F7F"/>
        <rFont val="WenQuanYi Zen Hei"/>
        <family val="2"/>
      </rPr>
      <t xml:space="preserve">月・</t>
    </r>
    <r>
      <rPr>
        <sz val="10"/>
        <color rgb="FF7F7F7F"/>
        <rFont val="Meiryo UI"/>
        <family val="0"/>
        <charset val="1"/>
      </rPr>
      <t xml:space="preserve">7</t>
    </r>
    <r>
      <rPr>
        <sz val="10"/>
        <color rgb="FF7F7F7F"/>
        <rFont val="WenQuanYi Zen Hei"/>
        <family val="2"/>
      </rPr>
      <t xml:space="preserve">月は旧ファイルの</t>
    </r>
    <r>
      <rPr>
        <sz val="10"/>
        <color rgb="FF7F7F7F"/>
        <rFont val="Meiryo UI"/>
        <family val="0"/>
        <charset val="1"/>
      </rPr>
      <t xml:space="preserve">IS</t>
    </r>
    <r>
      <rPr>
        <sz val="10"/>
        <color rgb="FF7F7F7F"/>
        <rFont val="WenQuanYi Zen Hei"/>
        <family val="2"/>
      </rPr>
      <t xml:space="preserve">進捗・</t>
    </r>
    <r>
      <rPr>
        <sz val="10"/>
        <color rgb="FF7F7F7F"/>
        <rFont val="Meiryo UI"/>
        <family val="0"/>
        <charset val="1"/>
      </rPr>
      <t xml:space="preserve">FS</t>
    </r>
    <r>
      <rPr>
        <sz val="10"/>
        <color rgb="FF7F7F7F"/>
        <rFont val="WenQuanYi Zen Hei"/>
        <family val="2"/>
      </rPr>
      <t xml:space="preserve">進捗に残っていた数値です（</t>
    </r>
    <r>
      <rPr>
        <sz val="10"/>
        <color rgb="FF7F7F7F"/>
        <rFont val="Meiryo UI"/>
        <family val="0"/>
        <charset val="1"/>
      </rPr>
      <t xml:space="preserve">8</t>
    </r>
    <r>
      <rPr>
        <sz val="10"/>
        <color rgb="FF7F7F7F"/>
        <rFont val="WenQuanYi Zen Hei"/>
        <family val="2"/>
      </rPr>
      <t xml:space="preserve">〜</t>
    </r>
    <r>
      <rPr>
        <sz val="10"/>
        <color rgb="FF7F7F7F"/>
        <rFont val="Meiryo UI"/>
        <family val="0"/>
        <charset val="1"/>
      </rPr>
      <t xml:space="preserve">10</t>
    </r>
    <r>
      <rPr>
        <sz val="10"/>
        <color rgb="FF7F7F7F"/>
        <rFont val="WenQuanYi Zen Hei"/>
        <family val="2"/>
      </rPr>
      <t xml:space="preserve">月は旧ファイルに数値が残っていませんでした）。</t>
    </r>
  </si>
  <si>
    <t xml:space="preserve">No</t>
  </si>
  <si>
    <t xml:space="preserve">電話番号</t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</si>
  <si>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Meiryo U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連絡先</t>
    </r>
  </si>
  <si>
    <t xml:space="preserve">店舗名</t>
  </si>
  <si>
    <t xml:space="preserve">エリア</t>
  </si>
  <si>
    <t xml:space="preserve">業種</t>
  </si>
  <si>
    <t xml:space="preserve">URL</t>
  </si>
  <si>
    <r>
      <rPr>
        <b val="true"/>
        <sz val="10"/>
        <color rgb="FFFFFFFF"/>
        <rFont val="Meiryo UI"/>
        <family val="0"/>
        <charset val="1"/>
      </rPr>
      <t xml:space="preserve">LINE</t>
    </r>
    <r>
      <rPr>
        <b val="true"/>
        <sz val="10"/>
        <color rgb="FFFFFFFF"/>
        <rFont val="WenQuanYi Zen Hei"/>
        <family val="2"/>
      </rPr>
      <t xml:space="preserve">有無</t>
    </r>
  </si>
  <si>
    <r>
      <rPr>
        <b val="true"/>
        <sz val="10"/>
        <color rgb="FFFFFFFF"/>
        <rFont val="Meiryo UI"/>
        <family val="0"/>
        <charset val="1"/>
      </rPr>
      <t xml:space="preserve">MEO</t>
    </r>
    <r>
      <rPr>
        <b val="true"/>
        <sz val="10"/>
        <color rgb="FFFFFFFF"/>
        <rFont val="WenQuanYi Zen Hei"/>
        <family val="2"/>
      </rPr>
      <t xml:space="preserve">有無</t>
    </r>
  </si>
  <si>
    <t xml:space="preserve">担当者名</t>
  </si>
  <si>
    <t xml:space="preserve">性別</t>
  </si>
  <si>
    <t xml:space="preserve">決済権</t>
  </si>
  <si>
    <t xml:space="preserve">アポ獲得者</t>
  </si>
  <si>
    <t xml:space="preserve">アポ獲得日</t>
  </si>
  <si>
    <t xml:space="preserve">詰直担当</t>
  </si>
  <si>
    <t xml:space="preserve">詰直し日</t>
  </si>
  <si>
    <t xml:space="preserve">詰直し結果</t>
  </si>
  <si>
    <t xml:space="preserve">商談日</t>
  </si>
  <si>
    <t xml:space="preserve">商談時間</t>
  </si>
  <si>
    <t xml:space="preserve">カレンダー</t>
  </si>
  <si>
    <t xml:space="preserve">商談担当</t>
  </si>
  <si>
    <t xml:space="preserve">初回結果</t>
  </si>
  <si>
    <t xml:space="preserve">有効商談有無</t>
  </si>
  <si>
    <t xml:space="preserve">商談結果</t>
  </si>
  <si>
    <t xml:space="preserve">商談所感</t>
  </si>
  <si>
    <t xml:space="preserve">決裁権</t>
  </si>
  <si>
    <t xml:space="preserve">提案商材</t>
  </si>
  <si>
    <t xml:space="preserve">再訪日</t>
  </si>
  <si>
    <t xml:space="preserve">月額提案</t>
  </si>
  <si>
    <t xml:space="preserve">契約課金</t>
  </si>
  <si>
    <t xml:space="preserve">最終結果</t>
  </si>
  <si>
    <t xml:space="preserve">人種</t>
  </si>
  <si>
    <t xml:space="preserve">アポ獲得時</t>
  </si>
  <si>
    <t xml:space="preserve">備考</t>
  </si>
  <si>
    <t xml:space="preserve">初期費用提案</t>
  </si>
  <si>
    <t xml:space="preserve">ジアポ</t>
  </si>
  <si>
    <t xml:space="preserve">日付</t>
  </si>
  <si>
    <t xml:space="preserve">名前</t>
  </si>
  <si>
    <t xml:space="preserve">勤怠</t>
  </si>
  <si>
    <t xml:space="preserve">提出 出勤</t>
  </si>
  <si>
    <t xml:space="preserve">提出 退勤</t>
  </si>
  <si>
    <t xml:space="preserve">提出 昼休憩</t>
  </si>
  <si>
    <r>
      <rPr>
        <b val="true"/>
        <sz val="10"/>
        <color rgb="FFFFFFFF"/>
        <rFont val="WenQuanYi Zen Hei"/>
        <family val="2"/>
      </rPr>
      <t xml:space="preserve">提出 </t>
    </r>
    <r>
      <rPr>
        <b val="true"/>
        <sz val="10"/>
        <color rgb="FFFFFFFF"/>
        <rFont val="Meiryo U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分休憩回数</t>
    </r>
  </si>
  <si>
    <t xml:space="preserve">実際 出勤</t>
  </si>
  <si>
    <t xml:space="preserve">実際 退勤</t>
  </si>
  <si>
    <t xml:space="preserve">実際 昼休憩</t>
  </si>
  <si>
    <r>
      <rPr>
        <b val="true"/>
        <sz val="10"/>
        <color rgb="FFFFFFFF"/>
        <rFont val="WenQuanYi Zen Hei"/>
        <family val="2"/>
      </rPr>
      <t xml:space="preserve">実際 </t>
    </r>
    <r>
      <rPr>
        <b val="true"/>
        <sz val="10"/>
        <color rgb="FFFFFFFF"/>
        <rFont val="Meiryo U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分休憩回数</t>
    </r>
  </si>
  <si>
    <t xml:space="preserve">提出 稼働時間</t>
  </si>
  <si>
    <t xml:space="preserve">実際 稼働時間</t>
  </si>
  <si>
    <t xml:space="preserve">設定（毎月ここを最初に更新）</t>
  </si>
  <si>
    <t xml:space="preserve">黄色セルを入力します。青灰色は自動計算です。</t>
  </si>
  <si>
    <t xml:space="preserve">期間（大阪・京都共通）</t>
  </si>
  <si>
    <t xml:space="preserve">祝日</t>
  </si>
  <si>
    <r>
      <rPr>
        <b val="true"/>
        <sz val="10"/>
        <rFont val="WenQuanYi Zen Hei"/>
        <family val="2"/>
      </rPr>
      <t xml:space="preserve">対象月（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日の日付）</t>
    </r>
  </si>
  <si>
    <t xml:space="preserve">毎月ここを変える</t>
  </si>
  <si>
    <t xml:space="preserve">元日</t>
  </si>
  <si>
    <t xml:space="preserve">その月の営業日数（手入力）</t>
  </si>
  <si>
    <t xml:space="preserve">成人の日</t>
  </si>
  <si>
    <t xml:space="preserve">経過営業日数（自動）</t>
  </si>
  <si>
    <t xml:space="preserve">土日祝を除いて今日まで数えた日数</t>
  </si>
  <si>
    <t xml:space="preserve">建国記念の日</t>
  </si>
  <si>
    <t xml:space="preserve">稼働日数（手入力・任意）</t>
  </si>
  <si>
    <t xml:space="preserve">土曜も営業する場合などはここに入力。空欄なら自動</t>
  </si>
  <si>
    <t xml:space="preserve">天皇誕生日</t>
  </si>
  <si>
    <t xml:space="preserve">稼働日数（採用）</t>
  </si>
  <si>
    <t xml:space="preserve">春分の日</t>
  </si>
  <si>
    <t xml:space="preserve">昭和の日</t>
  </si>
  <si>
    <t xml:space="preserve">憲法記念日</t>
  </si>
  <si>
    <t xml:space="preserve">目標（エリア別）</t>
  </si>
  <si>
    <t xml:space="preserve">みどりの日</t>
  </si>
  <si>
    <t xml:space="preserve">こどもの日</t>
  </si>
  <si>
    <t xml:space="preserve">振替休日</t>
  </si>
  <si>
    <r>
      <rPr>
        <b val="true"/>
        <sz val="10"/>
        <rFont val="WenQuanYi Zen Hei"/>
        <family val="2"/>
      </rPr>
      <t xml:space="preserve">目標</t>
    </r>
    <r>
      <rPr>
        <b val="true"/>
        <sz val="10"/>
        <rFont val="Meiryo UI"/>
        <family val="0"/>
        <charset val="1"/>
      </rPr>
      <t xml:space="preserve">SPH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時間あたりアポ数）</t>
    </r>
  </si>
  <si>
    <t xml:space="preserve">海の日</t>
  </si>
  <si>
    <t xml:space="preserve">山の日</t>
  </si>
  <si>
    <t xml:space="preserve">想定の率・単価（予想・着地の計算に使う）</t>
  </si>
  <si>
    <t xml:space="preserve">敬老の日</t>
  </si>
  <si>
    <r>
      <rPr>
        <b val="true"/>
        <sz val="10"/>
        <rFont val="WenQuanYi Zen Hei"/>
        <family val="2"/>
      </rPr>
      <t xml:space="preserve">詰め</t>
    </r>
    <r>
      <rPr>
        <b val="true"/>
        <sz val="10"/>
        <rFont val="Meiryo UI"/>
        <family val="0"/>
        <charset val="1"/>
      </rPr>
      <t xml:space="preserve">OK</t>
    </r>
    <r>
      <rPr>
        <b val="true"/>
        <sz val="10"/>
        <rFont val="WenQuanYi Zen Hei"/>
        <family val="2"/>
      </rPr>
      <t xml:space="preserve">率</t>
    </r>
  </si>
  <si>
    <r>
      <rPr>
        <sz val="10"/>
        <color rgb="FF7F7F7F"/>
        <rFont val="WenQuanYi Zen Hei"/>
        <family val="2"/>
      </rPr>
      <t xml:space="preserve">決済アポ → 詰め</t>
    </r>
    <r>
      <rPr>
        <sz val="10"/>
        <color rgb="FF7F7F7F"/>
        <rFont val="Meiryo UI"/>
        <family val="0"/>
        <charset val="1"/>
      </rPr>
      <t xml:space="preserve">OK</t>
    </r>
  </si>
  <si>
    <t xml:space="preserve">国民の休日</t>
  </si>
  <si>
    <t xml:space="preserve">商談実施率</t>
  </si>
  <si>
    <r>
      <rPr>
        <sz val="10"/>
        <color rgb="FF7F7F7F"/>
        <rFont val="WenQuanYi Zen Hei"/>
        <family val="2"/>
      </rPr>
      <t xml:space="preserve">詰め</t>
    </r>
    <r>
      <rPr>
        <sz val="10"/>
        <color rgb="FF7F7F7F"/>
        <rFont val="Meiryo UI"/>
        <family val="0"/>
        <charset val="1"/>
      </rPr>
      <t xml:space="preserve">OK → </t>
    </r>
    <r>
      <rPr>
        <sz val="10"/>
        <color rgb="FF7F7F7F"/>
        <rFont val="WenQuanYi Zen Hei"/>
        <family val="2"/>
      </rPr>
      <t xml:space="preserve">商談実施（実施待ちの着地にも使用）</t>
    </r>
  </si>
  <si>
    <t xml:space="preserve">秋分の日</t>
  </si>
  <si>
    <r>
      <rPr>
        <b val="true"/>
        <sz val="10"/>
        <rFont val="WenQuanYi Zen Hei"/>
        <family val="2"/>
      </rPr>
      <t xml:space="preserve">受注率（</t>
    </r>
    <r>
      <rPr>
        <b val="true"/>
        <sz val="10"/>
        <rFont val="Meiryo UI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目標用）</t>
    </r>
  </si>
  <si>
    <t xml:space="preserve">スポーツの日</t>
  </si>
  <si>
    <r>
      <rPr>
        <b val="true"/>
        <sz val="10"/>
        <rFont val="WenQuanYi Zen Hei"/>
        <family val="2"/>
      </rPr>
      <t xml:space="preserve">決済者受注率（</t>
    </r>
    <r>
      <rPr>
        <b val="true"/>
        <sz val="10"/>
        <rFont val="Meiryo UI"/>
        <family val="0"/>
        <charset val="1"/>
      </rPr>
      <t xml:space="preserve">FS</t>
    </r>
    <r>
      <rPr>
        <b val="true"/>
        <sz val="10"/>
        <rFont val="WenQuanYi Zen Hei"/>
        <family val="2"/>
      </rPr>
      <t xml:space="preserve">想定）</t>
    </r>
  </si>
  <si>
    <t xml:space="preserve">文化の日</t>
  </si>
  <si>
    <t xml:space="preserve">平均単価</t>
  </si>
  <si>
    <r>
      <rPr>
        <sz val="10"/>
        <color rgb="FF7F7F7F"/>
        <rFont val="Meiryo UI"/>
        <family val="0"/>
        <charset val="1"/>
      </rPr>
      <t xml:space="preserve">1</t>
    </r>
    <r>
      <rPr>
        <sz val="10"/>
        <color rgb="FF7F7F7F"/>
        <rFont val="WenQuanYi Zen Hei"/>
        <family val="2"/>
      </rPr>
      <t xml:space="preserve">受注あたりの売上</t>
    </r>
  </si>
  <si>
    <t xml:space="preserve">勤労感謝の日</t>
  </si>
  <si>
    <t xml:space="preserve">クローザー順位ルール</t>
  </si>
  <si>
    <t xml:space="preserve">自アポ・紹介の売上倍率</t>
  </si>
  <si>
    <t xml:space="preserve">初期費用の加算単位</t>
  </si>
  <si>
    <t xml:space="preserve">この金額ごとに売上を加算</t>
  </si>
  <si>
    <t xml:space="preserve">初期費用の加算額</t>
  </si>
  <si>
    <r>
      <rPr>
        <b val="true"/>
        <sz val="10"/>
        <rFont val="WenQuanYi Zen Hei"/>
        <family val="2"/>
      </rPr>
      <t xml:space="preserve">解約受注の加算額（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件）</t>
    </r>
  </si>
  <si>
    <t xml:space="preserve">受注金額に関係なく一律</t>
  </si>
  <si>
    <r>
      <rPr>
        <b val="true"/>
        <sz val="10"/>
        <rFont val="WenQuanYi Zen Hei"/>
        <family val="2"/>
      </rPr>
      <t xml:space="preserve">引き落とし飛び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件の受注率マイナス</t>
    </r>
  </si>
  <si>
    <r>
      <rPr>
        <b val="true"/>
        <sz val="10"/>
        <rFont val="WenQuanYi Zen Hei"/>
        <family val="2"/>
      </rPr>
      <t xml:space="preserve">各項目</t>
    </r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位のポイント</t>
    </r>
  </si>
  <si>
    <t xml:space="preserve">受注率・獲得単価・商談実行率・合計売上</t>
  </si>
  <si>
    <r>
      <rPr>
        <b val="true"/>
        <sz val="10"/>
        <rFont val="WenQuanYi Zen Hei"/>
        <family val="2"/>
      </rPr>
      <t xml:space="preserve">合計売上</t>
    </r>
    <r>
      <rPr>
        <b val="true"/>
        <sz val="10"/>
        <rFont val="Meiryo UI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位のポイント</t>
    </r>
  </si>
  <si>
    <r>
      <rPr>
        <b val="true"/>
        <sz val="10"/>
        <color rgb="FFFFFFFF"/>
        <rFont val="WenQuanYi Zen Hei"/>
        <family val="2"/>
      </rPr>
      <t xml:space="preserve">アポインター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大阪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</si>
  <si>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アポインター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京都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</si>
  <si>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クローザー</t>
  </si>
  <si>
    <t xml:space="preserve">シフト名簿</t>
  </si>
  <si>
    <t xml:space="preserve">シフトエリア</t>
  </si>
  <si>
    <r>
      <rPr>
        <b val="true"/>
        <sz val="10"/>
        <color rgb="FFFFFFFF"/>
        <rFont val="WenQuanYi Zen Hei"/>
        <family val="2"/>
      </rPr>
      <t xml:space="preserve">最終結果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クローザー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</si>
  <si>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決裁権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商談時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</si>
  <si>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課金</t>
  </si>
  <si>
    <t xml:space="preserve">有無</t>
  </si>
  <si>
    <t xml:space="preserve">自アポ</t>
  </si>
  <si>
    <t xml:space="preserve">月額</t>
  </si>
  <si>
    <t xml:space="preserve">宮田</t>
  </si>
  <si>
    <t xml:space="preserve">堀口</t>
  </si>
  <si>
    <t xml:space="preserve">荻野</t>
  </si>
  <si>
    <t xml:space="preserve">石山</t>
  </si>
  <si>
    <t xml:space="preserve">西川</t>
  </si>
  <si>
    <t xml:space="preserve">エステ</t>
  </si>
  <si>
    <t xml:space="preserve">決済</t>
  </si>
  <si>
    <t xml:space="preserve">OK</t>
  </si>
  <si>
    <t xml:space="preserve">確認⭕️</t>
  </si>
  <si>
    <t xml:space="preserve">両方</t>
  </si>
  <si>
    <t xml:space="preserve">⚪︎</t>
  </si>
  <si>
    <t xml:space="preserve">有</t>
  </si>
  <si>
    <t xml:space="preserve">男</t>
  </si>
  <si>
    <t xml:space="preserve">〇</t>
  </si>
  <si>
    <t xml:space="preserve">出勤</t>
  </si>
  <si>
    <r>
      <rPr>
        <sz val="10"/>
        <rFont val="WenQuanYi Zen Hei"/>
        <family val="2"/>
      </rPr>
      <t xml:space="preserve">岡本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れな</t>
    </r>
    <r>
      <rPr>
        <sz val="10"/>
        <rFont val="Meiryo UI"/>
        <family val="0"/>
        <charset val="1"/>
      </rPr>
      <t xml:space="preserve">)</t>
    </r>
  </si>
  <si>
    <t xml:space="preserve">木下</t>
  </si>
  <si>
    <t xml:space="preserve">ジム</t>
  </si>
  <si>
    <t xml:space="preserve">NG</t>
  </si>
  <si>
    <t xml:space="preserve">再調整</t>
  </si>
  <si>
    <r>
      <rPr>
        <sz val="10"/>
        <rFont val="WenQuanYi Zen Hei"/>
        <family val="2"/>
      </rPr>
      <t xml:space="preserve">自社</t>
    </r>
    <r>
      <rPr>
        <sz val="10"/>
        <rFont val="Meiryo UI"/>
        <family val="0"/>
        <charset val="1"/>
      </rPr>
      <t xml:space="preserve">LINE</t>
    </r>
  </si>
  <si>
    <t xml:space="preserve">×</t>
  </si>
  <si>
    <t xml:space="preserve">無</t>
  </si>
  <si>
    <t xml:space="preserve">女</t>
  </si>
  <si>
    <t xml:space="preserve">✖</t>
  </si>
  <si>
    <t xml:space="preserve">在宅ワーク</t>
  </si>
  <si>
    <t xml:space="preserve">向井</t>
  </si>
  <si>
    <t xml:space="preserve">篠原</t>
  </si>
  <si>
    <t xml:space="preserve">大場</t>
  </si>
  <si>
    <t xml:space="preserve">吉村</t>
  </si>
  <si>
    <t xml:space="preserve">対象外</t>
  </si>
  <si>
    <t xml:space="preserve">ネイル</t>
  </si>
  <si>
    <r>
      <rPr>
        <sz val="10"/>
        <rFont val="WenQuanYi Zen Hei"/>
        <family val="2"/>
      </rPr>
      <t xml:space="preserve">外人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決済</t>
    </r>
    <r>
      <rPr>
        <sz val="10"/>
        <rFont val="Meiryo UI"/>
        <family val="0"/>
        <charset val="1"/>
      </rPr>
      <t xml:space="preserve">)</t>
    </r>
  </si>
  <si>
    <t xml:space="preserve">デズ</t>
  </si>
  <si>
    <r>
      <rPr>
        <sz val="10"/>
        <rFont val="WenQuanYi Zen Hei"/>
        <family val="2"/>
      </rPr>
      <t xml:space="preserve">自社</t>
    </r>
    <r>
      <rPr>
        <sz val="10"/>
        <rFont val="Meiryo UI"/>
        <family val="0"/>
        <charset val="1"/>
      </rPr>
      <t xml:space="preserve">MEO</t>
    </r>
  </si>
  <si>
    <t xml:space="preserve">不明</t>
  </si>
  <si>
    <t xml:space="preserve">遅刻</t>
  </si>
  <si>
    <t xml:space="preserve">中牟田</t>
  </si>
  <si>
    <t xml:space="preserve">フォト</t>
  </si>
  <si>
    <r>
      <rPr>
        <sz val="10"/>
        <rFont val="WenQuanYi Zen Hei"/>
        <family val="2"/>
      </rPr>
      <t xml:space="preserve">外人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非決済</t>
    </r>
    <r>
      <rPr>
        <sz val="10"/>
        <rFont val="Meiryo UI"/>
        <family val="0"/>
        <charset val="1"/>
      </rPr>
      <t xml:space="preserve">)</t>
    </r>
  </si>
  <si>
    <t xml:space="preserve">LP</t>
  </si>
  <si>
    <t xml:space="preserve">欠席</t>
  </si>
  <si>
    <t xml:space="preserve">森</t>
  </si>
  <si>
    <r>
      <rPr>
        <sz val="10"/>
        <rFont val="WenQuanYi Zen Hei"/>
        <family val="2"/>
      </rPr>
      <t xml:space="preserve">谷川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ゆ</t>
    </r>
    <r>
      <rPr>
        <sz val="10"/>
        <rFont val="Meiryo UI"/>
        <family val="0"/>
        <charset val="1"/>
      </rPr>
      <t xml:space="preserve">)</t>
    </r>
  </si>
  <si>
    <t xml:space="preserve">マツエク</t>
  </si>
  <si>
    <t xml:space="preserve">ロケット</t>
  </si>
  <si>
    <t xml:space="preserve">石原</t>
  </si>
  <si>
    <r>
      <rPr>
        <sz val="10"/>
        <rFont val="WenQuanYi Zen Hei"/>
        <family val="2"/>
      </rPr>
      <t xml:space="preserve">谷川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と</t>
    </r>
    <r>
      <rPr>
        <sz val="10"/>
        <rFont val="Meiryo UI"/>
        <family val="0"/>
        <charset val="1"/>
      </rPr>
      <t xml:space="preserve">)</t>
    </r>
  </si>
  <si>
    <t xml:space="preserve">リラク</t>
  </si>
  <si>
    <t xml:space="preserve">再訪</t>
  </si>
  <si>
    <t xml:space="preserve">伊坂</t>
  </si>
  <si>
    <t xml:space="preserve">冷麺</t>
  </si>
  <si>
    <t xml:space="preserve">岩本</t>
  </si>
  <si>
    <t xml:space="preserve">飲食</t>
  </si>
  <si>
    <r>
      <rPr>
        <sz val="10"/>
        <rFont val="Meiryo UI"/>
        <family val="0"/>
        <charset val="1"/>
      </rPr>
      <t xml:space="preserve">CS</t>
    </r>
    <r>
      <rPr>
        <sz val="10"/>
        <rFont val="WenQuanYi Zen Hei"/>
        <family val="2"/>
      </rPr>
      <t xml:space="preserve">アポ</t>
    </r>
  </si>
  <si>
    <t xml:space="preserve">迫</t>
  </si>
  <si>
    <t xml:space="preserve">金本</t>
  </si>
  <si>
    <t xml:space="preserve">カフェ</t>
  </si>
  <si>
    <t xml:space="preserve">日程変更</t>
  </si>
  <si>
    <t xml:space="preserve">藤井</t>
  </si>
  <si>
    <t xml:space="preserve">浅妻</t>
  </si>
  <si>
    <t xml:space="preserve">整骨院</t>
  </si>
  <si>
    <t xml:space="preserve">村上</t>
  </si>
  <si>
    <t xml:space="preserve">整体</t>
  </si>
  <si>
    <t xml:space="preserve">高岡</t>
  </si>
  <si>
    <t xml:space="preserve">鍼灸院</t>
  </si>
  <si>
    <t xml:space="preserve">カイロ</t>
  </si>
  <si>
    <t xml:space="preserve">脱毛</t>
  </si>
  <si>
    <t xml:space="preserve">美容院</t>
  </si>
  <si>
    <t xml:space="preserve">ホワイトニング</t>
  </si>
  <si>
    <t xml:space="preserve">メンエス</t>
  </si>
  <si>
    <t xml:space="preserve">ピラティス</t>
  </si>
  <si>
    <t xml:space="preserve">ヨガ</t>
  </si>
  <si>
    <t xml:space="preserve">村野</t>
  </si>
  <si>
    <t xml:space="preserve">買取</t>
  </si>
  <si>
    <t xml:space="preserve">質屋</t>
  </si>
  <si>
    <t xml:space="preserve">中江</t>
  </si>
  <si>
    <t xml:space="preserve">リサイクルショップ</t>
  </si>
  <si>
    <t xml:space="preserve">末川</t>
  </si>
  <si>
    <t xml:space="preserve">ハウス</t>
  </si>
  <si>
    <t xml:space="preserve">便利屋</t>
  </si>
  <si>
    <t xml:space="preserve">レンタカー</t>
  </si>
  <si>
    <t xml:space="preserve">木村</t>
  </si>
  <si>
    <t xml:space="preserve">家事代行</t>
  </si>
  <si>
    <t xml:space="preserve">笹原</t>
  </si>
  <si>
    <t xml:space="preserve">運転代行</t>
  </si>
  <si>
    <t xml:space="preserve">引っ越し業者</t>
  </si>
  <si>
    <t xml:space="preserve">田上</t>
  </si>
  <si>
    <t xml:space="preserve">婚活</t>
  </si>
  <si>
    <t xml:space="preserve">結婚相談所</t>
  </si>
  <si>
    <t xml:space="preserve">白井</t>
  </si>
  <si>
    <t xml:space="preserve">占い</t>
  </si>
  <si>
    <t xml:space="preserve">カウンセリング</t>
  </si>
  <si>
    <t xml:space="preserve">栗田</t>
  </si>
  <si>
    <t xml:space="preserve">パーソナルカラー</t>
  </si>
  <si>
    <t xml:space="preserve">習い事教室</t>
  </si>
  <si>
    <t xml:space="preserve">スクール事業</t>
  </si>
  <si>
    <t xml:space="preserve">介護施設</t>
  </si>
  <si>
    <t xml:space="preserve">助産・産後</t>
  </si>
  <si>
    <t xml:space="preserve">ボードゲーム</t>
  </si>
  <si>
    <t xml:space="preserve">メガネショップ</t>
  </si>
  <si>
    <t xml:space="preserve">スポーツ用品店</t>
  </si>
  <si>
    <t xml:space="preserve">マリンスポーツ</t>
  </si>
  <si>
    <t xml:space="preserve">花屋</t>
  </si>
  <si>
    <t xml:space="preserve">造園店</t>
  </si>
  <si>
    <t xml:space="preserve">園芸・造園</t>
  </si>
  <si>
    <t xml:space="preserve">植木屋</t>
  </si>
  <si>
    <t xml:space="preserve">農園</t>
  </si>
  <si>
    <t xml:space="preserve">自動車専門店</t>
  </si>
  <si>
    <t xml:space="preserve">リペアショップ</t>
  </si>
  <si>
    <t xml:space="preserve">タトゥー</t>
  </si>
  <si>
    <t xml:space="preserve">その他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</si>
</sst>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\件"/>
    <numFmt numFmtId="166" formatCode="0.0"/>
    <numFmt numFmtId="167" formatCode="0.0%"/>
    <numFmt numFmtId="168" formatCode="0.0\h"/>
    <numFmt numFmtId="169" formatCode="0.00"/>
    <numFmt numFmtId="170" formatCode="0\日"/>
    <numFmt numFmtId="171" formatCode="#,##0\円"/>
    <numFmt numFmtId="172" formatCode="0\P"/>
    <numFmt numFmtId="173" formatCode="#,##0\円;\-#,##0\円;;"/>
    <numFmt numFmtId="174" formatCode="0\位"/>
    <numFmt numFmtId="175" formatCode="@"/>
    <numFmt numFmtId="176" formatCode="m/d"/>
    <numFmt numFmtId="177" formatCode="h:mm"/>
    <numFmt numFmtId="178" formatCode="#,##0"/>
    <numFmt numFmtId="179" formatCode="m/d\(AAA\)"/>
    <numFmt numFmtId="180" formatCode="yyyy\年m\月"/>
    <numFmt numFmtId="181" formatCode="yyyy/mm/dd"/>
    <numFmt numFmtId="182" formatCode="0.0\倍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b val="true"/>
      <sz val="16"/>
      <color rgb="FF1F4E78"/>
      <name val="Meiryo UI"/>
      <family val="0"/>
      <charset val="1"/>
    </font>
    <font>
      <sz val="11"/>
      <name val="Meiryo UI"/>
      <family val="0"/>
      <charset val="1"/>
    </font>
    <font>
      <b val="true"/>
      <sz val="12"/>
      <color rgb="FF1F4E78"/>
      <name val="WenQuanYi Zen Hei"/>
      <family val="2"/>
    </font>
    <font>
      <b val="true"/>
      <sz val="12"/>
      <color rgb="FF1F4E78"/>
      <name val="Meiryo UI"/>
      <family val="0"/>
      <charset val="1"/>
    </font>
    <font>
      <sz val="11"/>
      <name val="WenQuanYi Zen Hei"/>
      <family val="2"/>
    </font>
    <font>
      <b val="true"/>
      <sz val="12"/>
      <color rgb="FF7F7F7F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1"/>
      <name val="Meiryo UI"/>
      <family val="0"/>
      <charset val="1"/>
    </font>
    <font>
      <b val="true"/>
      <sz val="10"/>
      <name val="Meiryo UI"/>
      <family val="0"/>
      <charset val="1"/>
    </font>
    <font>
      <b val="true"/>
      <sz val="14"/>
      <color rgb="FF1F4E78"/>
      <name val="WenQuanYi Zen Hei"/>
      <family val="2"/>
    </font>
    <font>
      <b val="true"/>
      <sz val="10"/>
      <color rgb="FFFFFFFF"/>
      <name val="Meiryo UI"/>
      <family val="0"/>
      <charset val="1"/>
    </font>
    <font>
      <sz val="10"/>
      <color rgb="FF7F7F7F"/>
      <name val="WenQuanYi Zen Hei"/>
      <family val="2"/>
    </font>
    <font>
      <sz val="10"/>
      <name val="Meiryo UI"/>
      <family val="0"/>
      <charset val="1"/>
    </font>
    <font>
      <b val="true"/>
      <sz val="12"/>
      <name val="Meiryo UI"/>
      <family val="0"/>
      <charset val="1"/>
    </font>
    <font>
      <sz val="10"/>
      <name val="WenQuanYi Zen Hei"/>
      <family val="2"/>
    </font>
    <font>
      <sz val="10"/>
      <color rgb="FF7F7F7F"/>
      <name val="Meiryo UI"/>
      <family val="0"/>
      <charset val="1"/>
    </font>
    <font>
      <b val="true"/>
      <sz val="10"/>
      <color rgb="FF1F4E78"/>
      <name val="WenQuanYi Zen Hei"/>
      <family val="2"/>
    </font>
    <font>
      <sz val="10"/>
      <name val="Arial"/>
      <family val="2"/>
    </font>
    <font>
      <b val="true"/>
      <sz val="12"/>
      <color rgb="FF0000FF"/>
      <name val="Meiryo UI"/>
      <family val="0"/>
      <charset val="1"/>
    </font>
    <font>
      <b val="true"/>
      <sz val="12"/>
      <color rgb="FF000000"/>
      <name val="Meiryo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1F4E78"/>
        <bgColor rgb="FF44546A"/>
      </patternFill>
    </fill>
    <fill>
      <patternFill patternType="solid">
        <fgColor rgb="FFDDEBF7"/>
        <bgColor rgb="FFEEF3F8"/>
      </patternFill>
    </fill>
    <fill>
      <patternFill patternType="solid">
        <fgColor rgb="FF44546A"/>
        <bgColor rgb="FF1F4E78"/>
      </patternFill>
    </fill>
    <fill>
      <patternFill patternType="solid">
        <fgColor rgb="FFC00000"/>
        <bgColor rgb="FF800000"/>
      </patternFill>
    </fill>
    <fill>
      <patternFill patternType="solid">
        <fgColor rgb="FFEEF3F8"/>
        <bgColor rgb="FFDDEBF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b val="1"/>
        <color rgb="FFC00000"/>
      </font>
    </dxf>
    <dxf>
      <font>
        <b val="1"/>
        <color rgb="FF00B050"/>
      </font>
    </dxf>
    <dxf>
      <fill>
        <patternFill>
          <bgColor rgb="FFFFD966"/>
        </patternFill>
      </fill>
    </dxf>
    <dxf>
      <fill>
        <patternFill>
          <bgColor rgb="FFD9D9D9"/>
        </patternFill>
      </fill>
    </dxf>
    <dxf>
      <fill>
        <patternFill>
          <bgColor rgb="FFF4B183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DE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CCFFCC"/>
      <rgbColor rgb="FFFFFF99"/>
      <rgbColor rgb="FF99CCFF"/>
      <rgbColor rgb="FFF4B183"/>
      <rgbColor rgb="FFCC99FF"/>
      <rgbColor rgb="FFFFD966"/>
      <rgbColor rgb="FF2F75B5"/>
      <rgbColor rgb="FF33CCCC"/>
      <rgbColor rgb="FF70AD47"/>
      <rgbColor rgb="FFFFC000"/>
      <rgbColor rgb="FFFF9900"/>
      <rgbColor rgb="FFED7D31"/>
      <rgbColor rgb="FF44546A"/>
      <rgbColor rgb="FFA5A5A5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28"/>
    <col collapsed="false" customWidth="true" hidden="false" outlineLevel="0" max="9" min="9" style="0" width="13"/>
  </cols>
  <sheetData>
    <row r="1" customFormat="false" ht="20.85" hidden="false" customHeight="false" outlineLevel="0" collapsed="false">
      <c r="A1" s="5" t="s">
        <v>23</v>
      </c>
    </row>
    <row r="2" customFormat="false" ht="17.15" hidden="false" customHeight="false" outlineLevel="0" collapsed="false">
      <c r="A2" s="6" t="str">
        <f aca="false">TEXT(設定!$B$5,"yyyy年m月")&amp;"　営業日 "&amp;設定!$B$9&amp;" / "&amp;設定!$B$6&amp;" 日目（残り "&amp;設定!$B$10&amp;" 日）"</f>
        <v>2026年11月　営業日 0 / 21 日目（残り 21 日）</v>
      </c>
    </row>
    <row r="4" customFormat="false" ht="15" hidden="false" customHeight="true" outlineLevel="0" collapsed="false">
      <c r="B4" s="7" t="s">
        <v>24</v>
      </c>
      <c r="C4" s="7"/>
      <c r="D4" s="7"/>
      <c r="E4" s="7"/>
    </row>
    <row r="5" customFormat="false" ht="15" hidden="false" customHeight="false" outlineLevel="0" collapsed="false">
      <c r="B5" s="8" t="s">
        <v>25</v>
      </c>
      <c r="C5" s="8" t="s">
        <v>26</v>
      </c>
      <c r="D5" s="8" t="s">
        <v>27</v>
      </c>
      <c r="E5" s="8" t="s">
        <v>28</v>
      </c>
    </row>
    <row r="6" customFormat="false" ht="15" hidden="false" customHeight="false" outlineLevel="0" collapsed="false">
      <c r="B6" s="9" t="s">
        <v>29</v>
      </c>
      <c r="C6" s="10" t="n">
        <f aca="false">F18</f>
        <v>0</v>
      </c>
      <c r="D6" s="10" t="n">
        <f aca="false">F44</f>
        <v>0</v>
      </c>
      <c r="E6" s="11" t="n">
        <f aca="false">C6+D6</f>
        <v>0</v>
      </c>
    </row>
    <row r="7" customFormat="false" ht="15" hidden="false" customHeight="false" outlineLevel="0" collapsed="false">
      <c r="B7" s="9" t="s">
        <v>30</v>
      </c>
      <c r="C7" s="10" t="n">
        <f aca="false">F19</f>
        <v>0</v>
      </c>
      <c r="D7" s="10" t="n">
        <f aca="false">F45</f>
        <v>0</v>
      </c>
      <c r="E7" s="11" t="n">
        <f aca="false">C7+D7</f>
        <v>0</v>
      </c>
    </row>
    <row r="8" customFormat="false" ht="15" hidden="false" customHeight="false" outlineLevel="0" collapsed="false">
      <c r="B8" s="9" t="s">
        <v>31</v>
      </c>
      <c r="C8" s="10" t="n">
        <f aca="false">F20</f>
        <v>0</v>
      </c>
      <c r="D8" s="10" t="n">
        <f aca="false">F46</f>
        <v>0</v>
      </c>
      <c r="E8" s="11" t="n">
        <f aca="false">C8+D8</f>
        <v>0</v>
      </c>
    </row>
    <row r="9" customFormat="false" ht="15" hidden="false" customHeight="false" outlineLevel="0" collapsed="false">
      <c r="B9" s="9" t="s">
        <v>32</v>
      </c>
      <c r="C9" s="10" t="n">
        <f aca="false">F22</f>
        <v>0</v>
      </c>
      <c r="D9" s="10" t="n">
        <f aca="false">F48</f>
        <v>0</v>
      </c>
      <c r="E9" s="11" t="n">
        <f aca="false">C9+D9</f>
        <v>0</v>
      </c>
    </row>
    <row r="10" customFormat="false" ht="15" hidden="false" customHeight="false" outlineLevel="0" collapsed="false">
      <c r="B10" s="9" t="s">
        <v>33</v>
      </c>
      <c r="C10" s="10" t="n">
        <f aca="false">F24</f>
        <v>0</v>
      </c>
      <c r="D10" s="10" t="n">
        <f aca="false">F50</f>
        <v>0</v>
      </c>
      <c r="E10" s="11" t="n">
        <f aca="false">C10+D10</f>
        <v>0</v>
      </c>
    </row>
    <row r="11" customFormat="false" ht="15" hidden="false" customHeight="false" outlineLevel="0" collapsed="false">
      <c r="B11" s="9" t="s">
        <v>34</v>
      </c>
      <c r="C11" s="10" t="n">
        <f aca="false">F23</f>
        <v>0</v>
      </c>
      <c r="D11" s="10" t="n">
        <f aca="false">F49</f>
        <v>0</v>
      </c>
      <c r="E11" s="11" t="n">
        <f aca="false">C11+D11</f>
        <v>0</v>
      </c>
    </row>
    <row r="12" customFormat="false" ht="15" hidden="false" customHeight="false" outlineLevel="0" collapsed="false">
      <c r="B12" s="9" t="s">
        <v>35</v>
      </c>
      <c r="C12" s="12" t="n">
        <f aca="false">I18</f>
        <v>0</v>
      </c>
      <c r="D12" s="12" t="n">
        <f aca="false">I44</f>
        <v>0</v>
      </c>
      <c r="E12" s="13" t="n">
        <f aca="false">C12+D12</f>
        <v>0</v>
      </c>
    </row>
    <row r="13" customFormat="false" ht="15" hidden="false" customHeight="false" outlineLevel="0" collapsed="false">
      <c r="B13" s="9" t="s">
        <v>36</v>
      </c>
      <c r="C13" s="14" t="n">
        <f aca="false">I20</f>
        <v>0</v>
      </c>
      <c r="D13" s="14" t="n">
        <f aca="false">I46</f>
        <v>0</v>
      </c>
      <c r="E13" s="15" t="n">
        <f aca="false">IFERROR((I18+I44)/(C21+C47),0)</f>
        <v>0</v>
      </c>
    </row>
    <row r="14" customFormat="false" ht="15" hidden="false" customHeight="false" outlineLevel="0" collapsed="false">
      <c r="B14" s="9" t="s">
        <v>37</v>
      </c>
      <c r="C14" s="16" t="n">
        <f aca="false">F29</f>
        <v>0</v>
      </c>
      <c r="D14" s="16" t="n">
        <f aca="false">F55</f>
        <v>0</v>
      </c>
      <c r="E14" s="17" t="n">
        <f aca="false">C14+D14</f>
        <v>0</v>
      </c>
    </row>
    <row r="15" customFormat="false" ht="15" hidden="false" customHeight="false" outlineLevel="0" collapsed="false">
      <c r="B15" s="18" t="s">
        <v>38</v>
      </c>
      <c r="C15" s="19" t="n">
        <f aca="false">F30</f>
        <v>0</v>
      </c>
      <c r="D15" s="19" t="n">
        <f aca="false">F56</f>
        <v>0</v>
      </c>
      <c r="E15" s="20" t="n">
        <f aca="false">IFERROR((F18+F44)/(F29+F55),0)</f>
        <v>0</v>
      </c>
    </row>
    <row r="16" customFormat="false" ht="17.35" hidden="false" customHeight="false" outlineLevel="0" collapsed="false">
      <c r="B16" s="21" t="s">
        <v>39</v>
      </c>
    </row>
    <row r="17" customFormat="false" ht="15" hidden="false" customHeight="true" outlineLevel="0" collapsed="false">
      <c r="B17" s="7" t="s">
        <v>40</v>
      </c>
      <c r="C17" s="7"/>
      <c r="E17" s="22" t="s">
        <v>41</v>
      </c>
      <c r="F17" s="22"/>
      <c r="H17" s="23" t="s">
        <v>42</v>
      </c>
      <c r="I17" s="23"/>
    </row>
    <row r="18" customFormat="false" ht="15" hidden="false" customHeight="false" outlineLevel="0" collapsed="false">
      <c r="B18" s="24" t="s">
        <v>43</v>
      </c>
      <c r="C18" s="25" t="n">
        <f aca="false">設定!$B$6</f>
        <v>21</v>
      </c>
      <c r="E18" s="24" t="s">
        <v>29</v>
      </c>
      <c r="F18" s="26" t="n">
        <f aca="false">COUNTA('全体集計(入力)触るな(大阪)'!$L$2:$L$501)</f>
        <v>0</v>
      </c>
      <c r="H18" s="24" t="s">
        <v>29</v>
      </c>
      <c r="I18" s="27" t="n">
        <f aca="false">IFERROR(F18/C20*C18,0)</f>
        <v>0</v>
      </c>
    </row>
    <row r="19" customFormat="false" ht="15" hidden="false" customHeight="false" outlineLevel="0" collapsed="false">
      <c r="B19" s="24" t="s">
        <v>44</v>
      </c>
      <c r="C19" s="25" t="n">
        <f aca="false">設定!$B$10</f>
        <v>21</v>
      </c>
      <c r="E19" s="24" t="s">
        <v>30</v>
      </c>
      <c r="F19" s="26" t="n">
        <f aca="false">(COUNTIF('全体集計(入力)触るな(大阪)'!$L$2:$L$501,"決済")+COUNTIF('全体集計(入力)触るな(大阪)'!$L$2:$L$501,"外人(決済)"))</f>
        <v>0</v>
      </c>
      <c r="H19" s="24" t="s">
        <v>30</v>
      </c>
      <c r="I19" s="27" t="n">
        <f aca="false">IFERROR(F19/C20*C18,0)</f>
        <v>0</v>
      </c>
    </row>
    <row r="20" customFormat="false" ht="15" hidden="false" customHeight="false" outlineLevel="0" collapsed="false">
      <c r="B20" s="24" t="s">
        <v>45</v>
      </c>
      <c r="C20" s="25" t="n">
        <f aca="false">設定!$B$9</f>
        <v>0</v>
      </c>
      <c r="E20" s="24" t="s">
        <v>31</v>
      </c>
      <c r="F20" s="26" t="n">
        <f aca="false">(COUNTIFS('全体集計(入力)触るな(大阪)'!$L$2:$L$501,"決済",'全体集計(入力)触るな(大阪)'!$Q$2:$Q$501,"OK")+COUNTIFS('全体集計(入力)触るな(大阪)'!$L$2:$L$501,"外人(決済)",'全体集計(入力)触るな(大阪)'!$Q$2:$Q$501,"OK"))</f>
        <v>0</v>
      </c>
      <c r="H20" s="24" t="s">
        <v>46</v>
      </c>
      <c r="I20" s="28" t="n">
        <f aca="false">IFERROR(I18/C21,0)</f>
        <v>0</v>
      </c>
    </row>
    <row r="21" customFormat="false" ht="15" hidden="false" customHeight="false" outlineLevel="0" collapsed="false">
      <c r="B21" s="24" t="s">
        <v>47</v>
      </c>
      <c r="C21" s="26" t="n">
        <f aca="false">設定!$B$13</f>
        <v>100</v>
      </c>
      <c r="E21" s="24" t="s">
        <v>48</v>
      </c>
      <c r="F21" s="28" t="n">
        <f aca="false">IFERROR(F20/F19,0)</f>
        <v>0</v>
      </c>
      <c r="H21" s="24" t="s">
        <v>49</v>
      </c>
      <c r="I21" s="28" t="n">
        <f aca="false">IFERROR(I19/C22,0)</f>
        <v>0</v>
      </c>
    </row>
    <row r="22" customFormat="false" ht="15" hidden="false" customHeight="false" outlineLevel="0" collapsed="false">
      <c r="B22" s="24" t="s">
        <v>50</v>
      </c>
      <c r="C22" s="26" t="n">
        <f aca="false">設定!$B$14</f>
        <v>90</v>
      </c>
      <c r="E22" s="24" t="s">
        <v>32</v>
      </c>
      <c r="F22" s="26" t="n">
        <f aca="false">COUNTIF('全体集計(入力)触るな(大阪)'!$Z$2:$Z$501,"決済者")</f>
        <v>0</v>
      </c>
      <c r="H22" s="24" t="s">
        <v>31</v>
      </c>
      <c r="I22" s="27" t="n">
        <f aca="false">I19*F21</f>
        <v>0</v>
      </c>
    </row>
    <row r="23" customFormat="false" ht="15" hidden="false" customHeight="false" outlineLevel="0" collapsed="false">
      <c r="B23" s="24" t="s">
        <v>51</v>
      </c>
      <c r="C23" s="27" t="n">
        <f aca="false">C22*設定!$B$18</f>
        <v>63</v>
      </c>
      <c r="E23" s="24" t="s">
        <v>52</v>
      </c>
      <c r="F23" s="26" t="n">
        <f aca="false">(COUNTIFS('全体集計(入力)触るな(大阪)'!$L$2:$L$501,"決済",'全体集計(入力)触るな(大阪)'!$Q$2:$Q$501,"OK",'全体集計(入力)触るな(大阪)'!$V$2:$V$501,"")+COUNTIFS('全体集計(入力)触るな(大阪)'!$L$2:$L$501,"外人(決済)",'全体集計(入力)触るな(大阪)'!$Q$2:$Q$501,"OK",'全体集計(入力)触るな(大阪)'!$V$2:$V$501,""))</f>
        <v>0</v>
      </c>
      <c r="H23" s="24" t="s">
        <v>32</v>
      </c>
      <c r="I23" s="27" t="n">
        <f aca="false">I22*F25</f>
        <v>0</v>
      </c>
    </row>
    <row r="24" customFormat="false" ht="15" hidden="false" customHeight="false" outlineLevel="0" collapsed="false">
      <c r="B24" s="24" t="s">
        <v>53</v>
      </c>
      <c r="C24" s="27" t="n">
        <f aca="false">C23*設定!$B$19</f>
        <v>37.8</v>
      </c>
      <c r="E24" s="24" t="s">
        <v>33</v>
      </c>
      <c r="F24" s="26" t="n">
        <f aca="false">COUNTIF('全体集計(入力)触るな(大阪)'!$AF$2:$AF$501,"受注")</f>
        <v>0</v>
      </c>
      <c r="H24" s="24" t="s">
        <v>33</v>
      </c>
      <c r="I24" s="27" t="n">
        <f aca="false">I23*F26</f>
        <v>0</v>
      </c>
    </row>
    <row r="25" customFormat="false" ht="15" hidden="false" customHeight="false" outlineLevel="0" collapsed="false">
      <c r="B25" s="24" t="s">
        <v>54</v>
      </c>
      <c r="C25" s="27" t="n">
        <f aca="false">C24*設定!$B$20</f>
        <v>18.9</v>
      </c>
      <c r="E25" s="24" t="s">
        <v>55</v>
      </c>
      <c r="F25" s="28" t="n">
        <f aca="false">IFERROR(F22/(F20-F23),0)</f>
        <v>0</v>
      </c>
      <c r="H25" s="24" t="s">
        <v>56</v>
      </c>
      <c r="I25" s="29" t="n">
        <f aca="false">I24*設定!$B$22</f>
        <v>0</v>
      </c>
    </row>
    <row r="26" customFormat="false" ht="15" hidden="false" customHeight="false" outlineLevel="0" collapsed="false">
      <c r="B26" s="24" t="s">
        <v>57</v>
      </c>
      <c r="C26" s="29" t="n">
        <f aca="false">C25*設定!$B$22</f>
        <v>472500</v>
      </c>
      <c r="E26" s="24" t="s">
        <v>58</v>
      </c>
      <c r="F26" s="28" t="n">
        <f aca="false">IFERROR(F24/F22,0)</f>
        <v>0</v>
      </c>
    </row>
    <row r="28" customFormat="false" ht="15" hidden="false" customHeight="true" outlineLevel="0" collapsed="false">
      <c r="B28" s="7" t="s">
        <v>59</v>
      </c>
      <c r="C28" s="7"/>
      <c r="E28" s="8" t="s">
        <v>60</v>
      </c>
      <c r="F28" s="8"/>
      <c r="H28" s="23" t="s">
        <v>61</v>
      </c>
      <c r="I28" s="23"/>
    </row>
    <row r="29" customFormat="false" ht="26.85" hidden="false" customHeight="false" outlineLevel="0" collapsed="false">
      <c r="B29" s="24" t="s">
        <v>62</v>
      </c>
      <c r="C29" s="30" t="n">
        <f aca="false">SUMIFS(シフト入力!$M$2:$M$1501,シフト入力!$C$2:$C$1501,"大阪")</f>
        <v>0</v>
      </c>
      <c r="E29" s="24" t="s">
        <v>63</v>
      </c>
      <c r="F29" s="30" t="n">
        <f aca="true">SUMIFS(シフト入力!$N$2:$N$1501,シフト入力!$C$2:$C$1501,"大阪",シフト入力!$A$2:$A$1501,"&lt;="&amp;TODAY())</f>
        <v>0</v>
      </c>
      <c r="H29" s="24" t="s">
        <v>64</v>
      </c>
      <c r="I29" s="27" t="n">
        <f aca="false">C30*F29</f>
        <v>0</v>
      </c>
    </row>
    <row r="30" customFormat="false" ht="15" hidden="false" customHeight="false" outlineLevel="0" collapsed="false">
      <c r="B30" s="24" t="s">
        <v>65</v>
      </c>
      <c r="C30" s="31" t="n">
        <f aca="false">設定!$B$15</f>
        <v>0.13</v>
      </c>
      <c r="E30" s="32" t="s">
        <v>66</v>
      </c>
      <c r="F30" s="31" t="n">
        <f aca="false">IFERROR(F18/F29,0)</f>
        <v>0</v>
      </c>
      <c r="H30" s="24" t="s">
        <v>67</v>
      </c>
      <c r="I30" s="27" t="n">
        <f aca="false">F18-I29</f>
        <v>0</v>
      </c>
    </row>
    <row r="31" customFormat="false" ht="26.85" hidden="false" customHeight="false" outlineLevel="0" collapsed="false">
      <c r="B31" s="32" t="s">
        <v>68</v>
      </c>
      <c r="C31" s="27" t="n">
        <f aca="false">C29*C30</f>
        <v>0</v>
      </c>
      <c r="E31" s="24" t="s">
        <v>69</v>
      </c>
      <c r="F31" s="30" t="n">
        <f aca="true">SUMIFS(シフト入力!$M$2:$M$1501,シフト入力!$C$2:$C$1501,"大阪",シフト入力!$A$2:$A$1501,"&lt;="&amp;TODAY())</f>
        <v>0</v>
      </c>
    </row>
    <row r="32" customFormat="false" ht="26.85" hidden="false" customHeight="false" outlineLevel="0" collapsed="false">
      <c r="E32" s="24" t="s">
        <v>70</v>
      </c>
      <c r="F32" s="28" t="n">
        <f aca="false">IFERROR(F29/F31,0)</f>
        <v>0</v>
      </c>
    </row>
    <row r="42" customFormat="false" ht="17.35" hidden="false" customHeight="false" outlineLevel="0" collapsed="false">
      <c r="B42" s="21" t="s">
        <v>71</v>
      </c>
    </row>
    <row r="43" customFormat="false" ht="15" hidden="false" customHeight="true" outlineLevel="0" collapsed="false">
      <c r="B43" s="7" t="s">
        <v>40</v>
      </c>
      <c r="C43" s="7"/>
      <c r="E43" s="22" t="s">
        <v>41</v>
      </c>
      <c r="F43" s="22"/>
      <c r="H43" s="23" t="s">
        <v>42</v>
      </c>
      <c r="I43" s="23"/>
    </row>
    <row r="44" customFormat="false" ht="15" hidden="false" customHeight="false" outlineLevel="0" collapsed="false">
      <c r="B44" s="24" t="s">
        <v>43</v>
      </c>
      <c r="C44" s="25" t="n">
        <f aca="false">設定!$B$6</f>
        <v>21</v>
      </c>
      <c r="E44" s="24" t="s">
        <v>29</v>
      </c>
      <c r="F44" s="26" t="n">
        <f aca="false">COUNTA('全体集計(入力)触るな(京都)'!$L$2:$L$501)</f>
        <v>0</v>
      </c>
      <c r="H44" s="24" t="s">
        <v>29</v>
      </c>
      <c r="I44" s="27" t="n">
        <f aca="false">IFERROR(F44/C46*C44,0)</f>
        <v>0</v>
      </c>
    </row>
    <row r="45" customFormat="false" ht="15" hidden="false" customHeight="false" outlineLevel="0" collapsed="false">
      <c r="B45" s="24" t="s">
        <v>44</v>
      </c>
      <c r="C45" s="25" t="n">
        <f aca="false">設定!$B$10</f>
        <v>21</v>
      </c>
      <c r="E45" s="24" t="s">
        <v>30</v>
      </c>
      <c r="F45" s="26" t="n">
        <f aca="false">(COUNTIF('全体集計(入力)触るな(京都)'!$L$2:$L$501,"決済")+COUNTIF('全体集計(入力)触るな(京都)'!$L$2:$L$501,"外人(決済)"))</f>
        <v>0</v>
      </c>
      <c r="H45" s="24" t="s">
        <v>30</v>
      </c>
      <c r="I45" s="27" t="n">
        <f aca="false">IFERROR(F45/C46*C44,0)</f>
        <v>0</v>
      </c>
    </row>
    <row r="46" customFormat="false" ht="15" hidden="false" customHeight="false" outlineLevel="0" collapsed="false">
      <c r="B46" s="24" t="s">
        <v>45</v>
      </c>
      <c r="C46" s="25" t="n">
        <f aca="false">設定!$B$9</f>
        <v>0</v>
      </c>
      <c r="E46" s="24" t="s">
        <v>31</v>
      </c>
      <c r="F46" s="26" t="n">
        <f aca="false">(COUNTIFS('全体集計(入力)触るな(京都)'!$L$2:$L$501,"決済",'全体集計(入力)触るな(京都)'!$Q$2:$Q$501,"OK")+COUNTIFS('全体集計(入力)触るな(京都)'!$L$2:$L$501,"外人(決済)",'全体集計(入力)触るな(京都)'!$Q$2:$Q$501,"OK"))</f>
        <v>0</v>
      </c>
      <c r="H46" s="24" t="s">
        <v>46</v>
      </c>
      <c r="I46" s="28" t="n">
        <f aca="false">IFERROR(I44/C47,0)</f>
        <v>0</v>
      </c>
    </row>
    <row r="47" customFormat="false" ht="15" hidden="false" customHeight="false" outlineLevel="0" collapsed="false">
      <c r="B47" s="24" t="s">
        <v>47</v>
      </c>
      <c r="C47" s="26" t="n">
        <f aca="false">設定!$C$13</f>
        <v>40</v>
      </c>
      <c r="E47" s="24" t="s">
        <v>48</v>
      </c>
      <c r="F47" s="28" t="n">
        <f aca="false">IFERROR(F46/F45,0)</f>
        <v>0</v>
      </c>
      <c r="H47" s="24" t="s">
        <v>49</v>
      </c>
      <c r="I47" s="28" t="n">
        <f aca="false">IFERROR(I45/C48,0)</f>
        <v>0</v>
      </c>
    </row>
    <row r="48" customFormat="false" ht="15" hidden="false" customHeight="false" outlineLevel="0" collapsed="false">
      <c r="B48" s="24" t="s">
        <v>50</v>
      </c>
      <c r="C48" s="26" t="n">
        <f aca="false">設定!$C$14</f>
        <v>35</v>
      </c>
      <c r="E48" s="24" t="s">
        <v>32</v>
      </c>
      <c r="F48" s="26" t="n">
        <f aca="false">COUNTIF('全体集計(入力)触るな(京都)'!$Z$2:$Z$501,"決済者")</f>
        <v>0</v>
      </c>
      <c r="H48" s="24" t="s">
        <v>31</v>
      </c>
      <c r="I48" s="27" t="n">
        <f aca="false">I45*F47</f>
        <v>0</v>
      </c>
    </row>
    <row r="49" customFormat="false" ht="15" hidden="false" customHeight="false" outlineLevel="0" collapsed="false">
      <c r="B49" s="24" t="s">
        <v>51</v>
      </c>
      <c r="C49" s="27" t="n">
        <f aca="false">C48*設定!$B$18</f>
        <v>24.5</v>
      </c>
      <c r="E49" s="24" t="s">
        <v>52</v>
      </c>
      <c r="F49" s="26" t="n">
        <f aca="false">(COUNTIFS('全体集計(入力)触るな(京都)'!$L$2:$L$501,"決済",'全体集計(入力)触るな(京都)'!$Q$2:$Q$501,"OK",'全体集計(入力)触るな(京都)'!$V$2:$V$501,"")+COUNTIFS('全体集計(入力)触るな(京都)'!$L$2:$L$501,"外人(決済)",'全体集計(入力)触るな(京都)'!$Q$2:$Q$501,"OK",'全体集計(入力)触るな(京都)'!$V$2:$V$501,""))</f>
        <v>0</v>
      </c>
      <c r="H49" s="24" t="s">
        <v>32</v>
      </c>
      <c r="I49" s="27" t="n">
        <f aca="false">I48*F51</f>
        <v>0</v>
      </c>
    </row>
    <row r="50" customFormat="false" ht="15" hidden="false" customHeight="false" outlineLevel="0" collapsed="false">
      <c r="B50" s="24" t="s">
        <v>53</v>
      </c>
      <c r="C50" s="27" t="n">
        <f aca="false">C49*設定!$B$19</f>
        <v>14.7</v>
      </c>
      <c r="E50" s="24" t="s">
        <v>33</v>
      </c>
      <c r="F50" s="26" t="n">
        <f aca="false">COUNTIF('全体集計(入力)触るな(京都)'!$AF$2:$AF$501,"受注")</f>
        <v>0</v>
      </c>
      <c r="H50" s="24" t="s">
        <v>33</v>
      </c>
      <c r="I50" s="27" t="n">
        <f aca="false">I49*F52</f>
        <v>0</v>
      </c>
    </row>
    <row r="51" customFormat="false" ht="15" hidden="false" customHeight="false" outlineLevel="0" collapsed="false">
      <c r="B51" s="24" t="s">
        <v>54</v>
      </c>
      <c r="C51" s="27" t="n">
        <f aca="false">C50*設定!$B$20</f>
        <v>7.35</v>
      </c>
      <c r="E51" s="24" t="s">
        <v>55</v>
      </c>
      <c r="F51" s="28" t="n">
        <f aca="false">IFERROR(F48/(F46-F49),0)</f>
        <v>0</v>
      </c>
      <c r="H51" s="24" t="s">
        <v>56</v>
      </c>
      <c r="I51" s="29" t="n">
        <f aca="false">I50*設定!$B$22</f>
        <v>0</v>
      </c>
    </row>
    <row r="52" customFormat="false" ht="15" hidden="false" customHeight="false" outlineLevel="0" collapsed="false">
      <c r="B52" s="24" t="s">
        <v>57</v>
      </c>
      <c r="C52" s="29" t="n">
        <f aca="false">C51*設定!$B$22</f>
        <v>183750</v>
      </c>
      <c r="E52" s="24" t="s">
        <v>58</v>
      </c>
      <c r="F52" s="28" t="n">
        <f aca="false">IFERROR(F50/F48,0)</f>
        <v>0</v>
      </c>
    </row>
    <row r="54" customFormat="false" ht="15" hidden="false" customHeight="true" outlineLevel="0" collapsed="false">
      <c r="B54" s="7" t="s">
        <v>59</v>
      </c>
      <c r="C54" s="7"/>
      <c r="E54" s="8" t="s">
        <v>60</v>
      </c>
      <c r="F54" s="8"/>
      <c r="H54" s="23" t="s">
        <v>61</v>
      </c>
      <c r="I54" s="23"/>
    </row>
    <row r="55" customFormat="false" ht="26.85" hidden="false" customHeight="false" outlineLevel="0" collapsed="false">
      <c r="B55" s="24" t="s">
        <v>62</v>
      </c>
      <c r="C55" s="30" t="n">
        <f aca="false">SUMIFS(シフト入力!$M$2:$M$1501,シフト入力!$C$2:$C$1501,"京都")</f>
        <v>0</v>
      </c>
      <c r="E55" s="24" t="s">
        <v>63</v>
      </c>
      <c r="F55" s="30" t="n">
        <f aca="true">SUMIFS(シフト入力!$N$2:$N$1501,シフト入力!$C$2:$C$1501,"京都",シフト入力!$A$2:$A$1501,"&lt;="&amp;TODAY())</f>
        <v>0</v>
      </c>
      <c r="H55" s="24" t="s">
        <v>64</v>
      </c>
      <c r="I55" s="27" t="n">
        <f aca="false">C56*F55</f>
        <v>0</v>
      </c>
    </row>
    <row r="56" customFormat="false" ht="15" hidden="false" customHeight="false" outlineLevel="0" collapsed="false">
      <c r="B56" s="24" t="s">
        <v>65</v>
      </c>
      <c r="C56" s="31" t="n">
        <f aca="false">設定!$C$15</f>
        <v>0.1</v>
      </c>
      <c r="E56" s="32" t="s">
        <v>66</v>
      </c>
      <c r="F56" s="31" t="n">
        <f aca="false">IFERROR(F44/F55,0)</f>
        <v>0</v>
      </c>
      <c r="H56" s="24" t="s">
        <v>67</v>
      </c>
      <c r="I56" s="27" t="n">
        <f aca="false">F44-I55</f>
        <v>0</v>
      </c>
    </row>
    <row r="57" customFormat="false" ht="26.85" hidden="false" customHeight="false" outlineLevel="0" collapsed="false">
      <c r="B57" s="32" t="s">
        <v>68</v>
      </c>
      <c r="C57" s="27" t="n">
        <f aca="false">C55*C56</f>
        <v>0</v>
      </c>
      <c r="E57" s="24" t="s">
        <v>69</v>
      </c>
      <c r="F57" s="30" t="n">
        <f aca="true">SUMIFS(シフト入力!$M$2:$M$1501,シフト入力!$C$2:$C$1501,"京都",シフト入力!$A$2:$A$1501,"&lt;="&amp;TODAY())</f>
        <v>0</v>
      </c>
    </row>
    <row r="58" customFormat="false" ht="26.85" hidden="false" customHeight="false" outlineLevel="0" collapsed="false">
      <c r="E58" s="24" t="s">
        <v>70</v>
      </c>
      <c r="F58" s="28" t="n">
        <f aca="false">IFERROR(F55/F57,0)</f>
        <v>0</v>
      </c>
    </row>
  </sheetData>
  <mergeCells count="13">
    <mergeCell ref="B4:E4"/>
    <mergeCell ref="B17:C17"/>
    <mergeCell ref="E17:F17"/>
    <mergeCell ref="H17:I17"/>
    <mergeCell ref="B28:C28"/>
    <mergeCell ref="E28:F28"/>
    <mergeCell ref="H28:I28"/>
    <mergeCell ref="B43:C43"/>
    <mergeCell ref="E43:F43"/>
    <mergeCell ref="H43:I43"/>
    <mergeCell ref="B54:C54"/>
    <mergeCell ref="E54:F54"/>
    <mergeCell ref="H54:I54"/>
  </mergeCells>
  <conditionalFormatting sqref="I20">
    <cfRule type="cellIs" priority="2" operator="lessThan" aboveAverage="0" equalAverage="0" bottom="0" percent="0" rank="0" text="" dxfId="0">
      <formula>1</formula>
    </cfRule>
    <cfRule type="cellIs" priority="3" operator="greaterThanOrEqual" aboveAverage="0" equalAverage="0" bottom="0" percent="0" rank="0" text="" dxfId="1">
      <formula>1</formula>
    </cfRule>
  </conditionalFormatting>
  <conditionalFormatting sqref="I21">
    <cfRule type="cellIs" priority="4" operator="lessThan" aboveAverage="0" equalAverage="0" bottom="0" percent="0" rank="0" text="" dxfId="0">
      <formula>1</formula>
    </cfRule>
    <cfRule type="cellIs" priority="5" operator="greaterThanOrEqual" aboveAverage="0" equalAverage="0" bottom="0" percent="0" rank="0" text="" dxfId="1">
      <formula>1</formula>
    </cfRule>
  </conditionalFormatting>
  <conditionalFormatting sqref="I30">
    <cfRule type="cellIs" priority="6" operator="lessThan" aboveAverage="0" equalAverage="0" bottom="0" percent="0" rank="0" text="" dxfId="0">
      <formula>0</formula>
    </cfRule>
  </conditionalFormatting>
  <conditionalFormatting sqref="I46">
    <cfRule type="cellIs" priority="7" operator="lessThan" aboveAverage="0" equalAverage="0" bottom="0" percent="0" rank="0" text="" dxfId="0">
      <formula>1</formula>
    </cfRule>
    <cfRule type="cellIs" priority="8" operator="greaterThanOrEqual" aboveAverage="0" equalAverage="0" bottom="0" percent="0" rank="0" text="" dxfId="1">
      <formula>1</formula>
    </cfRule>
  </conditionalFormatting>
  <conditionalFormatting sqref="I47">
    <cfRule type="cellIs" priority="9" operator="lessThan" aboveAverage="0" equalAverage="0" bottom="0" percent="0" rank="0" text="" dxfId="0">
      <formula>1</formula>
    </cfRule>
    <cfRule type="cellIs" priority="10" operator="greaterThanOrEqual" aboveAverage="0" equalAverage="0" bottom="0" percent="0" rank="0" text="" dxfId="1">
      <formula>1</formula>
    </cfRule>
  </conditionalFormatting>
  <conditionalFormatting sqref="I56">
    <cfRule type="cellIs" priority="11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8"/>
    <col collapsed="false" customWidth="true" hidden="false" outlineLevel="0" max="12" min="12" style="0" width="13"/>
  </cols>
  <sheetData>
    <row r="1" customFormat="false" ht="20.85" hidden="false" customHeight="false" outlineLevel="0" collapsed="false">
      <c r="A1" s="5" t="s">
        <v>72</v>
      </c>
    </row>
    <row r="2" customFormat="false" ht="17.15" hidden="false" customHeight="false" outlineLevel="0" collapsed="false">
      <c r="A2" s="6" t="str">
        <f aca="false">IS進捗!A2</f>
        <v>2026年11月　営業日 0 / 21 日目（残り 21 日）</v>
      </c>
    </row>
    <row r="4" customFormat="false" ht="15" hidden="false" customHeight="true" outlineLevel="0" collapsed="false">
      <c r="B4" s="7" t="s">
        <v>40</v>
      </c>
      <c r="C4" s="7"/>
      <c r="E4" s="22" t="s">
        <v>73</v>
      </c>
      <c r="F4" s="22"/>
      <c r="H4" s="23" t="s">
        <v>74</v>
      </c>
      <c r="I4" s="23"/>
      <c r="K4" s="23" t="s">
        <v>75</v>
      </c>
      <c r="L4" s="23"/>
    </row>
    <row r="5" customFormat="false" ht="15" hidden="false" customHeight="false" outlineLevel="0" collapsed="false">
      <c r="B5" s="24" t="s">
        <v>43</v>
      </c>
      <c r="C5" s="25" t="n">
        <f aca="false">設定!$B$6</f>
        <v>21</v>
      </c>
      <c r="E5" s="24" t="s">
        <v>76</v>
      </c>
      <c r="F5" s="26" t="n">
        <f aca="false">クローザーサマリー!$C$13</f>
        <v>0</v>
      </c>
      <c r="H5" s="24" t="s">
        <v>32</v>
      </c>
      <c r="I5" s="27" t="n">
        <f aca="false">F6</f>
        <v>0</v>
      </c>
      <c r="K5" s="24" t="s">
        <v>32</v>
      </c>
      <c r="L5" s="27" t="n">
        <f aca="false">F6+F8</f>
        <v>0</v>
      </c>
    </row>
    <row r="6" customFormat="false" ht="15" hidden="false" customHeight="false" outlineLevel="0" collapsed="false">
      <c r="B6" s="24" t="s">
        <v>44</v>
      </c>
      <c r="C6" s="25" t="n">
        <f aca="false">設定!$B$10</f>
        <v>21</v>
      </c>
      <c r="E6" s="24" t="s">
        <v>32</v>
      </c>
      <c r="F6" s="26" t="n">
        <f aca="false">クローザーサマリー!$E$13</f>
        <v>0</v>
      </c>
      <c r="H6" s="24" t="s">
        <v>33</v>
      </c>
      <c r="I6" s="27" t="n">
        <f aca="false">I5*設定!$B$21</f>
        <v>0</v>
      </c>
      <c r="K6" s="24" t="s">
        <v>33</v>
      </c>
      <c r="L6" s="27" t="n">
        <f aca="false">L5*F10</f>
        <v>0</v>
      </c>
    </row>
    <row r="7" customFormat="false" ht="15" hidden="false" customHeight="false" outlineLevel="0" collapsed="false">
      <c r="B7" s="24" t="s">
        <v>45</v>
      </c>
      <c r="C7" s="25" t="n">
        <f aca="false">設定!$B$9</f>
        <v>0</v>
      </c>
      <c r="E7" s="24" t="s">
        <v>34</v>
      </c>
      <c r="F7" s="26" t="n">
        <f aca="false">IS進捗!F23+IS進捗!F49</f>
        <v>0</v>
      </c>
      <c r="H7" s="24" t="s">
        <v>58</v>
      </c>
      <c r="I7" s="28" t="n">
        <f aca="false">設定!$B$21</f>
        <v>0.35</v>
      </c>
      <c r="K7" s="24" t="s">
        <v>77</v>
      </c>
      <c r="L7" s="29" t="n">
        <f aca="false">F11</f>
        <v>0</v>
      </c>
    </row>
    <row r="8" customFormat="false" ht="15" hidden="false" customHeight="false" outlineLevel="0" collapsed="false">
      <c r="B8" s="24" t="s">
        <v>78</v>
      </c>
      <c r="C8" s="27" t="n">
        <f aca="false">IS進捗!C24+IS進捗!C50</f>
        <v>52.5</v>
      </c>
      <c r="E8" s="24" t="s">
        <v>79</v>
      </c>
      <c r="F8" s="27" t="n">
        <f aca="false">F7*設定!$B$19</f>
        <v>0</v>
      </c>
      <c r="H8" s="24" t="s">
        <v>56</v>
      </c>
      <c r="I8" s="29" t="n">
        <f aca="false">I6*設定!$B$22</f>
        <v>0</v>
      </c>
      <c r="K8" s="24" t="s">
        <v>56</v>
      </c>
      <c r="L8" s="29" t="n">
        <f aca="false">L6*L7</f>
        <v>0</v>
      </c>
    </row>
    <row r="9" customFormat="false" ht="15" hidden="false" customHeight="false" outlineLevel="0" collapsed="false">
      <c r="B9" s="24" t="s">
        <v>80</v>
      </c>
      <c r="C9" s="27" t="n">
        <f aca="false">C8*設定!$B$21</f>
        <v>18.375</v>
      </c>
      <c r="E9" s="24" t="s">
        <v>33</v>
      </c>
      <c r="F9" s="26" t="n">
        <f aca="false">クローザーサマリー!$F$13</f>
        <v>0</v>
      </c>
      <c r="H9" s="24" t="s">
        <v>81</v>
      </c>
      <c r="I9" s="28" t="n">
        <f aca="false">IFERROR(I8/C10,0)</f>
        <v>0</v>
      </c>
      <c r="K9" s="24" t="s">
        <v>81</v>
      </c>
      <c r="L9" s="28" t="n">
        <f aca="false">IFERROR(L8/C10,0)</f>
        <v>0</v>
      </c>
    </row>
    <row r="10" customFormat="false" ht="15" hidden="false" customHeight="false" outlineLevel="0" collapsed="false">
      <c r="B10" s="24" t="s">
        <v>82</v>
      </c>
      <c r="C10" s="29" t="n">
        <f aca="false">C9*設定!$B$22</f>
        <v>459375</v>
      </c>
      <c r="E10" s="24" t="s">
        <v>58</v>
      </c>
      <c r="F10" s="28" t="n">
        <f aca="false">IFERROR(F9/F6,0)</f>
        <v>0</v>
      </c>
    </row>
    <row r="11" customFormat="false" ht="15" hidden="false" customHeight="false" outlineLevel="0" collapsed="false">
      <c r="B11" s="24" t="s">
        <v>83</v>
      </c>
      <c r="C11" s="27" t="n">
        <f aca="false">IFERROR(C8*C7/C5,0)</f>
        <v>0</v>
      </c>
      <c r="E11" s="24" t="s">
        <v>77</v>
      </c>
      <c r="F11" s="29" t="n">
        <f aca="false">クローザーサマリー!$I$13</f>
        <v>0</v>
      </c>
    </row>
    <row r="12" customFormat="false" ht="15" hidden="false" customHeight="false" outlineLevel="0" collapsed="false">
      <c r="B12" s="24" t="s">
        <v>84</v>
      </c>
      <c r="C12" s="28" t="n">
        <f aca="false">IFERROR(F6/C11,0)</f>
        <v>0</v>
      </c>
      <c r="E12" s="24" t="s">
        <v>85</v>
      </c>
      <c r="F12" s="29" t="n">
        <f aca="false">クローザーサマリー!$R$13</f>
        <v>0</v>
      </c>
    </row>
    <row r="13" customFormat="false" ht="15" hidden="false" customHeight="false" outlineLevel="0" collapsed="false">
      <c r="B13" s="24" t="s">
        <v>86</v>
      </c>
      <c r="C13" s="27" t="n">
        <f aca="false">F6-C11</f>
        <v>0</v>
      </c>
      <c r="E13" s="24" t="s">
        <v>81</v>
      </c>
      <c r="F13" s="28" t="n">
        <f aca="false">IFERROR(F12/C10,0)</f>
        <v>0</v>
      </c>
    </row>
    <row r="14" customFormat="false" ht="15" hidden="false" customHeight="false" outlineLevel="0" collapsed="false">
      <c r="B14" s="24" t="s">
        <v>87</v>
      </c>
      <c r="C14" s="29" t="n">
        <f aca="false">F12-C10</f>
        <v>-459375</v>
      </c>
      <c r="E14" s="24" t="s">
        <v>88</v>
      </c>
      <c r="F14" s="29" t="n">
        <f aca="false">クローザーサマリー!$L$13</f>
        <v>0</v>
      </c>
    </row>
    <row r="17" customFormat="false" ht="15" hidden="false" customHeight="true" outlineLevel="0" collapsed="false">
      <c r="E17" s="8" t="s">
        <v>89</v>
      </c>
      <c r="F17" s="8"/>
    </row>
    <row r="18" customFormat="false" ht="15" hidden="false" customHeight="false" outlineLevel="0" collapsed="false">
      <c r="E18" s="24" t="s">
        <v>90</v>
      </c>
      <c r="F18" s="26" t="n">
        <f aca="false">(COUNTIF('全体集計(入力)触るな(大阪)'!$V$2:$V$501,"リスケ"))+(COUNTIF('全体集計(入力)触るな(京都)'!$V$2:$V$501,"リスケ"))</f>
        <v>0</v>
      </c>
    </row>
    <row r="19" customFormat="false" ht="15" hidden="false" customHeight="false" outlineLevel="0" collapsed="false">
      <c r="E19" s="24" t="s">
        <v>91</v>
      </c>
      <c r="F19" s="26" t="n">
        <f aca="false">(COUNTIF('全体集計(入力)触るな(大阪)'!$V$2:$V$501,"商談前キャンセル"))+(COUNTIF('全体集計(入力)触るな(京都)'!$V$2:$V$501,"商談前キャンセル"))</f>
        <v>0</v>
      </c>
    </row>
    <row r="20" customFormat="false" ht="15" hidden="false" customHeight="false" outlineLevel="0" collapsed="false">
      <c r="E20" s="24" t="s">
        <v>92</v>
      </c>
      <c r="F20" s="26" t="n">
        <f aca="false">((COUNTIFS('全体集計(入力)触るな(大阪)'!$V$2:$V$501,"リスケ",'全体集計(入力)触るな(大阪)'!$Z$2:$Z$501,"決済者")+COUNTIFS('全体集計(入力)触るな(大阪)'!$V$2:$V$501,"リスケ",'全体集計(入力)触るな(大阪)'!$Z$2:$Z$501,"非決済")))+((COUNTIFS('全体集計(入力)触るな(京都)'!$V$2:$V$501,"リスケ",'全体集計(入力)触るな(京都)'!$Z$2:$Z$501,"決済者")+COUNTIFS('全体集計(入力)触るな(京都)'!$V$2:$V$501,"リスケ",'全体集計(入力)触るな(京都)'!$Z$2:$Z$501,"非決済")))</f>
        <v>0</v>
      </c>
    </row>
    <row r="21" customFormat="false" ht="15" hidden="false" customHeight="false" outlineLevel="0" collapsed="false">
      <c r="E21" s="24" t="s">
        <v>93</v>
      </c>
      <c r="F21" s="28" t="n">
        <f aca="false">IFERROR(F20/F18,0)</f>
        <v>0</v>
      </c>
    </row>
    <row r="22" customFormat="false" ht="15" hidden="false" customHeight="false" outlineLevel="0" collapsed="false">
      <c r="E22" s="24" t="s">
        <v>94</v>
      </c>
      <c r="F22" s="26" t="n">
        <f aca="false">(COUNTIFS('全体集計(入力)触るな(大阪)'!$V$2:$V$501,"リスケ",'全体集計(入力)触るな(大阪)'!$AF$2:$AF$501,"商談キャンセル"))+(COUNTIFS('全体集計(入力)触るな(京都)'!$V$2:$V$501,"リスケ",'全体集計(入力)触るな(京都)'!$AF$2:$AF$501,"商談キャンセル"))</f>
        <v>0</v>
      </c>
    </row>
    <row r="23" customFormat="false" ht="15" hidden="false" customHeight="false" outlineLevel="0" collapsed="false">
      <c r="E23" s="24" t="s">
        <v>95</v>
      </c>
      <c r="F23" s="28" t="n">
        <f aca="false">IFERROR(F22/F18,0)</f>
        <v>0</v>
      </c>
    </row>
    <row r="25" customFormat="false" ht="15" hidden="false" customHeight="false" outlineLevel="0" collapsed="false">
      <c r="E25" s="33" t="s">
        <v>96</v>
      </c>
    </row>
  </sheetData>
  <mergeCells count="5">
    <mergeCell ref="B4:C4"/>
    <mergeCell ref="E4:F4"/>
    <mergeCell ref="H4:I4"/>
    <mergeCell ref="K4:L4"/>
    <mergeCell ref="E17:F17"/>
  </mergeCells>
  <conditionalFormatting sqref="C13">
    <cfRule type="cellIs" priority="2" operator="lessThan" aboveAverage="0" equalAverage="0" bottom="0" percent="0" rank="0" text="" dxfId="0">
      <formula>0</formula>
    </cfRule>
  </conditionalFormatting>
  <conditionalFormatting sqref="C14">
    <cfRule type="cellIs" priority="3" operator="lessThan" aboveAverage="0" equalAverage="0" bottom="0" percent="0" rank="0" text="" dxfId="0">
      <formula>0</formula>
    </cfRule>
  </conditionalFormatting>
  <conditionalFormatting sqref="C12">
    <cfRule type="cellIs" priority="4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27" min="3" style="0" width="10"/>
  </cols>
  <sheetData>
    <row r="1" customFormat="false" ht="19.7" hidden="false" customHeight="false" outlineLevel="0" collapsed="false">
      <c r="A1" s="1" t="s">
        <v>97</v>
      </c>
    </row>
    <row r="3" customFormat="false" ht="15" hidden="false" customHeight="true" outlineLevel="0" collapsed="false">
      <c r="B3" s="7" t="s">
        <v>98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30" hidden="false" customHeight="true" outlineLevel="0" collapsed="false">
      <c r="B4" s="8" t="s">
        <v>99</v>
      </c>
      <c r="C4" s="8" t="s">
        <v>100</v>
      </c>
      <c r="D4" s="8" t="s">
        <v>101</v>
      </c>
      <c r="E4" s="8" t="s">
        <v>102</v>
      </c>
      <c r="F4" s="8" t="s">
        <v>103</v>
      </c>
      <c r="G4" s="8" t="s">
        <v>104</v>
      </c>
      <c r="H4" s="8" t="s">
        <v>90</v>
      </c>
      <c r="I4" s="8" t="s">
        <v>105</v>
      </c>
      <c r="J4" s="8" t="s">
        <v>106</v>
      </c>
      <c r="K4" s="8" t="s">
        <v>107</v>
      </c>
      <c r="L4" s="8" t="s">
        <v>108</v>
      </c>
      <c r="M4" s="8" t="s">
        <v>43</v>
      </c>
      <c r="N4" s="8" t="s">
        <v>109</v>
      </c>
      <c r="O4" s="8" t="s">
        <v>110</v>
      </c>
    </row>
    <row r="5" customFormat="false" ht="15" hidden="false" customHeight="false" outlineLevel="0" collapsed="false">
      <c r="B5" s="11" t="n">
        <f aca="false">COUNTA('全体集計(入力)触るな(大阪)'!$L$2:$L$501)</f>
        <v>0</v>
      </c>
      <c r="C5" s="11" t="n">
        <f aca="false">COUNTIF('全体集計(入力)触るな(大阪)'!$Q$2:$Q$501,"OK")</f>
        <v>0</v>
      </c>
      <c r="D5" s="11" t="n">
        <f aca="false">(COUNTIFS('全体集計(入力)触るな(大阪)'!$L$2:$L$501,"決済",'全体集計(入力)触るな(大阪)'!$Q$2:$Q$501,"OK")+COUNTIFS('全体集計(入力)触るな(大阪)'!$L$2:$L$501,"外人(決済)",'全体集計(入力)触るな(大阪)'!$Q$2:$Q$501,"OK"))</f>
        <v>0</v>
      </c>
      <c r="E5" s="11" t="n">
        <f aca="false">COUNTIF('全体集計(入力)触るな(大阪)'!$Q$2:$Q$501,"NG")</f>
        <v>0</v>
      </c>
      <c r="F5" s="11" t="n">
        <f aca="false">(COUNTIF('全体集計(入力)触るな(大阪)'!$L$2:$L$501,"決済")+COUNTIF('全体集計(入力)触るな(大阪)'!$L$2:$L$501,"外人(決済)"))</f>
        <v>0</v>
      </c>
      <c r="G5" s="11" t="n">
        <f aca="false">COUNTIF('全体集計(入力)触るな(大阪)'!$AF$2:$AF$501,"商談キャンセル")</f>
        <v>0</v>
      </c>
      <c r="H5" s="11" t="n">
        <f aca="false">COUNTIF('全体集計(入力)触るな(大阪)'!$V$2:$V$501,"リスケ")</f>
        <v>0</v>
      </c>
      <c r="I5" s="11" t="n">
        <f aca="false">COUNTIF('全体集計(入力)触るな(大阪)'!$AF$2:$AF$501,"失注")</f>
        <v>0</v>
      </c>
      <c r="J5" s="11" t="n">
        <f aca="false">COUNTIF('全体集計(入力)触るな(大阪)'!$AF$2:$AF$501,"受注")</f>
        <v>0</v>
      </c>
      <c r="K5" s="11" t="n">
        <f aca="false">COUNTIF('全体集計(入力)触るな(大阪)'!$AC$2:$AC$501,"⚪︎")</f>
        <v>0</v>
      </c>
      <c r="L5" s="11" t="n">
        <f aca="false">設定!$B$13</f>
        <v>100</v>
      </c>
      <c r="M5" s="34" t="n">
        <f aca="false">設定!$B$6</f>
        <v>21</v>
      </c>
      <c r="N5" s="13" t="n">
        <f aca="false">IFERROR(設定!$B$13/設定!$B$6,0)</f>
        <v>4.76190476190476</v>
      </c>
      <c r="O5" s="13" t="n">
        <f aca="false">IFERROR((設定!$B$13-B5)/設定!$B$10,0)</f>
        <v>4.76190476190476</v>
      </c>
    </row>
    <row r="7" customFormat="false" ht="15" hidden="false" customHeight="true" outlineLevel="0" collapsed="false">
      <c r="B7" s="7" t="s">
        <v>111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30" hidden="false" customHeight="true" outlineLevel="0" collapsed="false">
      <c r="B8" s="8" t="s">
        <v>76</v>
      </c>
      <c r="C8" s="8" t="s">
        <v>112</v>
      </c>
      <c r="D8" s="8" t="s">
        <v>90</v>
      </c>
      <c r="E8" s="8" t="s">
        <v>113</v>
      </c>
      <c r="F8" s="8" t="s">
        <v>114</v>
      </c>
      <c r="G8" s="8" t="s">
        <v>115</v>
      </c>
      <c r="H8" s="8" t="s">
        <v>116</v>
      </c>
      <c r="I8" s="8" t="s">
        <v>105</v>
      </c>
      <c r="J8" s="8" t="s">
        <v>117</v>
      </c>
      <c r="K8" s="8" t="s">
        <v>106</v>
      </c>
      <c r="L8" s="8" t="s">
        <v>118</v>
      </c>
      <c r="M8" s="8" t="s">
        <v>119</v>
      </c>
    </row>
    <row r="9" customFormat="false" ht="15" hidden="false" customHeight="false" outlineLevel="0" collapsed="false">
      <c r="B9" s="11" t="n">
        <f aca="false">(COUNTA('全体集計(入力)触るな(大阪)'!$U$2:$U$501)-COUNTIF('全体集計(入力)触るな(大阪)'!$U$2:$U$501,"事前リスケ"))</f>
        <v>0</v>
      </c>
      <c r="C9" s="11" t="n">
        <f aca="false">(COUNTIF('全体集計(入力)触るな(大阪)'!$W$2:$W$501,"有効商談")+COUNTIF('全体集計(入力)触るな(大阪)'!$W$2:$W$501,"無効商談"))</f>
        <v>0</v>
      </c>
      <c r="D9" s="11" t="n">
        <f aca="false">COUNTIF('全体集計(入力)触るな(大阪)'!$V$2:$V$501,"リスケ")</f>
        <v>0</v>
      </c>
      <c r="E9" s="11" t="n">
        <f aca="false">COUNTIF('全体集計(入力)触るな(大阪)'!$W$2:$W$501,"無効商談")</f>
        <v>0</v>
      </c>
      <c r="F9" s="11" t="n">
        <f aca="false">COUNTIF('全体集計(入力)触るな(大阪)'!$W$2:$W$501,"有効商談")</f>
        <v>0</v>
      </c>
      <c r="G9" s="11" t="n">
        <f aca="false">COUNTIF('全体集計(入力)触るな(大阪)'!$Z$2:$Z$501,"決済者")</f>
        <v>0</v>
      </c>
      <c r="H9" s="11" t="n">
        <f aca="false">COUNTIF('全体集計(入力)触るな(大阪)'!$Z$2:$Z$501,"非決済")</f>
        <v>0</v>
      </c>
      <c r="I9" s="11" t="n">
        <f aca="false">COUNTIF('全体集計(入力)触るな(大阪)'!$AF$2:$AF$501,"失注")</f>
        <v>0</v>
      </c>
      <c r="J9" s="11" t="n">
        <f aca="false">COUNTIF('全体集計(入力)触るな(大阪)'!$X$2:$X$501,"検討")</f>
        <v>0</v>
      </c>
      <c r="K9" s="11" t="n">
        <f aca="false">COUNTIF('全体集計(入力)触るな(大阪)'!$AF$2:$AF$501,"受注")</f>
        <v>0</v>
      </c>
      <c r="L9" s="11" t="n">
        <f aca="false">COUNTIF('全体集計(入力)触るな(大阪)'!$AG$2:$AG$501,"外人")</f>
        <v>0</v>
      </c>
      <c r="M9" s="35" t="n">
        <f aca="false">IFERROR(AVERAGEIFS('全体集計(入力)触るな(大阪)'!$AD$2:$AD$501,'全体集計(入力)触るな(大阪)'!$AF$2:$AF$501,"受注"),0)</f>
        <v>0</v>
      </c>
    </row>
    <row r="11" customFormat="false" ht="15" hidden="false" customHeight="true" outlineLevel="0" collapsed="false">
      <c r="B11" s="7" t="s">
        <v>120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30" hidden="false" customHeight="true" outlineLevel="0" collapsed="false">
      <c r="B12" s="8" t="s">
        <v>121</v>
      </c>
      <c r="C12" s="8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  <c r="M12" s="8" t="s">
        <v>132</v>
      </c>
      <c r="N12" s="8" t="s">
        <v>133</v>
      </c>
    </row>
    <row r="13" customFormat="false" ht="15" hidden="false" customHeight="false" outlineLevel="0" collapsed="false">
      <c r="B13" s="15" t="n">
        <f aca="false">IFERROR(C5/B5,0)</f>
        <v>0</v>
      </c>
      <c r="C13" s="15" t="n">
        <f aca="false">IFERROR(D5/F5,0)</f>
        <v>0</v>
      </c>
      <c r="D13" s="15" t="n">
        <f aca="false">IFERROR(E5/B5,0)</f>
        <v>0</v>
      </c>
      <c r="E13" s="15" t="n">
        <f aca="false">IFERROR(C9/B5,0)</f>
        <v>0</v>
      </c>
      <c r="F13" s="15" t="n">
        <f aca="false">IFERROR(E9/C9,0)</f>
        <v>0</v>
      </c>
      <c r="G13" s="15" t="n">
        <f aca="false">IFERROR(F9/C9,0)</f>
        <v>0</v>
      </c>
      <c r="H13" s="15" t="n">
        <f aca="false">IFERROR(H5/B5,0)</f>
        <v>0</v>
      </c>
      <c r="I13" s="15" t="n">
        <f aca="false">IFERROR(G9/C9,0)</f>
        <v>0</v>
      </c>
      <c r="J13" s="15" t="n">
        <f aca="false">IFERROR(H9/C9,0)</f>
        <v>0</v>
      </c>
      <c r="K13" s="15" t="n">
        <f aca="false">IFERROR(I9/C9,0)</f>
        <v>0</v>
      </c>
      <c r="L13" s="15" t="n">
        <f aca="false">IFERROR(K9/C9,0)</f>
        <v>0</v>
      </c>
      <c r="M13" s="15" t="n">
        <f aca="false">IFERROR(K5/C9,0)</f>
        <v>0</v>
      </c>
      <c r="N13" s="15" t="n">
        <f aca="false">IFERROR(J9/C9,0)</f>
        <v>0</v>
      </c>
    </row>
    <row r="15" customFormat="false" ht="15" hidden="false" customHeight="true" outlineLevel="0" collapsed="false">
      <c r="B15" s="7" t="s">
        <v>134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31.5" hidden="false" customHeight="true" outlineLevel="0" collapsed="false">
      <c r="B16" s="8" t="s">
        <v>135</v>
      </c>
      <c r="C16" s="8" t="s">
        <v>99</v>
      </c>
      <c r="D16" s="8" t="s">
        <v>136</v>
      </c>
      <c r="E16" s="8" t="s">
        <v>137</v>
      </c>
      <c r="F16" s="8" t="s">
        <v>138</v>
      </c>
      <c r="G16" s="8" t="s">
        <v>139</v>
      </c>
      <c r="H16" s="8" t="s">
        <v>140</v>
      </c>
      <c r="I16" s="8" t="s">
        <v>141</v>
      </c>
      <c r="J16" s="8" t="s">
        <v>142</v>
      </c>
      <c r="K16" s="8" t="s">
        <v>143</v>
      </c>
      <c r="L16" s="8" t="s">
        <v>114</v>
      </c>
      <c r="M16" s="8" t="s">
        <v>113</v>
      </c>
      <c r="N16" s="8" t="s">
        <v>104</v>
      </c>
      <c r="O16" s="8" t="s">
        <v>144</v>
      </c>
      <c r="P16" s="8" t="s">
        <v>105</v>
      </c>
      <c r="Q16" s="8" t="s">
        <v>145</v>
      </c>
      <c r="R16" s="8" t="s">
        <v>146</v>
      </c>
      <c r="S16" s="8" t="s">
        <v>106</v>
      </c>
      <c r="T16" s="8" t="s">
        <v>107</v>
      </c>
      <c r="U16" s="8" t="s">
        <v>147</v>
      </c>
      <c r="V16" s="8" t="s">
        <v>148</v>
      </c>
      <c r="W16" s="8" t="s">
        <v>149</v>
      </c>
      <c r="X16" s="22" t="s">
        <v>38</v>
      </c>
      <c r="Y16" s="8" t="s">
        <v>150</v>
      </c>
      <c r="Z16" s="8" t="s">
        <v>151</v>
      </c>
    </row>
    <row r="17" customFormat="false" ht="15" hidden="false" customHeight="false" outlineLevel="0" collapsed="false">
      <c r="B17" s="36" t="str">
        <f aca="false">IF(INDEX(マスタ!$A$2:$A$60,1)="","",INDEX(マスタ!$A$2:$A$60,1))</f>
        <v>宮田</v>
      </c>
      <c r="C17" s="37" t="n">
        <f aca="false">IF($B17="","",COUNTIFS('全体集計(入力)触るな(大阪)'!$M$2:$M$501,$B17,'全体集計(入力)触るな(大阪)'!$L$2:$L$501,"&lt;&gt;"))</f>
        <v>0</v>
      </c>
      <c r="D17" s="37" t="n">
        <f aca="false">IF($B17="","",COUNTIFS('全体集計(入力)触るな(大阪)'!$M$2:$M$501,$B17,'全体集計(入力)触るな(大阪)'!$L$2:$L$501,"決済")+COUNTIFS('全体集計(入力)触るな(大阪)'!$M$2:$M$501,$B17,'全体集計(入力)触るな(大阪)'!$L$2:$L$501,"外人(決済)"))</f>
        <v>0</v>
      </c>
      <c r="E17" s="37" t="n">
        <f aca="false">IF($B17="","",COUNTIFS('全体集計(入力)触るな(大阪)'!$M$2:$M$501,$B17,'全体集計(入力)触るな(大阪)'!$L$2:$L$501,"非決済")+COUNTIFS('全体集計(入力)触るな(大阪)'!$M$2:$M$501,$B17,'全体集計(入力)触るな(大阪)'!$L$2:$L$501,"外人(非決済)"))</f>
        <v>0</v>
      </c>
      <c r="F17" s="37" t="n">
        <f aca="false">IF($B17="","",COUNTIFS('全体集計(入力)触るな(大阪)'!$M$2:$M$501,$B17,'全体集計(入力)触るな(大阪)'!$L$2:$L$501,"外人(決済)")+COUNTIFS('全体集計(入力)触るな(大阪)'!$M$2:$M$501,$B17,'全体集計(入力)触るな(大阪)'!$L$2:$L$501,"外人(非決済)"))</f>
        <v>0</v>
      </c>
      <c r="G17" s="37" t="n">
        <f aca="false">IF($B17="","",COUNTIFS('全体集計(入力)触るな(大阪)'!$M$2:$M$501,$B17,'全体集計(入力)触るな(大阪)'!$Q$2:$Q$501,"OK"))</f>
        <v>0</v>
      </c>
      <c r="H17" s="37" t="n">
        <f aca="false">IF($B17="","",COUNTIFS('全体集計(入力)触るな(大阪)'!$M$2:$M$501,$B17,'全体集計(入力)触るな(大阪)'!$L$2:$L$501,"決済",'全体集計(入力)触るな(大阪)'!$Q$2:$Q$501,"OK")+COUNTIFS('全体集計(入力)触るな(大阪)'!$M$2:$M$501,$B17,'全体集計(入力)触るな(大阪)'!$L$2:$L$501,"外人(決済)",'全体集計(入力)触るな(大阪)'!$Q$2:$Q$501,"OK"))</f>
        <v>0</v>
      </c>
      <c r="I17" s="37" t="n">
        <f aca="false">IF($B17="","",COUNTIFS('全体集計(入力)触るな(大阪)'!$M$2:$M$501,$B17,'全体集計(入力)触るな(大阪)'!$Q$2:$Q$501,"NG"))</f>
        <v>0</v>
      </c>
      <c r="J17" s="37" t="n">
        <f aca="false">IF($B17="","",COUNTIFS('全体集計(入力)触るな(大阪)'!$M$2:$M$501,$B17,'全体集計(入力)触るな(大阪)'!$V$2:$V$501,"リスケ"))</f>
        <v>0</v>
      </c>
      <c r="K17" s="37" t="n">
        <f aca="false">IF($B17="","",COUNTIFS('全体集計(入力)触るな(大阪)'!$M$2:$M$501,$B17,'全体集計(入力)触るな(大阪)'!$W$2:$W$501,"有効商談")+COUNTIFS('全体集計(入力)触るな(大阪)'!$M$2:$M$501,$B17,'全体集計(入力)触るな(大阪)'!$W$2:$W$501,"無効商談"))</f>
        <v>0</v>
      </c>
      <c r="L17" s="37" t="n">
        <f aca="false">IF($B17="","",COUNTIFS('全体集計(入力)触るな(大阪)'!$M$2:$M$501,$B17,'全体集計(入力)触るな(大阪)'!$W$2:$W$501,"有効商談"))</f>
        <v>0</v>
      </c>
      <c r="M17" s="37" t="n">
        <f aca="false">IF($B17="","",COUNTIFS('全体集計(入力)触るな(大阪)'!$M$2:$M$501,$B17,'全体集計(入力)触るな(大阪)'!$W$2:$W$501,"無効商談"))</f>
        <v>0</v>
      </c>
      <c r="N17" s="37" t="n">
        <f aca="false">IF($B17="","",COUNTIFS('全体集計(入力)触るな(大阪)'!$M$2:$M$501,$B17,'全体集計(入力)触るな(大阪)'!$AF$2:$AF$501,"商談キャンセル"))</f>
        <v>0</v>
      </c>
      <c r="O17" s="37" t="n">
        <f aca="false">IF($B17="","",COUNTIFS('全体集計(入力)触るな(大阪)'!$M$2:$M$501,$B17,'全体集計(入力)触るな(大阪)'!$Z$2:$Z$501,"決済者"))</f>
        <v>0</v>
      </c>
      <c r="P17" s="37" t="n">
        <f aca="false">IF($B17="","",COUNTIFS('全体集計(入力)触るな(大阪)'!$M$2:$M$501,$B17,'全体集計(入力)触るな(大阪)'!$AF$2:$AF$501,"失注"))</f>
        <v>0</v>
      </c>
      <c r="Q17" s="37" t="n">
        <f aca="false">IF($B17="","",COUNTIFS('全体集計(入力)触るな(大阪)'!$M$2:$M$501,$B17,'全体集計(入力)触るな(大阪)'!$W$2:$W$501,"有効商談",'全体集計(入力)触るな(大阪)'!$AF$2:$AF$501,"失注"))</f>
        <v>0</v>
      </c>
      <c r="R17" s="37" t="n">
        <f aca="false">IF($B17="","",COUNTIFS('全体集計(入力)触るな(大阪)'!$M$2:$M$501,$B17,'全体集計(入力)触るな(大阪)'!$W$2:$W$501,"有効商談",'全体集計(入力)触るな(大阪)'!$X$2:$X$501,"検討"))</f>
        <v>0</v>
      </c>
      <c r="S17" s="37" t="n">
        <f aca="false">IF($B17="","",COUNTIFS('全体集計(入力)触るな(大阪)'!$M$2:$M$501,$B17,'全体集計(入力)触るな(大阪)'!$AF$2:$AF$501,"受注"))</f>
        <v>0</v>
      </c>
      <c r="T17" s="37" t="n">
        <f aca="false">IF($B17="","",COUNTIFS('全体集計(入力)触るな(大阪)'!$M$2:$M$501,$B17,'全体集計(入力)触るな(大阪)'!$AC$2:$AC$501,"⚪︎"))</f>
        <v>0</v>
      </c>
      <c r="U17" s="38" t="n">
        <f aca="false">IF($B17="","",SUMIFS('全体集計(入力)触るな(大阪)'!$AD$2:$AD$501,'全体集計(入力)触るな(大阪)'!$M$2:$M$501,$B17,'全体集計(入力)触るな(大阪)'!$AF$2:$AF$501,"受注"))</f>
        <v>0</v>
      </c>
      <c r="V17" s="39" t="n">
        <f aca="false">IF($B17="","",INT(U17/10000))</f>
        <v>0</v>
      </c>
      <c r="W17" s="40" t="n">
        <f aca="true">IF($B17="","",SUMIFS(シフト入力!$N$2:$N$1501,シフト入力!$B$2:$B$1501,$B17,シフト入力!$A$2:$A$1501,"&lt;="&amp;TODAY()))</f>
        <v>0</v>
      </c>
      <c r="X17" s="41" t="n">
        <f aca="false">IF($B17="","",IFERROR(C17/W17,0))</f>
        <v>0</v>
      </c>
      <c r="Y17" s="42" t="n">
        <f aca="false">IF($B17="","",IFERROR(G17/C17,0))</f>
        <v>0</v>
      </c>
      <c r="Z17" s="42" t="n">
        <f aca="false">IF($B17="","",IFERROR(S17/C17,0))</f>
        <v>0</v>
      </c>
    </row>
    <row r="18" customFormat="false" ht="15" hidden="false" customHeight="false" outlineLevel="0" collapsed="false">
      <c r="B18" s="36" t="str">
        <f aca="false">IF(INDEX(マスタ!$A$2:$A$60,2)="","",INDEX(マスタ!$A$2:$A$60,2))</f>
        <v>石山</v>
      </c>
      <c r="C18" s="37" t="n">
        <f aca="false">IF($B18="","",COUNTIFS('全体集計(入力)触るな(大阪)'!$M$2:$M$501,$B18,'全体集計(入力)触るな(大阪)'!$L$2:$L$501,"&lt;&gt;"))</f>
        <v>0</v>
      </c>
      <c r="D18" s="37" t="n">
        <f aca="false">IF($B18="","",COUNTIFS('全体集計(入力)触るな(大阪)'!$M$2:$M$501,$B18,'全体集計(入力)触るな(大阪)'!$L$2:$L$501,"決済")+COUNTIFS('全体集計(入力)触るな(大阪)'!$M$2:$M$501,$B18,'全体集計(入力)触るな(大阪)'!$L$2:$L$501,"外人(決済)"))</f>
        <v>0</v>
      </c>
      <c r="E18" s="37" t="n">
        <f aca="false">IF($B18="","",COUNTIFS('全体集計(入力)触るな(大阪)'!$M$2:$M$501,$B18,'全体集計(入力)触るな(大阪)'!$L$2:$L$501,"非決済")+COUNTIFS('全体集計(入力)触るな(大阪)'!$M$2:$M$501,$B18,'全体集計(入力)触るな(大阪)'!$L$2:$L$501,"外人(非決済)"))</f>
        <v>0</v>
      </c>
      <c r="F18" s="37" t="n">
        <f aca="false">IF($B18="","",COUNTIFS('全体集計(入力)触るな(大阪)'!$M$2:$M$501,$B18,'全体集計(入力)触るな(大阪)'!$L$2:$L$501,"外人(決済)")+COUNTIFS('全体集計(入力)触るな(大阪)'!$M$2:$M$501,$B18,'全体集計(入力)触るな(大阪)'!$L$2:$L$501,"外人(非決済)"))</f>
        <v>0</v>
      </c>
      <c r="G18" s="37" t="n">
        <f aca="false">IF($B18="","",COUNTIFS('全体集計(入力)触るな(大阪)'!$M$2:$M$501,$B18,'全体集計(入力)触るな(大阪)'!$Q$2:$Q$501,"OK"))</f>
        <v>0</v>
      </c>
      <c r="H18" s="37" t="n">
        <f aca="false">IF($B18="","",COUNTIFS('全体集計(入力)触るな(大阪)'!$M$2:$M$501,$B18,'全体集計(入力)触るな(大阪)'!$L$2:$L$501,"決済",'全体集計(入力)触るな(大阪)'!$Q$2:$Q$501,"OK")+COUNTIFS('全体集計(入力)触るな(大阪)'!$M$2:$M$501,$B18,'全体集計(入力)触るな(大阪)'!$L$2:$L$501,"外人(決済)",'全体集計(入力)触るな(大阪)'!$Q$2:$Q$501,"OK"))</f>
        <v>0</v>
      </c>
      <c r="I18" s="37" t="n">
        <f aca="false">IF($B18="","",COUNTIFS('全体集計(入力)触るな(大阪)'!$M$2:$M$501,$B18,'全体集計(入力)触るな(大阪)'!$Q$2:$Q$501,"NG"))</f>
        <v>0</v>
      </c>
      <c r="J18" s="37" t="n">
        <f aca="false">IF($B18="","",COUNTIFS('全体集計(入力)触るな(大阪)'!$M$2:$M$501,$B18,'全体集計(入力)触るな(大阪)'!$V$2:$V$501,"リスケ"))</f>
        <v>0</v>
      </c>
      <c r="K18" s="37" t="n">
        <f aca="false">IF($B18="","",COUNTIFS('全体集計(入力)触るな(大阪)'!$M$2:$M$501,$B18,'全体集計(入力)触るな(大阪)'!$W$2:$W$501,"有効商談")+COUNTIFS('全体集計(入力)触るな(大阪)'!$M$2:$M$501,$B18,'全体集計(入力)触るな(大阪)'!$W$2:$W$501,"無効商談"))</f>
        <v>0</v>
      </c>
      <c r="L18" s="37" t="n">
        <f aca="false">IF($B18="","",COUNTIFS('全体集計(入力)触るな(大阪)'!$M$2:$M$501,$B18,'全体集計(入力)触るな(大阪)'!$W$2:$W$501,"有効商談"))</f>
        <v>0</v>
      </c>
      <c r="M18" s="37" t="n">
        <f aca="false">IF($B18="","",COUNTIFS('全体集計(入力)触るな(大阪)'!$M$2:$M$501,$B18,'全体集計(入力)触るな(大阪)'!$W$2:$W$501,"無効商談"))</f>
        <v>0</v>
      </c>
      <c r="N18" s="37" t="n">
        <f aca="false">IF($B18="","",COUNTIFS('全体集計(入力)触るな(大阪)'!$M$2:$M$501,$B18,'全体集計(入力)触るな(大阪)'!$AF$2:$AF$501,"商談キャンセル"))</f>
        <v>0</v>
      </c>
      <c r="O18" s="37" t="n">
        <f aca="false">IF($B18="","",COUNTIFS('全体集計(入力)触るな(大阪)'!$M$2:$M$501,$B18,'全体集計(入力)触るな(大阪)'!$Z$2:$Z$501,"決済者"))</f>
        <v>0</v>
      </c>
      <c r="P18" s="37" t="n">
        <f aca="false">IF($B18="","",COUNTIFS('全体集計(入力)触るな(大阪)'!$M$2:$M$501,$B18,'全体集計(入力)触るな(大阪)'!$AF$2:$AF$501,"失注"))</f>
        <v>0</v>
      </c>
      <c r="Q18" s="37" t="n">
        <f aca="false">IF($B18="","",COUNTIFS('全体集計(入力)触るな(大阪)'!$M$2:$M$501,$B18,'全体集計(入力)触るな(大阪)'!$W$2:$W$501,"有効商談",'全体集計(入力)触るな(大阪)'!$AF$2:$AF$501,"失注"))</f>
        <v>0</v>
      </c>
      <c r="R18" s="37" t="n">
        <f aca="false">IF($B18="","",COUNTIFS('全体集計(入力)触るな(大阪)'!$M$2:$M$501,$B18,'全体集計(入力)触るな(大阪)'!$W$2:$W$501,"有効商談",'全体集計(入力)触るな(大阪)'!$X$2:$X$501,"検討"))</f>
        <v>0</v>
      </c>
      <c r="S18" s="37" t="n">
        <f aca="false">IF($B18="","",COUNTIFS('全体集計(入力)触るな(大阪)'!$M$2:$M$501,$B18,'全体集計(入力)触るな(大阪)'!$AF$2:$AF$501,"受注"))</f>
        <v>0</v>
      </c>
      <c r="T18" s="37" t="n">
        <f aca="false">IF($B18="","",COUNTIFS('全体集計(入力)触るな(大阪)'!$M$2:$M$501,$B18,'全体集計(入力)触るな(大阪)'!$AC$2:$AC$501,"⚪︎"))</f>
        <v>0</v>
      </c>
      <c r="U18" s="38" t="n">
        <f aca="false">IF($B18="","",SUMIFS('全体集計(入力)触るな(大阪)'!$AD$2:$AD$501,'全体集計(入力)触るな(大阪)'!$M$2:$M$501,$B18,'全体集計(入力)触るな(大阪)'!$AF$2:$AF$501,"受注"))</f>
        <v>0</v>
      </c>
      <c r="V18" s="39" t="n">
        <f aca="false">IF($B18="","",INT(U18/10000))</f>
        <v>0</v>
      </c>
      <c r="W18" s="40" t="n">
        <f aca="true">IF($B18="","",SUMIFS(シフト入力!$N$2:$N$1501,シフト入力!$B$2:$B$1501,$B18,シフト入力!$A$2:$A$1501,"&lt;="&amp;TODAY()))</f>
        <v>0</v>
      </c>
      <c r="X18" s="41" t="n">
        <f aca="false">IF($B18="","",IFERROR(C18/W18,0))</f>
        <v>0</v>
      </c>
      <c r="Y18" s="42" t="n">
        <f aca="false">IF($B18="","",IFERROR(G18/C18,0))</f>
        <v>0</v>
      </c>
      <c r="Z18" s="42" t="n">
        <f aca="false">IF($B18="","",IFERROR(S18/C18,0))</f>
        <v>0</v>
      </c>
    </row>
    <row r="19" customFormat="false" ht="15" hidden="false" customHeight="false" outlineLevel="0" collapsed="false">
      <c r="B19" s="36" t="str">
        <f aca="false">IF(INDEX(マスタ!$A$2:$A$60,3)="","",INDEX(マスタ!$A$2:$A$60,3))</f>
        <v>向井</v>
      </c>
      <c r="C19" s="37" t="n">
        <f aca="false">IF($B19="","",COUNTIFS('全体集計(入力)触るな(大阪)'!$M$2:$M$501,$B19,'全体集計(入力)触るな(大阪)'!$L$2:$L$501,"&lt;&gt;"))</f>
        <v>0</v>
      </c>
      <c r="D19" s="37" t="n">
        <f aca="false">IF($B19="","",COUNTIFS('全体集計(入力)触るな(大阪)'!$M$2:$M$501,$B19,'全体集計(入力)触るな(大阪)'!$L$2:$L$501,"決済")+COUNTIFS('全体集計(入力)触るな(大阪)'!$M$2:$M$501,$B19,'全体集計(入力)触るな(大阪)'!$L$2:$L$501,"外人(決済)"))</f>
        <v>0</v>
      </c>
      <c r="E19" s="37" t="n">
        <f aca="false">IF($B19="","",COUNTIFS('全体集計(入力)触るな(大阪)'!$M$2:$M$501,$B19,'全体集計(入力)触るな(大阪)'!$L$2:$L$501,"非決済")+COUNTIFS('全体集計(入力)触るな(大阪)'!$M$2:$M$501,$B19,'全体集計(入力)触るな(大阪)'!$L$2:$L$501,"外人(非決済)"))</f>
        <v>0</v>
      </c>
      <c r="F19" s="37" t="n">
        <f aca="false">IF($B19="","",COUNTIFS('全体集計(入力)触るな(大阪)'!$M$2:$M$501,$B19,'全体集計(入力)触るな(大阪)'!$L$2:$L$501,"外人(決済)")+COUNTIFS('全体集計(入力)触るな(大阪)'!$M$2:$M$501,$B19,'全体集計(入力)触るな(大阪)'!$L$2:$L$501,"外人(非決済)"))</f>
        <v>0</v>
      </c>
      <c r="G19" s="37" t="n">
        <f aca="false">IF($B19="","",COUNTIFS('全体集計(入力)触るな(大阪)'!$M$2:$M$501,$B19,'全体集計(入力)触るな(大阪)'!$Q$2:$Q$501,"OK"))</f>
        <v>0</v>
      </c>
      <c r="H19" s="37" t="n">
        <f aca="false">IF($B19="","",COUNTIFS('全体集計(入力)触るな(大阪)'!$M$2:$M$501,$B19,'全体集計(入力)触るな(大阪)'!$L$2:$L$501,"決済",'全体集計(入力)触るな(大阪)'!$Q$2:$Q$501,"OK")+COUNTIFS('全体集計(入力)触るな(大阪)'!$M$2:$M$501,$B19,'全体集計(入力)触るな(大阪)'!$L$2:$L$501,"外人(決済)",'全体集計(入力)触るな(大阪)'!$Q$2:$Q$501,"OK"))</f>
        <v>0</v>
      </c>
      <c r="I19" s="37" t="n">
        <f aca="false">IF($B19="","",COUNTIFS('全体集計(入力)触るな(大阪)'!$M$2:$M$501,$B19,'全体集計(入力)触るな(大阪)'!$Q$2:$Q$501,"NG"))</f>
        <v>0</v>
      </c>
      <c r="J19" s="37" t="n">
        <f aca="false">IF($B19="","",COUNTIFS('全体集計(入力)触るな(大阪)'!$M$2:$M$501,$B19,'全体集計(入力)触るな(大阪)'!$V$2:$V$501,"リスケ"))</f>
        <v>0</v>
      </c>
      <c r="K19" s="37" t="n">
        <f aca="false">IF($B19="","",COUNTIFS('全体集計(入力)触るな(大阪)'!$M$2:$M$501,$B19,'全体集計(入力)触るな(大阪)'!$W$2:$W$501,"有効商談")+COUNTIFS('全体集計(入力)触るな(大阪)'!$M$2:$M$501,$B19,'全体集計(入力)触るな(大阪)'!$W$2:$W$501,"無効商談"))</f>
        <v>0</v>
      </c>
      <c r="L19" s="37" t="n">
        <f aca="false">IF($B19="","",COUNTIFS('全体集計(入力)触るな(大阪)'!$M$2:$M$501,$B19,'全体集計(入力)触るな(大阪)'!$W$2:$W$501,"有効商談"))</f>
        <v>0</v>
      </c>
      <c r="M19" s="37" t="n">
        <f aca="false">IF($B19="","",COUNTIFS('全体集計(入力)触るな(大阪)'!$M$2:$M$501,$B19,'全体集計(入力)触るな(大阪)'!$W$2:$W$501,"無効商談"))</f>
        <v>0</v>
      </c>
      <c r="N19" s="37" t="n">
        <f aca="false">IF($B19="","",COUNTIFS('全体集計(入力)触るな(大阪)'!$M$2:$M$501,$B19,'全体集計(入力)触るな(大阪)'!$AF$2:$AF$501,"商談キャンセル"))</f>
        <v>0</v>
      </c>
      <c r="O19" s="37" t="n">
        <f aca="false">IF($B19="","",COUNTIFS('全体集計(入力)触るな(大阪)'!$M$2:$M$501,$B19,'全体集計(入力)触るな(大阪)'!$Z$2:$Z$501,"決済者"))</f>
        <v>0</v>
      </c>
      <c r="P19" s="37" t="n">
        <f aca="false">IF($B19="","",COUNTIFS('全体集計(入力)触るな(大阪)'!$M$2:$M$501,$B19,'全体集計(入力)触るな(大阪)'!$AF$2:$AF$501,"失注"))</f>
        <v>0</v>
      </c>
      <c r="Q19" s="37" t="n">
        <f aca="false">IF($B19="","",COUNTIFS('全体集計(入力)触るな(大阪)'!$M$2:$M$501,$B19,'全体集計(入力)触るな(大阪)'!$W$2:$W$501,"有効商談",'全体集計(入力)触るな(大阪)'!$AF$2:$AF$501,"失注"))</f>
        <v>0</v>
      </c>
      <c r="R19" s="37" t="n">
        <f aca="false">IF($B19="","",COUNTIFS('全体集計(入力)触るな(大阪)'!$M$2:$M$501,$B19,'全体集計(入力)触るな(大阪)'!$W$2:$W$501,"有効商談",'全体集計(入力)触るな(大阪)'!$X$2:$X$501,"検討"))</f>
        <v>0</v>
      </c>
      <c r="S19" s="37" t="n">
        <f aca="false">IF($B19="","",COUNTIFS('全体集計(入力)触るな(大阪)'!$M$2:$M$501,$B19,'全体集計(入力)触るな(大阪)'!$AF$2:$AF$501,"受注"))</f>
        <v>0</v>
      </c>
      <c r="T19" s="37" t="n">
        <f aca="false">IF($B19="","",COUNTIFS('全体集計(入力)触るな(大阪)'!$M$2:$M$501,$B19,'全体集計(入力)触るな(大阪)'!$AC$2:$AC$501,"⚪︎"))</f>
        <v>0</v>
      </c>
      <c r="U19" s="38" t="n">
        <f aca="false">IF($B19="","",SUMIFS('全体集計(入力)触るな(大阪)'!$AD$2:$AD$501,'全体集計(入力)触るな(大阪)'!$M$2:$M$501,$B19,'全体集計(入力)触るな(大阪)'!$AF$2:$AF$501,"受注"))</f>
        <v>0</v>
      </c>
      <c r="V19" s="39" t="n">
        <f aca="false">IF($B19="","",INT(U19/10000))</f>
        <v>0</v>
      </c>
      <c r="W19" s="40" t="n">
        <f aca="true">IF($B19="","",SUMIFS(シフト入力!$N$2:$N$1501,シフト入力!$B$2:$B$1501,$B19,シフト入力!$A$2:$A$1501,"&lt;="&amp;TODAY()))</f>
        <v>0</v>
      </c>
      <c r="X19" s="41" t="n">
        <f aca="false">IF($B19="","",IFERROR(C19/W19,0))</f>
        <v>0</v>
      </c>
      <c r="Y19" s="42" t="n">
        <f aca="false">IF($B19="","",IFERROR(G19/C19,0))</f>
        <v>0</v>
      </c>
      <c r="Z19" s="42" t="n">
        <f aca="false">IF($B19="","",IFERROR(S19/C19,0))</f>
        <v>0</v>
      </c>
    </row>
    <row r="20" customFormat="false" ht="15" hidden="false" customHeight="false" outlineLevel="0" collapsed="false">
      <c r="B20" s="36" t="str">
        <f aca="false">IF(INDEX(マスタ!$A$2:$A$60,4)="","",INDEX(マスタ!$A$2:$A$60,4))</f>
        <v>中牟田</v>
      </c>
      <c r="C20" s="37" t="n">
        <f aca="false">IF($B20="","",COUNTIFS('全体集計(入力)触るな(大阪)'!$M$2:$M$501,$B20,'全体集計(入力)触るな(大阪)'!$L$2:$L$501,"&lt;&gt;"))</f>
        <v>0</v>
      </c>
      <c r="D20" s="37" t="n">
        <f aca="false">IF($B20="","",COUNTIFS('全体集計(入力)触るな(大阪)'!$M$2:$M$501,$B20,'全体集計(入力)触るな(大阪)'!$L$2:$L$501,"決済")+COUNTIFS('全体集計(入力)触るな(大阪)'!$M$2:$M$501,$B20,'全体集計(入力)触るな(大阪)'!$L$2:$L$501,"外人(決済)"))</f>
        <v>0</v>
      </c>
      <c r="E20" s="37" t="n">
        <f aca="false">IF($B20="","",COUNTIFS('全体集計(入力)触るな(大阪)'!$M$2:$M$501,$B20,'全体集計(入力)触るな(大阪)'!$L$2:$L$501,"非決済")+COUNTIFS('全体集計(入力)触るな(大阪)'!$M$2:$M$501,$B20,'全体集計(入力)触るな(大阪)'!$L$2:$L$501,"外人(非決済)"))</f>
        <v>0</v>
      </c>
      <c r="F20" s="37" t="n">
        <f aca="false">IF($B20="","",COUNTIFS('全体集計(入力)触るな(大阪)'!$M$2:$M$501,$B20,'全体集計(入力)触るな(大阪)'!$L$2:$L$501,"外人(決済)")+COUNTIFS('全体集計(入力)触るな(大阪)'!$M$2:$M$501,$B20,'全体集計(入力)触るな(大阪)'!$L$2:$L$501,"外人(非決済)"))</f>
        <v>0</v>
      </c>
      <c r="G20" s="37" t="n">
        <f aca="false">IF($B20="","",COUNTIFS('全体集計(入力)触るな(大阪)'!$M$2:$M$501,$B20,'全体集計(入力)触るな(大阪)'!$Q$2:$Q$501,"OK"))</f>
        <v>0</v>
      </c>
      <c r="H20" s="37" t="n">
        <f aca="false">IF($B20="","",COUNTIFS('全体集計(入力)触るな(大阪)'!$M$2:$M$501,$B20,'全体集計(入力)触るな(大阪)'!$L$2:$L$501,"決済",'全体集計(入力)触るな(大阪)'!$Q$2:$Q$501,"OK")+COUNTIFS('全体集計(入力)触るな(大阪)'!$M$2:$M$501,$B20,'全体集計(入力)触るな(大阪)'!$L$2:$L$501,"外人(決済)",'全体集計(入力)触るな(大阪)'!$Q$2:$Q$501,"OK"))</f>
        <v>0</v>
      </c>
      <c r="I20" s="37" t="n">
        <f aca="false">IF($B20="","",COUNTIFS('全体集計(入力)触るな(大阪)'!$M$2:$M$501,$B20,'全体集計(入力)触るな(大阪)'!$Q$2:$Q$501,"NG"))</f>
        <v>0</v>
      </c>
      <c r="J20" s="37" t="n">
        <f aca="false">IF($B20="","",COUNTIFS('全体集計(入力)触るな(大阪)'!$M$2:$M$501,$B20,'全体集計(入力)触るな(大阪)'!$V$2:$V$501,"リスケ"))</f>
        <v>0</v>
      </c>
      <c r="K20" s="37" t="n">
        <f aca="false">IF($B20="","",COUNTIFS('全体集計(入力)触るな(大阪)'!$M$2:$M$501,$B20,'全体集計(入力)触るな(大阪)'!$W$2:$W$501,"有効商談")+COUNTIFS('全体集計(入力)触るな(大阪)'!$M$2:$M$501,$B20,'全体集計(入力)触るな(大阪)'!$W$2:$W$501,"無効商談"))</f>
        <v>0</v>
      </c>
      <c r="L20" s="37" t="n">
        <f aca="false">IF($B20="","",COUNTIFS('全体集計(入力)触るな(大阪)'!$M$2:$M$501,$B20,'全体集計(入力)触るな(大阪)'!$W$2:$W$501,"有効商談"))</f>
        <v>0</v>
      </c>
      <c r="M20" s="37" t="n">
        <f aca="false">IF($B20="","",COUNTIFS('全体集計(入力)触るな(大阪)'!$M$2:$M$501,$B20,'全体集計(入力)触るな(大阪)'!$W$2:$W$501,"無効商談"))</f>
        <v>0</v>
      </c>
      <c r="N20" s="37" t="n">
        <f aca="false">IF($B20="","",COUNTIFS('全体集計(入力)触るな(大阪)'!$M$2:$M$501,$B20,'全体集計(入力)触るな(大阪)'!$AF$2:$AF$501,"商談キャンセル"))</f>
        <v>0</v>
      </c>
      <c r="O20" s="37" t="n">
        <f aca="false">IF($B20="","",COUNTIFS('全体集計(入力)触るな(大阪)'!$M$2:$M$501,$B20,'全体集計(入力)触るな(大阪)'!$Z$2:$Z$501,"決済者"))</f>
        <v>0</v>
      </c>
      <c r="P20" s="37" t="n">
        <f aca="false">IF($B20="","",COUNTIFS('全体集計(入力)触るな(大阪)'!$M$2:$M$501,$B20,'全体集計(入力)触るな(大阪)'!$AF$2:$AF$501,"失注"))</f>
        <v>0</v>
      </c>
      <c r="Q20" s="37" t="n">
        <f aca="false">IF($B20="","",COUNTIFS('全体集計(入力)触るな(大阪)'!$M$2:$M$501,$B20,'全体集計(入力)触るな(大阪)'!$W$2:$W$501,"有効商談",'全体集計(入力)触るな(大阪)'!$AF$2:$AF$501,"失注"))</f>
        <v>0</v>
      </c>
      <c r="R20" s="37" t="n">
        <f aca="false">IF($B20="","",COUNTIFS('全体集計(入力)触るな(大阪)'!$M$2:$M$501,$B20,'全体集計(入力)触るな(大阪)'!$W$2:$W$501,"有効商談",'全体集計(入力)触るな(大阪)'!$X$2:$X$501,"検討"))</f>
        <v>0</v>
      </c>
      <c r="S20" s="37" t="n">
        <f aca="false">IF($B20="","",COUNTIFS('全体集計(入力)触るな(大阪)'!$M$2:$M$501,$B20,'全体集計(入力)触るな(大阪)'!$AF$2:$AF$501,"受注"))</f>
        <v>0</v>
      </c>
      <c r="T20" s="37" t="n">
        <f aca="false">IF($B20="","",COUNTIFS('全体集計(入力)触るな(大阪)'!$M$2:$M$501,$B20,'全体集計(入力)触るな(大阪)'!$AC$2:$AC$501,"⚪︎"))</f>
        <v>0</v>
      </c>
      <c r="U20" s="38" t="n">
        <f aca="false">IF($B20="","",SUMIFS('全体集計(入力)触るな(大阪)'!$AD$2:$AD$501,'全体集計(入力)触るな(大阪)'!$M$2:$M$501,$B20,'全体集計(入力)触るな(大阪)'!$AF$2:$AF$501,"受注"))</f>
        <v>0</v>
      </c>
      <c r="V20" s="39" t="n">
        <f aca="false">IF($B20="","",INT(U20/10000))</f>
        <v>0</v>
      </c>
      <c r="W20" s="40" t="n">
        <f aca="true">IF($B20="","",SUMIFS(シフト入力!$N$2:$N$1501,シフト入力!$B$2:$B$1501,$B20,シフト入力!$A$2:$A$1501,"&lt;="&amp;TODAY()))</f>
        <v>0</v>
      </c>
      <c r="X20" s="41" t="n">
        <f aca="false">IF($B20="","",IFERROR(C20/W20,0))</f>
        <v>0</v>
      </c>
      <c r="Y20" s="42" t="n">
        <f aca="false">IF($B20="","",IFERROR(G20/C20,0))</f>
        <v>0</v>
      </c>
      <c r="Z20" s="42" t="n">
        <f aca="false">IF($B20="","",IFERROR(S20/C20,0))</f>
        <v>0</v>
      </c>
    </row>
    <row r="21" customFormat="false" ht="15" hidden="false" customHeight="false" outlineLevel="0" collapsed="false">
      <c r="B21" s="36" t="str">
        <f aca="false">IF(INDEX(マスタ!$A$2:$A$60,5)="","",INDEX(マスタ!$A$2:$A$60,5))</f>
        <v>西川</v>
      </c>
      <c r="C21" s="37" t="n">
        <f aca="false">IF($B21="","",COUNTIFS('全体集計(入力)触るな(大阪)'!$M$2:$M$501,$B21,'全体集計(入力)触るな(大阪)'!$L$2:$L$501,"&lt;&gt;"))</f>
        <v>0</v>
      </c>
      <c r="D21" s="37" t="n">
        <f aca="false">IF($B21="","",COUNTIFS('全体集計(入力)触るな(大阪)'!$M$2:$M$501,$B21,'全体集計(入力)触るな(大阪)'!$L$2:$L$501,"決済")+COUNTIFS('全体集計(入力)触るな(大阪)'!$M$2:$M$501,$B21,'全体集計(入力)触るな(大阪)'!$L$2:$L$501,"外人(決済)"))</f>
        <v>0</v>
      </c>
      <c r="E21" s="37" t="n">
        <f aca="false">IF($B21="","",COUNTIFS('全体集計(入力)触るな(大阪)'!$M$2:$M$501,$B21,'全体集計(入力)触るな(大阪)'!$L$2:$L$501,"非決済")+COUNTIFS('全体集計(入力)触るな(大阪)'!$M$2:$M$501,$B21,'全体集計(入力)触るな(大阪)'!$L$2:$L$501,"外人(非決済)"))</f>
        <v>0</v>
      </c>
      <c r="F21" s="37" t="n">
        <f aca="false">IF($B21="","",COUNTIFS('全体集計(入力)触るな(大阪)'!$M$2:$M$501,$B21,'全体集計(入力)触るな(大阪)'!$L$2:$L$501,"外人(決済)")+COUNTIFS('全体集計(入力)触るな(大阪)'!$M$2:$M$501,$B21,'全体集計(入力)触るな(大阪)'!$L$2:$L$501,"外人(非決済)"))</f>
        <v>0</v>
      </c>
      <c r="G21" s="37" t="n">
        <f aca="false">IF($B21="","",COUNTIFS('全体集計(入力)触るな(大阪)'!$M$2:$M$501,$B21,'全体集計(入力)触るな(大阪)'!$Q$2:$Q$501,"OK"))</f>
        <v>0</v>
      </c>
      <c r="H21" s="37" t="n">
        <f aca="false">IF($B21="","",COUNTIFS('全体集計(入力)触るな(大阪)'!$M$2:$M$501,$B21,'全体集計(入力)触るな(大阪)'!$L$2:$L$501,"決済",'全体集計(入力)触るな(大阪)'!$Q$2:$Q$501,"OK")+COUNTIFS('全体集計(入力)触るな(大阪)'!$M$2:$M$501,$B21,'全体集計(入力)触るな(大阪)'!$L$2:$L$501,"外人(決済)",'全体集計(入力)触るな(大阪)'!$Q$2:$Q$501,"OK"))</f>
        <v>0</v>
      </c>
      <c r="I21" s="37" t="n">
        <f aca="false">IF($B21="","",COUNTIFS('全体集計(入力)触るな(大阪)'!$M$2:$M$501,$B21,'全体集計(入力)触るな(大阪)'!$Q$2:$Q$501,"NG"))</f>
        <v>0</v>
      </c>
      <c r="J21" s="37" t="n">
        <f aca="false">IF($B21="","",COUNTIFS('全体集計(入力)触るな(大阪)'!$M$2:$M$501,$B21,'全体集計(入力)触るな(大阪)'!$V$2:$V$501,"リスケ"))</f>
        <v>0</v>
      </c>
      <c r="K21" s="37" t="n">
        <f aca="false">IF($B21="","",COUNTIFS('全体集計(入力)触るな(大阪)'!$M$2:$M$501,$B21,'全体集計(入力)触るな(大阪)'!$W$2:$W$501,"有効商談")+COUNTIFS('全体集計(入力)触るな(大阪)'!$M$2:$M$501,$B21,'全体集計(入力)触るな(大阪)'!$W$2:$W$501,"無効商談"))</f>
        <v>0</v>
      </c>
      <c r="L21" s="37" t="n">
        <f aca="false">IF($B21="","",COUNTIFS('全体集計(入力)触るな(大阪)'!$M$2:$M$501,$B21,'全体集計(入力)触るな(大阪)'!$W$2:$W$501,"有効商談"))</f>
        <v>0</v>
      </c>
      <c r="M21" s="37" t="n">
        <f aca="false">IF($B21="","",COUNTIFS('全体集計(入力)触るな(大阪)'!$M$2:$M$501,$B21,'全体集計(入力)触るな(大阪)'!$W$2:$W$501,"無効商談"))</f>
        <v>0</v>
      </c>
      <c r="N21" s="37" t="n">
        <f aca="false">IF($B21="","",COUNTIFS('全体集計(入力)触るな(大阪)'!$M$2:$M$501,$B21,'全体集計(入力)触るな(大阪)'!$AF$2:$AF$501,"商談キャンセル"))</f>
        <v>0</v>
      </c>
      <c r="O21" s="37" t="n">
        <f aca="false">IF($B21="","",COUNTIFS('全体集計(入力)触るな(大阪)'!$M$2:$M$501,$B21,'全体集計(入力)触るな(大阪)'!$Z$2:$Z$501,"決済者"))</f>
        <v>0</v>
      </c>
      <c r="P21" s="37" t="n">
        <f aca="false">IF($B21="","",COUNTIFS('全体集計(入力)触るな(大阪)'!$M$2:$M$501,$B21,'全体集計(入力)触るな(大阪)'!$AF$2:$AF$501,"失注"))</f>
        <v>0</v>
      </c>
      <c r="Q21" s="37" t="n">
        <f aca="false">IF($B21="","",COUNTIFS('全体集計(入力)触るな(大阪)'!$M$2:$M$501,$B21,'全体集計(入力)触るな(大阪)'!$W$2:$W$501,"有効商談",'全体集計(入力)触るな(大阪)'!$AF$2:$AF$501,"失注"))</f>
        <v>0</v>
      </c>
      <c r="R21" s="37" t="n">
        <f aca="false">IF($B21="","",COUNTIFS('全体集計(入力)触るな(大阪)'!$M$2:$M$501,$B21,'全体集計(入力)触るな(大阪)'!$W$2:$W$501,"有効商談",'全体集計(入力)触るな(大阪)'!$X$2:$X$501,"検討"))</f>
        <v>0</v>
      </c>
      <c r="S21" s="37" t="n">
        <f aca="false">IF($B21="","",COUNTIFS('全体集計(入力)触るな(大阪)'!$M$2:$M$501,$B21,'全体集計(入力)触るな(大阪)'!$AF$2:$AF$501,"受注"))</f>
        <v>0</v>
      </c>
      <c r="T21" s="37" t="n">
        <f aca="false">IF($B21="","",COUNTIFS('全体集計(入力)触るな(大阪)'!$M$2:$M$501,$B21,'全体集計(入力)触るな(大阪)'!$AC$2:$AC$501,"⚪︎"))</f>
        <v>0</v>
      </c>
      <c r="U21" s="38" t="n">
        <f aca="false">IF($B21="","",SUMIFS('全体集計(入力)触るな(大阪)'!$AD$2:$AD$501,'全体集計(入力)触るな(大阪)'!$M$2:$M$501,$B21,'全体集計(入力)触るな(大阪)'!$AF$2:$AF$501,"受注"))</f>
        <v>0</v>
      </c>
      <c r="V21" s="39" t="n">
        <f aca="false">IF($B21="","",INT(U21/10000))</f>
        <v>0</v>
      </c>
      <c r="W21" s="40" t="n">
        <f aca="true">IF($B21="","",SUMIFS(シフト入力!$N$2:$N$1501,シフト入力!$B$2:$B$1501,$B21,シフト入力!$A$2:$A$1501,"&lt;="&amp;TODAY()))</f>
        <v>0</v>
      </c>
      <c r="X21" s="41" t="n">
        <f aca="false">IF($B21="","",IFERROR(C21/W21,0))</f>
        <v>0</v>
      </c>
      <c r="Y21" s="42" t="n">
        <f aca="false">IF($B21="","",IFERROR(G21/C21,0))</f>
        <v>0</v>
      </c>
      <c r="Z21" s="42" t="n">
        <f aca="false">IF($B21="","",IFERROR(S21/C21,0))</f>
        <v>0</v>
      </c>
    </row>
    <row r="22" customFormat="false" ht="15" hidden="false" customHeight="false" outlineLevel="0" collapsed="false">
      <c r="B22" s="36" t="str">
        <f aca="false">IF(INDEX(マスタ!$A$2:$A$60,6)="","",INDEX(マスタ!$A$2:$A$60,6))</f>
        <v>木下</v>
      </c>
      <c r="C22" s="37" t="n">
        <f aca="false">IF($B22="","",COUNTIFS('全体集計(入力)触るな(大阪)'!$M$2:$M$501,$B22,'全体集計(入力)触るな(大阪)'!$L$2:$L$501,"&lt;&gt;"))</f>
        <v>0</v>
      </c>
      <c r="D22" s="37" t="n">
        <f aca="false">IF($B22="","",COUNTIFS('全体集計(入力)触るな(大阪)'!$M$2:$M$501,$B22,'全体集計(入力)触るな(大阪)'!$L$2:$L$501,"決済")+COUNTIFS('全体集計(入力)触るな(大阪)'!$M$2:$M$501,$B22,'全体集計(入力)触るな(大阪)'!$L$2:$L$501,"外人(決済)"))</f>
        <v>0</v>
      </c>
      <c r="E22" s="37" t="n">
        <f aca="false">IF($B22="","",COUNTIFS('全体集計(入力)触るな(大阪)'!$M$2:$M$501,$B22,'全体集計(入力)触るな(大阪)'!$L$2:$L$501,"非決済")+COUNTIFS('全体集計(入力)触るな(大阪)'!$M$2:$M$501,$B22,'全体集計(入力)触るな(大阪)'!$L$2:$L$501,"外人(非決済)"))</f>
        <v>0</v>
      </c>
      <c r="F22" s="37" t="n">
        <f aca="false">IF($B22="","",COUNTIFS('全体集計(入力)触るな(大阪)'!$M$2:$M$501,$B22,'全体集計(入力)触るな(大阪)'!$L$2:$L$501,"外人(決済)")+COUNTIFS('全体集計(入力)触るな(大阪)'!$M$2:$M$501,$B22,'全体集計(入力)触るな(大阪)'!$L$2:$L$501,"外人(非決済)"))</f>
        <v>0</v>
      </c>
      <c r="G22" s="37" t="n">
        <f aca="false">IF($B22="","",COUNTIFS('全体集計(入力)触るな(大阪)'!$M$2:$M$501,$B22,'全体集計(入力)触るな(大阪)'!$Q$2:$Q$501,"OK"))</f>
        <v>0</v>
      </c>
      <c r="H22" s="37" t="n">
        <f aca="false">IF($B22="","",COUNTIFS('全体集計(入力)触るな(大阪)'!$M$2:$M$501,$B22,'全体集計(入力)触るな(大阪)'!$L$2:$L$501,"決済",'全体集計(入力)触るな(大阪)'!$Q$2:$Q$501,"OK")+COUNTIFS('全体集計(入力)触るな(大阪)'!$M$2:$M$501,$B22,'全体集計(入力)触るな(大阪)'!$L$2:$L$501,"外人(決済)",'全体集計(入力)触るな(大阪)'!$Q$2:$Q$501,"OK"))</f>
        <v>0</v>
      </c>
      <c r="I22" s="37" t="n">
        <f aca="false">IF($B22="","",COUNTIFS('全体集計(入力)触るな(大阪)'!$M$2:$M$501,$B22,'全体集計(入力)触るな(大阪)'!$Q$2:$Q$501,"NG"))</f>
        <v>0</v>
      </c>
      <c r="J22" s="37" t="n">
        <f aca="false">IF($B22="","",COUNTIFS('全体集計(入力)触るな(大阪)'!$M$2:$M$501,$B22,'全体集計(入力)触るな(大阪)'!$V$2:$V$501,"リスケ"))</f>
        <v>0</v>
      </c>
      <c r="K22" s="37" t="n">
        <f aca="false">IF($B22="","",COUNTIFS('全体集計(入力)触るな(大阪)'!$M$2:$M$501,$B22,'全体集計(入力)触るな(大阪)'!$W$2:$W$501,"有効商談")+COUNTIFS('全体集計(入力)触るな(大阪)'!$M$2:$M$501,$B22,'全体集計(入力)触るな(大阪)'!$W$2:$W$501,"無効商談"))</f>
        <v>0</v>
      </c>
      <c r="L22" s="37" t="n">
        <f aca="false">IF($B22="","",COUNTIFS('全体集計(入力)触るな(大阪)'!$M$2:$M$501,$B22,'全体集計(入力)触るな(大阪)'!$W$2:$W$501,"有効商談"))</f>
        <v>0</v>
      </c>
      <c r="M22" s="37" t="n">
        <f aca="false">IF($B22="","",COUNTIFS('全体集計(入力)触るな(大阪)'!$M$2:$M$501,$B22,'全体集計(入力)触るな(大阪)'!$W$2:$W$501,"無効商談"))</f>
        <v>0</v>
      </c>
      <c r="N22" s="37" t="n">
        <f aca="false">IF($B22="","",COUNTIFS('全体集計(入力)触るな(大阪)'!$M$2:$M$501,$B22,'全体集計(入力)触るな(大阪)'!$AF$2:$AF$501,"商談キャンセル"))</f>
        <v>0</v>
      </c>
      <c r="O22" s="37" t="n">
        <f aca="false">IF($B22="","",COUNTIFS('全体集計(入力)触るな(大阪)'!$M$2:$M$501,$B22,'全体集計(入力)触るな(大阪)'!$Z$2:$Z$501,"決済者"))</f>
        <v>0</v>
      </c>
      <c r="P22" s="37" t="n">
        <f aca="false">IF($B22="","",COUNTIFS('全体集計(入力)触るな(大阪)'!$M$2:$M$501,$B22,'全体集計(入力)触るな(大阪)'!$AF$2:$AF$501,"失注"))</f>
        <v>0</v>
      </c>
      <c r="Q22" s="37" t="n">
        <f aca="false">IF($B22="","",COUNTIFS('全体集計(入力)触るな(大阪)'!$M$2:$M$501,$B22,'全体集計(入力)触るな(大阪)'!$W$2:$W$501,"有効商談",'全体集計(入力)触るな(大阪)'!$AF$2:$AF$501,"失注"))</f>
        <v>0</v>
      </c>
      <c r="R22" s="37" t="n">
        <f aca="false">IF($B22="","",COUNTIFS('全体集計(入力)触るな(大阪)'!$M$2:$M$501,$B22,'全体集計(入力)触るな(大阪)'!$W$2:$W$501,"有効商談",'全体集計(入力)触るな(大阪)'!$X$2:$X$501,"検討"))</f>
        <v>0</v>
      </c>
      <c r="S22" s="37" t="n">
        <f aca="false">IF($B22="","",COUNTIFS('全体集計(入力)触るな(大阪)'!$M$2:$M$501,$B22,'全体集計(入力)触るな(大阪)'!$AF$2:$AF$501,"受注"))</f>
        <v>0</v>
      </c>
      <c r="T22" s="37" t="n">
        <f aca="false">IF($B22="","",COUNTIFS('全体集計(入力)触るな(大阪)'!$M$2:$M$501,$B22,'全体集計(入力)触るな(大阪)'!$AC$2:$AC$501,"⚪︎"))</f>
        <v>0</v>
      </c>
      <c r="U22" s="38" t="n">
        <f aca="false">IF($B22="","",SUMIFS('全体集計(入力)触るな(大阪)'!$AD$2:$AD$501,'全体集計(入力)触るな(大阪)'!$M$2:$M$501,$B22,'全体集計(入力)触るな(大阪)'!$AF$2:$AF$501,"受注"))</f>
        <v>0</v>
      </c>
      <c r="V22" s="39" t="n">
        <f aca="false">IF($B22="","",INT(U22/10000))</f>
        <v>0</v>
      </c>
      <c r="W22" s="40" t="n">
        <f aca="true">IF($B22="","",SUMIFS(シフト入力!$N$2:$N$1501,シフト入力!$B$2:$B$1501,$B22,シフト入力!$A$2:$A$1501,"&lt;="&amp;TODAY()))</f>
        <v>0</v>
      </c>
      <c r="X22" s="41" t="n">
        <f aca="false">IF($B22="","",IFERROR(C22/W22,0))</f>
        <v>0</v>
      </c>
      <c r="Y22" s="42" t="n">
        <f aca="false">IF($B22="","",IFERROR(G22/C22,0))</f>
        <v>0</v>
      </c>
      <c r="Z22" s="42" t="n">
        <f aca="false">IF($B22="","",IFERROR(S22/C22,0))</f>
        <v>0</v>
      </c>
    </row>
    <row r="23" customFormat="false" ht="15" hidden="false" customHeight="false" outlineLevel="0" collapsed="false">
      <c r="B23" s="36" t="str">
        <f aca="false">IF(INDEX(マスタ!$A$2:$A$60,7)="","",INDEX(マスタ!$A$2:$A$60,7))</f>
        <v>篠原</v>
      </c>
      <c r="C23" s="37" t="n">
        <f aca="false">IF($B23="","",COUNTIFS('全体集計(入力)触るな(大阪)'!$M$2:$M$501,$B23,'全体集計(入力)触るな(大阪)'!$L$2:$L$501,"&lt;&gt;"))</f>
        <v>0</v>
      </c>
      <c r="D23" s="37" t="n">
        <f aca="false">IF($B23="","",COUNTIFS('全体集計(入力)触るな(大阪)'!$M$2:$M$501,$B23,'全体集計(入力)触るな(大阪)'!$L$2:$L$501,"決済")+COUNTIFS('全体集計(入力)触るな(大阪)'!$M$2:$M$501,$B23,'全体集計(入力)触るな(大阪)'!$L$2:$L$501,"外人(決済)"))</f>
        <v>0</v>
      </c>
      <c r="E23" s="37" t="n">
        <f aca="false">IF($B23="","",COUNTIFS('全体集計(入力)触るな(大阪)'!$M$2:$M$501,$B23,'全体集計(入力)触るな(大阪)'!$L$2:$L$501,"非決済")+COUNTIFS('全体集計(入力)触るな(大阪)'!$M$2:$M$501,$B23,'全体集計(入力)触るな(大阪)'!$L$2:$L$501,"外人(非決済)"))</f>
        <v>0</v>
      </c>
      <c r="F23" s="37" t="n">
        <f aca="false">IF($B23="","",COUNTIFS('全体集計(入力)触るな(大阪)'!$M$2:$M$501,$B23,'全体集計(入力)触るな(大阪)'!$L$2:$L$501,"外人(決済)")+COUNTIFS('全体集計(入力)触るな(大阪)'!$M$2:$M$501,$B23,'全体集計(入力)触るな(大阪)'!$L$2:$L$501,"外人(非決済)"))</f>
        <v>0</v>
      </c>
      <c r="G23" s="37" t="n">
        <f aca="false">IF($B23="","",COUNTIFS('全体集計(入力)触るな(大阪)'!$M$2:$M$501,$B23,'全体集計(入力)触るな(大阪)'!$Q$2:$Q$501,"OK"))</f>
        <v>0</v>
      </c>
      <c r="H23" s="37" t="n">
        <f aca="false">IF($B23="","",COUNTIFS('全体集計(入力)触るな(大阪)'!$M$2:$M$501,$B23,'全体集計(入力)触るな(大阪)'!$L$2:$L$501,"決済",'全体集計(入力)触るな(大阪)'!$Q$2:$Q$501,"OK")+COUNTIFS('全体集計(入力)触るな(大阪)'!$M$2:$M$501,$B23,'全体集計(入力)触るな(大阪)'!$L$2:$L$501,"外人(決済)",'全体集計(入力)触るな(大阪)'!$Q$2:$Q$501,"OK"))</f>
        <v>0</v>
      </c>
      <c r="I23" s="37" t="n">
        <f aca="false">IF($B23="","",COUNTIFS('全体集計(入力)触るな(大阪)'!$M$2:$M$501,$B23,'全体集計(入力)触るな(大阪)'!$Q$2:$Q$501,"NG"))</f>
        <v>0</v>
      </c>
      <c r="J23" s="37" t="n">
        <f aca="false">IF($B23="","",COUNTIFS('全体集計(入力)触るな(大阪)'!$M$2:$M$501,$B23,'全体集計(入力)触るな(大阪)'!$V$2:$V$501,"リスケ"))</f>
        <v>0</v>
      </c>
      <c r="K23" s="37" t="n">
        <f aca="false">IF($B23="","",COUNTIFS('全体集計(入力)触るな(大阪)'!$M$2:$M$501,$B23,'全体集計(入力)触るな(大阪)'!$W$2:$W$501,"有効商談")+COUNTIFS('全体集計(入力)触るな(大阪)'!$M$2:$M$501,$B23,'全体集計(入力)触るな(大阪)'!$W$2:$W$501,"無効商談"))</f>
        <v>0</v>
      </c>
      <c r="L23" s="37" t="n">
        <f aca="false">IF($B23="","",COUNTIFS('全体集計(入力)触るな(大阪)'!$M$2:$M$501,$B23,'全体集計(入力)触るな(大阪)'!$W$2:$W$501,"有効商談"))</f>
        <v>0</v>
      </c>
      <c r="M23" s="37" t="n">
        <f aca="false">IF($B23="","",COUNTIFS('全体集計(入力)触るな(大阪)'!$M$2:$M$501,$B23,'全体集計(入力)触るな(大阪)'!$W$2:$W$501,"無効商談"))</f>
        <v>0</v>
      </c>
      <c r="N23" s="37" t="n">
        <f aca="false">IF($B23="","",COUNTIFS('全体集計(入力)触るな(大阪)'!$M$2:$M$501,$B23,'全体集計(入力)触るな(大阪)'!$AF$2:$AF$501,"商談キャンセル"))</f>
        <v>0</v>
      </c>
      <c r="O23" s="37" t="n">
        <f aca="false">IF($B23="","",COUNTIFS('全体集計(入力)触るな(大阪)'!$M$2:$M$501,$B23,'全体集計(入力)触るな(大阪)'!$Z$2:$Z$501,"決済者"))</f>
        <v>0</v>
      </c>
      <c r="P23" s="37" t="n">
        <f aca="false">IF($B23="","",COUNTIFS('全体集計(入力)触るな(大阪)'!$M$2:$M$501,$B23,'全体集計(入力)触るな(大阪)'!$AF$2:$AF$501,"失注"))</f>
        <v>0</v>
      </c>
      <c r="Q23" s="37" t="n">
        <f aca="false">IF($B23="","",COUNTIFS('全体集計(入力)触るな(大阪)'!$M$2:$M$501,$B23,'全体集計(入力)触るな(大阪)'!$W$2:$W$501,"有効商談",'全体集計(入力)触るな(大阪)'!$AF$2:$AF$501,"失注"))</f>
        <v>0</v>
      </c>
      <c r="R23" s="37" t="n">
        <f aca="false">IF($B23="","",COUNTIFS('全体集計(入力)触るな(大阪)'!$M$2:$M$501,$B23,'全体集計(入力)触るな(大阪)'!$W$2:$W$501,"有効商談",'全体集計(入力)触るな(大阪)'!$X$2:$X$501,"検討"))</f>
        <v>0</v>
      </c>
      <c r="S23" s="37" t="n">
        <f aca="false">IF($B23="","",COUNTIFS('全体集計(入力)触るな(大阪)'!$M$2:$M$501,$B23,'全体集計(入力)触るな(大阪)'!$AF$2:$AF$501,"受注"))</f>
        <v>0</v>
      </c>
      <c r="T23" s="37" t="n">
        <f aca="false">IF($B23="","",COUNTIFS('全体集計(入力)触るな(大阪)'!$M$2:$M$501,$B23,'全体集計(入力)触るな(大阪)'!$AC$2:$AC$501,"⚪︎"))</f>
        <v>0</v>
      </c>
      <c r="U23" s="38" t="n">
        <f aca="false">IF($B23="","",SUMIFS('全体集計(入力)触るな(大阪)'!$AD$2:$AD$501,'全体集計(入力)触るな(大阪)'!$M$2:$M$501,$B23,'全体集計(入力)触るな(大阪)'!$AF$2:$AF$501,"受注"))</f>
        <v>0</v>
      </c>
      <c r="V23" s="39" t="n">
        <f aca="false">IF($B23="","",INT(U23/10000))</f>
        <v>0</v>
      </c>
      <c r="W23" s="40" t="n">
        <f aca="true">IF($B23="","",SUMIFS(シフト入力!$N$2:$N$1501,シフト入力!$B$2:$B$1501,$B23,シフト入力!$A$2:$A$1501,"&lt;="&amp;TODAY()))</f>
        <v>0</v>
      </c>
      <c r="X23" s="41" t="n">
        <f aca="false">IF($B23="","",IFERROR(C23/W23,0))</f>
        <v>0</v>
      </c>
      <c r="Y23" s="42" t="n">
        <f aca="false">IF($B23="","",IFERROR(G23/C23,0))</f>
        <v>0</v>
      </c>
      <c r="Z23" s="42" t="n">
        <f aca="false">IF($B23="","",IFERROR(S23/C23,0))</f>
        <v>0</v>
      </c>
    </row>
    <row r="24" customFormat="false" ht="15" hidden="false" customHeight="false" outlineLevel="0" collapsed="false">
      <c r="B24" s="36" t="str">
        <f aca="false">IF(INDEX(マスタ!$A$2:$A$60,8)="","",INDEX(マスタ!$A$2:$A$60,8))</f>
        <v>CSアポ</v>
      </c>
      <c r="C24" s="37" t="n">
        <f aca="false">IF($B24="","",COUNTIFS('全体集計(入力)触るな(大阪)'!$M$2:$M$501,$B24,'全体集計(入力)触るな(大阪)'!$L$2:$L$501,"&lt;&gt;"))</f>
        <v>0</v>
      </c>
      <c r="D24" s="37" t="n">
        <f aca="false">IF($B24="","",COUNTIFS('全体集計(入力)触るな(大阪)'!$M$2:$M$501,$B24,'全体集計(入力)触るな(大阪)'!$L$2:$L$501,"決済")+COUNTIFS('全体集計(入力)触るな(大阪)'!$M$2:$M$501,$B24,'全体集計(入力)触るな(大阪)'!$L$2:$L$501,"外人(決済)"))</f>
        <v>0</v>
      </c>
      <c r="E24" s="37" t="n">
        <f aca="false">IF($B24="","",COUNTIFS('全体集計(入力)触るな(大阪)'!$M$2:$M$501,$B24,'全体集計(入力)触るな(大阪)'!$L$2:$L$501,"非決済")+COUNTIFS('全体集計(入力)触るな(大阪)'!$M$2:$M$501,$B24,'全体集計(入力)触るな(大阪)'!$L$2:$L$501,"外人(非決済)"))</f>
        <v>0</v>
      </c>
      <c r="F24" s="37" t="n">
        <f aca="false">IF($B24="","",COUNTIFS('全体集計(入力)触るな(大阪)'!$M$2:$M$501,$B24,'全体集計(入力)触るな(大阪)'!$L$2:$L$501,"外人(決済)")+COUNTIFS('全体集計(入力)触るな(大阪)'!$M$2:$M$501,$B24,'全体集計(入力)触るな(大阪)'!$L$2:$L$501,"外人(非決済)"))</f>
        <v>0</v>
      </c>
      <c r="G24" s="37" t="n">
        <f aca="false">IF($B24="","",COUNTIFS('全体集計(入力)触るな(大阪)'!$M$2:$M$501,$B24,'全体集計(入力)触るな(大阪)'!$Q$2:$Q$501,"OK"))</f>
        <v>0</v>
      </c>
      <c r="H24" s="37" t="n">
        <f aca="false">IF($B24="","",COUNTIFS('全体集計(入力)触るな(大阪)'!$M$2:$M$501,$B24,'全体集計(入力)触るな(大阪)'!$L$2:$L$501,"決済",'全体集計(入力)触るな(大阪)'!$Q$2:$Q$501,"OK")+COUNTIFS('全体集計(入力)触るな(大阪)'!$M$2:$M$501,$B24,'全体集計(入力)触るな(大阪)'!$L$2:$L$501,"外人(決済)",'全体集計(入力)触るな(大阪)'!$Q$2:$Q$501,"OK"))</f>
        <v>0</v>
      </c>
      <c r="I24" s="37" t="n">
        <f aca="false">IF($B24="","",COUNTIFS('全体集計(入力)触るな(大阪)'!$M$2:$M$501,$B24,'全体集計(入力)触るな(大阪)'!$Q$2:$Q$501,"NG"))</f>
        <v>0</v>
      </c>
      <c r="J24" s="37" t="n">
        <f aca="false">IF($B24="","",COUNTIFS('全体集計(入力)触るな(大阪)'!$M$2:$M$501,$B24,'全体集計(入力)触るな(大阪)'!$V$2:$V$501,"リスケ"))</f>
        <v>0</v>
      </c>
      <c r="K24" s="37" t="n">
        <f aca="false">IF($B24="","",COUNTIFS('全体集計(入力)触るな(大阪)'!$M$2:$M$501,$B24,'全体集計(入力)触るな(大阪)'!$W$2:$W$501,"有効商談")+COUNTIFS('全体集計(入力)触るな(大阪)'!$M$2:$M$501,$B24,'全体集計(入力)触るな(大阪)'!$W$2:$W$501,"無効商談"))</f>
        <v>0</v>
      </c>
      <c r="L24" s="37" t="n">
        <f aca="false">IF($B24="","",COUNTIFS('全体集計(入力)触るな(大阪)'!$M$2:$M$501,$B24,'全体集計(入力)触るな(大阪)'!$W$2:$W$501,"有効商談"))</f>
        <v>0</v>
      </c>
      <c r="M24" s="37" t="n">
        <f aca="false">IF($B24="","",COUNTIFS('全体集計(入力)触るな(大阪)'!$M$2:$M$501,$B24,'全体集計(入力)触るな(大阪)'!$W$2:$W$501,"無効商談"))</f>
        <v>0</v>
      </c>
      <c r="N24" s="37" t="n">
        <f aca="false">IF($B24="","",COUNTIFS('全体集計(入力)触るな(大阪)'!$M$2:$M$501,$B24,'全体集計(入力)触るな(大阪)'!$AF$2:$AF$501,"商談キャンセル"))</f>
        <v>0</v>
      </c>
      <c r="O24" s="37" t="n">
        <f aca="false">IF($B24="","",COUNTIFS('全体集計(入力)触るな(大阪)'!$M$2:$M$501,$B24,'全体集計(入力)触るな(大阪)'!$Z$2:$Z$501,"決済者"))</f>
        <v>0</v>
      </c>
      <c r="P24" s="37" t="n">
        <f aca="false">IF($B24="","",COUNTIFS('全体集計(入力)触るな(大阪)'!$M$2:$M$501,$B24,'全体集計(入力)触るな(大阪)'!$AF$2:$AF$501,"失注"))</f>
        <v>0</v>
      </c>
      <c r="Q24" s="37" t="n">
        <f aca="false">IF($B24="","",COUNTIFS('全体集計(入力)触るな(大阪)'!$M$2:$M$501,$B24,'全体集計(入力)触るな(大阪)'!$W$2:$W$501,"有効商談",'全体集計(入力)触るな(大阪)'!$AF$2:$AF$501,"失注"))</f>
        <v>0</v>
      </c>
      <c r="R24" s="37" t="n">
        <f aca="false">IF($B24="","",COUNTIFS('全体集計(入力)触るな(大阪)'!$M$2:$M$501,$B24,'全体集計(入力)触るな(大阪)'!$W$2:$W$501,"有効商談",'全体集計(入力)触るな(大阪)'!$X$2:$X$501,"検討"))</f>
        <v>0</v>
      </c>
      <c r="S24" s="37" t="n">
        <f aca="false">IF($B24="","",COUNTIFS('全体集計(入力)触るな(大阪)'!$M$2:$M$501,$B24,'全体集計(入力)触るな(大阪)'!$AF$2:$AF$501,"受注"))</f>
        <v>0</v>
      </c>
      <c r="T24" s="37" t="n">
        <f aca="false">IF($B24="","",COUNTIFS('全体集計(入力)触るな(大阪)'!$M$2:$M$501,$B24,'全体集計(入力)触るな(大阪)'!$AC$2:$AC$501,"⚪︎"))</f>
        <v>0</v>
      </c>
      <c r="U24" s="38" t="n">
        <f aca="false">IF($B24="","",SUMIFS('全体集計(入力)触るな(大阪)'!$AD$2:$AD$501,'全体集計(入力)触るな(大阪)'!$M$2:$M$501,$B24,'全体集計(入力)触るな(大阪)'!$AF$2:$AF$501,"受注"))</f>
        <v>0</v>
      </c>
      <c r="V24" s="39" t="n">
        <f aca="false">IF($B24="","",INT(U24/10000))</f>
        <v>0</v>
      </c>
      <c r="W24" s="40" t="n">
        <f aca="true">IF($B24="","",SUMIFS(シフト入力!$N$2:$N$1501,シフト入力!$B$2:$B$1501,$B24,シフト入力!$A$2:$A$1501,"&lt;="&amp;TODAY()))</f>
        <v>0</v>
      </c>
      <c r="X24" s="41" t="n">
        <f aca="false">IF($B24="","",IFERROR(C24/W24,0))</f>
        <v>0</v>
      </c>
      <c r="Y24" s="42" t="n">
        <f aca="false">IF($B24="","",IFERROR(G24/C24,0))</f>
        <v>0</v>
      </c>
      <c r="Z24" s="42" t="n">
        <f aca="false">IF($B24="","",IFERROR(S24/C24,0))</f>
        <v>0</v>
      </c>
    </row>
    <row r="25" customFormat="false" ht="15" hidden="false" customHeight="false" outlineLevel="0" collapsed="false">
      <c r="B25" s="36" t="str">
        <f aca="false">IF(INDEX(マスタ!$A$2:$A$60,9)="","",INDEX(マスタ!$A$2:$A$60,9))</f>
        <v>大場</v>
      </c>
      <c r="C25" s="37" t="n">
        <f aca="false">IF($B25="","",COUNTIFS('全体集計(入力)触るな(大阪)'!$M$2:$M$501,$B25,'全体集計(入力)触るな(大阪)'!$L$2:$L$501,"&lt;&gt;"))</f>
        <v>0</v>
      </c>
      <c r="D25" s="37" t="n">
        <f aca="false">IF($B25="","",COUNTIFS('全体集計(入力)触るな(大阪)'!$M$2:$M$501,$B25,'全体集計(入力)触るな(大阪)'!$L$2:$L$501,"決済")+COUNTIFS('全体集計(入力)触るな(大阪)'!$M$2:$M$501,$B25,'全体集計(入力)触るな(大阪)'!$L$2:$L$501,"外人(決済)"))</f>
        <v>0</v>
      </c>
      <c r="E25" s="37" t="n">
        <f aca="false">IF($B25="","",COUNTIFS('全体集計(入力)触るな(大阪)'!$M$2:$M$501,$B25,'全体集計(入力)触るな(大阪)'!$L$2:$L$501,"非決済")+COUNTIFS('全体集計(入力)触るな(大阪)'!$M$2:$M$501,$B25,'全体集計(入力)触るな(大阪)'!$L$2:$L$501,"外人(非決済)"))</f>
        <v>0</v>
      </c>
      <c r="F25" s="37" t="n">
        <f aca="false">IF($B25="","",COUNTIFS('全体集計(入力)触るな(大阪)'!$M$2:$M$501,$B25,'全体集計(入力)触るな(大阪)'!$L$2:$L$501,"外人(決済)")+COUNTIFS('全体集計(入力)触るな(大阪)'!$M$2:$M$501,$B25,'全体集計(入力)触るな(大阪)'!$L$2:$L$501,"外人(非決済)"))</f>
        <v>0</v>
      </c>
      <c r="G25" s="37" t="n">
        <f aca="false">IF($B25="","",COUNTIFS('全体集計(入力)触るな(大阪)'!$M$2:$M$501,$B25,'全体集計(入力)触るな(大阪)'!$Q$2:$Q$501,"OK"))</f>
        <v>0</v>
      </c>
      <c r="H25" s="37" t="n">
        <f aca="false">IF($B25="","",COUNTIFS('全体集計(入力)触るな(大阪)'!$M$2:$M$501,$B25,'全体集計(入力)触るな(大阪)'!$L$2:$L$501,"決済",'全体集計(入力)触るな(大阪)'!$Q$2:$Q$501,"OK")+COUNTIFS('全体集計(入力)触るな(大阪)'!$M$2:$M$501,$B25,'全体集計(入力)触るな(大阪)'!$L$2:$L$501,"外人(決済)",'全体集計(入力)触るな(大阪)'!$Q$2:$Q$501,"OK"))</f>
        <v>0</v>
      </c>
      <c r="I25" s="37" t="n">
        <f aca="false">IF($B25="","",COUNTIFS('全体集計(入力)触るな(大阪)'!$M$2:$M$501,$B25,'全体集計(入力)触るな(大阪)'!$Q$2:$Q$501,"NG"))</f>
        <v>0</v>
      </c>
      <c r="J25" s="37" t="n">
        <f aca="false">IF($B25="","",COUNTIFS('全体集計(入力)触るな(大阪)'!$M$2:$M$501,$B25,'全体集計(入力)触るな(大阪)'!$V$2:$V$501,"リスケ"))</f>
        <v>0</v>
      </c>
      <c r="K25" s="37" t="n">
        <f aca="false">IF($B25="","",COUNTIFS('全体集計(入力)触るな(大阪)'!$M$2:$M$501,$B25,'全体集計(入力)触るな(大阪)'!$W$2:$W$501,"有効商談")+COUNTIFS('全体集計(入力)触るな(大阪)'!$M$2:$M$501,$B25,'全体集計(入力)触るな(大阪)'!$W$2:$W$501,"無効商談"))</f>
        <v>0</v>
      </c>
      <c r="L25" s="37" t="n">
        <f aca="false">IF($B25="","",COUNTIFS('全体集計(入力)触るな(大阪)'!$M$2:$M$501,$B25,'全体集計(入力)触るな(大阪)'!$W$2:$W$501,"有効商談"))</f>
        <v>0</v>
      </c>
      <c r="M25" s="37" t="n">
        <f aca="false">IF($B25="","",COUNTIFS('全体集計(入力)触るな(大阪)'!$M$2:$M$501,$B25,'全体集計(入力)触るな(大阪)'!$W$2:$W$501,"無効商談"))</f>
        <v>0</v>
      </c>
      <c r="N25" s="37" t="n">
        <f aca="false">IF($B25="","",COUNTIFS('全体集計(入力)触るな(大阪)'!$M$2:$M$501,$B25,'全体集計(入力)触るな(大阪)'!$AF$2:$AF$501,"商談キャンセル"))</f>
        <v>0</v>
      </c>
      <c r="O25" s="37" t="n">
        <f aca="false">IF($B25="","",COUNTIFS('全体集計(入力)触るな(大阪)'!$M$2:$M$501,$B25,'全体集計(入力)触るな(大阪)'!$Z$2:$Z$501,"決済者"))</f>
        <v>0</v>
      </c>
      <c r="P25" s="37" t="n">
        <f aca="false">IF($B25="","",COUNTIFS('全体集計(入力)触るな(大阪)'!$M$2:$M$501,$B25,'全体集計(入力)触るな(大阪)'!$AF$2:$AF$501,"失注"))</f>
        <v>0</v>
      </c>
      <c r="Q25" s="37" t="n">
        <f aca="false">IF($B25="","",COUNTIFS('全体集計(入力)触るな(大阪)'!$M$2:$M$501,$B25,'全体集計(入力)触るな(大阪)'!$W$2:$W$501,"有効商談",'全体集計(入力)触るな(大阪)'!$AF$2:$AF$501,"失注"))</f>
        <v>0</v>
      </c>
      <c r="R25" s="37" t="n">
        <f aca="false">IF($B25="","",COUNTIFS('全体集計(入力)触るな(大阪)'!$M$2:$M$501,$B25,'全体集計(入力)触るな(大阪)'!$W$2:$W$501,"有効商談",'全体集計(入力)触るな(大阪)'!$X$2:$X$501,"検討"))</f>
        <v>0</v>
      </c>
      <c r="S25" s="37" t="n">
        <f aca="false">IF($B25="","",COUNTIFS('全体集計(入力)触るな(大阪)'!$M$2:$M$501,$B25,'全体集計(入力)触るな(大阪)'!$AF$2:$AF$501,"受注"))</f>
        <v>0</v>
      </c>
      <c r="T25" s="37" t="n">
        <f aca="false">IF($B25="","",COUNTIFS('全体集計(入力)触るな(大阪)'!$M$2:$M$501,$B25,'全体集計(入力)触るな(大阪)'!$AC$2:$AC$501,"⚪︎"))</f>
        <v>0</v>
      </c>
      <c r="U25" s="38" t="n">
        <f aca="false">IF($B25="","",SUMIFS('全体集計(入力)触るな(大阪)'!$AD$2:$AD$501,'全体集計(入力)触るな(大阪)'!$M$2:$M$501,$B25,'全体集計(入力)触るな(大阪)'!$AF$2:$AF$501,"受注"))</f>
        <v>0</v>
      </c>
      <c r="V25" s="39" t="n">
        <f aca="false">IF($B25="","",INT(U25/10000))</f>
        <v>0</v>
      </c>
      <c r="W25" s="40" t="n">
        <f aca="true">IF($B25="","",SUMIFS(シフト入力!$N$2:$N$1501,シフト入力!$B$2:$B$1501,$B25,シフト入力!$A$2:$A$1501,"&lt;="&amp;TODAY()))</f>
        <v>0</v>
      </c>
      <c r="X25" s="41" t="n">
        <f aca="false">IF($B25="","",IFERROR(C25/W25,0))</f>
        <v>0</v>
      </c>
      <c r="Y25" s="42" t="n">
        <f aca="false">IF($B25="","",IFERROR(G25/C25,0))</f>
        <v>0</v>
      </c>
      <c r="Z25" s="42" t="n">
        <f aca="false">IF($B25="","",IFERROR(S25/C25,0))</f>
        <v>0</v>
      </c>
    </row>
    <row r="26" customFormat="false" ht="15" hidden="false" customHeight="false" outlineLevel="0" collapsed="false">
      <c r="B26" s="36" t="str">
        <f aca="false">IF(INDEX(マスタ!$A$2:$A$60,10)="","",INDEX(マスタ!$A$2:$A$60,10))</f>
        <v>村上</v>
      </c>
      <c r="C26" s="37" t="n">
        <f aca="false">IF($B26="","",COUNTIFS('全体集計(入力)触るな(大阪)'!$M$2:$M$501,$B26,'全体集計(入力)触るな(大阪)'!$L$2:$L$501,"&lt;&gt;"))</f>
        <v>0</v>
      </c>
      <c r="D26" s="37" t="n">
        <f aca="false">IF($B26="","",COUNTIFS('全体集計(入力)触るな(大阪)'!$M$2:$M$501,$B26,'全体集計(入力)触るな(大阪)'!$L$2:$L$501,"決済")+COUNTIFS('全体集計(入力)触るな(大阪)'!$M$2:$M$501,$B26,'全体集計(入力)触るな(大阪)'!$L$2:$L$501,"外人(決済)"))</f>
        <v>0</v>
      </c>
      <c r="E26" s="37" t="n">
        <f aca="false">IF($B26="","",COUNTIFS('全体集計(入力)触るな(大阪)'!$M$2:$M$501,$B26,'全体集計(入力)触るな(大阪)'!$L$2:$L$501,"非決済")+COUNTIFS('全体集計(入力)触るな(大阪)'!$M$2:$M$501,$B26,'全体集計(入力)触るな(大阪)'!$L$2:$L$501,"外人(非決済)"))</f>
        <v>0</v>
      </c>
      <c r="F26" s="37" t="n">
        <f aca="false">IF($B26="","",COUNTIFS('全体集計(入力)触るな(大阪)'!$M$2:$M$501,$B26,'全体集計(入力)触るな(大阪)'!$L$2:$L$501,"外人(決済)")+COUNTIFS('全体集計(入力)触るな(大阪)'!$M$2:$M$501,$B26,'全体集計(入力)触るな(大阪)'!$L$2:$L$501,"外人(非決済)"))</f>
        <v>0</v>
      </c>
      <c r="G26" s="37" t="n">
        <f aca="false">IF($B26="","",COUNTIFS('全体集計(入力)触るな(大阪)'!$M$2:$M$501,$B26,'全体集計(入力)触るな(大阪)'!$Q$2:$Q$501,"OK"))</f>
        <v>0</v>
      </c>
      <c r="H26" s="37" t="n">
        <f aca="false">IF($B26="","",COUNTIFS('全体集計(入力)触るな(大阪)'!$M$2:$M$501,$B26,'全体集計(入力)触るな(大阪)'!$L$2:$L$501,"決済",'全体集計(入力)触るな(大阪)'!$Q$2:$Q$501,"OK")+COUNTIFS('全体集計(入力)触るな(大阪)'!$M$2:$M$501,$B26,'全体集計(入力)触るな(大阪)'!$L$2:$L$501,"外人(決済)",'全体集計(入力)触るな(大阪)'!$Q$2:$Q$501,"OK"))</f>
        <v>0</v>
      </c>
      <c r="I26" s="37" t="n">
        <f aca="false">IF($B26="","",COUNTIFS('全体集計(入力)触るな(大阪)'!$M$2:$M$501,$B26,'全体集計(入力)触るな(大阪)'!$Q$2:$Q$501,"NG"))</f>
        <v>0</v>
      </c>
      <c r="J26" s="37" t="n">
        <f aca="false">IF($B26="","",COUNTIFS('全体集計(入力)触るな(大阪)'!$M$2:$M$501,$B26,'全体集計(入力)触るな(大阪)'!$V$2:$V$501,"リスケ"))</f>
        <v>0</v>
      </c>
      <c r="K26" s="37" t="n">
        <f aca="false">IF($B26="","",COUNTIFS('全体集計(入力)触るな(大阪)'!$M$2:$M$501,$B26,'全体集計(入力)触るな(大阪)'!$W$2:$W$501,"有効商談")+COUNTIFS('全体集計(入力)触るな(大阪)'!$M$2:$M$501,$B26,'全体集計(入力)触るな(大阪)'!$W$2:$W$501,"無効商談"))</f>
        <v>0</v>
      </c>
      <c r="L26" s="37" t="n">
        <f aca="false">IF($B26="","",COUNTIFS('全体集計(入力)触るな(大阪)'!$M$2:$M$501,$B26,'全体集計(入力)触るな(大阪)'!$W$2:$W$501,"有効商談"))</f>
        <v>0</v>
      </c>
      <c r="M26" s="37" t="n">
        <f aca="false">IF($B26="","",COUNTIFS('全体集計(入力)触るな(大阪)'!$M$2:$M$501,$B26,'全体集計(入力)触るな(大阪)'!$W$2:$W$501,"無効商談"))</f>
        <v>0</v>
      </c>
      <c r="N26" s="37" t="n">
        <f aca="false">IF($B26="","",COUNTIFS('全体集計(入力)触るな(大阪)'!$M$2:$M$501,$B26,'全体集計(入力)触るな(大阪)'!$AF$2:$AF$501,"商談キャンセル"))</f>
        <v>0</v>
      </c>
      <c r="O26" s="37" t="n">
        <f aca="false">IF($B26="","",COUNTIFS('全体集計(入力)触るな(大阪)'!$M$2:$M$501,$B26,'全体集計(入力)触るな(大阪)'!$Z$2:$Z$501,"決済者"))</f>
        <v>0</v>
      </c>
      <c r="P26" s="37" t="n">
        <f aca="false">IF($B26="","",COUNTIFS('全体集計(入力)触るな(大阪)'!$M$2:$M$501,$B26,'全体集計(入力)触るな(大阪)'!$AF$2:$AF$501,"失注"))</f>
        <v>0</v>
      </c>
      <c r="Q26" s="37" t="n">
        <f aca="false">IF($B26="","",COUNTIFS('全体集計(入力)触るな(大阪)'!$M$2:$M$501,$B26,'全体集計(入力)触るな(大阪)'!$W$2:$W$501,"有効商談",'全体集計(入力)触るな(大阪)'!$AF$2:$AF$501,"失注"))</f>
        <v>0</v>
      </c>
      <c r="R26" s="37" t="n">
        <f aca="false">IF($B26="","",COUNTIFS('全体集計(入力)触るな(大阪)'!$M$2:$M$501,$B26,'全体集計(入力)触るな(大阪)'!$W$2:$W$501,"有効商談",'全体集計(入力)触るな(大阪)'!$X$2:$X$501,"検討"))</f>
        <v>0</v>
      </c>
      <c r="S26" s="37" t="n">
        <f aca="false">IF($B26="","",COUNTIFS('全体集計(入力)触るな(大阪)'!$M$2:$M$501,$B26,'全体集計(入力)触るな(大阪)'!$AF$2:$AF$501,"受注"))</f>
        <v>0</v>
      </c>
      <c r="T26" s="37" t="n">
        <f aca="false">IF($B26="","",COUNTIFS('全体集計(入力)触るな(大阪)'!$M$2:$M$501,$B26,'全体集計(入力)触るな(大阪)'!$AC$2:$AC$501,"⚪︎"))</f>
        <v>0</v>
      </c>
      <c r="U26" s="38" t="n">
        <f aca="false">IF($B26="","",SUMIFS('全体集計(入力)触るな(大阪)'!$AD$2:$AD$501,'全体集計(入力)触るな(大阪)'!$M$2:$M$501,$B26,'全体集計(入力)触るな(大阪)'!$AF$2:$AF$501,"受注"))</f>
        <v>0</v>
      </c>
      <c r="V26" s="39" t="n">
        <f aca="false">IF($B26="","",INT(U26/10000))</f>
        <v>0</v>
      </c>
      <c r="W26" s="40" t="n">
        <f aca="true">IF($B26="","",SUMIFS(シフト入力!$N$2:$N$1501,シフト入力!$B$2:$B$1501,$B26,シフト入力!$A$2:$A$1501,"&lt;="&amp;TODAY()))</f>
        <v>0</v>
      </c>
      <c r="X26" s="41" t="n">
        <f aca="false">IF($B26="","",IFERROR(C26/W26,0))</f>
        <v>0</v>
      </c>
      <c r="Y26" s="42" t="n">
        <f aca="false">IF($B26="","",IFERROR(G26/C26,0))</f>
        <v>0</v>
      </c>
      <c r="Z26" s="42" t="n">
        <f aca="false">IF($B26="","",IFERROR(S26/C26,0))</f>
        <v>0</v>
      </c>
    </row>
    <row r="27" customFormat="false" ht="15" hidden="false" customHeight="false" outlineLevel="0" collapsed="false">
      <c r="B27" s="36" t="str">
        <f aca="false">IF(INDEX(マスタ!$A$2:$A$60,11)="","",INDEX(マスタ!$A$2:$A$60,11))</f>
        <v>谷川(ゆ)</v>
      </c>
      <c r="C27" s="37" t="n">
        <f aca="false">IF($B27="","",COUNTIFS('全体集計(入力)触るな(大阪)'!$M$2:$M$501,$B27,'全体集計(入力)触るな(大阪)'!$L$2:$L$501,"&lt;&gt;"))</f>
        <v>0</v>
      </c>
      <c r="D27" s="37" t="n">
        <f aca="false">IF($B27="","",COUNTIFS('全体集計(入力)触るな(大阪)'!$M$2:$M$501,$B27,'全体集計(入力)触るな(大阪)'!$L$2:$L$501,"決済")+COUNTIFS('全体集計(入力)触るな(大阪)'!$M$2:$M$501,$B27,'全体集計(入力)触るな(大阪)'!$L$2:$L$501,"外人(決済)"))</f>
        <v>0</v>
      </c>
      <c r="E27" s="37" t="n">
        <f aca="false">IF($B27="","",COUNTIFS('全体集計(入力)触るな(大阪)'!$M$2:$M$501,$B27,'全体集計(入力)触るな(大阪)'!$L$2:$L$501,"非決済")+COUNTIFS('全体集計(入力)触るな(大阪)'!$M$2:$M$501,$B27,'全体集計(入力)触るな(大阪)'!$L$2:$L$501,"外人(非決済)"))</f>
        <v>0</v>
      </c>
      <c r="F27" s="37" t="n">
        <f aca="false">IF($B27="","",COUNTIFS('全体集計(入力)触るな(大阪)'!$M$2:$M$501,$B27,'全体集計(入力)触るな(大阪)'!$L$2:$L$501,"外人(決済)")+COUNTIFS('全体集計(入力)触るな(大阪)'!$M$2:$M$501,$B27,'全体集計(入力)触るな(大阪)'!$L$2:$L$501,"外人(非決済)"))</f>
        <v>0</v>
      </c>
      <c r="G27" s="37" t="n">
        <f aca="false">IF($B27="","",COUNTIFS('全体集計(入力)触るな(大阪)'!$M$2:$M$501,$B27,'全体集計(入力)触るな(大阪)'!$Q$2:$Q$501,"OK"))</f>
        <v>0</v>
      </c>
      <c r="H27" s="37" t="n">
        <f aca="false">IF($B27="","",COUNTIFS('全体集計(入力)触るな(大阪)'!$M$2:$M$501,$B27,'全体集計(入力)触るな(大阪)'!$L$2:$L$501,"決済",'全体集計(入力)触るな(大阪)'!$Q$2:$Q$501,"OK")+COUNTIFS('全体集計(入力)触るな(大阪)'!$M$2:$M$501,$B27,'全体集計(入力)触るな(大阪)'!$L$2:$L$501,"外人(決済)",'全体集計(入力)触るな(大阪)'!$Q$2:$Q$501,"OK"))</f>
        <v>0</v>
      </c>
      <c r="I27" s="37" t="n">
        <f aca="false">IF($B27="","",COUNTIFS('全体集計(入力)触るな(大阪)'!$M$2:$M$501,$B27,'全体集計(入力)触るな(大阪)'!$Q$2:$Q$501,"NG"))</f>
        <v>0</v>
      </c>
      <c r="J27" s="37" t="n">
        <f aca="false">IF($B27="","",COUNTIFS('全体集計(入力)触るな(大阪)'!$M$2:$M$501,$B27,'全体集計(入力)触るな(大阪)'!$V$2:$V$501,"リスケ"))</f>
        <v>0</v>
      </c>
      <c r="K27" s="37" t="n">
        <f aca="false">IF($B27="","",COUNTIFS('全体集計(入力)触るな(大阪)'!$M$2:$M$501,$B27,'全体集計(入力)触るな(大阪)'!$W$2:$W$501,"有効商談")+COUNTIFS('全体集計(入力)触るな(大阪)'!$M$2:$M$501,$B27,'全体集計(入力)触るな(大阪)'!$W$2:$W$501,"無効商談"))</f>
        <v>0</v>
      </c>
      <c r="L27" s="37" t="n">
        <f aca="false">IF($B27="","",COUNTIFS('全体集計(入力)触るな(大阪)'!$M$2:$M$501,$B27,'全体集計(入力)触るな(大阪)'!$W$2:$W$501,"有効商談"))</f>
        <v>0</v>
      </c>
      <c r="M27" s="37" t="n">
        <f aca="false">IF($B27="","",COUNTIFS('全体集計(入力)触るな(大阪)'!$M$2:$M$501,$B27,'全体集計(入力)触るな(大阪)'!$W$2:$W$501,"無効商談"))</f>
        <v>0</v>
      </c>
      <c r="N27" s="37" t="n">
        <f aca="false">IF($B27="","",COUNTIFS('全体集計(入力)触るな(大阪)'!$M$2:$M$501,$B27,'全体集計(入力)触るな(大阪)'!$AF$2:$AF$501,"商談キャンセル"))</f>
        <v>0</v>
      </c>
      <c r="O27" s="37" t="n">
        <f aca="false">IF($B27="","",COUNTIFS('全体集計(入力)触るな(大阪)'!$M$2:$M$501,$B27,'全体集計(入力)触るな(大阪)'!$Z$2:$Z$501,"決済者"))</f>
        <v>0</v>
      </c>
      <c r="P27" s="37" t="n">
        <f aca="false">IF($B27="","",COUNTIFS('全体集計(入力)触るな(大阪)'!$M$2:$M$501,$B27,'全体集計(入力)触るな(大阪)'!$AF$2:$AF$501,"失注"))</f>
        <v>0</v>
      </c>
      <c r="Q27" s="37" t="n">
        <f aca="false">IF($B27="","",COUNTIFS('全体集計(入力)触るな(大阪)'!$M$2:$M$501,$B27,'全体集計(入力)触るな(大阪)'!$W$2:$W$501,"有効商談",'全体集計(入力)触るな(大阪)'!$AF$2:$AF$501,"失注"))</f>
        <v>0</v>
      </c>
      <c r="R27" s="37" t="n">
        <f aca="false">IF($B27="","",COUNTIFS('全体集計(入力)触るな(大阪)'!$M$2:$M$501,$B27,'全体集計(入力)触るな(大阪)'!$W$2:$W$501,"有効商談",'全体集計(入力)触るな(大阪)'!$X$2:$X$501,"検討"))</f>
        <v>0</v>
      </c>
      <c r="S27" s="37" t="n">
        <f aca="false">IF($B27="","",COUNTIFS('全体集計(入力)触るな(大阪)'!$M$2:$M$501,$B27,'全体集計(入力)触るな(大阪)'!$AF$2:$AF$501,"受注"))</f>
        <v>0</v>
      </c>
      <c r="T27" s="37" t="n">
        <f aca="false">IF($B27="","",COUNTIFS('全体集計(入力)触るな(大阪)'!$M$2:$M$501,$B27,'全体集計(入力)触るな(大阪)'!$AC$2:$AC$501,"⚪︎"))</f>
        <v>0</v>
      </c>
      <c r="U27" s="38" t="n">
        <f aca="false">IF($B27="","",SUMIFS('全体集計(入力)触るな(大阪)'!$AD$2:$AD$501,'全体集計(入力)触るな(大阪)'!$M$2:$M$501,$B27,'全体集計(入力)触るな(大阪)'!$AF$2:$AF$501,"受注"))</f>
        <v>0</v>
      </c>
      <c r="V27" s="39" t="n">
        <f aca="false">IF($B27="","",INT(U27/10000))</f>
        <v>0</v>
      </c>
      <c r="W27" s="40" t="n">
        <f aca="true">IF($B27="","",SUMIFS(シフト入力!$N$2:$N$1501,シフト入力!$B$2:$B$1501,$B27,シフト入力!$A$2:$A$1501,"&lt;="&amp;TODAY()))</f>
        <v>0</v>
      </c>
      <c r="X27" s="41" t="n">
        <f aca="false">IF($B27="","",IFERROR(C27/W27,0))</f>
        <v>0</v>
      </c>
      <c r="Y27" s="42" t="n">
        <f aca="false">IF($B27="","",IFERROR(G27/C27,0))</f>
        <v>0</v>
      </c>
      <c r="Z27" s="42" t="n">
        <f aca="false">IF($B27="","",IFERROR(S27/C27,0))</f>
        <v>0</v>
      </c>
    </row>
    <row r="28" customFormat="false" ht="15" hidden="false" customHeight="false" outlineLevel="0" collapsed="false">
      <c r="B28" s="36" t="str">
        <f aca="false">IF(INDEX(マスタ!$A$2:$A$60,12)="","",INDEX(マスタ!$A$2:$A$60,12))</f>
        <v>金本</v>
      </c>
      <c r="C28" s="37" t="n">
        <f aca="false">IF($B28="","",COUNTIFS('全体集計(入力)触るな(大阪)'!$M$2:$M$501,$B28,'全体集計(入力)触るな(大阪)'!$L$2:$L$501,"&lt;&gt;"))</f>
        <v>0</v>
      </c>
      <c r="D28" s="37" t="n">
        <f aca="false">IF($B28="","",COUNTIFS('全体集計(入力)触るな(大阪)'!$M$2:$M$501,$B28,'全体集計(入力)触るな(大阪)'!$L$2:$L$501,"決済")+COUNTIFS('全体集計(入力)触るな(大阪)'!$M$2:$M$501,$B28,'全体集計(入力)触るな(大阪)'!$L$2:$L$501,"外人(決済)"))</f>
        <v>0</v>
      </c>
      <c r="E28" s="37" t="n">
        <f aca="false">IF($B28="","",COUNTIFS('全体集計(入力)触るな(大阪)'!$M$2:$M$501,$B28,'全体集計(入力)触るな(大阪)'!$L$2:$L$501,"非決済")+COUNTIFS('全体集計(入力)触るな(大阪)'!$M$2:$M$501,$B28,'全体集計(入力)触るな(大阪)'!$L$2:$L$501,"外人(非決済)"))</f>
        <v>0</v>
      </c>
      <c r="F28" s="37" t="n">
        <f aca="false">IF($B28="","",COUNTIFS('全体集計(入力)触るな(大阪)'!$M$2:$M$501,$B28,'全体集計(入力)触るな(大阪)'!$L$2:$L$501,"外人(決済)")+COUNTIFS('全体集計(入力)触るな(大阪)'!$M$2:$M$501,$B28,'全体集計(入力)触るな(大阪)'!$L$2:$L$501,"外人(非決済)"))</f>
        <v>0</v>
      </c>
      <c r="G28" s="37" t="n">
        <f aca="false">IF($B28="","",COUNTIFS('全体集計(入力)触るな(大阪)'!$M$2:$M$501,$B28,'全体集計(入力)触るな(大阪)'!$Q$2:$Q$501,"OK"))</f>
        <v>0</v>
      </c>
      <c r="H28" s="37" t="n">
        <f aca="false">IF($B28="","",COUNTIFS('全体集計(入力)触るな(大阪)'!$M$2:$M$501,$B28,'全体集計(入力)触るな(大阪)'!$L$2:$L$501,"決済",'全体集計(入力)触るな(大阪)'!$Q$2:$Q$501,"OK")+COUNTIFS('全体集計(入力)触るな(大阪)'!$M$2:$M$501,$B28,'全体集計(入力)触るな(大阪)'!$L$2:$L$501,"外人(決済)",'全体集計(入力)触るな(大阪)'!$Q$2:$Q$501,"OK"))</f>
        <v>0</v>
      </c>
      <c r="I28" s="37" t="n">
        <f aca="false">IF($B28="","",COUNTIFS('全体集計(入力)触るな(大阪)'!$M$2:$M$501,$B28,'全体集計(入力)触るな(大阪)'!$Q$2:$Q$501,"NG"))</f>
        <v>0</v>
      </c>
      <c r="J28" s="37" t="n">
        <f aca="false">IF($B28="","",COUNTIFS('全体集計(入力)触るな(大阪)'!$M$2:$M$501,$B28,'全体集計(入力)触るな(大阪)'!$V$2:$V$501,"リスケ"))</f>
        <v>0</v>
      </c>
      <c r="K28" s="37" t="n">
        <f aca="false">IF($B28="","",COUNTIFS('全体集計(入力)触るな(大阪)'!$M$2:$M$501,$B28,'全体集計(入力)触るな(大阪)'!$W$2:$W$501,"有効商談")+COUNTIFS('全体集計(入力)触るな(大阪)'!$M$2:$M$501,$B28,'全体集計(入力)触るな(大阪)'!$W$2:$W$501,"無効商談"))</f>
        <v>0</v>
      </c>
      <c r="L28" s="37" t="n">
        <f aca="false">IF($B28="","",COUNTIFS('全体集計(入力)触るな(大阪)'!$M$2:$M$501,$B28,'全体集計(入力)触るな(大阪)'!$W$2:$W$501,"有効商談"))</f>
        <v>0</v>
      </c>
      <c r="M28" s="37" t="n">
        <f aca="false">IF($B28="","",COUNTIFS('全体集計(入力)触るな(大阪)'!$M$2:$M$501,$B28,'全体集計(入力)触るな(大阪)'!$W$2:$W$501,"無効商談"))</f>
        <v>0</v>
      </c>
      <c r="N28" s="37" t="n">
        <f aca="false">IF($B28="","",COUNTIFS('全体集計(入力)触るな(大阪)'!$M$2:$M$501,$B28,'全体集計(入力)触るな(大阪)'!$AF$2:$AF$501,"商談キャンセル"))</f>
        <v>0</v>
      </c>
      <c r="O28" s="37" t="n">
        <f aca="false">IF($B28="","",COUNTIFS('全体集計(入力)触るな(大阪)'!$M$2:$M$501,$B28,'全体集計(入力)触るな(大阪)'!$Z$2:$Z$501,"決済者"))</f>
        <v>0</v>
      </c>
      <c r="P28" s="37" t="n">
        <f aca="false">IF($B28="","",COUNTIFS('全体集計(入力)触るな(大阪)'!$M$2:$M$501,$B28,'全体集計(入力)触るな(大阪)'!$AF$2:$AF$501,"失注"))</f>
        <v>0</v>
      </c>
      <c r="Q28" s="37" t="n">
        <f aca="false">IF($B28="","",COUNTIFS('全体集計(入力)触るな(大阪)'!$M$2:$M$501,$B28,'全体集計(入力)触るな(大阪)'!$W$2:$W$501,"有効商談",'全体集計(入力)触るな(大阪)'!$AF$2:$AF$501,"失注"))</f>
        <v>0</v>
      </c>
      <c r="R28" s="37" t="n">
        <f aca="false">IF($B28="","",COUNTIFS('全体集計(入力)触るな(大阪)'!$M$2:$M$501,$B28,'全体集計(入力)触るな(大阪)'!$W$2:$W$501,"有効商談",'全体集計(入力)触るな(大阪)'!$X$2:$X$501,"検討"))</f>
        <v>0</v>
      </c>
      <c r="S28" s="37" t="n">
        <f aca="false">IF($B28="","",COUNTIFS('全体集計(入力)触るな(大阪)'!$M$2:$M$501,$B28,'全体集計(入力)触るな(大阪)'!$AF$2:$AF$501,"受注"))</f>
        <v>0</v>
      </c>
      <c r="T28" s="37" t="n">
        <f aca="false">IF($B28="","",COUNTIFS('全体集計(入力)触るな(大阪)'!$M$2:$M$501,$B28,'全体集計(入力)触るな(大阪)'!$AC$2:$AC$501,"⚪︎"))</f>
        <v>0</v>
      </c>
      <c r="U28" s="38" t="n">
        <f aca="false">IF($B28="","",SUMIFS('全体集計(入力)触るな(大阪)'!$AD$2:$AD$501,'全体集計(入力)触るな(大阪)'!$M$2:$M$501,$B28,'全体集計(入力)触るな(大阪)'!$AF$2:$AF$501,"受注"))</f>
        <v>0</v>
      </c>
      <c r="V28" s="39" t="n">
        <f aca="false">IF($B28="","",INT(U28/10000))</f>
        <v>0</v>
      </c>
      <c r="W28" s="40" t="n">
        <f aca="true">IF($B28="","",SUMIFS(シフト入力!$N$2:$N$1501,シフト入力!$B$2:$B$1501,$B28,シフト入力!$A$2:$A$1501,"&lt;="&amp;TODAY()))</f>
        <v>0</v>
      </c>
      <c r="X28" s="41" t="n">
        <f aca="false">IF($B28="","",IFERROR(C28/W28,0))</f>
        <v>0</v>
      </c>
      <c r="Y28" s="42" t="n">
        <f aca="false">IF($B28="","",IFERROR(G28/C28,0))</f>
        <v>0</v>
      </c>
      <c r="Z28" s="42" t="n">
        <f aca="false">IF($B28="","",IFERROR(S28/C28,0))</f>
        <v>0</v>
      </c>
    </row>
    <row r="29" customFormat="false" ht="15" hidden="false" customHeight="false" outlineLevel="0" collapsed="false">
      <c r="B29" s="36" t="str">
        <f aca="false">IF(INDEX(マスタ!$A$2:$A$60,13)="","",INDEX(マスタ!$A$2:$A$60,13))</f>
        <v>岩本</v>
      </c>
      <c r="C29" s="37" t="n">
        <f aca="false">IF($B29="","",COUNTIFS('全体集計(入力)触るな(大阪)'!$M$2:$M$501,$B29,'全体集計(入力)触るな(大阪)'!$L$2:$L$501,"&lt;&gt;"))</f>
        <v>0</v>
      </c>
      <c r="D29" s="37" t="n">
        <f aca="false">IF($B29="","",COUNTIFS('全体集計(入力)触るな(大阪)'!$M$2:$M$501,$B29,'全体集計(入力)触るな(大阪)'!$L$2:$L$501,"決済")+COUNTIFS('全体集計(入力)触るな(大阪)'!$M$2:$M$501,$B29,'全体集計(入力)触るな(大阪)'!$L$2:$L$501,"外人(決済)"))</f>
        <v>0</v>
      </c>
      <c r="E29" s="37" t="n">
        <f aca="false">IF($B29="","",COUNTIFS('全体集計(入力)触るな(大阪)'!$M$2:$M$501,$B29,'全体集計(入力)触るな(大阪)'!$L$2:$L$501,"非決済")+COUNTIFS('全体集計(入力)触るな(大阪)'!$M$2:$M$501,$B29,'全体集計(入力)触るな(大阪)'!$L$2:$L$501,"外人(非決済)"))</f>
        <v>0</v>
      </c>
      <c r="F29" s="37" t="n">
        <f aca="false">IF($B29="","",COUNTIFS('全体集計(入力)触るな(大阪)'!$M$2:$M$501,$B29,'全体集計(入力)触るな(大阪)'!$L$2:$L$501,"外人(決済)")+COUNTIFS('全体集計(入力)触るな(大阪)'!$M$2:$M$501,$B29,'全体集計(入力)触るな(大阪)'!$L$2:$L$501,"外人(非決済)"))</f>
        <v>0</v>
      </c>
      <c r="G29" s="37" t="n">
        <f aca="false">IF($B29="","",COUNTIFS('全体集計(入力)触るな(大阪)'!$M$2:$M$501,$B29,'全体集計(入力)触るな(大阪)'!$Q$2:$Q$501,"OK"))</f>
        <v>0</v>
      </c>
      <c r="H29" s="37" t="n">
        <f aca="false">IF($B29="","",COUNTIFS('全体集計(入力)触るな(大阪)'!$M$2:$M$501,$B29,'全体集計(入力)触るな(大阪)'!$L$2:$L$501,"決済",'全体集計(入力)触るな(大阪)'!$Q$2:$Q$501,"OK")+COUNTIFS('全体集計(入力)触るな(大阪)'!$M$2:$M$501,$B29,'全体集計(入力)触るな(大阪)'!$L$2:$L$501,"外人(決済)",'全体集計(入力)触るな(大阪)'!$Q$2:$Q$501,"OK"))</f>
        <v>0</v>
      </c>
      <c r="I29" s="37" t="n">
        <f aca="false">IF($B29="","",COUNTIFS('全体集計(入力)触るな(大阪)'!$M$2:$M$501,$B29,'全体集計(入力)触るな(大阪)'!$Q$2:$Q$501,"NG"))</f>
        <v>0</v>
      </c>
      <c r="J29" s="37" t="n">
        <f aca="false">IF($B29="","",COUNTIFS('全体集計(入力)触るな(大阪)'!$M$2:$M$501,$B29,'全体集計(入力)触るな(大阪)'!$V$2:$V$501,"リスケ"))</f>
        <v>0</v>
      </c>
      <c r="K29" s="37" t="n">
        <f aca="false">IF($B29="","",COUNTIFS('全体集計(入力)触るな(大阪)'!$M$2:$M$501,$B29,'全体集計(入力)触るな(大阪)'!$W$2:$W$501,"有効商談")+COUNTIFS('全体集計(入力)触るな(大阪)'!$M$2:$M$501,$B29,'全体集計(入力)触るな(大阪)'!$W$2:$W$501,"無効商談"))</f>
        <v>0</v>
      </c>
      <c r="L29" s="37" t="n">
        <f aca="false">IF($B29="","",COUNTIFS('全体集計(入力)触るな(大阪)'!$M$2:$M$501,$B29,'全体集計(入力)触るな(大阪)'!$W$2:$W$501,"有効商談"))</f>
        <v>0</v>
      </c>
      <c r="M29" s="37" t="n">
        <f aca="false">IF($B29="","",COUNTIFS('全体集計(入力)触るな(大阪)'!$M$2:$M$501,$B29,'全体集計(入力)触るな(大阪)'!$W$2:$W$501,"無効商談"))</f>
        <v>0</v>
      </c>
      <c r="N29" s="37" t="n">
        <f aca="false">IF($B29="","",COUNTIFS('全体集計(入力)触るな(大阪)'!$M$2:$M$501,$B29,'全体集計(入力)触るな(大阪)'!$AF$2:$AF$501,"商談キャンセル"))</f>
        <v>0</v>
      </c>
      <c r="O29" s="37" t="n">
        <f aca="false">IF($B29="","",COUNTIFS('全体集計(入力)触るな(大阪)'!$M$2:$M$501,$B29,'全体集計(入力)触るな(大阪)'!$Z$2:$Z$501,"決済者"))</f>
        <v>0</v>
      </c>
      <c r="P29" s="37" t="n">
        <f aca="false">IF($B29="","",COUNTIFS('全体集計(入力)触るな(大阪)'!$M$2:$M$501,$B29,'全体集計(入力)触るな(大阪)'!$AF$2:$AF$501,"失注"))</f>
        <v>0</v>
      </c>
      <c r="Q29" s="37" t="n">
        <f aca="false">IF($B29="","",COUNTIFS('全体集計(入力)触るな(大阪)'!$M$2:$M$501,$B29,'全体集計(入力)触るな(大阪)'!$W$2:$W$501,"有効商談",'全体集計(入力)触るな(大阪)'!$AF$2:$AF$501,"失注"))</f>
        <v>0</v>
      </c>
      <c r="R29" s="37" t="n">
        <f aca="false">IF($B29="","",COUNTIFS('全体集計(入力)触るな(大阪)'!$M$2:$M$501,$B29,'全体集計(入力)触るな(大阪)'!$W$2:$W$501,"有効商談",'全体集計(入力)触るな(大阪)'!$X$2:$X$501,"検討"))</f>
        <v>0</v>
      </c>
      <c r="S29" s="37" t="n">
        <f aca="false">IF($B29="","",COUNTIFS('全体集計(入力)触るな(大阪)'!$M$2:$M$501,$B29,'全体集計(入力)触るな(大阪)'!$AF$2:$AF$501,"受注"))</f>
        <v>0</v>
      </c>
      <c r="T29" s="37" t="n">
        <f aca="false">IF($B29="","",COUNTIFS('全体集計(入力)触るな(大阪)'!$M$2:$M$501,$B29,'全体集計(入力)触るな(大阪)'!$AC$2:$AC$501,"⚪︎"))</f>
        <v>0</v>
      </c>
      <c r="U29" s="38" t="n">
        <f aca="false">IF($B29="","",SUMIFS('全体集計(入力)触るな(大阪)'!$AD$2:$AD$501,'全体集計(入力)触るな(大阪)'!$M$2:$M$501,$B29,'全体集計(入力)触るな(大阪)'!$AF$2:$AF$501,"受注"))</f>
        <v>0</v>
      </c>
      <c r="V29" s="39" t="n">
        <f aca="false">IF($B29="","",INT(U29/10000))</f>
        <v>0</v>
      </c>
      <c r="W29" s="40" t="n">
        <f aca="true">IF($B29="","",SUMIFS(シフト入力!$N$2:$N$1501,シフト入力!$B$2:$B$1501,$B29,シフト入力!$A$2:$A$1501,"&lt;="&amp;TODAY()))</f>
        <v>0</v>
      </c>
      <c r="X29" s="41" t="n">
        <f aca="false">IF($B29="","",IFERROR(C29/W29,0))</f>
        <v>0</v>
      </c>
      <c r="Y29" s="42" t="n">
        <f aca="false">IF($B29="","",IFERROR(G29/C29,0))</f>
        <v>0</v>
      </c>
      <c r="Z29" s="42" t="n">
        <f aca="false">IF($B29="","",IFERROR(S29/C29,0))</f>
        <v>0</v>
      </c>
    </row>
    <row r="30" customFormat="false" ht="15" hidden="false" customHeight="false" outlineLevel="0" collapsed="false">
      <c r="B30" s="36" t="str">
        <f aca="false">IF(INDEX(マスタ!$A$2:$A$60,14)="","",INDEX(マスタ!$A$2:$A$60,14))</f>
        <v>谷川(と)</v>
      </c>
      <c r="C30" s="37" t="n">
        <f aca="false">IF($B30="","",COUNTIFS('全体集計(入力)触るな(大阪)'!$M$2:$M$501,$B30,'全体集計(入力)触るな(大阪)'!$L$2:$L$501,"&lt;&gt;"))</f>
        <v>0</v>
      </c>
      <c r="D30" s="37" t="n">
        <f aca="false">IF($B30="","",COUNTIFS('全体集計(入力)触るな(大阪)'!$M$2:$M$501,$B30,'全体集計(入力)触るな(大阪)'!$L$2:$L$501,"決済")+COUNTIFS('全体集計(入力)触るな(大阪)'!$M$2:$M$501,$B30,'全体集計(入力)触るな(大阪)'!$L$2:$L$501,"外人(決済)"))</f>
        <v>0</v>
      </c>
      <c r="E30" s="37" t="n">
        <f aca="false">IF($B30="","",COUNTIFS('全体集計(入力)触るな(大阪)'!$M$2:$M$501,$B30,'全体集計(入力)触るな(大阪)'!$L$2:$L$501,"非決済")+COUNTIFS('全体集計(入力)触るな(大阪)'!$M$2:$M$501,$B30,'全体集計(入力)触るな(大阪)'!$L$2:$L$501,"外人(非決済)"))</f>
        <v>0</v>
      </c>
      <c r="F30" s="37" t="n">
        <f aca="false">IF($B30="","",COUNTIFS('全体集計(入力)触るな(大阪)'!$M$2:$M$501,$B30,'全体集計(入力)触るな(大阪)'!$L$2:$L$501,"外人(決済)")+COUNTIFS('全体集計(入力)触るな(大阪)'!$M$2:$M$501,$B30,'全体集計(入力)触るな(大阪)'!$L$2:$L$501,"外人(非決済)"))</f>
        <v>0</v>
      </c>
      <c r="G30" s="37" t="n">
        <f aca="false">IF($B30="","",COUNTIFS('全体集計(入力)触るな(大阪)'!$M$2:$M$501,$B30,'全体集計(入力)触るな(大阪)'!$Q$2:$Q$501,"OK"))</f>
        <v>0</v>
      </c>
      <c r="H30" s="37" t="n">
        <f aca="false">IF($B30="","",COUNTIFS('全体集計(入力)触るな(大阪)'!$M$2:$M$501,$B30,'全体集計(入力)触るな(大阪)'!$L$2:$L$501,"決済",'全体集計(入力)触るな(大阪)'!$Q$2:$Q$501,"OK")+COUNTIFS('全体集計(入力)触るな(大阪)'!$M$2:$M$501,$B30,'全体集計(入力)触るな(大阪)'!$L$2:$L$501,"外人(決済)",'全体集計(入力)触るな(大阪)'!$Q$2:$Q$501,"OK"))</f>
        <v>0</v>
      </c>
      <c r="I30" s="37" t="n">
        <f aca="false">IF($B30="","",COUNTIFS('全体集計(入力)触るな(大阪)'!$M$2:$M$501,$B30,'全体集計(入力)触るな(大阪)'!$Q$2:$Q$501,"NG"))</f>
        <v>0</v>
      </c>
      <c r="J30" s="37" t="n">
        <f aca="false">IF($B30="","",COUNTIFS('全体集計(入力)触るな(大阪)'!$M$2:$M$501,$B30,'全体集計(入力)触るな(大阪)'!$V$2:$V$501,"リスケ"))</f>
        <v>0</v>
      </c>
      <c r="K30" s="37" t="n">
        <f aca="false">IF($B30="","",COUNTIFS('全体集計(入力)触るな(大阪)'!$M$2:$M$501,$B30,'全体集計(入力)触るな(大阪)'!$W$2:$W$501,"有効商談")+COUNTIFS('全体集計(入力)触るな(大阪)'!$M$2:$M$501,$B30,'全体集計(入力)触るな(大阪)'!$W$2:$W$501,"無効商談"))</f>
        <v>0</v>
      </c>
      <c r="L30" s="37" t="n">
        <f aca="false">IF($B30="","",COUNTIFS('全体集計(入力)触るな(大阪)'!$M$2:$M$501,$B30,'全体集計(入力)触るな(大阪)'!$W$2:$W$501,"有効商談"))</f>
        <v>0</v>
      </c>
      <c r="M30" s="37" t="n">
        <f aca="false">IF($B30="","",COUNTIFS('全体集計(入力)触るな(大阪)'!$M$2:$M$501,$B30,'全体集計(入力)触るな(大阪)'!$W$2:$W$501,"無効商談"))</f>
        <v>0</v>
      </c>
      <c r="N30" s="37" t="n">
        <f aca="false">IF($B30="","",COUNTIFS('全体集計(入力)触るな(大阪)'!$M$2:$M$501,$B30,'全体集計(入力)触るな(大阪)'!$AF$2:$AF$501,"商談キャンセル"))</f>
        <v>0</v>
      </c>
      <c r="O30" s="37" t="n">
        <f aca="false">IF($B30="","",COUNTIFS('全体集計(入力)触るな(大阪)'!$M$2:$M$501,$B30,'全体集計(入力)触るな(大阪)'!$Z$2:$Z$501,"決済者"))</f>
        <v>0</v>
      </c>
      <c r="P30" s="37" t="n">
        <f aca="false">IF($B30="","",COUNTIFS('全体集計(入力)触るな(大阪)'!$M$2:$M$501,$B30,'全体集計(入力)触るな(大阪)'!$AF$2:$AF$501,"失注"))</f>
        <v>0</v>
      </c>
      <c r="Q30" s="37" t="n">
        <f aca="false">IF($B30="","",COUNTIFS('全体集計(入力)触るな(大阪)'!$M$2:$M$501,$B30,'全体集計(入力)触るな(大阪)'!$W$2:$W$501,"有効商談",'全体集計(入力)触るな(大阪)'!$AF$2:$AF$501,"失注"))</f>
        <v>0</v>
      </c>
      <c r="R30" s="37" t="n">
        <f aca="false">IF($B30="","",COUNTIFS('全体集計(入力)触るな(大阪)'!$M$2:$M$501,$B30,'全体集計(入力)触るな(大阪)'!$W$2:$W$501,"有効商談",'全体集計(入力)触るな(大阪)'!$X$2:$X$501,"検討"))</f>
        <v>0</v>
      </c>
      <c r="S30" s="37" t="n">
        <f aca="false">IF($B30="","",COUNTIFS('全体集計(入力)触るな(大阪)'!$M$2:$M$501,$B30,'全体集計(入力)触るな(大阪)'!$AF$2:$AF$501,"受注"))</f>
        <v>0</v>
      </c>
      <c r="T30" s="37" t="n">
        <f aca="false">IF($B30="","",COUNTIFS('全体集計(入力)触るな(大阪)'!$M$2:$M$501,$B30,'全体集計(入力)触るな(大阪)'!$AC$2:$AC$501,"⚪︎"))</f>
        <v>0</v>
      </c>
      <c r="U30" s="38" t="n">
        <f aca="false">IF($B30="","",SUMIFS('全体集計(入力)触るな(大阪)'!$AD$2:$AD$501,'全体集計(入力)触るな(大阪)'!$M$2:$M$501,$B30,'全体集計(入力)触るな(大阪)'!$AF$2:$AF$501,"受注"))</f>
        <v>0</v>
      </c>
      <c r="V30" s="39" t="n">
        <f aca="false">IF($B30="","",INT(U30/10000))</f>
        <v>0</v>
      </c>
      <c r="W30" s="40" t="n">
        <f aca="true">IF($B30="","",SUMIFS(シフト入力!$N$2:$N$1501,シフト入力!$B$2:$B$1501,$B30,シフト入力!$A$2:$A$1501,"&lt;="&amp;TODAY()))</f>
        <v>0</v>
      </c>
      <c r="X30" s="41" t="n">
        <f aca="false">IF($B30="","",IFERROR(C30/W30,0))</f>
        <v>0</v>
      </c>
      <c r="Y30" s="42" t="n">
        <f aca="false">IF($B30="","",IFERROR(G30/C30,0))</f>
        <v>0</v>
      </c>
      <c r="Z30" s="42" t="n">
        <f aca="false">IF($B30="","",IFERROR(S30/C30,0))</f>
        <v>0</v>
      </c>
    </row>
    <row r="31" customFormat="false" ht="15" hidden="false" customHeight="false" outlineLevel="0" collapsed="false">
      <c r="B31" s="36" t="str">
        <f aca="false">IF(INDEX(マスタ!$A$2:$A$60,15)="","",INDEX(マスタ!$A$2:$A$60,15))</f>
        <v>浅妻</v>
      </c>
      <c r="C31" s="37" t="n">
        <f aca="false">IF($B31="","",COUNTIFS('全体集計(入力)触るな(大阪)'!$M$2:$M$501,$B31,'全体集計(入力)触るな(大阪)'!$L$2:$L$501,"&lt;&gt;"))</f>
        <v>0</v>
      </c>
      <c r="D31" s="37" t="n">
        <f aca="false">IF($B31="","",COUNTIFS('全体集計(入力)触るな(大阪)'!$M$2:$M$501,$B31,'全体集計(入力)触るな(大阪)'!$L$2:$L$501,"決済")+COUNTIFS('全体集計(入力)触るな(大阪)'!$M$2:$M$501,$B31,'全体集計(入力)触るな(大阪)'!$L$2:$L$501,"外人(決済)"))</f>
        <v>0</v>
      </c>
      <c r="E31" s="37" t="n">
        <f aca="false">IF($B31="","",COUNTIFS('全体集計(入力)触るな(大阪)'!$M$2:$M$501,$B31,'全体集計(入力)触るな(大阪)'!$L$2:$L$501,"非決済")+COUNTIFS('全体集計(入力)触るな(大阪)'!$M$2:$M$501,$B31,'全体集計(入力)触るな(大阪)'!$L$2:$L$501,"外人(非決済)"))</f>
        <v>0</v>
      </c>
      <c r="F31" s="37" t="n">
        <f aca="false">IF($B31="","",COUNTIFS('全体集計(入力)触るな(大阪)'!$M$2:$M$501,$B31,'全体集計(入力)触るな(大阪)'!$L$2:$L$501,"外人(決済)")+COUNTIFS('全体集計(入力)触るな(大阪)'!$M$2:$M$501,$B31,'全体集計(入力)触るな(大阪)'!$L$2:$L$501,"外人(非決済)"))</f>
        <v>0</v>
      </c>
      <c r="G31" s="37" t="n">
        <f aca="false">IF($B31="","",COUNTIFS('全体集計(入力)触るな(大阪)'!$M$2:$M$501,$B31,'全体集計(入力)触るな(大阪)'!$Q$2:$Q$501,"OK"))</f>
        <v>0</v>
      </c>
      <c r="H31" s="37" t="n">
        <f aca="false">IF($B31="","",COUNTIFS('全体集計(入力)触るな(大阪)'!$M$2:$M$501,$B31,'全体集計(入力)触るな(大阪)'!$L$2:$L$501,"決済",'全体集計(入力)触るな(大阪)'!$Q$2:$Q$501,"OK")+COUNTIFS('全体集計(入力)触るな(大阪)'!$M$2:$M$501,$B31,'全体集計(入力)触るな(大阪)'!$L$2:$L$501,"外人(決済)",'全体集計(入力)触るな(大阪)'!$Q$2:$Q$501,"OK"))</f>
        <v>0</v>
      </c>
      <c r="I31" s="37" t="n">
        <f aca="false">IF($B31="","",COUNTIFS('全体集計(入力)触るな(大阪)'!$M$2:$M$501,$B31,'全体集計(入力)触るな(大阪)'!$Q$2:$Q$501,"NG"))</f>
        <v>0</v>
      </c>
      <c r="J31" s="37" t="n">
        <f aca="false">IF($B31="","",COUNTIFS('全体集計(入力)触るな(大阪)'!$M$2:$M$501,$B31,'全体集計(入力)触るな(大阪)'!$V$2:$V$501,"リスケ"))</f>
        <v>0</v>
      </c>
      <c r="K31" s="37" t="n">
        <f aca="false">IF($B31="","",COUNTIFS('全体集計(入力)触るな(大阪)'!$M$2:$M$501,$B31,'全体集計(入力)触るな(大阪)'!$W$2:$W$501,"有効商談")+COUNTIFS('全体集計(入力)触るな(大阪)'!$M$2:$M$501,$B31,'全体集計(入力)触るな(大阪)'!$W$2:$W$501,"無効商談"))</f>
        <v>0</v>
      </c>
      <c r="L31" s="37" t="n">
        <f aca="false">IF($B31="","",COUNTIFS('全体集計(入力)触るな(大阪)'!$M$2:$M$501,$B31,'全体集計(入力)触るな(大阪)'!$W$2:$W$501,"有効商談"))</f>
        <v>0</v>
      </c>
      <c r="M31" s="37" t="n">
        <f aca="false">IF($B31="","",COUNTIFS('全体集計(入力)触るな(大阪)'!$M$2:$M$501,$B31,'全体集計(入力)触るな(大阪)'!$W$2:$W$501,"無効商談"))</f>
        <v>0</v>
      </c>
      <c r="N31" s="37" t="n">
        <f aca="false">IF($B31="","",COUNTIFS('全体集計(入力)触るな(大阪)'!$M$2:$M$501,$B31,'全体集計(入力)触るな(大阪)'!$AF$2:$AF$501,"商談キャンセル"))</f>
        <v>0</v>
      </c>
      <c r="O31" s="37" t="n">
        <f aca="false">IF($B31="","",COUNTIFS('全体集計(入力)触るな(大阪)'!$M$2:$M$501,$B31,'全体集計(入力)触るな(大阪)'!$Z$2:$Z$501,"決済者"))</f>
        <v>0</v>
      </c>
      <c r="P31" s="37" t="n">
        <f aca="false">IF($B31="","",COUNTIFS('全体集計(入力)触るな(大阪)'!$M$2:$M$501,$B31,'全体集計(入力)触るな(大阪)'!$AF$2:$AF$501,"失注"))</f>
        <v>0</v>
      </c>
      <c r="Q31" s="37" t="n">
        <f aca="false">IF($B31="","",COUNTIFS('全体集計(入力)触るな(大阪)'!$M$2:$M$501,$B31,'全体集計(入力)触るな(大阪)'!$W$2:$W$501,"有効商談",'全体集計(入力)触るな(大阪)'!$AF$2:$AF$501,"失注"))</f>
        <v>0</v>
      </c>
      <c r="R31" s="37" t="n">
        <f aca="false">IF($B31="","",COUNTIFS('全体集計(入力)触るな(大阪)'!$M$2:$M$501,$B31,'全体集計(入力)触るな(大阪)'!$W$2:$W$501,"有効商談",'全体集計(入力)触るな(大阪)'!$X$2:$X$501,"検討"))</f>
        <v>0</v>
      </c>
      <c r="S31" s="37" t="n">
        <f aca="false">IF($B31="","",COUNTIFS('全体集計(入力)触るな(大阪)'!$M$2:$M$501,$B31,'全体集計(入力)触るな(大阪)'!$AF$2:$AF$501,"受注"))</f>
        <v>0</v>
      </c>
      <c r="T31" s="37" t="n">
        <f aca="false">IF($B31="","",COUNTIFS('全体集計(入力)触るな(大阪)'!$M$2:$M$501,$B31,'全体集計(入力)触るな(大阪)'!$AC$2:$AC$501,"⚪︎"))</f>
        <v>0</v>
      </c>
      <c r="U31" s="38" t="n">
        <f aca="false">IF($B31="","",SUMIFS('全体集計(入力)触るな(大阪)'!$AD$2:$AD$501,'全体集計(入力)触るな(大阪)'!$M$2:$M$501,$B31,'全体集計(入力)触るな(大阪)'!$AF$2:$AF$501,"受注"))</f>
        <v>0</v>
      </c>
      <c r="V31" s="39" t="n">
        <f aca="false">IF($B31="","",INT(U31/10000))</f>
        <v>0</v>
      </c>
      <c r="W31" s="40" t="n">
        <f aca="true">IF($B31="","",SUMIFS(シフト入力!$N$2:$N$1501,シフト入力!$B$2:$B$1501,$B31,シフト入力!$A$2:$A$1501,"&lt;="&amp;TODAY()))</f>
        <v>0</v>
      </c>
      <c r="X31" s="41" t="n">
        <f aca="false">IF($B31="","",IFERROR(C31/W31,0))</f>
        <v>0</v>
      </c>
      <c r="Y31" s="42" t="n">
        <f aca="false">IF($B31="","",IFERROR(G31/C31,0))</f>
        <v>0</v>
      </c>
      <c r="Z31" s="42" t="n">
        <f aca="false">IF($B31="","",IFERROR(S31/C31,0))</f>
        <v>0</v>
      </c>
    </row>
    <row r="34" customFormat="false" ht="15" hidden="false" customHeight="true" outlineLevel="0" collapsed="false">
      <c r="B34" s="23" t="s">
        <v>152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customFormat="false" ht="31.5" hidden="false" customHeight="true" outlineLevel="0" collapsed="false">
      <c r="B35" s="8" t="s">
        <v>135</v>
      </c>
      <c r="C35" s="8" t="s">
        <v>153</v>
      </c>
      <c r="D35" s="8" t="s">
        <v>142</v>
      </c>
      <c r="E35" s="8" t="s">
        <v>143</v>
      </c>
      <c r="F35" s="8" t="s">
        <v>113</v>
      </c>
      <c r="G35" s="8" t="s">
        <v>104</v>
      </c>
      <c r="H35" s="8" t="s">
        <v>154</v>
      </c>
      <c r="I35" s="8" t="s">
        <v>155</v>
      </c>
      <c r="J35" s="8" t="s">
        <v>115</v>
      </c>
      <c r="K35" s="8" t="s">
        <v>116</v>
      </c>
      <c r="L35" s="8" t="s">
        <v>156</v>
      </c>
      <c r="M35" s="8" t="s">
        <v>105</v>
      </c>
      <c r="N35" s="8" t="s">
        <v>117</v>
      </c>
      <c r="O35" s="8" t="s">
        <v>106</v>
      </c>
      <c r="P35" s="8" t="s">
        <v>147</v>
      </c>
      <c r="Q35" s="8" t="s">
        <v>119</v>
      </c>
      <c r="R35" s="8" t="s">
        <v>127</v>
      </c>
      <c r="S35" s="8" t="s">
        <v>124</v>
      </c>
      <c r="T35" s="8" t="s">
        <v>126</v>
      </c>
      <c r="U35" s="8" t="s">
        <v>128</v>
      </c>
      <c r="V35" s="8" t="s">
        <v>130</v>
      </c>
      <c r="W35" s="8" t="s">
        <v>131</v>
      </c>
      <c r="X35" s="8" t="s">
        <v>157</v>
      </c>
    </row>
    <row r="36" customFormat="false" ht="15" hidden="false" customHeight="false" outlineLevel="0" collapsed="false">
      <c r="B36" s="36" t="str">
        <f aca="false">IF(INDEX(マスタ!$D$2:$D$60,1)="","",INDEX(マスタ!$D$2:$D$60,1))</f>
        <v>石山</v>
      </c>
      <c r="C36" s="37" t="n">
        <f aca="false">IF($B36="","",COUNTIFS('全体集計(入力)触るな(大阪)'!$U$2:$U$501,$B36))</f>
        <v>0</v>
      </c>
      <c r="D36" s="37" t="n">
        <f aca="false">IF($B36="","",COUNTIFS('全体集計(入力)触るな(大阪)'!$U$2:$U$501,$B36,'全体集計(入力)触るな(大阪)'!$V$2:$V$501,"リスケ"))</f>
        <v>0</v>
      </c>
      <c r="E36" s="37" t="n">
        <f aca="false">IF($B36="","",COUNTIFS('全体集計(入力)触るな(大阪)'!$U$2:$U$501,$B36,'全体集計(入力)触るな(大阪)'!$W$2:$W$501,"有効商談")+COUNTIFS('全体集計(入力)触るな(大阪)'!$U$2:$U$501,$B36,'全体集計(入力)触るな(大阪)'!$W$2:$W$501,"無効商談"))</f>
        <v>0</v>
      </c>
      <c r="F36" s="37" t="n">
        <f aca="false">IF($B36="","",COUNTIFS('全体集計(入力)触るな(大阪)'!$U$2:$U$501,$B36,'全体集計(入力)触るな(大阪)'!$W$2:$W$501,"無効商談"))</f>
        <v>0</v>
      </c>
      <c r="G36" s="37" t="n">
        <f aca="false">IF($B36="","",COUNTIFS('全体集計(入力)触るな(大阪)'!$U$2:$U$501,$B36,'全体集計(入力)触るな(大阪)'!$AF$2:$AF$501,"商談キャンセル"))</f>
        <v>0</v>
      </c>
      <c r="H36" s="37" t="n">
        <f aca="false">IF($B36="","",COUNTIFS('全体集計(入力)触るな(大阪)'!$U$2:$U$501,$B36,'全体集計(入力)触るな(大阪)'!$W$2:$W$501,"有効商談",'全体集計(入力)触るな(大阪)'!$Z$2:$Z$501,"決済者"))</f>
        <v>0</v>
      </c>
      <c r="I36" s="37" t="n">
        <f aca="false">IF($B36="","",COUNTIFS('全体集計(入力)触るな(大阪)'!$U$2:$U$501,$B36,'全体集計(入力)触るな(大阪)'!$W$2:$W$501,"有効商談",'全体集計(入力)触るな(大阪)'!$Z$2:$Z$501,"非決済"))</f>
        <v>0</v>
      </c>
      <c r="J36" s="37" t="n">
        <f aca="false">IF($B36="","",COUNTIFS('全体集計(入力)触るな(大阪)'!$U$2:$U$501,$B36,'全体集計(入力)触るな(大阪)'!$Z$2:$Z$501,"決済者"))</f>
        <v>0</v>
      </c>
      <c r="K36" s="37" t="n">
        <f aca="false">IF($B36="","",COUNTIFS('全体集計(入力)触るな(大阪)'!$U$2:$U$501,$B36,'全体集計(入力)触るな(大阪)'!$Z$2:$Z$501,"非決済"))</f>
        <v>0</v>
      </c>
      <c r="L36" s="37" t="n">
        <f aca="false">IF($B36="","",COUNTIFS('全体集計(入力)触るな(大阪)'!$U$2:$U$501,$B36,'全体集計(入力)触るな(大阪)'!$AG$2:$AG$501,"外人"))</f>
        <v>0</v>
      </c>
      <c r="M36" s="37" t="n">
        <f aca="false">IF($B36="","",COUNTIFS('全体集計(入力)触るな(大阪)'!$U$2:$U$501,$B36,'全体集計(入力)触るな(大阪)'!$AF$2:$AF$501,"失注"))</f>
        <v>0</v>
      </c>
      <c r="N36" s="37" t="n">
        <f aca="false">IF($B36="","",COUNTIFS('全体集計(入力)触るな(大阪)'!$U$2:$U$501,$B36,'全体集計(入力)触るな(大阪)'!$X$2:$X$501,"検討"))</f>
        <v>0</v>
      </c>
      <c r="O36" s="37" t="n">
        <f aca="false">IF($B36="","",COUNTIFS('全体集計(入力)触るな(大阪)'!$U$2:$U$501,$B36,'全体集計(入力)触るな(大阪)'!$AF$2:$AF$501,"受注"))</f>
        <v>0</v>
      </c>
      <c r="P36" s="38" t="n">
        <f aca="false">IF($B36="","",SUMIFS('全体集計(入力)触るな(大阪)'!$AD$2:$AD$501,'全体集計(入力)触るな(大阪)'!$U$2:$U$501,$B36,'全体集計(入力)触るな(大阪)'!$AF$2:$AF$501,"受注"))</f>
        <v>0</v>
      </c>
      <c r="Q36" s="38" t="n">
        <f aca="false">IF($B36="","",IFERROR(P36/O36,0))</f>
        <v>0</v>
      </c>
      <c r="R36" s="42" t="n">
        <f aca="false">IF($B36="","",IFERROR(D36/C36,0))</f>
        <v>0</v>
      </c>
      <c r="S36" s="42" t="n">
        <f aca="false">IF($B36="","",IFERROR(E36/C36,0))</f>
        <v>0</v>
      </c>
      <c r="T36" s="42" t="n">
        <f aca="false">IF($B36="","",IFERROR((H36+I36)/E36,0))</f>
        <v>0</v>
      </c>
      <c r="U36" s="42" t="n">
        <f aca="false">IF($B36="","",IFERROR(J36/E36,0))</f>
        <v>0</v>
      </c>
      <c r="V36" s="42" t="n">
        <f aca="false">IF($B36="","",IFERROR(M36/E36,0))</f>
        <v>0</v>
      </c>
      <c r="W36" s="42" t="n">
        <f aca="false">IF($B36="","",IFERROR(O36/E36,0))</f>
        <v>0</v>
      </c>
      <c r="X36" s="42" t="n">
        <f aca="false">IF($B36="","",IFERROR(O36/J36,0))</f>
        <v>0</v>
      </c>
    </row>
    <row r="37" customFormat="false" ht="15" hidden="false" customHeight="false" outlineLevel="0" collapsed="false">
      <c r="B37" s="36" t="str">
        <f aca="false">IF(INDEX(マスタ!$D$2:$D$60,2)="","",INDEX(マスタ!$D$2:$D$60,2))</f>
        <v>荻野</v>
      </c>
      <c r="C37" s="37" t="n">
        <f aca="false">IF($B37="","",COUNTIFS('全体集計(入力)触るな(大阪)'!$U$2:$U$501,$B37))</f>
        <v>0</v>
      </c>
      <c r="D37" s="37" t="n">
        <f aca="false">IF($B37="","",COUNTIFS('全体集計(入力)触るな(大阪)'!$U$2:$U$501,$B37,'全体集計(入力)触るな(大阪)'!$V$2:$V$501,"リスケ"))</f>
        <v>0</v>
      </c>
      <c r="E37" s="37" t="n">
        <f aca="false">IF($B37="","",COUNTIFS('全体集計(入力)触るな(大阪)'!$U$2:$U$501,$B37,'全体集計(入力)触るな(大阪)'!$W$2:$W$501,"有効商談")+COUNTIFS('全体集計(入力)触るな(大阪)'!$U$2:$U$501,$B37,'全体集計(入力)触るな(大阪)'!$W$2:$W$501,"無効商談"))</f>
        <v>0</v>
      </c>
      <c r="F37" s="37" t="n">
        <f aca="false">IF($B37="","",COUNTIFS('全体集計(入力)触るな(大阪)'!$U$2:$U$501,$B37,'全体集計(入力)触るな(大阪)'!$W$2:$W$501,"無効商談"))</f>
        <v>0</v>
      </c>
      <c r="G37" s="37" t="n">
        <f aca="false">IF($B37="","",COUNTIFS('全体集計(入力)触るな(大阪)'!$U$2:$U$501,$B37,'全体集計(入力)触るな(大阪)'!$AF$2:$AF$501,"商談キャンセル"))</f>
        <v>0</v>
      </c>
      <c r="H37" s="37" t="n">
        <f aca="false">IF($B37="","",COUNTIFS('全体集計(入力)触るな(大阪)'!$U$2:$U$501,$B37,'全体集計(入力)触るな(大阪)'!$W$2:$W$501,"有効商談",'全体集計(入力)触るな(大阪)'!$Z$2:$Z$501,"決済者"))</f>
        <v>0</v>
      </c>
      <c r="I37" s="37" t="n">
        <f aca="false">IF($B37="","",COUNTIFS('全体集計(入力)触るな(大阪)'!$U$2:$U$501,$B37,'全体集計(入力)触るな(大阪)'!$W$2:$W$501,"有効商談",'全体集計(入力)触るな(大阪)'!$Z$2:$Z$501,"非決済"))</f>
        <v>0</v>
      </c>
      <c r="J37" s="37" t="n">
        <f aca="false">IF($B37="","",COUNTIFS('全体集計(入力)触るな(大阪)'!$U$2:$U$501,$B37,'全体集計(入力)触るな(大阪)'!$Z$2:$Z$501,"決済者"))</f>
        <v>0</v>
      </c>
      <c r="K37" s="37" t="n">
        <f aca="false">IF($B37="","",COUNTIFS('全体集計(入力)触るな(大阪)'!$U$2:$U$501,$B37,'全体集計(入力)触るな(大阪)'!$Z$2:$Z$501,"非決済"))</f>
        <v>0</v>
      </c>
      <c r="L37" s="37" t="n">
        <f aca="false">IF($B37="","",COUNTIFS('全体集計(入力)触るな(大阪)'!$U$2:$U$501,$B37,'全体集計(入力)触るな(大阪)'!$AG$2:$AG$501,"外人"))</f>
        <v>0</v>
      </c>
      <c r="M37" s="37" t="n">
        <f aca="false">IF($B37="","",COUNTIFS('全体集計(入力)触るな(大阪)'!$U$2:$U$501,$B37,'全体集計(入力)触るな(大阪)'!$AF$2:$AF$501,"失注"))</f>
        <v>0</v>
      </c>
      <c r="N37" s="37" t="n">
        <f aca="false">IF($B37="","",COUNTIFS('全体集計(入力)触るな(大阪)'!$U$2:$U$501,$B37,'全体集計(入力)触るな(大阪)'!$X$2:$X$501,"検討"))</f>
        <v>0</v>
      </c>
      <c r="O37" s="37" t="n">
        <f aca="false">IF($B37="","",COUNTIFS('全体集計(入力)触るな(大阪)'!$U$2:$U$501,$B37,'全体集計(入力)触るな(大阪)'!$AF$2:$AF$501,"受注"))</f>
        <v>0</v>
      </c>
      <c r="P37" s="38" t="n">
        <f aca="false">IF($B37="","",SUMIFS('全体集計(入力)触るな(大阪)'!$AD$2:$AD$501,'全体集計(入力)触るな(大阪)'!$U$2:$U$501,$B37,'全体集計(入力)触るな(大阪)'!$AF$2:$AF$501,"受注"))</f>
        <v>0</v>
      </c>
      <c r="Q37" s="38" t="n">
        <f aca="false">IF($B37="","",IFERROR(P37/O37,0))</f>
        <v>0</v>
      </c>
      <c r="R37" s="42" t="n">
        <f aca="false">IF($B37="","",IFERROR(D37/C37,0))</f>
        <v>0</v>
      </c>
      <c r="S37" s="42" t="n">
        <f aca="false">IF($B37="","",IFERROR(E37/C37,0))</f>
        <v>0</v>
      </c>
      <c r="T37" s="42" t="n">
        <f aca="false">IF($B37="","",IFERROR((H37+I37)/E37,0))</f>
        <v>0</v>
      </c>
      <c r="U37" s="42" t="n">
        <f aca="false">IF($B37="","",IFERROR(J37/E37,0))</f>
        <v>0</v>
      </c>
      <c r="V37" s="42" t="n">
        <f aca="false">IF($B37="","",IFERROR(M37/E37,0))</f>
        <v>0</v>
      </c>
      <c r="W37" s="42" t="n">
        <f aca="false">IF($B37="","",IFERROR(O37/E37,0))</f>
        <v>0</v>
      </c>
      <c r="X37" s="42" t="n">
        <f aca="false">IF($B37="","",IFERROR(O37/J37,0))</f>
        <v>0</v>
      </c>
    </row>
    <row r="38" customFormat="false" ht="15" hidden="false" customHeight="false" outlineLevel="0" collapsed="false">
      <c r="B38" s="36" t="str">
        <f aca="false">IF(INDEX(マスタ!$D$2:$D$60,3)="","",INDEX(マスタ!$D$2:$D$60,3))</f>
        <v>吉村</v>
      </c>
      <c r="C38" s="37" t="n">
        <f aca="false">IF($B38="","",COUNTIFS('全体集計(入力)触るな(大阪)'!$U$2:$U$501,$B38))</f>
        <v>0</v>
      </c>
      <c r="D38" s="37" t="n">
        <f aca="false">IF($B38="","",COUNTIFS('全体集計(入力)触るな(大阪)'!$U$2:$U$501,$B38,'全体集計(入力)触るな(大阪)'!$V$2:$V$501,"リスケ"))</f>
        <v>0</v>
      </c>
      <c r="E38" s="37" t="n">
        <f aca="false">IF($B38="","",COUNTIFS('全体集計(入力)触るな(大阪)'!$U$2:$U$501,$B38,'全体集計(入力)触るな(大阪)'!$W$2:$W$501,"有効商談")+COUNTIFS('全体集計(入力)触るな(大阪)'!$U$2:$U$501,$B38,'全体集計(入力)触るな(大阪)'!$W$2:$W$501,"無効商談"))</f>
        <v>0</v>
      </c>
      <c r="F38" s="37" t="n">
        <f aca="false">IF($B38="","",COUNTIFS('全体集計(入力)触るな(大阪)'!$U$2:$U$501,$B38,'全体集計(入力)触るな(大阪)'!$W$2:$W$501,"無効商談"))</f>
        <v>0</v>
      </c>
      <c r="G38" s="37" t="n">
        <f aca="false">IF($B38="","",COUNTIFS('全体集計(入力)触るな(大阪)'!$U$2:$U$501,$B38,'全体集計(入力)触るな(大阪)'!$AF$2:$AF$501,"商談キャンセル"))</f>
        <v>0</v>
      </c>
      <c r="H38" s="37" t="n">
        <f aca="false">IF($B38="","",COUNTIFS('全体集計(入力)触るな(大阪)'!$U$2:$U$501,$B38,'全体集計(入力)触るな(大阪)'!$W$2:$W$501,"有効商談",'全体集計(入力)触るな(大阪)'!$Z$2:$Z$501,"決済者"))</f>
        <v>0</v>
      </c>
      <c r="I38" s="37" t="n">
        <f aca="false">IF($B38="","",COUNTIFS('全体集計(入力)触るな(大阪)'!$U$2:$U$501,$B38,'全体集計(入力)触るな(大阪)'!$W$2:$W$501,"有効商談",'全体集計(入力)触るな(大阪)'!$Z$2:$Z$501,"非決済"))</f>
        <v>0</v>
      </c>
      <c r="J38" s="37" t="n">
        <f aca="false">IF($B38="","",COUNTIFS('全体集計(入力)触るな(大阪)'!$U$2:$U$501,$B38,'全体集計(入力)触るな(大阪)'!$Z$2:$Z$501,"決済者"))</f>
        <v>0</v>
      </c>
      <c r="K38" s="37" t="n">
        <f aca="false">IF($B38="","",COUNTIFS('全体集計(入力)触るな(大阪)'!$U$2:$U$501,$B38,'全体集計(入力)触るな(大阪)'!$Z$2:$Z$501,"非決済"))</f>
        <v>0</v>
      </c>
      <c r="L38" s="37" t="n">
        <f aca="false">IF($B38="","",COUNTIFS('全体集計(入力)触るな(大阪)'!$U$2:$U$501,$B38,'全体集計(入力)触るな(大阪)'!$AG$2:$AG$501,"外人"))</f>
        <v>0</v>
      </c>
      <c r="M38" s="37" t="n">
        <f aca="false">IF($B38="","",COUNTIFS('全体集計(入力)触るな(大阪)'!$U$2:$U$501,$B38,'全体集計(入力)触るな(大阪)'!$AF$2:$AF$501,"失注"))</f>
        <v>0</v>
      </c>
      <c r="N38" s="37" t="n">
        <f aca="false">IF($B38="","",COUNTIFS('全体集計(入力)触るな(大阪)'!$U$2:$U$501,$B38,'全体集計(入力)触るな(大阪)'!$X$2:$X$501,"検討"))</f>
        <v>0</v>
      </c>
      <c r="O38" s="37" t="n">
        <f aca="false">IF($B38="","",COUNTIFS('全体集計(入力)触るな(大阪)'!$U$2:$U$501,$B38,'全体集計(入力)触るな(大阪)'!$AF$2:$AF$501,"受注"))</f>
        <v>0</v>
      </c>
      <c r="P38" s="38" t="n">
        <f aca="false">IF($B38="","",SUMIFS('全体集計(入力)触るな(大阪)'!$AD$2:$AD$501,'全体集計(入力)触るな(大阪)'!$U$2:$U$501,$B38,'全体集計(入力)触るな(大阪)'!$AF$2:$AF$501,"受注"))</f>
        <v>0</v>
      </c>
      <c r="Q38" s="38" t="n">
        <f aca="false">IF($B38="","",IFERROR(P38/O38,0))</f>
        <v>0</v>
      </c>
      <c r="R38" s="42" t="n">
        <f aca="false">IF($B38="","",IFERROR(D38/C38,0))</f>
        <v>0</v>
      </c>
      <c r="S38" s="42" t="n">
        <f aca="false">IF($B38="","",IFERROR(E38/C38,0))</f>
        <v>0</v>
      </c>
      <c r="T38" s="42" t="n">
        <f aca="false">IF($B38="","",IFERROR((H38+I38)/E38,0))</f>
        <v>0</v>
      </c>
      <c r="U38" s="42" t="n">
        <f aca="false">IF($B38="","",IFERROR(J38/E38,0))</f>
        <v>0</v>
      </c>
      <c r="V38" s="42" t="n">
        <f aca="false">IF($B38="","",IFERROR(M38/E38,0))</f>
        <v>0</v>
      </c>
      <c r="W38" s="42" t="n">
        <f aca="false">IF($B38="","",IFERROR(O38/E38,0))</f>
        <v>0</v>
      </c>
      <c r="X38" s="42" t="n">
        <f aca="false">IF($B38="","",IFERROR(O38/J38,0))</f>
        <v>0</v>
      </c>
    </row>
    <row r="39" customFormat="false" ht="15" hidden="false" customHeight="false" outlineLevel="0" collapsed="false">
      <c r="B39" s="36" t="str">
        <f aca="false">IF(INDEX(マスタ!$D$2:$D$60,4)="","",INDEX(マスタ!$D$2:$D$60,4))</f>
        <v>篠原</v>
      </c>
      <c r="C39" s="37" t="n">
        <f aca="false">IF($B39="","",COUNTIFS('全体集計(入力)触るな(大阪)'!$U$2:$U$501,$B39))</f>
        <v>0</v>
      </c>
      <c r="D39" s="37" t="n">
        <f aca="false">IF($B39="","",COUNTIFS('全体集計(入力)触るな(大阪)'!$U$2:$U$501,$B39,'全体集計(入力)触るな(大阪)'!$V$2:$V$501,"リスケ"))</f>
        <v>0</v>
      </c>
      <c r="E39" s="37" t="n">
        <f aca="false">IF($B39="","",COUNTIFS('全体集計(入力)触るな(大阪)'!$U$2:$U$501,$B39,'全体集計(入力)触るな(大阪)'!$W$2:$W$501,"有効商談")+COUNTIFS('全体集計(入力)触るな(大阪)'!$U$2:$U$501,$B39,'全体集計(入力)触るな(大阪)'!$W$2:$W$501,"無効商談"))</f>
        <v>0</v>
      </c>
      <c r="F39" s="37" t="n">
        <f aca="false">IF($B39="","",COUNTIFS('全体集計(入力)触るな(大阪)'!$U$2:$U$501,$B39,'全体集計(入力)触るな(大阪)'!$W$2:$W$501,"無効商談"))</f>
        <v>0</v>
      </c>
      <c r="G39" s="37" t="n">
        <f aca="false">IF($B39="","",COUNTIFS('全体集計(入力)触るな(大阪)'!$U$2:$U$501,$B39,'全体集計(入力)触るな(大阪)'!$AF$2:$AF$501,"商談キャンセル"))</f>
        <v>0</v>
      </c>
      <c r="H39" s="37" t="n">
        <f aca="false">IF($B39="","",COUNTIFS('全体集計(入力)触るな(大阪)'!$U$2:$U$501,$B39,'全体集計(入力)触るな(大阪)'!$W$2:$W$501,"有効商談",'全体集計(入力)触るな(大阪)'!$Z$2:$Z$501,"決済者"))</f>
        <v>0</v>
      </c>
      <c r="I39" s="37" t="n">
        <f aca="false">IF($B39="","",COUNTIFS('全体集計(入力)触るな(大阪)'!$U$2:$U$501,$B39,'全体集計(入力)触るな(大阪)'!$W$2:$W$501,"有効商談",'全体集計(入力)触るな(大阪)'!$Z$2:$Z$501,"非決済"))</f>
        <v>0</v>
      </c>
      <c r="J39" s="37" t="n">
        <f aca="false">IF($B39="","",COUNTIFS('全体集計(入力)触るな(大阪)'!$U$2:$U$501,$B39,'全体集計(入力)触るな(大阪)'!$Z$2:$Z$501,"決済者"))</f>
        <v>0</v>
      </c>
      <c r="K39" s="37" t="n">
        <f aca="false">IF($B39="","",COUNTIFS('全体集計(入力)触るな(大阪)'!$U$2:$U$501,$B39,'全体集計(入力)触るな(大阪)'!$Z$2:$Z$501,"非決済"))</f>
        <v>0</v>
      </c>
      <c r="L39" s="37" t="n">
        <f aca="false">IF($B39="","",COUNTIFS('全体集計(入力)触るな(大阪)'!$U$2:$U$501,$B39,'全体集計(入力)触るな(大阪)'!$AG$2:$AG$501,"外人"))</f>
        <v>0</v>
      </c>
      <c r="M39" s="37" t="n">
        <f aca="false">IF($B39="","",COUNTIFS('全体集計(入力)触るな(大阪)'!$U$2:$U$501,$B39,'全体集計(入力)触るな(大阪)'!$AF$2:$AF$501,"失注"))</f>
        <v>0</v>
      </c>
      <c r="N39" s="37" t="n">
        <f aca="false">IF($B39="","",COUNTIFS('全体集計(入力)触るな(大阪)'!$U$2:$U$501,$B39,'全体集計(入力)触るな(大阪)'!$X$2:$X$501,"検討"))</f>
        <v>0</v>
      </c>
      <c r="O39" s="37" t="n">
        <f aca="false">IF($B39="","",COUNTIFS('全体集計(入力)触るな(大阪)'!$U$2:$U$501,$B39,'全体集計(入力)触るな(大阪)'!$AF$2:$AF$501,"受注"))</f>
        <v>0</v>
      </c>
      <c r="P39" s="38" t="n">
        <f aca="false">IF($B39="","",SUMIFS('全体集計(入力)触るな(大阪)'!$AD$2:$AD$501,'全体集計(入力)触るな(大阪)'!$U$2:$U$501,$B39,'全体集計(入力)触るな(大阪)'!$AF$2:$AF$501,"受注"))</f>
        <v>0</v>
      </c>
      <c r="Q39" s="38" t="n">
        <f aca="false">IF($B39="","",IFERROR(P39/O39,0))</f>
        <v>0</v>
      </c>
      <c r="R39" s="42" t="n">
        <f aca="false">IF($B39="","",IFERROR(D39/C39,0))</f>
        <v>0</v>
      </c>
      <c r="S39" s="42" t="n">
        <f aca="false">IF($B39="","",IFERROR(E39/C39,0))</f>
        <v>0</v>
      </c>
      <c r="T39" s="42" t="n">
        <f aca="false">IF($B39="","",IFERROR((H39+I39)/E39,0))</f>
        <v>0</v>
      </c>
      <c r="U39" s="42" t="n">
        <f aca="false">IF($B39="","",IFERROR(J39/E39,0))</f>
        <v>0</v>
      </c>
      <c r="V39" s="42" t="n">
        <f aca="false">IF($B39="","",IFERROR(M39/E39,0))</f>
        <v>0</v>
      </c>
      <c r="W39" s="42" t="n">
        <f aca="false">IF($B39="","",IFERROR(O39/E39,0))</f>
        <v>0</v>
      </c>
      <c r="X39" s="42" t="n">
        <f aca="false">IF($B39="","",IFERROR(O39/J39,0))</f>
        <v>0</v>
      </c>
    </row>
    <row r="40" customFormat="false" ht="15" hidden="false" customHeight="false" outlineLevel="0" collapsed="false">
      <c r="B40" s="36" t="str">
        <f aca="false">IF(INDEX(マスタ!$D$2:$D$60,5)="","",INDEX(マスタ!$D$2:$D$60,5))</f>
        <v/>
      </c>
      <c r="C40" s="37" t="str">
        <f aca="false">IF($B40="","",COUNTIFS('全体集計(入力)触るな(大阪)'!$U$2:$U$501,$B40))</f>
        <v/>
      </c>
      <c r="D40" s="37" t="str">
        <f aca="false">IF($B40="","",COUNTIFS('全体集計(入力)触るな(大阪)'!$U$2:$U$501,$B40,'全体集計(入力)触るな(大阪)'!$V$2:$V$501,"リスケ"))</f>
        <v/>
      </c>
      <c r="E40" s="37" t="str">
        <f aca="false">IF($B40="","",COUNTIFS('全体集計(入力)触るな(大阪)'!$U$2:$U$501,$B40,'全体集計(入力)触るな(大阪)'!$W$2:$W$501,"有効商談")+COUNTIFS('全体集計(入力)触るな(大阪)'!$U$2:$U$501,$B40,'全体集計(入力)触るな(大阪)'!$W$2:$W$501,"無効商談"))</f>
        <v/>
      </c>
      <c r="F40" s="37" t="str">
        <f aca="false">IF($B40="","",COUNTIFS('全体集計(入力)触るな(大阪)'!$U$2:$U$501,$B40,'全体集計(入力)触るな(大阪)'!$W$2:$W$501,"無効商談"))</f>
        <v/>
      </c>
      <c r="G40" s="37" t="str">
        <f aca="false">IF($B40="","",COUNTIFS('全体集計(入力)触るな(大阪)'!$U$2:$U$501,$B40,'全体集計(入力)触るな(大阪)'!$AF$2:$AF$501,"商談キャンセル"))</f>
        <v/>
      </c>
      <c r="H40" s="37" t="str">
        <f aca="false">IF($B40="","",COUNTIFS('全体集計(入力)触るな(大阪)'!$U$2:$U$501,$B40,'全体集計(入力)触るな(大阪)'!$W$2:$W$501,"有効商談",'全体集計(入力)触るな(大阪)'!$Z$2:$Z$501,"決済者"))</f>
        <v/>
      </c>
      <c r="I40" s="37" t="str">
        <f aca="false">IF($B40="","",COUNTIFS('全体集計(入力)触るな(大阪)'!$U$2:$U$501,$B40,'全体集計(入力)触るな(大阪)'!$W$2:$W$501,"有効商談",'全体集計(入力)触るな(大阪)'!$Z$2:$Z$501,"非決済"))</f>
        <v/>
      </c>
      <c r="J40" s="37" t="str">
        <f aca="false">IF($B40="","",COUNTIFS('全体集計(入力)触るな(大阪)'!$U$2:$U$501,$B40,'全体集計(入力)触るな(大阪)'!$Z$2:$Z$501,"決済者"))</f>
        <v/>
      </c>
      <c r="K40" s="37" t="str">
        <f aca="false">IF($B40="","",COUNTIFS('全体集計(入力)触るな(大阪)'!$U$2:$U$501,$B40,'全体集計(入力)触るな(大阪)'!$Z$2:$Z$501,"非決済"))</f>
        <v/>
      </c>
      <c r="L40" s="37" t="str">
        <f aca="false">IF($B40="","",COUNTIFS('全体集計(入力)触るな(大阪)'!$U$2:$U$501,$B40,'全体集計(入力)触るな(大阪)'!$AG$2:$AG$501,"外人"))</f>
        <v/>
      </c>
      <c r="M40" s="37" t="str">
        <f aca="false">IF($B40="","",COUNTIFS('全体集計(入力)触るな(大阪)'!$U$2:$U$501,$B40,'全体集計(入力)触るな(大阪)'!$AF$2:$AF$501,"失注"))</f>
        <v/>
      </c>
      <c r="N40" s="37" t="str">
        <f aca="false">IF($B40="","",COUNTIFS('全体集計(入力)触るな(大阪)'!$U$2:$U$501,$B40,'全体集計(入力)触るな(大阪)'!$X$2:$X$501,"検討"))</f>
        <v/>
      </c>
      <c r="O40" s="37" t="str">
        <f aca="false">IF($B40="","",COUNTIFS('全体集計(入力)触るな(大阪)'!$U$2:$U$501,$B40,'全体集計(入力)触るな(大阪)'!$AF$2:$AF$501,"受注"))</f>
        <v/>
      </c>
      <c r="P40" s="38" t="str">
        <f aca="false">IF($B40="","",SUMIFS('全体集計(入力)触るな(大阪)'!$AD$2:$AD$501,'全体集計(入力)触るな(大阪)'!$U$2:$U$501,$B40,'全体集計(入力)触るな(大阪)'!$AF$2:$AF$501,"受注"))</f>
        <v/>
      </c>
      <c r="Q40" s="38" t="str">
        <f aca="false">IF($B40="","",IFERROR(P40/O40,0))</f>
        <v/>
      </c>
      <c r="R40" s="42" t="str">
        <f aca="false">IF($B40="","",IFERROR(D40/C40,0))</f>
        <v/>
      </c>
      <c r="S40" s="42" t="str">
        <f aca="false">IF($B40="","",IFERROR(E40/C40,0))</f>
        <v/>
      </c>
      <c r="T40" s="42" t="str">
        <f aca="false">IF($B40="","",IFERROR((H40+I40)/E40,0))</f>
        <v/>
      </c>
      <c r="U40" s="42" t="str">
        <f aca="false">IF($B40="","",IFERROR(J40/E40,0))</f>
        <v/>
      </c>
      <c r="V40" s="42" t="str">
        <f aca="false">IF($B40="","",IFERROR(M40/E40,0))</f>
        <v/>
      </c>
      <c r="W40" s="42" t="str">
        <f aca="false">IF($B40="","",IFERROR(O40/E40,0))</f>
        <v/>
      </c>
      <c r="X40" s="42" t="str">
        <f aca="false">IF($B40="","",IFERROR(O40/J40,0))</f>
        <v/>
      </c>
    </row>
    <row r="41" customFormat="false" ht="15" hidden="false" customHeight="false" outlineLevel="0" collapsed="false">
      <c r="B41" s="36" t="str">
        <f aca="false">IF(INDEX(マスタ!$D$2:$D$60,6)="","",INDEX(マスタ!$D$2:$D$60,6))</f>
        <v/>
      </c>
      <c r="C41" s="37" t="str">
        <f aca="false">IF($B41="","",COUNTIFS('全体集計(入力)触るな(大阪)'!$U$2:$U$501,$B41))</f>
        <v/>
      </c>
      <c r="D41" s="37" t="str">
        <f aca="false">IF($B41="","",COUNTIFS('全体集計(入力)触るな(大阪)'!$U$2:$U$501,$B41,'全体集計(入力)触るな(大阪)'!$V$2:$V$501,"リスケ"))</f>
        <v/>
      </c>
      <c r="E41" s="37" t="str">
        <f aca="false">IF($B41="","",COUNTIFS('全体集計(入力)触るな(大阪)'!$U$2:$U$501,$B41,'全体集計(入力)触るな(大阪)'!$W$2:$W$501,"有効商談")+COUNTIFS('全体集計(入力)触るな(大阪)'!$U$2:$U$501,$B41,'全体集計(入力)触るな(大阪)'!$W$2:$W$501,"無効商談"))</f>
        <v/>
      </c>
      <c r="F41" s="37" t="str">
        <f aca="false">IF($B41="","",COUNTIFS('全体集計(入力)触るな(大阪)'!$U$2:$U$501,$B41,'全体集計(入力)触るな(大阪)'!$W$2:$W$501,"無効商談"))</f>
        <v/>
      </c>
      <c r="G41" s="37" t="str">
        <f aca="false">IF($B41="","",COUNTIFS('全体集計(入力)触るな(大阪)'!$U$2:$U$501,$B41,'全体集計(入力)触るな(大阪)'!$AF$2:$AF$501,"商談キャンセル"))</f>
        <v/>
      </c>
      <c r="H41" s="37" t="str">
        <f aca="false">IF($B41="","",COUNTIFS('全体集計(入力)触るな(大阪)'!$U$2:$U$501,$B41,'全体集計(入力)触るな(大阪)'!$W$2:$W$501,"有効商談",'全体集計(入力)触るな(大阪)'!$Z$2:$Z$501,"決済者"))</f>
        <v/>
      </c>
      <c r="I41" s="37" t="str">
        <f aca="false">IF($B41="","",COUNTIFS('全体集計(入力)触るな(大阪)'!$U$2:$U$501,$B41,'全体集計(入力)触るな(大阪)'!$W$2:$W$501,"有効商談",'全体集計(入力)触るな(大阪)'!$Z$2:$Z$501,"非決済"))</f>
        <v/>
      </c>
      <c r="J41" s="37" t="str">
        <f aca="false">IF($B41="","",COUNTIFS('全体集計(入力)触るな(大阪)'!$U$2:$U$501,$B41,'全体集計(入力)触るな(大阪)'!$Z$2:$Z$501,"決済者"))</f>
        <v/>
      </c>
      <c r="K41" s="37" t="str">
        <f aca="false">IF($B41="","",COUNTIFS('全体集計(入力)触るな(大阪)'!$U$2:$U$501,$B41,'全体集計(入力)触るな(大阪)'!$Z$2:$Z$501,"非決済"))</f>
        <v/>
      </c>
      <c r="L41" s="37" t="str">
        <f aca="false">IF($B41="","",COUNTIFS('全体集計(入力)触るな(大阪)'!$U$2:$U$501,$B41,'全体集計(入力)触るな(大阪)'!$AG$2:$AG$501,"外人"))</f>
        <v/>
      </c>
      <c r="M41" s="37" t="str">
        <f aca="false">IF($B41="","",COUNTIFS('全体集計(入力)触るな(大阪)'!$U$2:$U$501,$B41,'全体集計(入力)触るな(大阪)'!$AF$2:$AF$501,"失注"))</f>
        <v/>
      </c>
      <c r="N41" s="37" t="str">
        <f aca="false">IF($B41="","",COUNTIFS('全体集計(入力)触るな(大阪)'!$U$2:$U$501,$B41,'全体集計(入力)触るな(大阪)'!$X$2:$X$501,"検討"))</f>
        <v/>
      </c>
      <c r="O41" s="37" t="str">
        <f aca="false">IF($B41="","",COUNTIFS('全体集計(入力)触るな(大阪)'!$U$2:$U$501,$B41,'全体集計(入力)触るな(大阪)'!$AF$2:$AF$501,"受注"))</f>
        <v/>
      </c>
      <c r="P41" s="38" t="str">
        <f aca="false">IF($B41="","",SUMIFS('全体集計(入力)触るな(大阪)'!$AD$2:$AD$501,'全体集計(入力)触るな(大阪)'!$U$2:$U$501,$B41,'全体集計(入力)触るな(大阪)'!$AF$2:$AF$501,"受注"))</f>
        <v/>
      </c>
      <c r="Q41" s="38" t="str">
        <f aca="false">IF($B41="","",IFERROR(P41/O41,0))</f>
        <v/>
      </c>
      <c r="R41" s="42" t="str">
        <f aca="false">IF($B41="","",IFERROR(D41/C41,0))</f>
        <v/>
      </c>
      <c r="S41" s="42" t="str">
        <f aca="false">IF($B41="","",IFERROR(E41/C41,0))</f>
        <v/>
      </c>
      <c r="T41" s="42" t="str">
        <f aca="false">IF($B41="","",IFERROR((H41+I41)/E41,0))</f>
        <v/>
      </c>
      <c r="U41" s="42" t="str">
        <f aca="false">IF($B41="","",IFERROR(J41/E41,0))</f>
        <v/>
      </c>
      <c r="V41" s="42" t="str">
        <f aca="false">IF($B41="","",IFERROR(M41/E41,0))</f>
        <v/>
      </c>
      <c r="W41" s="42" t="str">
        <f aca="false">IF($B41="","",IFERROR(O41/E41,0))</f>
        <v/>
      </c>
      <c r="X41" s="42" t="str">
        <f aca="false">IF($B41="","",IFERROR(O41/J41,0))</f>
        <v/>
      </c>
    </row>
    <row r="42" customFormat="false" ht="15" hidden="false" customHeight="false" outlineLevel="0" collapsed="false">
      <c r="B42" s="36" t="str">
        <f aca="false">IF(INDEX(マスタ!$D$2:$D$60,7)="","",INDEX(マスタ!$D$2:$D$60,7))</f>
        <v/>
      </c>
      <c r="C42" s="37" t="str">
        <f aca="false">IF($B42="","",COUNTIFS('全体集計(入力)触るな(大阪)'!$U$2:$U$501,$B42))</f>
        <v/>
      </c>
      <c r="D42" s="37" t="str">
        <f aca="false">IF($B42="","",COUNTIFS('全体集計(入力)触るな(大阪)'!$U$2:$U$501,$B42,'全体集計(入力)触るな(大阪)'!$V$2:$V$501,"リスケ"))</f>
        <v/>
      </c>
      <c r="E42" s="37" t="str">
        <f aca="false">IF($B42="","",COUNTIFS('全体集計(入力)触るな(大阪)'!$U$2:$U$501,$B42,'全体集計(入力)触るな(大阪)'!$W$2:$W$501,"有効商談")+COUNTIFS('全体集計(入力)触るな(大阪)'!$U$2:$U$501,$B42,'全体集計(入力)触るな(大阪)'!$W$2:$W$501,"無効商談"))</f>
        <v/>
      </c>
      <c r="F42" s="37" t="str">
        <f aca="false">IF($B42="","",COUNTIFS('全体集計(入力)触るな(大阪)'!$U$2:$U$501,$B42,'全体集計(入力)触るな(大阪)'!$W$2:$W$501,"無効商談"))</f>
        <v/>
      </c>
      <c r="G42" s="37" t="str">
        <f aca="false">IF($B42="","",COUNTIFS('全体集計(入力)触るな(大阪)'!$U$2:$U$501,$B42,'全体集計(入力)触るな(大阪)'!$AF$2:$AF$501,"商談キャンセル"))</f>
        <v/>
      </c>
      <c r="H42" s="37" t="str">
        <f aca="false">IF($B42="","",COUNTIFS('全体集計(入力)触るな(大阪)'!$U$2:$U$501,$B42,'全体集計(入力)触るな(大阪)'!$W$2:$W$501,"有効商談",'全体集計(入力)触るな(大阪)'!$Z$2:$Z$501,"決済者"))</f>
        <v/>
      </c>
      <c r="I42" s="37" t="str">
        <f aca="false">IF($B42="","",COUNTIFS('全体集計(入力)触るな(大阪)'!$U$2:$U$501,$B42,'全体集計(入力)触るな(大阪)'!$W$2:$W$501,"有効商談",'全体集計(入力)触るな(大阪)'!$Z$2:$Z$501,"非決済"))</f>
        <v/>
      </c>
      <c r="J42" s="37" t="str">
        <f aca="false">IF($B42="","",COUNTIFS('全体集計(入力)触るな(大阪)'!$U$2:$U$501,$B42,'全体集計(入力)触るな(大阪)'!$Z$2:$Z$501,"決済者"))</f>
        <v/>
      </c>
      <c r="K42" s="37" t="str">
        <f aca="false">IF($B42="","",COUNTIFS('全体集計(入力)触るな(大阪)'!$U$2:$U$501,$B42,'全体集計(入力)触るな(大阪)'!$Z$2:$Z$501,"非決済"))</f>
        <v/>
      </c>
      <c r="L42" s="37" t="str">
        <f aca="false">IF($B42="","",COUNTIFS('全体集計(入力)触るな(大阪)'!$U$2:$U$501,$B42,'全体集計(入力)触るな(大阪)'!$AG$2:$AG$501,"外人"))</f>
        <v/>
      </c>
      <c r="M42" s="37" t="str">
        <f aca="false">IF($B42="","",COUNTIFS('全体集計(入力)触るな(大阪)'!$U$2:$U$501,$B42,'全体集計(入力)触るな(大阪)'!$AF$2:$AF$501,"失注"))</f>
        <v/>
      </c>
      <c r="N42" s="37" t="str">
        <f aca="false">IF($B42="","",COUNTIFS('全体集計(入力)触るな(大阪)'!$U$2:$U$501,$B42,'全体集計(入力)触るな(大阪)'!$X$2:$X$501,"検討"))</f>
        <v/>
      </c>
      <c r="O42" s="37" t="str">
        <f aca="false">IF($B42="","",COUNTIFS('全体集計(入力)触るな(大阪)'!$U$2:$U$501,$B42,'全体集計(入力)触るな(大阪)'!$AF$2:$AF$501,"受注"))</f>
        <v/>
      </c>
      <c r="P42" s="38" t="str">
        <f aca="false">IF($B42="","",SUMIFS('全体集計(入力)触るな(大阪)'!$AD$2:$AD$501,'全体集計(入力)触るな(大阪)'!$U$2:$U$501,$B42,'全体集計(入力)触るな(大阪)'!$AF$2:$AF$501,"受注"))</f>
        <v/>
      </c>
      <c r="Q42" s="38" t="str">
        <f aca="false">IF($B42="","",IFERROR(P42/O42,0))</f>
        <v/>
      </c>
      <c r="R42" s="42" t="str">
        <f aca="false">IF($B42="","",IFERROR(D42/C42,0))</f>
        <v/>
      </c>
      <c r="S42" s="42" t="str">
        <f aca="false">IF($B42="","",IFERROR(E42/C42,0))</f>
        <v/>
      </c>
      <c r="T42" s="42" t="str">
        <f aca="false">IF($B42="","",IFERROR((H42+I42)/E42,0))</f>
        <v/>
      </c>
      <c r="U42" s="42" t="str">
        <f aca="false">IF($B42="","",IFERROR(J42/E42,0))</f>
        <v/>
      </c>
      <c r="V42" s="42" t="str">
        <f aca="false">IF($B42="","",IFERROR(M42/E42,0))</f>
        <v/>
      </c>
      <c r="W42" s="42" t="str">
        <f aca="false">IF($B42="","",IFERROR(O42/E42,0))</f>
        <v/>
      </c>
      <c r="X42" s="42" t="str">
        <f aca="false">IF($B42="","",IFERROR(O42/J42,0))</f>
        <v/>
      </c>
    </row>
    <row r="43" customFormat="false" ht="15" hidden="false" customHeight="false" outlineLevel="0" collapsed="false">
      <c r="B43" s="36" t="str">
        <f aca="false">IF(INDEX(マスタ!$D$2:$D$60,8)="","",INDEX(マスタ!$D$2:$D$60,8))</f>
        <v/>
      </c>
      <c r="C43" s="37" t="str">
        <f aca="false">IF($B43="","",COUNTIFS('全体集計(入力)触るな(大阪)'!$U$2:$U$501,$B43))</f>
        <v/>
      </c>
      <c r="D43" s="37" t="str">
        <f aca="false">IF($B43="","",COUNTIFS('全体集計(入力)触るな(大阪)'!$U$2:$U$501,$B43,'全体集計(入力)触るな(大阪)'!$V$2:$V$501,"リスケ"))</f>
        <v/>
      </c>
      <c r="E43" s="37" t="str">
        <f aca="false">IF($B43="","",COUNTIFS('全体集計(入力)触るな(大阪)'!$U$2:$U$501,$B43,'全体集計(入力)触るな(大阪)'!$W$2:$W$501,"有効商談")+COUNTIFS('全体集計(入力)触るな(大阪)'!$U$2:$U$501,$B43,'全体集計(入力)触るな(大阪)'!$W$2:$W$501,"無効商談"))</f>
        <v/>
      </c>
      <c r="F43" s="37" t="str">
        <f aca="false">IF($B43="","",COUNTIFS('全体集計(入力)触るな(大阪)'!$U$2:$U$501,$B43,'全体集計(入力)触るな(大阪)'!$W$2:$W$501,"無効商談"))</f>
        <v/>
      </c>
      <c r="G43" s="37" t="str">
        <f aca="false">IF($B43="","",COUNTIFS('全体集計(入力)触るな(大阪)'!$U$2:$U$501,$B43,'全体集計(入力)触るな(大阪)'!$AF$2:$AF$501,"商談キャンセル"))</f>
        <v/>
      </c>
      <c r="H43" s="37" t="str">
        <f aca="false">IF($B43="","",COUNTIFS('全体集計(入力)触るな(大阪)'!$U$2:$U$501,$B43,'全体集計(入力)触るな(大阪)'!$W$2:$W$501,"有効商談",'全体集計(入力)触るな(大阪)'!$Z$2:$Z$501,"決済者"))</f>
        <v/>
      </c>
      <c r="I43" s="37" t="str">
        <f aca="false">IF($B43="","",COUNTIFS('全体集計(入力)触るな(大阪)'!$U$2:$U$501,$B43,'全体集計(入力)触るな(大阪)'!$W$2:$W$501,"有効商談",'全体集計(入力)触るな(大阪)'!$Z$2:$Z$501,"非決済"))</f>
        <v/>
      </c>
      <c r="J43" s="37" t="str">
        <f aca="false">IF($B43="","",COUNTIFS('全体集計(入力)触るな(大阪)'!$U$2:$U$501,$B43,'全体集計(入力)触るな(大阪)'!$Z$2:$Z$501,"決済者"))</f>
        <v/>
      </c>
      <c r="K43" s="37" t="str">
        <f aca="false">IF($B43="","",COUNTIFS('全体集計(入力)触るな(大阪)'!$U$2:$U$501,$B43,'全体集計(入力)触るな(大阪)'!$Z$2:$Z$501,"非決済"))</f>
        <v/>
      </c>
      <c r="L43" s="37" t="str">
        <f aca="false">IF($B43="","",COUNTIFS('全体集計(入力)触るな(大阪)'!$U$2:$U$501,$B43,'全体集計(入力)触るな(大阪)'!$AG$2:$AG$501,"外人"))</f>
        <v/>
      </c>
      <c r="M43" s="37" t="str">
        <f aca="false">IF($B43="","",COUNTIFS('全体集計(入力)触るな(大阪)'!$U$2:$U$501,$B43,'全体集計(入力)触るな(大阪)'!$AF$2:$AF$501,"失注"))</f>
        <v/>
      </c>
      <c r="N43" s="37" t="str">
        <f aca="false">IF($B43="","",COUNTIFS('全体集計(入力)触るな(大阪)'!$U$2:$U$501,$B43,'全体集計(入力)触るな(大阪)'!$X$2:$X$501,"検討"))</f>
        <v/>
      </c>
      <c r="O43" s="37" t="str">
        <f aca="false">IF($B43="","",COUNTIFS('全体集計(入力)触るな(大阪)'!$U$2:$U$501,$B43,'全体集計(入力)触るな(大阪)'!$AF$2:$AF$501,"受注"))</f>
        <v/>
      </c>
      <c r="P43" s="38" t="str">
        <f aca="false">IF($B43="","",SUMIFS('全体集計(入力)触るな(大阪)'!$AD$2:$AD$501,'全体集計(入力)触るな(大阪)'!$U$2:$U$501,$B43,'全体集計(入力)触るな(大阪)'!$AF$2:$AF$501,"受注"))</f>
        <v/>
      </c>
      <c r="Q43" s="38" t="str">
        <f aca="false">IF($B43="","",IFERROR(P43/O43,0))</f>
        <v/>
      </c>
      <c r="R43" s="42" t="str">
        <f aca="false">IF($B43="","",IFERROR(D43/C43,0))</f>
        <v/>
      </c>
      <c r="S43" s="42" t="str">
        <f aca="false">IF($B43="","",IFERROR(E43/C43,0))</f>
        <v/>
      </c>
      <c r="T43" s="42" t="str">
        <f aca="false">IF($B43="","",IFERROR((H43+I43)/E43,0))</f>
        <v/>
      </c>
      <c r="U43" s="42" t="str">
        <f aca="false">IF($B43="","",IFERROR(J43/E43,0))</f>
        <v/>
      </c>
      <c r="V43" s="42" t="str">
        <f aca="false">IF($B43="","",IFERROR(M43/E43,0))</f>
        <v/>
      </c>
      <c r="W43" s="42" t="str">
        <f aca="false">IF($B43="","",IFERROR(O43/E43,0))</f>
        <v/>
      </c>
      <c r="X43" s="42" t="str">
        <f aca="false">IF($B43="","",IFERROR(O43/J43,0))</f>
        <v/>
      </c>
    </row>
  </sheetData>
  <mergeCells count="5">
    <mergeCell ref="B3:O3"/>
    <mergeCell ref="B7:M7"/>
    <mergeCell ref="B11:N11"/>
    <mergeCell ref="B15:Z15"/>
    <mergeCell ref="B34:X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27" min="3" style="0" width="10"/>
  </cols>
  <sheetData>
    <row r="1" customFormat="false" ht="19.7" hidden="false" customHeight="false" outlineLevel="0" collapsed="false">
      <c r="A1" s="1" t="s">
        <v>158</v>
      </c>
    </row>
    <row r="3" customFormat="false" ht="15" hidden="false" customHeight="true" outlineLevel="0" collapsed="false">
      <c r="B3" s="7" t="s">
        <v>98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30" hidden="false" customHeight="true" outlineLevel="0" collapsed="false">
      <c r="B4" s="8" t="s">
        <v>99</v>
      </c>
      <c r="C4" s="8" t="s">
        <v>100</v>
      </c>
      <c r="D4" s="8" t="s">
        <v>101</v>
      </c>
      <c r="E4" s="8" t="s">
        <v>102</v>
      </c>
      <c r="F4" s="8" t="s">
        <v>103</v>
      </c>
      <c r="G4" s="8" t="s">
        <v>104</v>
      </c>
      <c r="H4" s="8" t="s">
        <v>90</v>
      </c>
      <c r="I4" s="8" t="s">
        <v>105</v>
      </c>
      <c r="J4" s="8" t="s">
        <v>106</v>
      </c>
      <c r="K4" s="8" t="s">
        <v>107</v>
      </c>
      <c r="L4" s="8" t="s">
        <v>108</v>
      </c>
      <c r="M4" s="8" t="s">
        <v>43</v>
      </c>
      <c r="N4" s="8" t="s">
        <v>109</v>
      </c>
      <c r="O4" s="8" t="s">
        <v>110</v>
      </c>
    </row>
    <row r="5" customFormat="false" ht="15" hidden="false" customHeight="false" outlineLevel="0" collapsed="false">
      <c r="B5" s="11" t="n">
        <f aca="false">COUNTA('全体集計(入力)触るな(京都)'!$L$2:$L$501)</f>
        <v>0</v>
      </c>
      <c r="C5" s="11" t="n">
        <f aca="false">COUNTIF('全体集計(入力)触るな(京都)'!$Q$2:$Q$501,"OK")</f>
        <v>0</v>
      </c>
      <c r="D5" s="11" t="n">
        <f aca="false">(COUNTIFS('全体集計(入力)触るな(京都)'!$L$2:$L$501,"決済",'全体集計(入力)触るな(京都)'!$Q$2:$Q$501,"OK")+COUNTIFS('全体集計(入力)触るな(京都)'!$L$2:$L$501,"外人(決済)",'全体集計(入力)触るな(京都)'!$Q$2:$Q$501,"OK"))</f>
        <v>0</v>
      </c>
      <c r="E5" s="11" t="n">
        <f aca="false">COUNTIF('全体集計(入力)触るな(京都)'!$Q$2:$Q$501,"NG")</f>
        <v>0</v>
      </c>
      <c r="F5" s="11" t="n">
        <f aca="false">(COUNTIF('全体集計(入力)触るな(京都)'!$L$2:$L$501,"決済")+COUNTIF('全体集計(入力)触るな(京都)'!$L$2:$L$501,"外人(決済)"))</f>
        <v>0</v>
      </c>
      <c r="G5" s="11" t="n">
        <f aca="false">COUNTIF('全体集計(入力)触るな(京都)'!$AF$2:$AF$501,"商談キャンセル")</f>
        <v>0</v>
      </c>
      <c r="H5" s="11" t="n">
        <f aca="false">COUNTIF('全体集計(入力)触るな(京都)'!$V$2:$V$501,"リスケ")</f>
        <v>0</v>
      </c>
      <c r="I5" s="11" t="n">
        <f aca="false">COUNTIF('全体集計(入力)触るな(京都)'!$AF$2:$AF$501,"失注")</f>
        <v>0</v>
      </c>
      <c r="J5" s="11" t="n">
        <f aca="false">COUNTIF('全体集計(入力)触るな(京都)'!$AF$2:$AF$501,"受注")</f>
        <v>0</v>
      </c>
      <c r="K5" s="11" t="n">
        <f aca="false">COUNTIF('全体集計(入力)触るな(京都)'!$AC$2:$AC$501,"⚪︎")</f>
        <v>0</v>
      </c>
      <c r="L5" s="11" t="n">
        <f aca="false">設定!$C$13</f>
        <v>40</v>
      </c>
      <c r="M5" s="34" t="n">
        <f aca="false">設定!$B$6</f>
        <v>21</v>
      </c>
      <c r="N5" s="13" t="n">
        <f aca="false">IFERROR(設定!$C$13/設定!$B$6,0)</f>
        <v>1.9047619047619</v>
      </c>
      <c r="O5" s="13" t="n">
        <f aca="false">IFERROR((設定!$C$13-B5)/設定!$B$10,0)</f>
        <v>1.9047619047619</v>
      </c>
    </row>
    <row r="7" customFormat="false" ht="15" hidden="false" customHeight="true" outlineLevel="0" collapsed="false">
      <c r="B7" s="7" t="s">
        <v>111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30" hidden="false" customHeight="true" outlineLevel="0" collapsed="false">
      <c r="B8" s="8" t="s">
        <v>76</v>
      </c>
      <c r="C8" s="8" t="s">
        <v>112</v>
      </c>
      <c r="D8" s="8" t="s">
        <v>90</v>
      </c>
      <c r="E8" s="8" t="s">
        <v>113</v>
      </c>
      <c r="F8" s="8" t="s">
        <v>114</v>
      </c>
      <c r="G8" s="8" t="s">
        <v>115</v>
      </c>
      <c r="H8" s="8" t="s">
        <v>116</v>
      </c>
      <c r="I8" s="8" t="s">
        <v>105</v>
      </c>
      <c r="J8" s="8" t="s">
        <v>117</v>
      </c>
      <c r="K8" s="8" t="s">
        <v>106</v>
      </c>
      <c r="L8" s="8" t="s">
        <v>118</v>
      </c>
      <c r="M8" s="8" t="s">
        <v>119</v>
      </c>
    </row>
    <row r="9" customFormat="false" ht="15" hidden="false" customHeight="false" outlineLevel="0" collapsed="false">
      <c r="B9" s="11" t="n">
        <f aca="false">(COUNTA('全体集計(入力)触るな(京都)'!$U$2:$U$501)-COUNTIF('全体集計(入力)触るな(京都)'!$U$2:$U$501,"事前リスケ"))</f>
        <v>0</v>
      </c>
      <c r="C9" s="11" t="n">
        <f aca="false">(COUNTIF('全体集計(入力)触るな(京都)'!$W$2:$W$501,"有効商談")+COUNTIF('全体集計(入力)触るな(京都)'!$W$2:$W$501,"無効商談"))</f>
        <v>0</v>
      </c>
      <c r="D9" s="11" t="n">
        <f aca="false">COUNTIF('全体集計(入力)触るな(京都)'!$V$2:$V$501,"リスケ")</f>
        <v>0</v>
      </c>
      <c r="E9" s="11" t="n">
        <f aca="false">COUNTIF('全体集計(入力)触るな(京都)'!$W$2:$W$501,"無効商談")</f>
        <v>0</v>
      </c>
      <c r="F9" s="11" t="n">
        <f aca="false">COUNTIF('全体集計(入力)触るな(京都)'!$W$2:$W$501,"有効商談")</f>
        <v>0</v>
      </c>
      <c r="G9" s="11" t="n">
        <f aca="false">COUNTIF('全体集計(入力)触るな(京都)'!$Z$2:$Z$501,"決済者")</f>
        <v>0</v>
      </c>
      <c r="H9" s="11" t="n">
        <f aca="false">COUNTIF('全体集計(入力)触るな(京都)'!$Z$2:$Z$501,"非決済")</f>
        <v>0</v>
      </c>
      <c r="I9" s="11" t="n">
        <f aca="false">COUNTIF('全体集計(入力)触るな(京都)'!$AF$2:$AF$501,"失注")</f>
        <v>0</v>
      </c>
      <c r="J9" s="11" t="n">
        <f aca="false">COUNTIF('全体集計(入力)触るな(京都)'!$X$2:$X$501,"検討")</f>
        <v>0</v>
      </c>
      <c r="K9" s="11" t="n">
        <f aca="false">COUNTIF('全体集計(入力)触るな(京都)'!$AF$2:$AF$501,"受注")</f>
        <v>0</v>
      </c>
      <c r="L9" s="11" t="n">
        <f aca="false">COUNTIF('全体集計(入力)触るな(京都)'!$AG$2:$AG$501,"外人")</f>
        <v>0</v>
      </c>
      <c r="M9" s="35" t="n">
        <f aca="false">IFERROR(AVERAGEIFS('全体集計(入力)触るな(京都)'!$AD$2:$AD$501,'全体集計(入力)触るな(京都)'!$AF$2:$AF$501,"受注"),0)</f>
        <v>0</v>
      </c>
    </row>
    <row r="11" customFormat="false" ht="15" hidden="false" customHeight="true" outlineLevel="0" collapsed="false">
      <c r="B11" s="7" t="s">
        <v>120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30" hidden="false" customHeight="true" outlineLevel="0" collapsed="false">
      <c r="B12" s="8" t="s">
        <v>121</v>
      </c>
      <c r="C12" s="8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  <c r="M12" s="8" t="s">
        <v>132</v>
      </c>
      <c r="N12" s="8" t="s">
        <v>133</v>
      </c>
    </row>
    <row r="13" customFormat="false" ht="15" hidden="false" customHeight="false" outlineLevel="0" collapsed="false">
      <c r="B13" s="15" t="n">
        <f aca="false">IFERROR(C5/B5,0)</f>
        <v>0</v>
      </c>
      <c r="C13" s="15" t="n">
        <f aca="false">IFERROR(D5/F5,0)</f>
        <v>0</v>
      </c>
      <c r="D13" s="15" t="n">
        <f aca="false">IFERROR(E5/B5,0)</f>
        <v>0</v>
      </c>
      <c r="E13" s="15" t="n">
        <f aca="false">IFERROR(C9/B5,0)</f>
        <v>0</v>
      </c>
      <c r="F13" s="15" t="n">
        <f aca="false">IFERROR(E9/C9,0)</f>
        <v>0</v>
      </c>
      <c r="G13" s="15" t="n">
        <f aca="false">IFERROR(F9/C9,0)</f>
        <v>0</v>
      </c>
      <c r="H13" s="15" t="n">
        <f aca="false">IFERROR(H5/B5,0)</f>
        <v>0</v>
      </c>
      <c r="I13" s="15" t="n">
        <f aca="false">IFERROR(G9/C9,0)</f>
        <v>0</v>
      </c>
      <c r="J13" s="15" t="n">
        <f aca="false">IFERROR(H9/C9,0)</f>
        <v>0</v>
      </c>
      <c r="K13" s="15" t="n">
        <f aca="false">IFERROR(I9/C9,0)</f>
        <v>0</v>
      </c>
      <c r="L13" s="15" t="n">
        <f aca="false">IFERROR(K9/C9,0)</f>
        <v>0</v>
      </c>
      <c r="M13" s="15" t="n">
        <f aca="false">IFERROR(K5/C9,0)</f>
        <v>0</v>
      </c>
      <c r="N13" s="15" t="n">
        <f aca="false">IFERROR(J9/C9,0)</f>
        <v>0</v>
      </c>
    </row>
    <row r="15" customFormat="false" ht="15" hidden="false" customHeight="true" outlineLevel="0" collapsed="false">
      <c r="B15" s="7" t="s">
        <v>134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31.5" hidden="false" customHeight="true" outlineLevel="0" collapsed="false">
      <c r="B16" s="8" t="s">
        <v>135</v>
      </c>
      <c r="C16" s="8" t="s">
        <v>99</v>
      </c>
      <c r="D16" s="8" t="s">
        <v>136</v>
      </c>
      <c r="E16" s="8" t="s">
        <v>137</v>
      </c>
      <c r="F16" s="8" t="s">
        <v>138</v>
      </c>
      <c r="G16" s="8" t="s">
        <v>139</v>
      </c>
      <c r="H16" s="8" t="s">
        <v>140</v>
      </c>
      <c r="I16" s="8" t="s">
        <v>141</v>
      </c>
      <c r="J16" s="8" t="s">
        <v>142</v>
      </c>
      <c r="K16" s="8" t="s">
        <v>143</v>
      </c>
      <c r="L16" s="8" t="s">
        <v>114</v>
      </c>
      <c r="M16" s="8" t="s">
        <v>113</v>
      </c>
      <c r="N16" s="8" t="s">
        <v>104</v>
      </c>
      <c r="O16" s="8" t="s">
        <v>144</v>
      </c>
      <c r="P16" s="8" t="s">
        <v>105</v>
      </c>
      <c r="Q16" s="8" t="s">
        <v>145</v>
      </c>
      <c r="R16" s="8" t="s">
        <v>146</v>
      </c>
      <c r="S16" s="8" t="s">
        <v>106</v>
      </c>
      <c r="T16" s="8" t="s">
        <v>107</v>
      </c>
      <c r="U16" s="8" t="s">
        <v>147</v>
      </c>
      <c r="V16" s="8" t="s">
        <v>148</v>
      </c>
      <c r="W16" s="8" t="s">
        <v>149</v>
      </c>
      <c r="X16" s="22" t="s">
        <v>38</v>
      </c>
      <c r="Y16" s="8" t="s">
        <v>150</v>
      </c>
      <c r="Z16" s="8" t="s">
        <v>151</v>
      </c>
    </row>
    <row r="17" customFormat="false" ht="15" hidden="false" customHeight="false" outlineLevel="0" collapsed="false">
      <c r="B17" s="36" t="str">
        <f aca="false">IF(INDEX(マスタ!$B$2:$B$60,1)="","",INDEX(マスタ!$B$2:$B$60,1))</f>
        <v>堀口</v>
      </c>
      <c r="C17" s="37" t="n">
        <f aca="false">IF($B17="","",COUNTIFS('全体集計(入力)触るな(京都)'!$M$2:$M$501,$B17,'全体集計(入力)触るな(京都)'!$L$2:$L$501,"&lt;&gt;"))</f>
        <v>0</v>
      </c>
      <c r="D17" s="37" t="n">
        <f aca="false">IF($B17="","",COUNTIFS('全体集計(入力)触るな(京都)'!$M$2:$M$501,$B17,'全体集計(入力)触るな(京都)'!$L$2:$L$501,"決済")+COUNTIFS('全体集計(入力)触るな(京都)'!$M$2:$M$501,$B17,'全体集計(入力)触るな(京都)'!$L$2:$L$501,"外人(決済)"))</f>
        <v>0</v>
      </c>
      <c r="E17" s="37" t="n">
        <f aca="false">IF($B17="","",COUNTIFS('全体集計(入力)触るな(京都)'!$M$2:$M$501,$B17,'全体集計(入力)触るな(京都)'!$L$2:$L$501,"非決済")+COUNTIFS('全体集計(入力)触るな(京都)'!$M$2:$M$501,$B17,'全体集計(入力)触るな(京都)'!$L$2:$L$501,"外人(非決済)"))</f>
        <v>0</v>
      </c>
      <c r="F17" s="37" t="n">
        <f aca="false">IF($B17="","",COUNTIFS('全体集計(入力)触るな(京都)'!$M$2:$M$501,$B17,'全体集計(入力)触るな(京都)'!$L$2:$L$501,"外人(決済)")+COUNTIFS('全体集計(入力)触るな(京都)'!$M$2:$M$501,$B17,'全体集計(入力)触るな(京都)'!$L$2:$L$501,"外人(非決済)"))</f>
        <v>0</v>
      </c>
      <c r="G17" s="37" t="n">
        <f aca="false">IF($B17="","",COUNTIFS('全体集計(入力)触るな(京都)'!$M$2:$M$501,$B17,'全体集計(入力)触るな(京都)'!$Q$2:$Q$501,"OK"))</f>
        <v>0</v>
      </c>
      <c r="H17" s="37" t="n">
        <f aca="false">IF($B17="","",COUNTIFS('全体集計(入力)触るな(京都)'!$M$2:$M$501,$B17,'全体集計(入力)触るな(京都)'!$L$2:$L$501,"決済",'全体集計(入力)触るな(京都)'!$Q$2:$Q$501,"OK")+COUNTIFS('全体集計(入力)触るな(京都)'!$M$2:$M$501,$B17,'全体集計(入力)触るな(京都)'!$L$2:$L$501,"外人(決済)",'全体集計(入力)触るな(京都)'!$Q$2:$Q$501,"OK"))</f>
        <v>0</v>
      </c>
      <c r="I17" s="37" t="n">
        <f aca="false">IF($B17="","",COUNTIFS('全体集計(入力)触るな(京都)'!$M$2:$M$501,$B17,'全体集計(入力)触るな(京都)'!$Q$2:$Q$501,"NG"))</f>
        <v>0</v>
      </c>
      <c r="J17" s="37" t="n">
        <f aca="false">IF($B17="","",COUNTIFS('全体集計(入力)触るな(京都)'!$M$2:$M$501,$B17,'全体集計(入力)触るな(京都)'!$V$2:$V$501,"リスケ"))</f>
        <v>0</v>
      </c>
      <c r="K17" s="37" t="n">
        <f aca="false">IF($B17="","",COUNTIFS('全体集計(入力)触るな(京都)'!$M$2:$M$501,$B17,'全体集計(入力)触るな(京都)'!$W$2:$W$501,"有効商談")+COUNTIFS('全体集計(入力)触るな(京都)'!$M$2:$M$501,$B17,'全体集計(入力)触るな(京都)'!$W$2:$W$501,"無効商談"))</f>
        <v>0</v>
      </c>
      <c r="L17" s="37" t="n">
        <f aca="false">IF($B17="","",COUNTIFS('全体集計(入力)触るな(京都)'!$M$2:$M$501,$B17,'全体集計(入力)触るな(京都)'!$W$2:$W$501,"有効商談"))</f>
        <v>0</v>
      </c>
      <c r="M17" s="37" t="n">
        <f aca="false">IF($B17="","",COUNTIFS('全体集計(入力)触るな(京都)'!$M$2:$M$501,$B17,'全体集計(入力)触るな(京都)'!$W$2:$W$501,"無効商談"))</f>
        <v>0</v>
      </c>
      <c r="N17" s="37" t="n">
        <f aca="false">IF($B17="","",COUNTIFS('全体集計(入力)触るな(京都)'!$M$2:$M$501,$B17,'全体集計(入力)触るな(京都)'!$AF$2:$AF$501,"商談キャンセル"))</f>
        <v>0</v>
      </c>
      <c r="O17" s="37" t="n">
        <f aca="false">IF($B17="","",COUNTIFS('全体集計(入力)触るな(京都)'!$M$2:$M$501,$B17,'全体集計(入力)触るな(京都)'!$Z$2:$Z$501,"決済者"))</f>
        <v>0</v>
      </c>
      <c r="P17" s="37" t="n">
        <f aca="false">IF($B17="","",COUNTIFS('全体集計(入力)触るな(京都)'!$M$2:$M$501,$B17,'全体集計(入力)触るな(京都)'!$AF$2:$AF$501,"失注"))</f>
        <v>0</v>
      </c>
      <c r="Q17" s="37" t="n">
        <f aca="false">IF($B17="","",COUNTIFS('全体集計(入力)触るな(京都)'!$M$2:$M$501,$B17,'全体集計(入力)触るな(京都)'!$W$2:$W$501,"有効商談",'全体集計(入力)触るな(京都)'!$AF$2:$AF$501,"失注"))</f>
        <v>0</v>
      </c>
      <c r="R17" s="37" t="n">
        <f aca="false">IF($B17="","",COUNTIFS('全体集計(入力)触るな(京都)'!$M$2:$M$501,$B17,'全体集計(入力)触るな(京都)'!$W$2:$W$501,"有効商談",'全体集計(入力)触るな(京都)'!$X$2:$X$501,"検討"))</f>
        <v>0</v>
      </c>
      <c r="S17" s="37" t="n">
        <f aca="false">IF($B17="","",COUNTIFS('全体集計(入力)触るな(京都)'!$M$2:$M$501,$B17,'全体集計(入力)触るな(京都)'!$AF$2:$AF$501,"受注"))</f>
        <v>0</v>
      </c>
      <c r="T17" s="37" t="n">
        <f aca="false">IF($B17="","",COUNTIFS('全体集計(入力)触るな(京都)'!$M$2:$M$501,$B17,'全体集計(入力)触るな(京都)'!$AC$2:$AC$501,"⚪︎"))</f>
        <v>0</v>
      </c>
      <c r="U17" s="38" t="n">
        <f aca="false">IF($B17="","",SUMIFS('全体集計(入力)触るな(京都)'!$AD$2:$AD$501,'全体集計(入力)触るな(京都)'!$M$2:$M$501,$B17,'全体集計(入力)触るな(京都)'!$AF$2:$AF$501,"受注"))</f>
        <v>0</v>
      </c>
      <c r="V17" s="39" t="n">
        <f aca="false">IF($B17="","",INT(U17/10000))</f>
        <v>0</v>
      </c>
      <c r="W17" s="40" t="n">
        <f aca="true">IF($B17="","",SUMIFS(シフト入力!$N$2:$N$1501,シフト入力!$B$2:$B$1501,$B17,シフト入力!$A$2:$A$1501,"&lt;="&amp;TODAY()))</f>
        <v>0</v>
      </c>
      <c r="X17" s="41" t="n">
        <f aca="false">IF($B17="","",IFERROR(C17/W17,0))</f>
        <v>0</v>
      </c>
      <c r="Y17" s="42" t="n">
        <f aca="false">IF($B17="","",IFERROR(G17/C17,0))</f>
        <v>0</v>
      </c>
      <c r="Z17" s="42" t="n">
        <f aca="false">IF($B17="","",IFERROR(S17/C17,0))</f>
        <v>0</v>
      </c>
    </row>
    <row r="18" customFormat="false" ht="15" hidden="false" customHeight="false" outlineLevel="0" collapsed="false">
      <c r="B18" s="36" t="str">
        <f aca="false">IF(INDEX(マスタ!$B$2:$B$60,2)="","",INDEX(マスタ!$B$2:$B$60,2))</f>
        <v>岡本(れな)</v>
      </c>
      <c r="C18" s="37" t="n">
        <f aca="false">IF($B18="","",COUNTIFS('全体集計(入力)触るな(京都)'!$M$2:$M$501,$B18,'全体集計(入力)触るな(京都)'!$L$2:$L$501,"&lt;&gt;"))</f>
        <v>0</v>
      </c>
      <c r="D18" s="37" t="n">
        <f aca="false">IF($B18="","",COUNTIFS('全体集計(入力)触るな(京都)'!$M$2:$M$501,$B18,'全体集計(入力)触るな(京都)'!$L$2:$L$501,"決済")+COUNTIFS('全体集計(入力)触るな(京都)'!$M$2:$M$501,$B18,'全体集計(入力)触るな(京都)'!$L$2:$L$501,"外人(決済)"))</f>
        <v>0</v>
      </c>
      <c r="E18" s="37" t="n">
        <f aca="false">IF($B18="","",COUNTIFS('全体集計(入力)触るな(京都)'!$M$2:$M$501,$B18,'全体集計(入力)触るな(京都)'!$L$2:$L$501,"非決済")+COUNTIFS('全体集計(入力)触るな(京都)'!$M$2:$M$501,$B18,'全体集計(入力)触るな(京都)'!$L$2:$L$501,"外人(非決済)"))</f>
        <v>0</v>
      </c>
      <c r="F18" s="37" t="n">
        <f aca="false">IF($B18="","",COUNTIFS('全体集計(入力)触るな(京都)'!$M$2:$M$501,$B18,'全体集計(入力)触るな(京都)'!$L$2:$L$501,"外人(決済)")+COUNTIFS('全体集計(入力)触るな(京都)'!$M$2:$M$501,$B18,'全体集計(入力)触るな(京都)'!$L$2:$L$501,"外人(非決済)"))</f>
        <v>0</v>
      </c>
      <c r="G18" s="37" t="n">
        <f aca="false">IF($B18="","",COUNTIFS('全体集計(入力)触るな(京都)'!$M$2:$M$501,$B18,'全体集計(入力)触るな(京都)'!$Q$2:$Q$501,"OK"))</f>
        <v>0</v>
      </c>
      <c r="H18" s="37" t="n">
        <f aca="false">IF($B18="","",COUNTIFS('全体集計(入力)触るな(京都)'!$M$2:$M$501,$B18,'全体集計(入力)触るな(京都)'!$L$2:$L$501,"決済",'全体集計(入力)触るな(京都)'!$Q$2:$Q$501,"OK")+COUNTIFS('全体集計(入力)触るな(京都)'!$M$2:$M$501,$B18,'全体集計(入力)触るな(京都)'!$L$2:$L$501,"外人(決済)",'全体集計(入力)触るな(京都)'!$Q$2:$Q$501,"OK"))</f>
        <v>0</v>
      </c>
      <c r="I18" s="37" t="n">
        <f aca="false">IF($B18="","",COUNTIFS('全体集計(入力)触るな(京都)'!$M$2:$M$501,$B18,'全体集計(入力)触るな(京都)'!$Q$2:$Q$501,"NG"))</f>
        <v>0</v>
      </c>
      <c r="J18" s="37" t="n">
        <f aca="false">IF($B18="","",COUNTIFS('全体集計(入力)触るな(京都)'!$M$2:$M$501,$B18,'全体集計(入力)触るな(京都)'!$V$2:$V$501,"リスケ"))</f>
        <v>0</v>
      </c>
      <c r="K18" s="37" t="n">
        <f aca="false">IF($B18="","",COUNTIFS('全体集計(入力)触るな(京都)'!$M$2:$M$501,$B18,'全体集計(入力)触るな(京都)'!$W$2:$W$501,"有効商談")+COUNTIFS('全体集計(入力)触るな(京都)'!$M$2:$M$501,$B18,'全体集計(入力)触るな(京都)'!$W$2:$W$501,"無効商談"))</f>
        <v>0</v>
      </c>
      <c r="L18" s="37" t="n">
        <f aca="false">IF($B18="","",COUNTIFS('全体集計(入力)触るな(京都)'!$M$2:$M$501,$B18,'全体集計(入力)触るな(京都)'!$W$2:$W$501,"有効商談"))</f>
        <v>0</v>
      </c>
      <c r="M18" s="37" t="n">
        <f aca="false">IF($B18="","",COUNTIFS('全体集計(入力)触るな(京都)'!$M$2:$M$501,$B18,'全体集計(入力)触るな(京都)'!$W$2:$W$501,"無効商談"))</f>
        <v>0</v>
      </c>
      <c r="N18" s="37" t="n">
        <f aca="false">IF($B18="","",COUNTIFS('全体集計(入力)触るな(京都)'!$M$2:$M$501,$B18,'全体集計(入力)触るな(京都)'!$AF$2:$AF$501,"商談キャンセル"))</f>
        <v>0</v>
      </c>
      <c r="O18" s="37" t="n">
        <f aca="false">IF($B18="","",COUNTIFS('全体集計(入力)触るな(京都)'!$M$2:$M$501,$B18,'全体集計(入力)触るな(京都)'!$Z$2:$Z$501,"決済者"))</f>
        <v>0</v>
      </c>
      <c r="P18" s="37" t="n">
        <f aca="false">IF($B18="","",COUNTIFS('全体集計(入力)触るな(京都)'!$M$2:$M$501,$B18,'全体集計(入力)触るな(京都)'!$AF$2:$AF$501,"失注"))</f>
        <v>0</v>
      </c>
      <c r="Q18" s="37" t="n">
        <f aca="false">IF($B18="","",COUNTIFS('全体集計(入力)触るな(京都)'!$M$2:$M$501,$B18,'全体集計(入力)触るな(京都)'!$W$2:$W$501,"有効商談",'全体集計(入力)触るな(京都)'!$AF$2:$AF$501,"失注"))</f>
        <v>0</v>
      </c>
      <c r="R18" s="37" t="n">
        <f aca="false">IF($B18="","",COUNTIFS('全体集計(入力)触るな(京都)'!$M$2:$M$501,$B18,'全体集計(入力)触るな(京都)'!$W$2:$W$501,"有効商談",'全体集計(入力)触るな(京都)'!$X$2:$X$501,"検討"))</f>
        <v>0</v>
      </c>
      <c r="S18" s="37" t="n">
        <f aca="false">IF($B18="","",COUNTIFS('全体集計(入力)触るな(京都)'!$M$2:$M$501,$B18,'全体集計(入力)触るな(京都)'!$AF$2:$AF$501,"受注"))</f>
        <v>0</v>
      </c>
      <c r="T18" s="37" t="n">
        <f aca="false">IF($B18="","",COUNTIFS('全体集計(入力)触るな(京都)'!$M$2:$M$501,$B18,'全体集計(入力)触るな(京都)'!$AC$2:$AC$501,"⚪︎"))</f>
        <v>0</v>
      </c>
      <c r="U18" s="38" t="n">
        <f aca="false">IF($B18="","",SUMIFS('全体集計(入力)触るな(京都)'!$AD$2:$AD$501,'全体集計(入力)触るな(京都)'!$M$2:$M$501,$B18,'全体集計(入力)触るな(京都)'!$AF$2:$AF$501,"受注"))</f>
        <v>0</v>
      </c>
      <c r="V18" s="39" t="n">
        <f aca="false">IF($B18="","",INT(U18/10000))</f>
        <v>0</v>
      </c>
      <c r="W18" s="40" t="n">
        <f aca="true">IF($B18="","",SUMIFS(シフト入力!$N$2:$N$1501,シフト入力!$B$2:$B$1501,$B18,シフト入力!$A$2:$A$1501,"&lt;="&amp;TODAY()))</f>
        <v>0</v>
      </c>
      <c r="X18" s="41" t="n">
        <f aca="false">IF($B18="","",IFERROR(C18/W18,0))</f>
        <v>0</v>
      </c>
      <c r="Y18" s="42" t="n">
        <f aca="false">IF($B18="","",IFERROR(G18/C18,0))</f>
        <v>0</v>
      </c>
      <c r="Z18" s="42" t="n">
        <f aca="false">IF($B18="","",IFERROR(S18/C18,0))</f>
        <v>0</v>
      </c>
    </row>
    <row r="19" customFormat="false" ht="15" hidden="false" customHeight="false" outlineLevel="0" collapsed="false">
      <c r="B19" s="36" t="str">
        <f aca="false">IF(INDEX(マスタ!$B$2:$B$60,3)="","",INDEX(マスタ!$B$2:$B$60,3))</f>
        <v>篠原</v>
      </c>
      <c r="C19" s="37" t="n">
        <f aca="false">IF($B19="","",COUNTIFS('全体集計(入力)触るな(京都)'!$M$2:$M$501,$B19,'全体集計(入力)触るな(京都)'!$L$2:$L$501,"&lt;&gt;"))</f>
        <v>0</v>
      </c>
      <c r="D19" s="37" t="n">
        <f aca="false">IF($B19="","",COUNTIFS('全体集計(入力)触るな(京都)'!$M$2:$M$501,$B19,'全体集計(入力)触るな(京都)'!$L$2:$L$501,"決済")+COUNTIFS('全体集計(入力)触るな(京都)'!$M$2:$M$501,$B19,'全体集計(入力)触るな(京都)'!$L$2:$L$501,"外人(決済)"))</f>
        <v>0</v>
      </c>
      <c r="E19" s="37" t="n">
        <f aca="false">IF($B19="","",COUNTIFS('全体集計(入力)触るな(京都)'!$M$2:$M$501,$B19,'全体集計(入力)触るな(京都)'!$L$2:$L$501,"非決済")+COUNTIFS('全体集計(入力)触るな(京都)'!$M$2:$M$501,$B19,'全体集計(入力)触るな(京都)'!$L$2:$L$501,"外人(非決済)"))</f>
        <v>0</v>
      </c>
      <c r="F19" s="37" t="n">
        <f aca="false">IF($B19="","",COUNTIFS('全体集計(入力)触るな(京都)'!$M$2:$M$501,$B19,'全体集計(入力)触るな(京都)'!$L$2:$L$501,"外人(決済)")+COUNTIFS('全体集計(入力)触るな(京都)'!$M$2:$M$501,$B19,'全体集計(入力)触るな(京都)'!$L$2:$L$501,"外人(非決済)"))</f>
        <v>0</v>
      </c>
      <c r="G19" s="37" t="n">
        <f aca="false">IF($B19="","",COUNTIFS('全体集計(入力)触るな(京都)'!$M$2:$M$501,$B19,'全体集計(入力)触るな(京都)'!$Q$2:$Q$501,"OK"))</f>
        <v>0</v>
      </c>
      <c r="H19" s="37" t="n">
        <f aca="false">IF($B19="","",COUNTIFS('全体集計(入力)触るな(京都)'!$M$2:$M$501,$B19,'全体集計(入力)触るな(京都)'!$L$2:$L$501,"決済",'全体集計(入力)触るな(京都)'!$Q$2:$Q$501,"OK")+COUNTIFS('全体集計(入力)触るな(京都)'!$M$2:$M$501,$B19,'全体集計(入力)触るな(京都)'!$L$2:$L$501,"外人(決済)",'全体集計(入力)触るな(京都)'!$Q$2:$Q$501,"OK"))</f>
        <v>0</v>
      </c>
      <c r="I19" s="37" t="n">
        <f aca="false">IF($B19="","",COUNTIFS('全体集計(入力)触るな(京都)'!$M$2:$M$501,$B19,'全体集計(入力)触るな(京都)'!$Q$2:$Q$501,"NG"))</f>
        <v>0</v>
      </c>
      <c r="J19" s="37" t="n">
        <f aca="false">IF($B19="","",COUNTIFS('全体集計(入力)触るな(京都)'!$M$2:$M$501,$B19,'全体集計(入力)触るな(京都)'!$V$2:$V$501,"リスケ"))</f>
        <v>0</v>
      </c>
      <c r="K19" s="37" t="n">
        <f aca="false">IF($B19="","",COUNTIFS('全体集計(入力)触るな(京都)'!$M$2:$M$501,$B19,'全体集計(入力)触るな(京都)'!$W$2:$W$501,"有効商談")+COUNTIFS('全体集計(入力)触るな(京都)'!$M$2:$M$501,$B19,'全体集計(入力)触るな(京都)'!$W$2:$W$501,"無効商談"))</f>
        <v>0</v>
      </c>
      <c r="L19" s="37" t="n">
        <f aca="false">IF($B19="","",COUNTIFS('全体集計(入力)触るな(京都)'!$M$2:$M$501,$B19,'全体集計(入力)触るな(京都)'!$W$2:$W$501,"有効商談"))</f>
        <v>0</v>
      </c>
      <c r="M19" s="37" t="n">
        <f aca="false">IF($B19="","",COUNTIFS('全体集計(入力)触るな(京都)'!$M$2:$M$501,$B19,'全体集計(入力)触るな(京都)'!$W$2:$W$501,"無効商談"))</f>
        <v>0</v>
      </c>
      <c r="N19" s="37" t="n">
        <f aca="false">IF($B19="","",COUNTIFS('全体集計(入力)触るな(京都)'!$M$2:$M$501,$B19,'全体集計(入力)触るな(京都)'!$AF$2:$AF$501,"商談キャンセル"))</f>
        <v>0</v>
      </c>
      <c r="O19" s="37" t="n">
        <f aca="false">IF($B19="","",COUNTIFS('全体集計(入力)触るな(京都)'!$M$2:$M$501,$B19,'全体集計(入力)触るな(京都)'!$Z$2:$Z$501,"決済者"))</f>
        <v>0</v>
      </c>
      <c r="P19" s="37" t="n">
        <f aca="false">IF($B19="","",COUNTIFS('全体集計(入力)触るな(京都)'!$M$2:$M$501,$B19,'全体集計(入力)触るな(京都)'!$AF$2:$AF$501,"失注"))</f>
        <v>0</v>
      </c>
      <c r="Q19" s="37" t="n">
        <f aca="false">IF($B19="","",COUNTIFS('全体集計(入力)触るな(京都)'!$M$2:$M$501,$B19,'全体集計(入力)触るな(京都)'!$W$2:$W$501,"有効商談",'全体集計(入力)触るな(京都)'!$AF$2:$AF$501,"失注"))</f>
        <v>0</v>
      </c>
      <c r="R19" s="37" t="n">
        <f aca="false">IF($B19="","",COUNTIFS('全体集計(入力)触るな(京都)'!$M$2:$M$501,$B19,'全体集計(入力)触るな(京都)'!$W$2:$W$501,"有効商談",'全体集計(入力)触るな(京都)'!$X$2:$X$501,"検討"))</f>
        <v>0</v>
      </c>
      <c r="S19" s="37" t="n">
        <f aca="false">IF($B19="","",COUNTIFS('全体集計(入力)触るな(京都)'!$M$2:$M$501,$B19,'全体集計(入力)触るな(京都)'!$AF$2:$AF$501,"受注"))</f>
        <v>0</v>
      </c>
      <c r="T19" s="37" t="n">
        <f aca="false">IF($B19="","",COUNTIFS('全体集計(入力)触るな(京都)'!$M$2:$M$501,$B19,'全体集計(入力)触るな(京都)'!$AC$2:$AC$501,"⚪︎"))</f>
        <v>0</v>
      </c>
      <c r="U19" s="38" t="n">
        <f aca="false">IF($B19="","",SUMIFS('全体集計(入力)触るな(京都)'!$AD$2:$AD$501,'全体集計(入力)触るな(京都)'!$M$2:$M$501,$B19,'全体集計(入力)触るな(京都)'!$AF$2:$AF$501,"受注"))</f>
        <v>0</v>
      </c>
      <c r="V19" s="39" t="n">
        <f aca="false">IF($B19="","",INT(U19/10000))</f>
        <v>0</v>
      </c>
      <c r="W19" s="40" t="n">
        <f aca="true">IF($B19="","",SUMIFS(シフト入力!$N$2:$N$1501,シフト入力!$B$2:$B$1501,$B19,シフト入力!$A$2:$A$1501,"&lt;="&amp;TODAY()))</f>
        <v>0</v>
      </c>
      <c r="X19" s="41" t="n">
        <f aca="false">IF($B19="","",IFERROR(C19/W19,0))</f>
        <v>0</v>
      </c>
      <c r="Y19" s="42" t="n">
        <f aca="false">IF($B19="","",IFERROR(G19/C19,0))</f>
        <v>0</v>
      </c>
      <c r="Z19" s="42" t="n">
        <f aca="false">IF($B19="","",IFERROR(S19/C19,0))</f>
        <v>0</v>
      </c>
    </row>
    <row r="20" customFormat="false" ht="15" hidden="false" customHeight="false" outlineLevel="0" collapsed="false">
      <c r="B20" s="36" t="str">
        <f aca="false">IF(INDEX(マスタ!$B$2:$B$60,4)="","",INDEX(マスタ!$B$2:$B$60,4))</f>
        <v>吉村</v>
      </c>
      <c r="C20" s="37" t="n">
        <f aca="false">IF($B20="","",COUNTIFS('全体集計(入力)触るな(京都)'!$M$2:$M$501,$B20,'全体集計(入力)触るな(京都)'!$L$2:$L$501,"&lt;&gt;"))</f>
        <v>0</v>
      </c>
      <c r="D20" s="37" t="n">
        <f aca="false">IF($B20="","",COUNTIFS('全体集計(入力)触るな(京都)'!$M$2:$M$501,$B20,'全体集計(入力)触るな(京都)'!$L$2:$L$501,"決済")+COUNTIFS('全体集計(入力)触るな(京都)'!$M$2:$M$501,$B20,'全体集計(入力)触るな(京都)'!$L$2:$L$501,"外人(決済)"))</f>
        <v>0</v>
      </c>
      <c r="E20" s="37" t="n">
        <f aca="false">IF($B20="","",COUNTIFS('全体集計(入力)触るな(京都)'!$M$2:$M$501,$B20,'全体集計(入力)触るな(京都)'!$L$2:$L$501,"非決済")+COUNTIFS('全体集計(入力)触るな(京都)'!$M$2:$M$501,$B20,'全体集計(入力)触るな(京都)'!$L$2:$L$501,"外人(非決済)"))</f>
        <v>0</v>
      </c>
      <c r="F20" s="37" t="n">
        <f aca="false">IF($B20="","",COUNTIFS('全体集計(入力)触るな(京都)'!$M$2:$M$501,$B20,'全体集計(入力)触るな(京都)'!$L$2:$L$501,"外人(決済)")+COUNTIFS('全体集計(入力)触るな(京都)'!$M$2:$M$501,$B20,'全体集計(入力)触るな(京都)'!$L$2:$L$501,"外人(非決済)"))</f>
        <v>0</v>
      </c>
      <c r="G20" s="37" t="n">
        <f aca="false">IF($B20="","",COUNTIFS('全体集計(入力)触るな(京都)'!$M$2:$M$501,$B20,'全体集計(入力)触るな(京都)'!$Q$2:$Q$501,"OK"))</f>
        <v>0</v>
      </c>
      <c r="H20" s="37" t="n">
        <f aca="false">IF($B20="","",COUNTIFS('全体集計(入力)触るな(京都)'!$M$2:$M$501,$B20,'全体集計(入力)触るな(京都)'!$L$2:$L$501,"決済",'全体集計(入力)触るな(京都)'!$Q$2:$Q$501,"OK")+COUNTIFS('全体集計(入力)触るな(京都)'!$M$2:$M$501,$B20,'全体集計(入力)触るな(京都)'!$L$2:$L$501,"外人(決済)",'全体集計(入力)触るな(京都)'!$Q$2:$Q$501,"OK"))</f>
        <v>0</v>
      </c>
      <c r="I20" s="37" t="n">
        <f aca="false">IF($B20="","",COUNTIFS('全体集計(入力)触るな(京都)'!$M$2:$M$501,$B20,'全体集計(入力)触るな(京都)'!$Q$2:$Q$501,"NG"))</f>
        <v>0</v>
      </c>
      <c r="J20" s="37" t="n">
        <f aca="false">IF($B20="","",COUNTIFS('全体集計(入力)触るな(京都)'!$M$2:$M$501,$B20,'全体集計(入力)触るな(京都)'!$V$2:$V$501,"リスケ"))</f>
        <v>0</v>
      </c>
      <c r="K20" s="37" t="n">
        <f aca="false">IF($B20="","",COUNTIFS('全体集計(入力)触るな(京都)'!$M$2:$M$501,$B20,'全体集計(入力)触るな(京都)'!$W$2:$W$501,"有効商談")+COUNTIFS('全体集計(入力)触るな(京都)'!$M$2:$M$501,$B20,'全体集計(入力)触るな(京都)'!$W$2:$W$501,"無効商談"))</f>
        <v>0</v>
      </c>
      <c r="L20" s="37" t="n">
        <f aca="false">IF($B20="","",COUNTIFS('全体集計(入力)触るな(京都)'!$M$2:$M$501,$B20,'全体集計(入力)触るな(京都)'!$W$2:$W$501,"有効商談"))</f>
        <v>0</v>
      </c>
      <c r="M20" s="37" t="n">
        <f aca="false">IF($B20="","",COUNTIFS('全体集計(入力)触るな(京都)'!$M$2:$M$501,$B20,'全体集計(入力)触るな(京都)'!$W$2:$W$501,"無効商談"))</f>
        <v>0</v>
      </c>
      <c r="N20" s="37" t="n">
        <f aca="false">IF($B20="","",COUNTIFS('全体集計(入力)触るな(京都)'!$M$2:$M$501,$B20,'全体集計(入力)触るな(京都)'!$AF$2:$AF$501,"商談キャンセル"))</f>
        <v>0</v>
      </c>
      <c r="O20" s="37" t="n">
        <f aca="false">IF($B20="","",COUNTIFS('全体集計(入力)触るな(京都)'!$M$2:$M$501,$B20,'全体集計(入力)触るな(京都)'!$Z$2:$Z$501,"決済者"))</f>
        <v>0</v>
      </c>
      <c r="P20" s="37" t="n">
        <f aca="false">IF($B20="","",COUNTIFS('全体集計(入力)触るな(京都)'!$M$2:$M$501,$B20,'全体集計(入力)触るな(京都)'!$AF$2:$AF$501,"失注"))</f>
        <v>0</v>
      </c>
      <c r="Q20" s="37" t="n">
        <f aca="false">IF($B20="","",COUNTIFS('全体集計(入力)触るな(京都)'!$M$2:$M$501,$B20,'全体集計(入力)触るな(京都)'!$W$2:$W$501,"有効商談",'全体集計(入力)触るな(京都)'!$AF$2:$AF$501,"失注"))</f>
        <v>0</v>
      </c>
      <c r="R20" s="37" t="n">
        <f aca="false">IF($B20="","",COUNTIFS('全体集計(入力)触るな(京都)'!$M$2:$M$501,$B20,'全体集計(入力)触るな(京都)'!$W$2:$W$501,"有効商談",'全体集計(入力)触るな(京都)'!$X$2:$X$501,"検討"))</f>
        <v>0</v>
      </c>
      <c r="S20" s="37" t="n">
        <f aca="false">IF($B20="","",COUNTIFS('全体集計(入力)触るな(京都)'!$M$2:$M$501,$B20,'全体集計(入力)触るな(京都)'!$AF$2:$AF$501,"受注"))</f>
        <v>0</v>
      </c>
      <c r="T20" s="37" t="n">
        <f aca="false">IF($B20="","",COUNTIFS('全体集計(入力)触るな(京都)'!$M$2:$M$501,$B20,'全体集計(入力)触るな(京都)'!$AC$2:$AC$501,"⚪︎"))</f>
        <v>0</v>
      </c>
      <c r="U20" s="38" t="n">
        <f aca="false">IF($B20="","",SUMIFS('全体集計(入力)触るな(京都)'!$AD$2:$AD$501,'全体集計(入力)触るな(京都)'!$M$2:$M$501,$B20,'全体集計(入力)触るな(京都)'!$AF$2:$AF$501,"受注"))</f>
        <v>0</v>
      </c>
      <c r="V20" s="39" t="n">
        <f aca="false">IF($B20="","",INT(U20/10000))</f>
        <v>0</v>
      </c>
      <c r="W20" s="40" t="n">
        <f aca="true">IF($B20="","",SUMIFS(シフト入力!$N$2:$N$1501,シフト入力!$B$2:$B$1501,$B20,シフト入力!$A$2:$A$1501,"&lt;="&amp;TODAY()))</f>
        <v>0</v>
      </c>
      <c r="X20" s="41" t="n">
        <f aca="false">IF($B20="","",IFERROR(C20/W20,0))</f>
        <v>0</v>
      </c>
      <c r="Y20" s="42" t="n">
        <f aca="false">IF($B20="","",IFERROR(G20/C20,0))</f>
        <v>0</v>
      </c>
      <c r="Z20" s="42" t="n">
        <f aca="false">IF($B20="","",IFERROR(S20/C20,0))</f>
        <v>0</v>
      </c>
    </row>
    <row r="21" customFormat="false" ht="15" hidden="false" customHeight="false" outlineLevel="0" collapsed="false">
      <c r="B21" s="36" t="str">
        <f aca="false">IF(INDEX(マスタ!$B$2:$B$60,5)="","",INDEX(マスタ!$B$2:$B$60,5))</f>
        <v>大場</v>
      </c>
      <c r="C21" s="37" t="n">
        <f aca="false">IF($B21="","",COUNTIFS('全体集計(入力)触るな(京都)'!$M$2:$M$501,$B21,'全体集計(入力)触るな(京都)'!$L$2:$L$501,"&lt;&gt;"))</f>
        <v>0</v>
      </c>
      <c r="D21" s="37" t="n">
        <f aca="false">IF($B21="","",COUNTIFS('全体集計(入力)触るな(京都)'!$M$2:$M$501,$B21,'全体集計(入力)触るな(京都)'!$L$2:$L$501,"決済")+COUNTIFS('全体集計(入力)触るな(京都)'!$M$2:$M$501,$B21,'全体集計(入力)触るな(京都)'!$L$2:$L$501,"外人(決済)"))</f>
        <v>0</v>
      </c>
      <c r="E21" s="37" t="n">
        <f aca="false">IF($B21="","",COUNTIFS('全体集計(入力)触るな(京都)'!$M$2:$M$501,$B21,'全体集計(入力)触るな(京都)'!$L$2:$L$501,"非決済")+COUNTIFS('全体集計(入力)触るな(京都)'!$M$2:$M$501,$B21,'全体集計(入力)触るな(京都)'!$L$2:$L$501,"外人(非決済)"))</f>
        <v>0</v>
      </c>
      <c r="F21" s="37" t="n">
        <f aca="false">IF($B21="","",COUNTIFS('全体集計(入力)触るな(京都)'!$M$2:$M$501,$B21,'全体集計(入力)触るな(京都)'!$L$2:$L$501,"外人(決済)")+COUNTIFS('全体集計(入力)触るな(京都)'!$M$2:$M$501,$B21,'全体集計(入力)触るな(京都)'!$L$2:$L$501,"外人(非決済)"))</f>
        <v>0</v>
      </c>
      <c r="G21" s="37" t="n">
        <f aca="false">IF($B21="","",COUNTIFS('全体集計(入力)触るな(京都)'!$M$2:$M$501,$B21,'全体集計(入力)触るな(京都)'!$Q$2:$Q$501,"OK"))</f>
        <v>0</v>
      </c>
      <c r="H21" s="37" t="n">
        <f aca="false">IF($B21="","",COUNTIFS('全体集計(入力)触るな(京都)'!$M$2:$M$501,$B21,'全体集計(入力)触るな(京都)'!$L$2:$L$501,"決済",'全体集計(入力)触るな(京都)'!$Q$2:$Q$501,"OK")+COUNTIFS('全体集計(入力)触るな(京都)'!$M$2:$M$501,$B21,'全体集計(入力)触るな(京都)'!$L$2:$L$501,"外人(決済)",'全体集計(入力)触るな(京都)'!$Q$2:$Q$501,"OK"))</f>
        <v>0</v>
      </c>
      <c r="I21" s="37" t="n">
        <f aca="false">IF($B21="","",COUNTIFS('全体集計(入力)触るな(京都)'!$M$2:$M$501,$B21,'全体集計(入力)触るな(京都)'!$Q$2:$Q$501,"NG"))</f>
        <v>0</v>
      </c>
      <c r="J21" s="37" t="n">
        <f aca="false">IF($B21="","",COUNTIFS('全体集計(入力)触るな(京都)'!$M$2:$M$501,$B21,'全体集計(入力)触るな(京都)'!$V$2:$V$501,"リスケ"))</f>
        <v>0</v>
      </c>
      <c r="K21" s="37" t="n">
        <f aca="false">IF($B21="","",COUNTIFS('全体集計(入力)触るな(京都)'!$M$2:$M$501,$B21,'全体集計(入力)触るな(京都)'!$W$2:$W$501,"有効商談")+COUNTIFS('全体集計(入力)触るな(京都)'!$M$2:$M$501,$B21,'全体集計(入力)触るな(京都)'!$W$2:$W$501,"無効商談"))</f>
        <v>0</v>
      </c>
      <c r="L21" s="37" t="n">
        <f aca="false">IF($B21="","",COUNTIFS('全体集計(入力)触るな(京都)'!$M$2:$M$501,$B21,'全体集計(入力)触るな(京都)'!$W$2:$W$501,"有効商談"))</f>
        <v>0</v>
      </c>
      <c r="M21" s="37" t="n">
        <f aca="false">IF($B21="","",COUNTIFS('全体集計(入力)触るな(京都)'!$M$2:$M$501,$B21,'全体集計(入力)触るな(京都)'!$W$2:$W$501,"無効商談"))</f>
        <v>0</v>
      </c>
      <c r="N21" s="37" t="n">
        <f aca="false">IF($B21="","",COUNTIFS('全体集計(入力)触るな(京都)'!$M$2:$M$501,$B21,'全体集計(入力)触るな(京都)'!$AF$2:$AF$501,"商談キャンセル"))</f>
        <v>0</v>
      </c>
      <c r="O21" s="37" t="n">
        <f aca="false">IF($B21="","",COUNTIFS('全体集計(入力)触るな(京都)'!$M$2:$M$501,$B21,'全体集計(入力)触るな(京都)'!$Z$2:$Z$501,"決済者"))</f>
        <v>0</v>
      </c>
      <c r="P21" s="37" t="n">
        <f aca="false">IF($B21="","",COUNTIFS('全体集計(入力)触るな(京都)'!$M$2:$M$501,$B21,'全体集計(入力)触るな(京都)'!$AF$2:$AF$501,"失注"))</f>
        <v>0</v>
      </c>
      <c r="Q21" s="37" t="n">
        <f aca="false">IF($B21="","",COUNTIFS('全体集計(入力)触るな(京都)'!$M$2:$M$501,$B21,'全体集計(入力)触るな(京都)'!$W$2:$W$501,"有効商談",'全体集計(入力)触るな(京都)'!$AF$2:$AF$501,"失注"))</f>
        <v>0</v>
      </c>
      <c r="R21" s="37" t="n">
        <f aca="false">IF($B21="","",COUNTIFS('全体集計(入力)触るな(京都)'!$M$2:$M$501,$B21,'全体集計(入力)触るな(京都)'!$W$2:$W$501,"有効商談",'全体集計(入力)触るな(京都)'!$X$2:$X$501,"検討"))</f>
        <v>0</v>
      </c>
      <c r="S21" s="37" t="n">
        <f aca="false">IF($B21="","",COUNTIFS('全体集計(入力)触るな(京都)'!$M$2:$M$501,$B21,'全体集計(入力)触るな(京都)'!$AF$2:$AF$501,"受注"))</f>
        <v>0</v>
      </c>
      <c r="T21" s="37" t="n">
        <f aca="false">IF($B21="","",COUNTIFS('全体集計(入力)触るな(京都)'!$M$2:$M$501,$B21,'全体集計(入力)触るな(京都)'!$AC$2:$AC$501,"⚪︎"))</f>
        <v>0</v>
      </c>
      <c r="U21" s="38" t="n">
        <f aca="false">IF($B21="","",SUMIFS('全体集計(入力)触るな(京都)'!$AD$2:$AD$501,'全体集計(入力)触るな(京都)'!$M$2:$M$501,$B21,'全体集計(入力)触るな(京都)'!$AF$2:$AF$501,"受注"))</f>
        <v>0</v>
      </c>
      <c r="V21" s="39" t="n">
        <f aca="false">IF($B21="","",INT(U21/10000))</f>
        <v>0</v>
      </c>
      <c r="W21" s="40" t="n">
        <f aca="true">IF($B21="","",SUMIFS(シフト入力!$N$2:$N$1501,シフト入力!$B$2:$B$1501,$B21,シフト入力!$A$2:$A$1501,"&lt;="&amp;TODAY()))</f>
        <v>0</v>
      </c>
      <c r="X21" s="41" t="n">
        <f aca="false">IF($B21="","",IFERROR(C21/W21,0))</f>
        <v>0</v>
      </c>
      <c r="Y21" s="42" t="n">
        <f aca="false">IF($B21="","",IFERROR(G21/C21,0))</f>
        <v>0</v>
      </c>
      <c r="Z21" s="42" t="n">
        <f aca="false">IF($B21="","",IFERROR(S21/C21,0))</f>
        <v>0</v>
      </c>
    </row>
    <row r="22" customFormat="false" ht="15" hidden="false" customHeight="false" outlineLevel="0" collapsed="false">
      <c r="B22" s="36" t="str">
        <f aca="false">IF(INDEX(マスタ!$B$2:$B$60,6)="","",INDEX(マスタ!$B$2:$B$60,6))</f>
        <v>石原</v>
      </c>
      <c r="C22" s="37" t="n">
        <f aca="false">IF($B22="","",COUNTIFS('全体集計(入力)触るな(京都)'!$M$2:$M$501,$B22,'全体集計(入力)触るな(京都)'!$L$2:$L$501,"&lt;&gt;"))</f>
        <v>0</v>
      </c>
      <c r="D22" s="37" t="n">
        <f aca="false">IF($B22="","",COUNTIFS('全体集計(入力)触るな(京都)'!$M$2:$M$501,$B22,'全体集計(入力)触るな(京都)'!$L$2:$L$501,"決済")+COUNTIFS('全体集計(入力)触るな(京都)'!$M$2:$M$501,$B22,'全体集計(入力)触るな(京都)'!$L$2:$L$501,"外人(決済)"))</f>
        <v>0</v>
      </c>
      <c r="E22" s="37" t="n">
        <f aca="false">IF($B22="","",COUNTIFS('全体集計(入力)触るな(京都)'!$M$2:$M$501,$B22,'全体集計(入力)触るな(京都)'!$L$2:$L$501,"非決済")+COUNTIFS('全体集計(入力)触るな(京都)'!$M$2:$M$501,$B22,'全体集計(入力)触るな(京都)'!$L$2:$L$501,"外人(非決済)"))</f>
        <v>0</v>
      </c>
      <c r="F22" s="37" t="n">
        <f aca="false">IF($B22="","",COUNTIFS('全体集計(入力)触るな(京都)'!$M$2:$M$501,$B22,'全体集計(入力)触るな(京都)'!$L$2:$L$501,"外人(決済)")+COUNTIFS('全体集計(入力)触るな(京都)'!$M$2:$M$501,$B22,'全体集計(入力)触るな(京都)'!$L$2:$L$501,"外人(非決済)"))</f>
        <v>0</v>
      </c>
      <c r="G22" s="37" t="n">
        <f aca="false">IF($B22="","",COUNTIFS('全体集計(入力)触るな(京都)'!$M$2:$M$501,$B22,'全体集計(入力)触るな(京都)'!$Q$2:$Q$501,"OK"))</f>
        <v>0</v>
      </c>
      <c r="H22" s="37" t="n">
        <f aca="false">IF($B22="","",COUNTIFS('全体集計(入力)触るな(京都)'!$M$2:$M$501,$B22,'全体集計(入力)触るな(京都)'!$L$2:$L$501,"決済",'全体集計(入力)触るな(京都)'!$Q$2:$Q$501,"OK")+COUNTIFS('全体集計(入力)触るな(京都)'!$M$2:$M$501,$B22,'全体集計(入力)触るな(京都)'!$L$2:$L$501,"外人(決済)",'全体集計(入力)触るな(京都)'!$Q$2:$Q$501,"OK"))</f>
        <v>0</v>
      </c>
      <c r="I22" s="37" t="n">
        <f aca="false">IF($B22="","",COUNTIFS('全体集計(入力)触るな(京都)'!$M$2:$M$501,$B22,'全体集計(入力)触るな(京都)'!$Q$2:$Q$501,"NG"))</f>
        <v>0</v>
      </c>
      <c r="J22" s="37" t="n">
        <f aca="false">IF($B22="","",COUNTIFS('全体集計(入力)触るな(京都)'!$M$2:$M$501,$B22,'全体集計(入力)触るな(京都)'!$V$2:$V$501,"リスケ"))</f>
        <v>0</v>
      </c>
      <c r="K22" s="37" t="n">
        <f aca="false">IF($B22="","",COUNTIFS('全体集計(入力)触るな(京都)'!$M$2:$M$501,$B22,'全体集計(入力)触るな(京都)'!$W$2:$W$501,"有効商談")+COUNTIFS('全体集計(入力)触るな(京都)'!$M$2:$M$501,$B22,'全体集計(入力)触るな(京都)'!$W$2:$W$501,"無効商談"))</f>
        <v>0</v>
      </c>
      <c r="L22" s="37" t="n">
        <f aca="false">IF($B22="","",COUNTIFS('全体集計(入力)触るな(京都)'!$M$2:$M$501,$B22,'全体集計(入力)触るな(京都)'!$W$2:$W$501,"有効商談"))</f>
        <v>0</v>
      </c>
      <c r="M22" s="37" t="n">
        <f aca="false">IF($B22="","",COUNTIFS('全体集計(入力)触るな(京都)'!$M$2:$M$501,$B22,'全体集計(入力)触るな(京都)'!$W$2:$W$501,"無効商談"))</f>
        <v>0</v>
      </c>
      <c r="N22" s="37" t="n">
        <f aca="false">IF($B22="","",COUNTIFS('全体集計(入力)触るな(京都)'!$M$2:$M$501,$B22,'全体集計(入力)触るな(京都)'!$AF$2:$AF$501,"商談キャンセル"))</f>
        <v>0</v>
      </c>
      <c r="O22" s="37" t="n">
        <f aca="false">IF($B22="","",COUNTIFS('全体集計(入力)触るな(京都)'!$M$2:$M$501,$B22,'全体集計(入力)触るな(京都)'!$Z$2:$Z$501,"決済者"))</f>
        <v>0</v>
      </c>
      <c r="P22" s="37" t="n">
        <f aca="false">IF($B22="","",COUNTIFS('全体集計(入力)触るな(京都)'!$M$2:$M$501,$B22,'全体集計(入力)触るな(京都)'!$AF$2:$AF$501,"失注"))</f>
        <v>0</v>
      </c>
      <c r="Q22" s="37" t="n">
        <f aca="false">IF($B22="","",COUNTIFS('全体集計(入力)触るな(京都)'!$M$2:$M$501,$B22,'全体集計(入力)触るな(京都)'!$W$2:$W$501,"有効商談",'全体集計(入力)触るな(京都)'!$AF$2:$AF$501,"失注"))</f>
        <v>0</v>
      </c>
      <c r="R22" s="37" t="n">
        <f aca="false">IF($B22="","",COUNTIFS('全体集計(入力)触るな(京都)'!$M$2:$M$501,$B22,'全体集計(入力)触るな(京都)'!$W$2:$W$501,"有効商談",'全体集計(入力)触るな(京都)'!$X$2:$X$501,"検討"))</f>
        <v>0</v>
      </c>
      <c r="S22" s="37" t="n">
        <f aca="false">IF($B22="","",COUNTIFS('全体集計(入力)触るな(京都)'!$M$2:$M$501,$B22,'全体集計(入力)触るな(京都)'!$AF$2:$AF$501,"受注"))</f>
        <v>0</v>
      </c>
      <c r="T22" s="37" t="n">
        <f aca="false">IF($B22="","",COUNTIFS('全体集計(入力)触るな(京都)'!$M$2:$M$501,$B22,'全体集計(入力)触るな(京都)'!$AC$2:$AC$501,"⚪︎"))</f>
        <v>0</v>
      </c>
      <c r="U22" s="38" t="n">
        <f aca="false">IF($B22="","",SUMIFS('全体集計(入力)触るな(京都)'!$AD$2:$AD$501,'全体集計(入力)触るな(京都)'!$M$2:$M$501,$B22,'全体集計(入力)触るな(京都)'!$AF$2:$AF$501,"受注"))</f>
        <v>0</v>
      </c>
      <c r="V22" s="39" t="n">
        <f aca="false">IF($B22="","",INT(U22/10000))</f>
        <v>0</v>
      </c>
      <c r="W22" s="40" t="n">
        <f aca="true">IF($B22="","",SUMIFS(シフト入力!$N$2:$N$1501,シフト入力!$B$2:$B$1501,$B22,シフト入力!$A$2:$A$1501,"&lt;="&amp;TODAY()))</f>
        <v>0</v>
      </c>
      <c r="X22" s="41" t="n">
        <f aca="false">IF($B22="","",IFERROR(C22/W22,0))</f>
        <v>0</v>
      </c>
      <c r="Y22" s="42" t="n">
        <f aca="false">IF($B22="","",IFERROR(G22/C22,0))</f>
        <v>0</v>
      </c>
      <c r="Z22" s="42" t="n">
        <f aca="false">IF($B22="","",IFERROR(S22/C22,0))</f>
        <v>0</v>
      </c>
    </row>
    <row r="23" customFormat="false" ht="15" hidden="false" customHeight="false" outlineLevel="0" collapsed="false">
      <c r="B23" s="36" t="str">
        <f aca="false">IF(INDEX(マスタ!$B$2:$B$60,7)="","",INDEX(マスタ!$B$2:$B$60,7))</f>
        <v>伊坂</v>
      </c>
      <c r="C23" s="37" t="n">
        <f aca="false">IF($B23="","",COUNTIFS('全体集計(入力)触るな(京都)'!$M$2:$M$501,$B23,'全体集計(入力)触るな(京都)'!$L$2:$L$501,"&lt;&gt;"))</f>
        <v>0</v>
      </c>
      <c r="D23" s="37" t="n">
        <f aca="false">IF($B23="","",COUNTIFS('全体集計(入力)触るな(京都)'!$M$2:$M$501,$B23,'全体集計(入力)触るな(京都)'!$L$2:$L$501,"決済")+COUNTIFS('全体集計(入力)触るな(京都)'!$M$2:$M$501,$B23,'全体集計(入力)触るな(京都)'!$L$2:$L$501,"外人(決済)"))</f>
        <v>0</v>
      </c>
      <c r="E23" s="37" t="n">
        <f aca="false">IF($B23="","",COUNTIFS('全体集計(入力)触るな(京都)'!$M$2:$M$501,$B23,'全体集計(入力)触るな(京都)'!$L$2:$L$501,"非決済")+COUNTIFS('全体集計(入力)触るな(京都)'!$M$2:$M$501,$B23,'全体集計(入力)触るな(京都)'!$L$2:$L$501,"外人(非決済)"))</f>
        <v>0</v>
      </c>
      <c r="F23" s="37" t="n">
        <f aca="false">IF($B23="","",COUNTIFS('全体集計(入力)触るな(京都)'!$M$2:$M$501,$B23,'全体集計(入力)触るな(京都)'!$L$2:$L$501,"外人(決済)")+COUNTIFS('全体集計(入力)触るな(京都)'!$M$2:$M$501,$B23,'全体集計(入力)触るな(京都)'!$L$2:$L$501,"外人(非決済)"))</f>
        <v>0</v>
      </c>
      <c r="G23" s="37" t="n">
        <f aca="false">IF($B23="","",COUNTIFS('全体集計(入力)触るな(京都)'!$M$2:$M$501,$B23,'全体集計(入力)触るな(京都)'!$Q$2:$Q$501,"OK"))</f>
        <v>0</v>
      </c>
      <c r="H23" s="37" t="n">
        <f aca="false">IF($B23="","",COUNTIFS('全体集計(入力)触るな(京都)'!$M$2:$M$501,$B23,'全体集計(入力)触るな(京都)'!$L$2:$L$501,"決済",'全体集計(入力)触るな(京都)'!$Q$2:$Q$501,"OK")+COUNTIFS('全体集計(入力)触るな(京都)'!$M$2:$M$501,$B23,'全体集計(入力)触るな(京都)'!$L$2:$L$501,"外人(決済)",'全体集計(入力)触るな(京都)'!$Q$2:$Q$501,"OK"))</f>
        <v>0</v>
      </c>
      <c r="I23" s="37" t="n">
        <f aca="false">IF($B23="","",COUNTIFS('全体集計(入力)触るな(京都)'!$M$2:$M$501,$B23,'全体集計(入力)触るな(京都)'!$Q$2:$Q$501,"NG"))</f>
        <v>0</v>
      </c>
      <c r="J23" s="37" t="n">
        <f aca="false">IF($B23="","",COUNTIFS('全体集計(入力)触るな(京都)'!$M$2:$M$501,$B23,'全体集計(入力)触るな(京都)'!$V$2:$V$501,"リスケ"))</f>
        <v>0</v>
      </c>
      <c r="K23" s="37" t="n">
        <f aca="false">IF($B23="","",COUNTIFS('全体集計(入力)触るな(京都)'!$M$2:$M$501,$B23,'全体集計(入力)触るな(京都)'!$W$2:$W$501,"有効商談")+COUNTIFS('全体集計(入力)触るな(京都)'!$M$2:$M$501,$B23,'全体集計(入力)触るな(京都)'!$W$2:$W$501,"無効商談"))</f>
        <v>0</v>
      </c>
      <c r="L23" s="37" t="n">
        <f aca="false">IF($B23="","",COUNTIFS('全体集計(入力)触るな(京都)'!$M$2:$M$501,$B23,'全体集計(入力)触るな(京都)'!$W$2:$W$501,"有効商談"))</f>
        <v>0</v>
      </c>
      <c r="M23" s="37" t="n">
        <f aca="false">IF($B23="","",COUNTIFS('全体集計(入力)触るな(京都)'!$M$2:$M$501,$B23,'全体集計(入力)触るな(京都)'!$W$2:$W$501,"無効商談"))</f>
        <v>0</v>
      </c>
      <c r="N23" s="37" t="n">
        <f aca="false">IF($B23="","",COUNTIFS('全体集計(入力)触るな(京都)'!$M$2:$M$501,$B23,'全体集計(入力)触るな(京都)'!$AF$2:$AF$501,"商談キャンセル"))</f>
        <v>0</v>
      </c>
      <c r="O23" s="37" t="n">
        <f aca="false">IF($B23="","",COUNTIFS('全体集計(入力)触るな(京都)'!$M$2:$M$501,$B23,'全体集計(入力)触るな(京都)'!$Z$2:$Z$501,"決済者"))</f>
        <v>0</v>
      </c>
      <c r="P23" s="37" t="n">
        <f aca="false">IF($B23="","",COUNTIFS('全体集計(入力)触るな(京都)'!$M$2:$M$501,$B23,'全体集計(入力)触るな(京都)'!$AF$2:$AF$501,"失注"))</f>
        <v>0</v>
      </c>
      <c r="Q23" s="37" t="n">
        <f aca="false">IF($B23="","",COUNTIFS('全体集計(入力)触るな(京都)'!$M$2:$M$501,$B23,'全体集計(入力)触るな(京都)'!$W$2:$W$501,"有効商談",'全体集計(入力)触るな(京都)'!$AF$2:$AF$501,"失注"))</f>
        <v>0</v>
      </c>
      <c r="R23" s="37" t="n">
        <f aca="false">IF($B23="","",COUNTIFS('全体集計(入力)触るな(京都)'!$M$2:$M$501,$B23,'全体集計(入力)触るな(京都)'!$W$2:$W$501,"有効商談",'全体集計(入力)触るな(京都)'!$X$2:$X$501,"検討"))</f>
        <v>0</v>
      </c>
      <c r="S23" s="37" t="n">
        <f aca="false">IF($B23="","",COUNTIFS('全体集計(入力)触るな(京都)'!$M$2:$M$501,$B23,'全体集計(入力)触るな(京都)'!$AF$2:$AF$501,"受注"))</f>
        <v>0</v>
      </c>
      <c r="T23" s="37" t="n">
        <f aca="false">IF($B23="","",COUNTIFS('全体集計(入力)触るな(京都)'!$M$2:$M$501,$B23,'全体集計(入力)触るな(京都)'!$AC$2:$AC$501,"⚪︎"))</f>
        <v>0</v>
      </c>
      <c r="U23" s="38" t="n">
        <f aca="false">IF($B23="","",SUMIFS('全体集計(入力)触るな(京都)'!$AD$2:$AD$501,'全体集計(入力)触るな(京都)'!$M$2:$M$501,$B23,'全体集計(入力)触るな(京都)'!$AF$2:$AF$501,"受注"))</f>
        <v>0</v>
      </c>
      <c r="V23" s="39" t="n">
        <f aca="false">IF($B23="","",INT(U23/10000))</f>
        <v>0</v>
      </c>
      <c r="W23" s="40" t="n">
        <f aca="true">IF($B23="","",SUMIFS(シフト入力!$N$2:$N$1501,シフト入力!$B$2:$B$1501,$B23,シフト入力!$A$2:$A$1501,"&lt;="&amp;TODAY()))</f>
        <v>0</v>
      </c>
      <c r="X23" s="41" t="n">
        <f aca="false">IF($B23="","",IFERROR(C23/W23,0))</f>
        <v>0</v>
      </c>
      <c r="Y23" s="42" t="n">
        <f aca="false">IF($B23="","",IFERROR(G23/C23,0))</f>
        <v>0</v>
      </c>
      <c r="Z23" s="42" t="n">
        <f aca="false">IF($B23="","",IFERROR(S23/C23,0))</f>
        <v>0</v>
      </c>
    </row>
    <row r="24" customFormat="false" ht="15" hidden="false" customHeight="false" outlineLevel="0" collapsed="false">
      <c r="B24" s="36" t="str">
        <f aca="false">IF(INDEX(マスタ!$B$2:$B$60,8)="","",INDEX(マスタ!$B$2:$B$60,8))</f>
        <v>迫</v>
      </c>
      <c r="C24" s="37" t="n">
        <f aca="false">IF($B24="","",COUNTIFS('全体集計(入力)触るな(京都)'!$M$2:$M$501,$B24,'全体集計(入力)触るな(京都)'!$L$2:$L$501,"&lt;&gt;"))</f>
        <v>0</v>
      </c>
      <c r="D24" s="37" t="n">
        <f aca="false">IF($B24="","",COUNTIFS('全体集計(入力)触るな(京都)'!$M$2:$M$501,$B24,'全体集計(入力)触るな(京都)'!$L$2:$L$501,"決済")+COUNTIFS('全体集計(入力)触るな(京都)'!$M$2:$M$501,$B24,'全体集計(入力)触るな(京都)'!$L$2:$L$501,"外人(決済)"))</f>
        <v>0</v>
      </c>
      <c r="E24" s="37" t="n">
        <f aca="false">IF($B24="","",COUNTIFS('全体集計(入力)触るな(京都)'!$M$2:$M$501,$B24,'全体集計(入力)触るな(京都)'!$L$2:$L$501,"非決済")+COUNTIFS('全体集計(入力)触るな(京都)'!$M$2:$M$501,$B24,'全体集計(入力)触るな(京都)'!$L$2:$L$501,"外人(非決済)"))</f>
        <v>0</v>
      </c>
      <c r="F24" s="37" t="n">
        <f aca="false">IF($B24="","",COUNTIFS('全体集計(入力)触るな(京都)'!$M$2:$M$501,$B24,'全体集計(入力)触るな(京都)'!$L$2:$L$501,"外人(決済)")+COUNTIFS('全体集計(入力)触るな(京都)'!$M$2:$M$501,$B24,'全体集計(入力)触るな(京都)'!$L$2:$L$501,"外人(非決済)"))</f>
        <v>0</v>
      </c>
      <c r="G24" s="37" t="n">
        <f aca="false">IF($B24="","",COUNTIFS('全体集計(入力)触るな(京都)'!$M$2:$M$501,$B24,'全体集計(入力)触るな(京都)'!$Q$2:$Q$501,"OK"))</f>
        <v>0</v>
      </c>
      <c r="H24" s="37" t="n">
        <f aca="false">IF($B24="","",COUNTIFS('全体集計(入力)触るな(京都)'!$M$2:$M$501,$B24,'全体集計(入力)触るな(京都)'!$L$2:$L$501,"決済",'全体集計(入力)触るな(京都)'!$Q$2:$Q$501,"OK")+COUNTIFS('全体集計(入力)触るな(京都)'!$M$2:$M$501,$B24,'全体集計(入力)触るな(京都)'!$L$2:$L$501,"外人(決済)",'全体集計(入力)触るな(京都)'!$Q$2:$Q$501,"OK"))</f>
        <v>0</v>
      </c>
      <c r="I24" s="37" t="n">
        <f aca="false">IF($B24="","",COUNTIFS('全体集計(入力)触るな(京都)'!$M$2:$M$501,$B24,'全体集計(入力)触るな(京都)'!$Q$2:$Q$501,"NG"))</f>
        <v>0</v>
      </c>
      <c r="J24" s="37" t="n">
        <f aca="false">IF($B24="","",COUNTIFS('全体集計(入力)触るな(京都)'!$M$2:$M$501,$B24,'全体集計(入力)触るな(京都)'!$V$2:$V$501,"リスケ"))</f>
        <v>0</v>
      </c>
      <c r="K24" s="37" t="n">
        <f aca="false">IF($B24="","",COUNTIFS('全体集計(入力)触るな(京都)'!$M$2:$M$501,$B24,'全体集計(入力)触るな(京都)'!$W$2:$W$501,"有効商談")+COUNTIFS('全体集計(入力)触るな(京都)'!$M$2:$M$501,$B24,'全体集計(入力)触るな(京都)'!$W$2:$W$501,"無効商談"))</f>
        <v>0</v>
      </c>
      <c r="L24" s="37" t="n">
        <f aca="false">IF($B24="","",COUNTIFS('全体集計(入力)触るな(京都)'!$M$2:$M$501,$B24,'全体集計(入力)触るな(京都)'!$W$2:$W$501,"有効商談"))</f>
        <v>0</v>
      </c>
      <c r="M24" s="37" t="n">
        <f aca="false">IF($B24="","",COUNTIFS('全体集計(入力)触るな(京都)'!$M$2:$M$501,$B24,'全体集計(入力)触るな(京都)'!$W$2:$W$501,"無効商談"))</f>
        <v>0</v>
      </c>
      <c r="N24" s="37" t="n">
        <f aca="false">IF($B24="","",COUNTIFS('全体集計(入力)触るな(京都)'!$M$2:$M$501,$B24,'全体集計(入力)触るな(京都)'!$AF$2:$AF$501,"商談キャンセル"))</f>
        <v>0</v>
      </c>
      <c r="O24" s="37" t="n">
        <f aca="false">IF($B24="","",COUNTIFS('全体集計(入力)触るな(京都)'!$M$2:$M$501,$B24,'全体集計(入力)触るな(京都)'!$Z$2:$Z$501,"決済者"))</f>
        <v>0</v>
      </c>
      <c r="P24" s="37" t="n">
        <f aca="false">IF($B24="","",COUNTIFS('全体集計(入力)触るな(京都)'!$M$2:$M$501,$B24,'全体集計(入力)触るな(京都)'!$AF$2:$AF$501,"失注"))</f>
        <v>0</v>
      </c>
      <c r="Q24" s="37" t="n">
        <f aca="false">IF($B24="","",COUNTIFS('全体集計(入力)触るな(京都)'!$M$2:$M$501,$B24,'全体集計(入力)触るな(京都)'!$W$2:$W$501,"有効商談",'全体集計(入力)触るな(京都)'!$AF$2:$AF$501,"失注"))</f>
        <v>0</v>
      </c>
      <c r="R24" s="37" t="n">
        <f aca="false">IF($B24="","",COUNTIFS('全体集計(入力)触るな(京都)'!$M$2:$M$501,$B24,'全体集計(入力)触るな(京都)'!$W$2:$W$501,"有効商談",'全体集計(入力)触るな(京都)'!$X$2:$X$501,"検討"))</f>
        <v>0</v>
      </c>
      <c r="S24" s="37" t="n">
        <f aca="false">IF($B24="","",COUNTIFS('全体集計(入力)触るな(京都)'!$M$2:$M$501,$B24,'全体集計(入力)触るな(京都)'!$AF$2:$AF$501,"受注"))</f>
        <v>0</v>
      </c>
      <c r="T24" s="37" t="n">
        <f aca="false">IF($B24="","",COUNTIFS('全体集計(入力)触るな(京都)'!$M$2:$M$501,$B24,'全体集計(入力)触るな(京都)'!$AC$2:$AC$501,"⚪︎"))</f>
        <v>0</v>
      </c>
      <c r="U24" s="38" t="n">
        <f aca="false">IF($B24="","",SUMIFS('全体集計(入力)触るな(京都)'!$AD$2:$AD$501,'全体集計(入力)触るな(京都)'!$M$2:$M$501,$B24,'全体集計(入力)触るな(京都)'!$AF$2:$AF$501,"受注"))</f>
        <v>0</v>
      </c>
      <c r="V24" s="39" t="n">
        <f aca="false">IF($B24="","",INT(U24/10000))</f>
        <v>0</v>
      </c>
      <c r="W24" s="40" t="n">
        <f aca="true">IF($B24="","",SUMIFS(シフト入力!$N$2:$N$1501,シフト入力!$B$2:$B$1501,$B24,シフト入力!$A$2:$A$1501,"&lt;="&amp;TODAY()))</f>
        <v>0</v>
      </c>
      <c r="X24" s="41" t="n">
        <f aca="false">IF($B24="","",IFERROR(C24/W24,0))</f>
        <v>0</v>
      </c>
      <c r="Y24" s="42" t="n">
        <f aca="false">IF($B24="","",IFERROR(G24/C24,0))</f>
        <v>0</v>
      </c>
      <c r="Z24" s="42" t="n">
        <f aca="false">IF($B24="","",IFERROR(S24/C24,0))</f>
        <v>0</v>
      </c>
    </row>
    <row r="25" customFormat="false" ht="15" hidden="false" customHeight="false" outlineLevel="0" collapsed="false">
      <c r="B25" s="36" t="str">
        <f aca="false">IF(INDEX(マスタ!$B$2:$B$60,9)="","",INDEX(マスタ!$B$2:$B$60,9))</f>
        <v>藤井</v>
      </c>
      <c r="C25" s="37" t="n">
        <f aca="false">IF($B25="","",COUNTIFS('全体集計(入力)触るな(京都)'!$M$2:$M$501,$B25,'全体集計(入力)触るな(京都)'!$L$2:$L$501,"&lt;&gt;"))</f>
        <v>0</v>
      </c>
      <c r="D25" s="37" t="n">
        <f aca="false">IF($B25="","",COUNTIFS('全体集計(入力)触るな(京都)'!$M$2:$M$501,$B25,'全体集計(入力)触るな(京都)'!$L$2:$L$501,"決済")+COUNTIFS('全体集計(入力)触るな(京都)'!$M$2:$M$501,$B25,'全体集計(入力)触るな(京都)'!$L$2:$L$501,"外人(決済)"))</f>
        <v>0</v>
      </c>
      <c r="E25" s="37" t="n">
        <f aca="false">IF($B25="","",COUNTIFS('全体集計(入力)触るな(京都)'!$M$2:$M$501,$B25,'全体集計(入力)触るな(京都)'!$L$2:$L$501,"非決済")+COUNTIFS('全体集計(入力)触るな(京都)'!$M$2:$M$501,$B25,'全体集計(入力)触るな(京都)'!$L$2:$L$501,"外人(非決済)"))</f>
        <v>0</v>
      </c>
      <c r="F25" s="37" t="n">
        <f aca="false">IF($B25="","",COUNTIFS('全体集計(入力)触るな(京都)'!$M$2:$M$501,$B25,'全体集計(入力)触るな(京都)'!$L$2:$L$501,"外人(決済)")+COUNTIFS('全体集計(入力)触るな(京都)'!$M$2:$M$501,$B25,'全体集計(入力)触るな(京都)'!$L$2:$L$501,"外人(非決済)"))</f>
        <v>0</v>
      </c>
      <c r="G25" s="37" t="n">
        <f aca="false">IF($B25="","",COUNTIFS('全体集計(入力)触るな(京都)'!$M$2:$M$501,$B25,'全体集計(入力)触るな(京都)'!$Q$2:$Q$501,"OK"))</f>
        <v>0</v>
      </c>
      <c r="H25" s="37" t="n">
        <f aca="false">IF($B25="","",COUNTIFS('全体集計(入力)触るな(京都)'!$M$2:$M$501,$B25,'全体集計(入力)触るな(京都)'!$L$2:$L$501,"決済",'全体集計(入力)触るな(京都)'!$Q$2:$Q$501,"OK")+COUNTIFS('全体集計(入力)触るな(京都)'!$M$2:$M$501,$B25,'全体集計(入力)触るな(京都)'!$L$2:$L$501,"外人(決済)",'全体集計(入力)触るな(京都)'!$Q$2:$Q$501,"OK"))</f>
        <v>0</v>
      </c>
      <c r="I25" s="37" t="n">
        <f aca="false">IF($B25="","",COUNTIFS('全体集計(入力)触るな(京都)'!$M$2:$M$501,$B25,'全体集計(入力)触るな(京都)'!$Q$2:$Q$501,"NG"))</f>
        <v>0</v>
      </c>
      <c r="J25" s="37" t="n">
        <f aca="false">IF($B25="","",COUNTIFS('全体集計(入力)触るな(京都)'!$M$2:$M$501,$B25,'全体集計(入力)触るな(京都)'!$V$2:$V$501,"リスケ"))</f>
        <v>0</v>
      </c>
      <c r="K25" s="37" t="n">
        <f aca="false">IF($B25="","",COUNTIFS('全体集計(入力)触るな(京都)'!$M$2:$M$501,$B25,'全体集計(入力)触るな(京都)'!$W$2:$W$501,"有効商談")+COUNTIFS('全体集計(入力)触るな(京都)'!$M$2:$M$501,$B25,'全体集計(入力)触るな(京都)'!$W$2:$W$501,"無効商談"))</f>
        <v>0</v>
      </c>
      <c r="L25" s="37" t="n">
        <f aca="false">IF($B25="","",COUNTIFS('全体集計(入力)触るな(京都)'!$M$2:$M$501,$B25,'全体集計(入力)触るな(京都)'!$W$2:$W$501,"有効商談"))</f>
        <v>0</v>
      </c>
      <c r="M25" s="37" t="n">
        <f aca="false">IF($B25="","",COUNTIFS('全体集計(入力)触るな(京都)'!$M$2:$M$501,$B25,'全体集計(入力)触るな(京都)'!$W$2:$W$501,"無効商談"))</f>
        <v>0</v>
      </c>
      <c r="N25" s="37" t="n">
        <f aca="false">IF($B25="","",COUNTIFS('全体集計(入力)触るな(京都)'!$M$2:$M$501,$B25,'全体集計(入力)触るな(京都)'!$AF$2:$AF$501,"商談キャンセル"))</f>
        <v>0</v>
      </c>
      <c r="O25" s="37" t="n">
        <f aca="false">IF($B25="","",COUNTIFS('全体集計(入力)触るな(京都)'!$M$2:$M$501,$B25,'全体集計(入力)触るな(京都)'!$Z$2:$Z$501,"決済者"))</f>
        <v>0</v>
      </c>
      <c r="P25" s="37" t="n">
        <f aca="false">IF($B25="","",COUNTIFS('全体集計(入力)触るな(京都)'!$M$2:$M$501,$B25,'全体集計(入力)触るな(京都)'!$AF$2:$AF$501,"失注"))</f>
        <v>0</v>
      </c>
      <c r="Q25" s="37" t="n">
        <f aca="false">IF($B25="","",COUNTIFS('全体集計(入力)触るな(京都)'!$M$2:$M$501,$B25,'全体集計(入力)触るな(京都)'!$W$2:$W$501,"有効商談",'全体集計(入力)触るな(京都)'!$AF$2:$AF$501,"失注"))</f>
        <v>0</v>
      </c>
      <c r="R25" s="37" t="n">
        <f aca="false">IF($B25="","",COUNTIFS('全体集計(入力)触るな(京都)'!$M$2:$M$501,$B25,'全体集計(入力)触るな(京都)'!$W$2:$W$501,"有効商談",'全体集計(入力)触るな(京都)'!$X$2:$X$501,"検討"))</f>
        <v>0</v>
      </c>
      <c r="S25" s="37" t="n">
        <f aca="false">IF($B25="","",COUNTIFS('全体集計(入力)触るな(京都)'!$M$2:$M$501,$B25,'全体集計(入力)触るな(京都)'!$AF$2:$AF$501,"受注"))</f>
        <v>0</v>
      </c>
      <c r="T25" s="37" t="n">
        <f aca="false">IF($B25="","",COUNTIFS('全体集計(入力)触るな(京都)'!$M$2:$M$501,$B25,'全体集計(入力)触るな(京都)'!$AC$2:$AC$501,"⚪︎"))</f>
        <v>0</v>
      </c>
      <c r="U25" s="38" t="n">
        <f aca="false">IF($B25="","",SUMIFS('全体集計(入力)触るな(京都)'!$AD$2:$AD$501,'全体集計(入力)触るな(京都)'!$M$2:$M$501,$B25,'全体集計(入力)触るな(京都)'!$AF$2:$AF$501,"受注"))</f>
        <v>0</v>
      </c>
      <c r="V25" s="39" t="n">
        <f aca="false">IF($B25="","",INT(U25/10000))</f>
        <v>0</v>
      </c>
      <c r="W25" s="40" t="n">
        <f aca="true">IF($B25="","",SUMIFS(シフト入力!$N$2:$N$1501,シフト入力!$B$2:$B$1501,$B25,シフト入力!$A$2:$A$1501,"&lt;="&amp;TODAY()))</f>
        <v>0</v>
      </c>
      <c r="X25" s="41" t="n">
        <f aca="false">IF($B25="","",IFERROR(C25/W25,0))</f>
        <v>0</v>
      </c>
      <c r="Y25" s="42" t="n">
        <f aca="false">IF($B25="","",IFERROR(G25/C25,0))</f>
        <v>0</v>
      </c>
      <c r="Z25" s="42" t="n">
        <f aca="false">IF($B25="","",IFERROR(S25/C25,0))</f>
        <v>0</v>
      </c>
    </row>
    <row r="26" customFormat="false" ht="15" hidden="false" customHeight="false" outlineLevel="0" collapsed="false">
      <c r="B26" s="36" t="str">
        <f aca="false">IF(INDEX(マスタ!$B$2:$B$60,10)="","",INDEX(マスタ!$B$2:$B$60,10))</f>
        <v>荻野</v>
      </c>
      <c r="C26" s="37" t="n">
        <f aca="false">IF($B26="","",COUNTIFS('全体集計(入力)触るな(京都)'!$M$2:$M$501,$B26,'全体集計(入力)触るな(京都)'!$L$2:$L$501,"&lt;&gt;"))</f>
        <v>0</v>
      </c>
      <c r="D26" s="37" t="n">
        <f aca="false">IF($B26="","",COUNTIFS('全体集計(入力)触るな(京都)'!$M$2:$M$501,$B26,'全体集計(入力)触るな(京都)'!$L$2:$L$501,"決済")+COUNTIFS('全体集計(入力)触るな(京都)'!$M$2:$M$501,$B26,'全体集計(入力)触るな(京都)'!$L$2:$L$501,"外人(決済)"))</f>
        <v>0</v>
      </c>
      <c r="E26" s="37" t="n">
        <f aca="false">IF($B26="","",COUNTIFS('全体集計(入力)触るな(京都)'!$M$2:$M$501,$B26,'全体集計(入力)触るな(京都)'!$L$2:$L$501,"非決済")+COUNTIFS('全体集計(入力)触るな(京都)'!$M$2:$M$501,$B26,'全体集計(入力)触るな(京都)'!$L$2:$L$501,"外人(非決済)"))</f>
        <v>0</v>
      </c>
      <c r="F26" s="37" t="n">
        <f aca="false">IF($B26="","",COUNTIFS('全体集計(入力)触るな(京都)'!$M$2:$M$501,$B26,'全体集計(入力)触るな(京都)'!$L$2:$L$501,"外人(決済)")+COUNTIFS('全体集計(入力)触るな(京都)'!$M$2:$M$501,$B26,'全体集計(入力)触るな(京都)'!$L$2:$L$501,"外人(非決済)"))</f>
        <v>0</v>
      </c>
      <c r="G26" s="37" t="n">
        <f aca="false">IF($B26="","",COUNTIFS('全体集計(入力)触るな(京都)'!$M$2:$M$501,$B26,'全体集計(入力)触るな(京都)'!$Q$2:$Q$501,"OK"))</f>
        <v>0</v>
      </c>
      <c r="H26" s="37" t="n">
        <f aca="false">IF($B26="","",COUNTIFS('全体集計(入力)触るな(京都)'!$M$2:$M$501,$B26,'全体集計(入力)触るな(京都)'!$L$2:$L$501,"決済",'全体集計(入力)触るな(京都)'!$Q$2:$Q$501,"OK")+COUNTIFS('全体集計(入力)触るな(京都)'!$M$2:$M$501,$B26,'全体集計(入力)触るな(京都)'!$L$2:$L$501,"外人(決済)",'全体集計(入力)触るな(京都)'!$Q$2:$Q$501,"OK"))</f>
        <v>0</v>
      </c>
      <c r="I26" s="37" t="n">
        <f aca="false">IF($B26="","",COUNTIFS('全体集計(入力)触るな(京都)'!$M$2:$M$501,$B26,'全体集計(入力)触るな(京都)'!$Q$2:$Q$501,"NG"))</f>
        <v>0</v>
      </c>
      <c r="J26" s="37" t="n">
        <f aca="false">IF($B26="","",COUNTIFS('全体集計(入力)触るな(京都)'!$M$2:$M$501,$B26,'全体集計(入力)触るな(京都)'!$V$2:$V$501,"リスケ"))</f>
        <v>0</v>
      </c>
      <c r="K26" s="37" t="n">
        <f aca="false">IF($B26="","",COUNTIFS('全体集計(入力)触るな(京都)'!$M$2:$M$501,$B26,'全体集計(入力)触るな(京都)'!$W$2:$W$501,"有効商談")+COUNTIFS('全体集計(入力)触るな(京都)'!$M$2:$M$501,$B26,'全体集計(入力)触るな(京都)'!$W$2:$W$501,"無効商談"))</f>
        <v>0</v>
      </c>
      <c r="L26" s="37" t="n">
        <f aca="false">IF($B26="","",COUNTIFS('全体集計(入力)触るな(京都)'!$M$2:$M$501,$B26,'全体集計(入力)触るな(京都)'!$W$2:$W$501,"有効商談"))</f>
        <v>0</v>
      </c>
      <c r="M26" s="37" t="n">
        <f aca="false">IF($B26="","",COUNTIFS('全体集計(入力)触るな(京都)'!$M$2:$M$501,$B26,'全体集計(入力)触るな(京都)'!$W$2:$W$501,"無効商談"))</f>
        <v>0</v>
      </c>
      <c r="N26" s="37" t="n">
        <f aca="false">IF($B26="","",COUNTIFS('全体集計(入力)触るな(京都)'!$M$2:$M$501,$B26,'全体集計(入力)触るな(京都)'!$AF$2:$AF$501,"商談キャンセル"))</f>
        <v>0</v>
      </c>
      <c r="O26" s="37" t="n">
        <f aca="false">IF($B26="","",COUNTIFS('全体集計(入力)触るな(京都)'!$M$2:$M$501,$B26,'全体集計(入力)触るな(京都)'!$Z$2:$Z$501,"決済者"))</f>
        <v>0</v>
      </c>
      <c r="P26" s="37" t="n">
        <f aca="false">IF($B26="","",COUNTIFS('全体集計(入力)触るな(京都)'!$M$2:$M$501,$B26,'全体集計(入力)触るな(京都)'!$AF$2:$AF$501,"失注"))</f>
        <v>0</v>
      </c>
      <c r="Q26" s="37" t="n">
        <f aca="false">IF($B26="","",COUNTIFS('全体集計(入力)触るな(京都)'!$M$2:$M$501,$B26,'全体集計(入力)触るな(京都)'!$W$2:$W$501,"有効商談",'全体集計(入力)触るな(京都)'!$AF$2:$AF$501,"失注"))</f>
        <v>0</v>
      </c>
      <c r="R26" s="37" t="n">
        <f aca="false">IF($B26="","",COUNTIFS('全体集計(入力)触るな(京都)'!$M$2:$M$501,$B26,'全体集計(入力)触るな(京都)'!$W$2:$W$501,"有効商談",'全体集計(入力)触るな(京都)'!$X$2:$X$501,"検討"))</f>
        <v>0</v>
      </c>
      <c r="S26" s="37" t="n">
        <f aca="false">IF($B26="","",COUNTIFS('全体集計(入力)触るな(京都)'!$M$2:$M$501,$B26,'全体集計(入力)触るな(京都)'!$AF$2:$AF$501,"受注"))</f>
        <v>0</v>
      </c>
      <c r="T26" s="37" t="n">
        <f aca="false">IF($B26="","",COUNTIFS('全体集計(入力)触るな(京都)'!$M$2:$M$501,$B26,'全体集計(入力)触るな(京都)'!$AC$2:$AC$501,"⚪︎"))</f>
        <v>0</v>
      </c>
      <c r="U26" s="38" t="n">
        <f aca="false">IF($B26="","",SUMIFS('全体集計(入力)触るな(京都)'!$AD$2:$AD$501,'全体集計(入力)触るな(京都)'!$M$2:$M$501,$B26,'全体集計(入力)触るな(京都)'!$AF$2:$AF$501,"受注"))</f>
        <v>0</v>
      </c>
      <c r="V26" s="39" t="n">
        <f aca="false">IF($B26="","",INT(U26/10000))</f>
        <v>0</v>
      </c>
      <c r="W26" s="40" t="n">
        <f aca="true">IF($B26="","",SUMIFS(シフト入力!$N$2:$N$1501,シフト入力!$B$2:$B$1501,$B26,シフト入力!$A$2:$A$1501,"&lt;="&amp;TODAY()))</f>
        <v>0</v>
      </c>
      <c r="X26" s="41" t="n">
        <f aca="false">IF($B26="","",IFERROR(C26/W26,0))</f>
        <v>0</v>
      </c>
      <c r="Y26" s="42" t="n">
        <f aca="false">IF($B26="","",IFERROR(G26/C26,0))</f>
        <v>0</v>
      </c>
      <c r="Z26" s="42" t="n">
        <f aca="false">IF($B26="","",IFERROR(S26/C26,0))</f>
        <v>0</v>
      </c>
    </row>
    <row r="27" customFormat="false" ht="15" hidden="false" customHeight="false" outlineLevel="0" collapsed="false">
      <c r="B27" s="36" t="str">
        <f aca="false">IF(INDEX(マスタ!$B$2:$B$60,11)="","",INDEX(マスタ!$B$2:$B$60,11))</f>
        <v>高岡</v>
      </c>
      <c r="C27" s="37" t="n">
        <f aca="false">IF($B27="","",COUNTIFS('全体集計(入力)触るな(京都)'!$M$2:$M$501,$B27,'全体集計(入力)触るな(京都)'!$L$2:$L$501,"&lt;&gt;"))</f>
        <v>0</v>
      </c>
      <c r="D27" s="37" t="n">
        <f aca="false">IF($B27="","",COUNTIFS('全体集計(入力)触るな(京都)'!$M$2:$M$501,$B27,'全体集計(入力)触るな(京都)'!$L$2:$L$501,"決済")+COUNTIFS('全体集計(入力)触るな(京都)'!$M$2:$M$501,$B27,'全体集計(入力)触るな(京都)'!$L$2:$L$501,"外人(決済)"))</f>
        <v>0</v>
      </c>
      <c r="E27" s="37" t="n">
        <f aca="false">IF($B27="","",COUNTIFS('全体集計(入力)触るな(京都)'!$M$2:$M$501,$B27,'全体集計(入力)触るな(京都)'!$L$2:$L$501,"非決済")+COUNTIFS('全体集計(入力)触るな(京都)'!$M$2:$M$501,$B27,'全体集計(入力)触るな(京都)'!$L$2:$L$501,"外人(非決済)"))</f>
        <v>0</v>
      </c>
      <c r="F27" s="37" t="n">
        <f aca="false">IF($B27="","",COUNTIFS('全体集計(入力)触るな(京都)'!$M$2:$M$501,$B27,'全体集計(入力)触るな(京都)'!$L$2:$L$501,"外人(決済)")+COUNTIFS('全体集計(入力)触るな(京都)'!$M$2:$M$501,$B27,'全体集計(入力)触るな(京都)'!$L$2:$L$501,"外人(非決済)"))</f>
        <v>0</v>
      </c>
      <c r="G27" s="37" t="n">
        <f aca="false">IF($B27="","",COUNTIFS('全体集計(入力)触るな(京都)'!$M$2:$M$501,$B27,'全体集計(入力)触るな(京都)'!$Q$2:$Q$501,"OK"))</f>
        <v>0</v>
      </c>
      <c r="H27" s="37" t="n">
        <f aca="false">IF($B27="","",COUNTIFS('全体集計(入力)触るな(京都)'!$M$2:$M$501,$B27,'全体集計(入力)触るな(京都)'!$L$2:$L$501,"決済",'全体集計(入力)触るな(京都)'!$Q$2:$Q$501,"OK")+COUNTIFS('全体集計(入力)触るな(京都)'!$M$2:$M$501,$B27,'全体集計(入力)触るな(京都)'!$L$2:$L$501,"外人(決済)",'全体集計(入力)触るな(京都)'!$Q$2:$Q$501,"OK"))</f>
        <v>0</v>
      </c>
      <c r="I27" s="37" t="n">
        <f aca="false">IF($B27="","",COUNTIFS('全体集計(入力)触るな(京都)'!$M$2:$M$501,$B27,'全体集計(入力)触るな(京都)'!$Q$2:$Q$501,"NG"))</f>
        <v>0</v>
      </c>
      <c r="J27" s="37" t="n">
        <f aca="false">IF($B27="","",COUNTIFS('全体集計(入力)触るな(京都)'!$M$2:$M$501,$B27,'全体集計(入力)触るな(京都)'!$V$2:$V$501,"リスケ"))</f>
        <v>0</v>
      </c>
      <c r="K27" s="37" t="n">
        <f aca="false">IF($B27="","",COUNTIFS('全体集計(入力)触るな(京都)'!$M$2:$M$501,$B27,'全体集計(入力)触るな(京都)'!$W$2:$W$501,"有効商談")+COUNTIFS('全体集計(入力)触るな(京都)'!$M$2:$M$501,$B27,'全体集計(入力)触るな(京都)'!$W$2:$W$501,"無効商談"))</f>
        <v>0</v>
      </c>
      <c r="L27" s="37" t="n">
        <f aca="false">IF($B27="","",COUNTIFS('全体集計(入力)触るな(京都)'!$M$2:$M$501,$B27,'全体集計(入力)触るな(京都)'!$W$2:$W$501,"有効商談"))</f>
        <v>0</v>
      </c>
      <c r="M27" s="37" t="n">
        <f aca="false">IF($B27="","",COUNTIFS('全体集計(入力)触るな(京都)'!$M$2:$M$501,$B27,'全体集計(入力)触るな(京都)'!$W$2:$W$501,"無効商談"))</f>
        <v>0</v>
      </c>
      <c r="N27" s="37" t="n">
        <f aca="false">IF($B27="","",COUNTIFS('全体集計(入力)触るな(京都)'!$M$2:$M$501,$B27,'全体集計(入力)触るな(京都)'!$AF$2:$AF$501,"商談キャンセル"))</f>
        <v>0</v>
      </c>
      <c r="O27" s="37" t="n">
        <f aca="false">IF($B27="","",COUNTIFS('全体集計(入力)触るな(京都)'!$M$2:$M$501,$B27,'全体集計(入力)触るな(京都)'!$Z$2:$Z$501,"決済者"))</f>
        <v>0</v>
      </c>
      <c r="P27" s="37" t="n">
        <f aca="false">IF($B27="","",COUNTIFS('全体集計(入力)触るな(京都)'!$M$2:$M$501,$B27,'全体集計(入力)触るな(京都)'!$AF$2:$AF$501,"失注"))</f>
        <v>0</v>
      </c>
      <c r="Q27" s="37" t="n">
        <f aca="false">IF($B27="","",COUNTIFS('全体集計(入力)触るな(京都)'!$M$2:$M$501,$B27,'全体集計(入力)触るな(京都)'!$W$2:$W$501,"有効商談",'全体集計(入力)触るな(京都)'!$AF$2:$AF$501,"失注"))</f>
        <v>0</v>
      </c>
      <c r="R27" s="37" t="n">
        <f aca="false">IF($B27="","",COUNTIFS('全体集計(入力)触るな(京都)'!$M$2:$M$501,$B27,'全体集計(入力)触るな(京都)'!$W$2:$W$501,"有効商談",'全体集計(入力)触るな(京都)'!$X$2:$X$501,"検討"))</f>
        <v>0</v>
      </c>
      <c r="S27" s="37" t="n">
        <f aca="false">IF($B27="","",COUNTIFS('全体集計(入力)触るな(京都)'!$M$2:$M$501,$B27,'全体集計(入力)触るな(京都)'!$AF$2:$AF$501,"受注"))</f>
        <v>0</v>
      </c>
      <c r="T27" s="37" t="n">
        <f aca="false">IF($B27="","",COUNTIFS('全体集計(入力)触るな(京都)'!$M$2:$M$501,$B27,'全体集計(入力)触るな(京都)'!$AC$2:$AC$501,"⚪︎"))</f>
        <v>0</v>
      </c>
      <c r="U27" s="38" t="n">
        <f aca="false">IF($B27="","",SUMIFS('全体集計(入力)触るな(京都)'!$AD$2:$AD$501,'全体集計(入力)触るな(京都)'!$M$2:$M$501,$B27,'全体集計(入力)触るな(京都)'!$AF$2:$AF$501,"受注"))</f>
        <v>0</v>
      </c>
      <c r="V27" s="39" t="n">
        <f aca="false">IF($B27="","",INT(U27/10000))</f>
        <v>0</v>
      </c>
      <c r="W27" s="40" t="n">
        <f aca="true">IF($B27="","",SUMIFS(シフト入力!$N$2:$N$1501,シフト入力!$B$2:$B$1501,$B27,シフト入力!$A$2:$A$1501,"&lt;="&amp;TODAY()))</f>
        <v>0</v>
      </c>
      <c r="X27" s="41" t="n">
        <f aca="false">IF($B27="","",IFERROR(C27/W27,0))</f>
        <v>0</v>
      </c>
      <c r="Y27" s="42" t="n">
        <f aca="false">IF($B27="","",IFERROR(G27/C27,0))</f>
        <v>0</v>
      </c>
      <c r="Z27" s="42" t="n">
        <f aca="false">IF($B27="","",IFERROR(S27/C27,0))</f>
        <v>0</v>
      </c>
    </row>
    <row r="28" customFormat="false" ht="15" hidden="false" customHeight="false" outlineLevel="0" collapsed="false">
      <c r="B28" s="36" t="str">
        <f aca="false">IF(INDEX(マスタ!$B$2:$B$60,12)="","",INDEX(マスタ!$B$2:$B$60,12))</f>
        <v/>
      </c>
      <c r="C28" s="37" t="str">
        <f aca="false">IF($B28="","",COUNTIFS('全体集計(入力)触るな(京都)'!$M$2:$M$501,$B28,'全体集計(入力)触るな(京都)'!$L$2:$L$501,"&lt;&gt;"))</f>
        <v/>
      </c>
      <c r="D28" s="37" t="str">
        <f aca="false">IF($B28="","",COUNTIFS('全体集計(入力)触るな(京都)'!$M$2:$M$501,$B28,'全体集計(入力)触るな(京都)'!$L$2:$L$501,"決済")+COUNTIFS('全体集計(入力)触るな(京都)'!$M$2:$M$501,$B28,'全体集計(入力)触るな(京都)'!$L$2:$L$501,"外人(決済)"))</f>
        <v/>
      </c>
      <c r="E28" s="37" t="str">
        <f aca="false">IF($B28="","",COUNTIFS('全体集計(入力)触るな(京都)'!$M$2:$M$501,$B28,'全体集計(入力)触るな(京都)'!$L$2:$L$501,"非決済")+COUNTIFS('全体集計(入力)触るな(京都)'!$M$2:$M$501,$B28,'全体集計(入力)触るな(京都)'!$L$2:$L$501,"外人(非決済)"))</f>
        <v/>
      </c>
      <c r="F28" s="37" t="str">
        <f aca="false">IF($B28="","",COUNTIFS('全体集計(入力)触るな(京都)'!$M$2:$M$501,$B28,'全体集計(入力)触るな(京都)'!$L$2:$L$501,"外人(決済)")+COUNTIFS('全体集計(入力)触るな(京都)'!$M$2:$M$501,$B28,'全体集計(入力)触るな(京都)'!$L$2:$L$501,"外人(非決済)"))</f>
        <v/>
      </c>
      <c r="G28" s="37" t="str">
        <f aca="false">IF($B28="","",COUNTIFS('全体集計(入力)触るな(京都)'!$M$2:$M$501,$B28,'全体集計(入力)触るな(京都)'!$Q$2:$Q$501,"OK"))</f>
        <v/>
      </c>
      <c r="H28" s="37" t="str">
        <f aca="false">IF($B28="","",COUNTIFS('全体集計(入力)触るな(京都)'!$M$2:$M$501,$B28,'全体集計(入力)触るな(京都)'!$L$2:$L$501,"決済",'全体集計(入力)触るな(京都)'!$Q$2:$Q$501,"OK")+COUNTIFS('全体集計(入力)触るな(京都)'!$M$2:$M$501,$B28,'全体集計(入力)触るな(京都)'!$L$2:$L$501,"外人(決済)",'全体集計(入力)触るな(京都)'!$Q$2:$Q$501,"OK"))</f>
        <v/>
      </c>
      <c r="I28" s="37" t="str">
        <f aca="false">IF($B28="","",COUNTIFS('全体集計(入力)触るな(京都)'!$M$2:$M$501,$B28,'全体集計(入力)触るな(京都)'!$Q$2:$Q$501,"NG"))</f>
        <v/>
      </c>
      <c r="J28" s="37" t="str">
        <f aca="false">IF($B28="","",COUNTIFS('全体集計(入力)触るな(京都)'!$M$2:$M$501,$B28,'全体集計(入力)触るな(京都)'!$V$2:$V$501,"リスケ"))</f>
        <v/>
      </c>
      <c r="K28" s="37" t="str">
        <f aca="false">IF($B28="","",COUNTIFS('全体集計(入力)触るな(京都)'!$M$2:$M$501,$B28,'全体集計(入力)触るな(京都)'!$W$2:$W$501,"有効商談")+COUNTIFS('全体集計(入力)触るな(京都)'!$M$2:$M$501,$B28,'全体集計(入力)触るな(京都)'!$W$2:$W$501,"無効商談"))</f>
        <v/>
      </c>
      <c r="L28" s="37" t="str">
        <f aca="false">IF($B28="","",COUNTIFS('全体集計(入力)触るな(京都)'!$M$2:$M$501,$B28,'全体集計(入力)触るな(京都)'!$W$2:$W$501,"有効商談"))</f>
        <v/>
      </c>
      <c r="M28" s="37" t="str">
        <f aca="false">IF($B28="","",COUNTIFS('全体集計(入力)触るな(京都)'!$M$2:$M$501,$B28,'全体集計(入力)触るな(京都)'!$W$2:$W$501,"無効商談"))</f>
        <v/>
      </c>
      <c r="N28" s="37" t="str">
        <f aca="false">IF($B28="","",COUNTIFS('全体集計(入力)触るな(京都)'!$M$2:$M$501,$B28,'全体集計(入力)触るな(京都)'!$AF$2:$AF$501,"商談キャンセル"))</f>
        <v/>
      </c>
      <c r="O28" s="37" t="str">
        <f aca="false">IF($B28="","",COUNTIFS('全体集計(入力)触るな(京都)'!$M$2:$M$501,$B28,'全体集計(入力)触るな(京都)'!$Z$2:$Z$501,"決済者"))</f>
        <v/>
      </c>
      <c r="P28" s="37" t="str">
        <f aca="false">IF($B28="","",COUNTIFS('全体集計(入力)触るな(京都)'!$M$2:$M$501,$B28,'全体集計(入力)触るな(京都)'!$AF$2:$AF$501,"失注"))</f>
        <v/>
      </c>
      <c r="Q28" s="37" t="str">
        <f aca="false">IF($B28="","",COUNTIFS('全体集計(入力)触るな(京都)'!$M$2:$M$501,$B28,'全体集計(入力)触るな(京都)'!$W$2:$W$501,"有効商談",'全体集計(入力)触るな(京都)'!$AF$2:$AF$501,"失注"))</f>
        <v/>
      </c>
      <c r="R28" s="37" t="str">
        <f aca="false">IF($B28="","",COUNTIFS('全体集計(入力)触るな(京都)'!$M$2:$M$501,$B28,'全体集計(入力)触るな(京都)'!$W$2:$W$501,"有効商談",'全体集計(入力)触るな(京都)'!$X$2:$X$501,"検討"))</f>
        <v/>
      </c>
      <c r="S28" s="37" t="str">
        <f aca="false">IF($B28="","",COUNTIFS('全体集計(入力)触るな(京都)'!$M$2:$M$501,$B28,'全体集計(入力)触るな(京都)'!$AF$2:$AF$501,"受注"))</f>
        <v/>
      </c>
      <c r="T28" s="37" t="str">
        <f aca="false">IF($B28="","",COUNTIFS('全体集計(入力)触るな(京都)'!$M$2:$M$501,$B28,'全体集計(入力)触るな(京都)'!$AC$2:$AC$501,"⚪︎"))</f>
        <v/>
      </c>
      <c r="U28" s="38" t="str">
        <f aca="false">IF($B28="","",SUMIFS('全体集計(入力)触るな(京都)'!$AD$2:$AD$501,'全体集計(入力)触るな(京都)'!$M$2:$M$501,$B28,'全体集計(入力)触るな(京都)'!$AF$2:$AF$501,"受注"))</f>
        <v/>
      </c>
      <c r="V28" s="39" t="str">
        <f aca="false">IF($B28="","",INT(U28/10000))</f>
        <v/>
      </c>
      <c r="W28" s="40" t="str">
        <f aca="true">IF($B28="","",SUMIFS(シフト入力!$N$2:$N$1501,シフト入力!$B$2:$B$1501,$B28,シフト入力!$A$2:$A$1501,"&lt;="&amp;TODAY()))</f>
        <v/>
      </c>
      <c r="X28" s="41" t="str">
        <f aca="false">IF($B28="","",IFERROR(C28/W28,0))</f>
        <v/>
      </c>
      <c r="Y28" s="42" t="str">
        <f aca="false">IF($B28="","",IFERROR(G28/C28,0))</f>
        <v/>
      </c>
      <c r="Z28" s="42" t="str">
        <f aca="false">IF($B28="","",IFERROR(S28/C28,0))</f>
        <v/>
      </c>
    </row>
    <row r="29" customFormat="false" ht="15" hidden="false" customHeight="false" outlineLevel="0" collapsed="false">
      <c r="B29" s="36" t="str">
        <f aca="false">IF(INDEX(マスタ!$B$2:$B$60,13)="","",INDEX(マスタ!$B$2:$B$60,13))</f>
        <v/>
      </c>
      <c r="C29" s="37" t="str">
        <f aca="false">IF($B29="","",COUNTIFS('全体集計(入力)触るな(京都)'!$M$2:$M$501,$B29,'全体集計(入力)触るな(京都)'!$L$2:$L$501,"&lt;&gt;"))</f>
        <v/>
      </c>
      <c r="D29" s="37" t="str">
        <f aca="false">IF($B29="","",COUNTIFS('全体集計(入力)触るな(京都)'!$M$2:$M$501,$B29,'全体集計(入力)触るな(京都)'!$L$2:$L$501,"決済")+COUNTIFS('全体集計(入力)触るな(京都)'!$M$2:$M$501,$B29,'全体集計(入力)触るな(京都)'!$L$2:$L$501,"外人(決済)"))</f>
        <v/>
      </c>
      <c r="E29" s="37" t="str">
        <f aca="false">IF($B29="","",COUNTIFS('全体集計(入力)触るな(京都)'!$M$2:$M$501,$B29,'全体集計(入力)触るな(京都)'!$L$2:$L$501,"非決済")+COUNTIFS('全体集計(入力)触るな(京都)'!$M$2:$M$501,$B29,'全体集計(入力)触るな(京都)'!$L$2:$L$501,"外人(非決済)"))</f>
        <v/>
      </c>
      <c r="F29" s="37" t="str">
        <f aca="false">IF($B29="","",COUNTIFS('全体集計(入力)触るな(京都)'!$M$2:$M$501,$B29,'全体集計(入力)触るな(京都)'!$L$2:$L$501,"外人(決済)")+COUNTIFS('全体集計(入力)触るな(京都)'!$M$2:$M$501,$B29,'全体集計(入力)触るな(京都)'!$L$2:$L$501,"外人(非決済)"))</f>
        <v/>
      </c>
      <c r="G29" s="37" t="str">
        <f aca="false">IF($B29="","",COUNTIFS('全体集計(入力)触るな(京都)'!$M$2:$M$501,$B29,'全体集計(入力)触るな(京都)'!$Q$2:$Q$501,"OK"))</f>
        <v/>
      </c>
      <c r="H29" s="37" t="str">
        <f aca="false">IF($B29="","",COUNTIFS('全体集計(入力)触るな(京都)'!$M$2:$M$501,$B29,'全体集計(入力)触るな(京都)'!$L$2:$L$501,"決済",'全体集計(入力)触るな(京都)'!$Q$2:$Q$501,"OK")+COUNTIFS('全体集計(入力)触るな(京都)'!$M$2:$M$501,$B29,'全体集計(入力)触るな(京都)'!$L$2:$L$501,"外人(決済)",'全体集計(入力)触るな(京都)'!$Q$2:$Q$501,"OK"))</f>
        <v/>
      </c>
      <c r="I29" s="37" t="str">
        <f aca="false">IF($B29="","",COUNTIFS('全体集計(入力)触るな(京都)'!$M$2:$M$501,$B29,'全体集計(入力)触るな(京都)'!$Q$2:$Q$501,"NG"))</f>
        <v/>
      </c>
      <c r="J29" s="37" t="str">
        <f aca="false">IF($B29="","",COUNTIFS('全体集計(入力)触るな(京都)'!$M$2:$M$501,$B29,'全体集計(入力)触るな(京都)'!$V$2:$V$501,"リスケ"))</f>
        <v/>
      </c>
      <c r="K29" s="37" t="str">
        <f aca="false">IF($B29="","",COUNTIFS('全体集計(入力)触るな(京都)'!$M$2:$M$501,$B29,'全体集計(入力)触るな(京都)'!$W$2:$W$501,"有効商談")+COUNTIFS('全体集計(入力)触るな(京都)'!$M$2:$M$501,$B29,'全体集計(入力)触るな(京都)'!$W$2:$W$501,"無効商談"))</f>
        <v/>
      </c>
      <c r="L29" s="37" t="str">
        <f aca="false">IF($B29="","",COUNTIFS('全体集計(入力)触るな(京都)'!$M$2:$M$501,$B29,'全体集計(入力)触るな(京都)'!$W$2:$W$501,"有効商談"))</f>
        <v/>
      </c>
      <c r="M29" s="37" t="str">
        <f aca="false">IF($B29="","",COUNTIFS('全体集計(入力)触るな(京都)'!$M$2:$M$501,$B29,'全体集計(入力)触るな(京都)'!$W$2:$W$501,"無効商談"))</f>
        <v/>
      </c>
      <c r="N29" s="37" t="str">
        <f aca="false">IF($B29="","",COUNTIFS('全体集計(入力)触るな(京都)'!$M$2:$M$501,$B29,'全体集計(入力)触るな(京都)'!$AF$2:$AF$501,"商談キャンセル"))</f>
        <v/>
      </c>
      <c r="O29" s="37" t="str">
        <f aca="false">IF($B29="","",COUNTIFS('全体集計(入力)触るな(京都)'!$M$2:$M$501,$B29,'全体集計(入力)触るな(京都)'!$Z$2:$Z$501,"決済者"))</f>
        <v/>
      </c>
      <c r="P29" s="37" t="str">
        <f aca="false">IF($B29="","",COUNTIFS('全体集計(入力)触るな(京都)'!$M$2:$M$501,$B29,'全体集計(入力)触るな(京都)'!$AF$2:$AF$501,"失注"))</f>
        <v/>
      </c>
      <c r="Q29" s="37" t="str">
        <f aca="false">IF($B29="","",COUNTIFS('全体集計(入力)触るな(京都)'!$M$2:$M$501,$B29,'全体集計(入力)触るな(京都)'!$W$2:$W$501,"有効商談",'全体集計(入力)触るな(京都)'!$AF$2:$AF$501,"失注"))</f>
        <v/>
      </c>
      <c r="R29" s="37" t="str">
        <f aca="false">IF($B29="","",COUNTIFS('全体集計(入力)触るな(京都)'!$M$2:$M$501,$B29,'全体集計(入力)触るな(京都)'!$W$2:$W$501,"有効商談",'全体集計(入力)触るな(京都)'!$X$2:$X$501,"検討"))</f>
        <v/>
      </c>
      <c r="S29" s="37" t="str">
        <f aca="false">IF($B29="","",COUNTIFS('全体集計(入力)触るな(京都)'!$M$2:$M$501,$B29,'全体集計(入力)触るな(京都)'!$AF$2:$AF$501,"受注"))</f>
        <v/>
      </c>
      <c r="T29" s="37" t="str">
        <f aca="false">IF($B29="","",COUNTIFS('全体集計(入力)触るな(京都)'!$M$2:$M$501,$B29,'全体集計(入力)触るな(京都)'!$AC$2:$AC$501,"⚪︎"))</f>
        <v/>
      </c>
      <c r="U29" s="38" t="str">
        <f aca="false">IF($B29="","",SUMIFS('全体集計(入力)触るな(京都)'!$AD$2:$AD$501,'全体集計(入力)触るな(京都)'!$M$2:$M$501,$B29,'全体集計(入力)触るな(京都)'!$AF$2:$AF$501,"受注"))</f>
        <v/>
      </c>
      <c r="V29" s="39" t="str">
        <f aca="false">IF($B29="","",INT(U29/10000))</f>
        <v/>
      </c>
      <c r="W29" s="40" t="str">
        <f aca="true">IF($B29="","",SUMIFS(シフト入力!$N$2:$N$1501,シフト入力!$B$2:$B$1501,$B29,シフト入力!$A$2:$A$1501,"&lt;="&amp;TODAY()))</f>
        <v/>
      </c>
      <c r="X29" s="41" t="str">
        <f aca="false">IF($B29="","",IFERROR(C29/W29,0))</f>
        <v/>
      </c>
      <c r="Y29" s="42" t="str">
        <f aca="false">IF($B29="","",IFERROR(G29/C29,0))</f>
        <v/>
      </c>
      <c r="Z29" s="42" t="str">
        <f aca="false">IF($B29="","",IFERROR(S29/C29,0))</f>
        <v/>
      </c>
    </row>
    <row r="30" customFormat="false" ht="15" hidden="false" customHeight="false" outlineLevel="0" collapsed="false">
      <c r="B30" s="36" t="str">
        <f aca="false">IF(INDEX(マスタ!$B$2:$B$60,14)="","",INDEX(マスタ!$B$2:$B$60,14))</f>
        <v/>
      </c>
      <c r="C30" s="37" t="str">
        <f aca="false">IF($B30="","",COUNTIFS('全体集計(入力)触るな(京都)'!$M$2:$M$501,$B30,'全体集計(入力)触るな(京都)'!$L$2:$L$501,"&lt;&gt;"))</f>
        <v/>
      </c>
      <c r="D30" s="37" t="str">
        <f aca="false">IF($B30="","",COUNTIFS('全体集計(入力)触るな(京都)'!$M$2:$M$501,$B30,'全体集計(入力)触るな(京都)'!$L$2:$L$501,"決済")+COUNTIFS('全体集計(入力)触るな(京都)'!$M$2:$M$501,$B30,'全体集計(入力)触るな(京都)'!$L$2:$L$501,"外人(決済)"))</f>
        <v/>
      </c>
      <c r="E30" s="37" t="str">
        <f aca="false">IF($B30="","",COUNTIFS('全体集計(入力)触るな(京都)'!$M$2:$M$501,$B30,'全体集計(入力)触るな(京都)'!$L$2:$L$501,"非決済")+COUNTIFS('全体集計(入力)触るな(京都)'!$M$2:$M$501,$B30,'全体集計(入力)触るな(京都)'!$L$2:$L$501,"外人(非決済)"))</f>
        <v/>
      </c>
      <c r="F30" s="37" t="str">
        <f aca="false">IF($B30="","",COUNTIFS('全体集計(入力)触るな(京都)'!$M$2:$M$501,$B30,'全体集計(入力)触るな(京都)'!$L$2:$L$501,"外人(決済)")+COUNTIFS('全体集計(入力)触るな(京都)'!$M$2:$M$501,$B30,'全体集計(入力)触るな(京都)'!$L$2:$L$501,"外人(非決済)"))</f>
        <v/>
      </c>
      <c r="G30" s="37" t="str">
        <f aca="false">IF($B30="","",COUNTIFS('全体集計(入力)触るな(京都)'!$M$2:$M$501,$B30,'全体集計(入力)触るな(京都)'!$Q$2:$Q$501,"OK"))</f>
        <v/>
      </c>
      <c r="H30" s="37" t="str">
        <f aca="false">IF($B30="","",COUNTIFS('全体集計(入力)触るな(京都)'!$M$2:$M$501,$B30,'全体集計(入力)触るな(京都)'!$L$2:$L$501,"決済",'全体集計(入力)触るな(京都)'!$Q$2:$Q$501,"OK")+COUNTIFS('全体集計(入力)触るな(京都)'!$M$2:$M$501,$B30,'全体集計(入力)触るな(京都)'!$L$2:$L$501,"外人(決済)",'全体集計(入力)触るな(京都)'!$Q$2:$Q$501,"OK"))</f>
        <v/>
      </c>
      <c r="I30" s="37" t="str">
        <f aca="false">IF($B30="","",COUNTIFS('全体集計(入力)触るな(京都)'!$M$2:$M$501,$B30,'全体集計(入力)触るな(京都)'!$Q$2:$Q$501,"NG"))</f>
        <v/>
      </c>
      <c r="J30" s="37" t="str">
        <f aca="false">IF($B30="","",COUNTIFS('全体集計(入力)触るな(京都)'!$M$2:$M$501,$B30,'全体集計(入力)触るな(京都)'!$V$2:$V$501,"リスケ"))</f>
        <v/>
      </c>
      <c r="K30" s="37" t="str">
        <f aca="false">IF($B30="","",COUNTIFS('全体集計(入力)触るな(京都)'!$M$2:$M$501,$B30,'全体集計(入力)触るな(京都)'!$W$2:$W$501,"有効商談")+COUNTIFS('全体集計(入力)触るな(京都)'!$M$2:$M$501,$B30,'全体集計(入力)触るな(京都)'!$W$2:$W$501,"無効商談"))</f>
        <v/>
      </c>
      <c r="L30" s="37" t="str">
        <f aca="false">IF($B30="","",COUNTIFS('全体集計(入力)触るな(京都)'!$M$2:$M$501,$B30,'全体集計(入力)触るな(京都)'!$W$2:$W$501,"有効商談"))</f>
        <v/>
      </c>
      <c r="M30" s="37" t="str">
        <f aca="false">IF($B30="","",COUNTIFS('全体集計(入力)触るな(京都)'!$M$2:$M$501,$B30,'全体集計(入力)触るな(京都)'!$W$2:$W$501,"無効商談"))</f>
        <v/>
      </c>
      <c r="N30" s="37" t="str">
        <f aca="false">IF($B30="","",COUNTIFS('全体集計(入力)触るな(京都)'!$M$2:$M$501,$B30,'全体集計(入力)触るな(京都)'!$AF$2:$AF$501,"商談キャンセル"))</f>
        <v/>
      </c>
      <c r="O30" s="37" t="str">
        <f aca="false">IF($B30="","",COUNTIFS('全体集計(入力)触るな(京都)'!$M$2:$M$501,$B30,'全体集計(入力)触るな(京都)'!$Z$2:$Z$501,"決済者"))</f>
        <v/>
      </c>
      <c r="P30" s="37" t="str">
        <f aca="false">IF($B30="","",COUNTIFS('全体集計(入力)触るな(京都)'!$M$2:$M$501,$B30,'全体集計(入力)触るな(京都)'!$AF$2:$AF$501,"失注"))</f>
        <v/>
      </c>
      <c r="Q30" s="37" t="str">
        <f aca="false">IF($B30="","",COUNTIFS('全体集計(入力)触るな(京都)'!$M$2:$M$501,$B30,'全体集計(入力)触るな(京都)'!$W$2:$W$501,"有効商談",'全体集計(入力)触るな(京都)'!$AF$2:$AF$501,"失注"))</f>
        <v/>
      </c>
      <c r="R30" s="37" t="str">
        <f aca="false">IF($B30="","",COUNTIFS('全体集計(入力)触るな(京都)'!$M$2:$M$501,$B30,'全体集計(入力)触るな(京都)'!$W$2:$W$501,"有効商談",'全体集計(入力)触るな(京都)'!$X$2:$X$501,"検討"))</f>
        <v/>
      </c>
      <c r="S30" s="37" t="str">
        <f aca="false">IF($B30="","",COUNTIFS('全体集計(入力)触るな(京都)'!$M$2:$M$501,$B30,'全体集計(入力)触るな(京都)'!$AF$2:$AF$501,"受注"))</f>
        <v/>
      </c>
      <c r="T30" s="37" t="str">
        <f aca="false">IF($B30="","",COUNTIFS('全体集計(入力)触るな(京都)'!$M$2:$M$501,$B30,'全体集計(入力)触るな(京都)'!$AC$2:$AC$501,"⚪︎"))</f>
        <v/>
      </c>
      <c r="U30" s="38" t="str">
        <f aca="false">IF($B30="","",SUMIFS('全体集計(入力)触るな(京都)'!$AD$2:$AD$501,'全体集計(入力)触るな(京都)'!$M$2:$M$501,$B30,'全体集計(入力)触るな(京都)'!$AF$2:$AF$501,"受注"))</f>
        <v/>
      </c>
      <c r="V30" s="39" t="str">
        <f aca="false">IF($B30="","",INT(U30/10000))</f>
        <v/>
      </c>
      <c r="W30" s="40" t="str">
        <f aca="true">IF($B30="","",SUMIFS(シフト入力!$N$2:$N$1501,シフト入力!$B$2:$B$1501,$B30,シフト入力!$A$2:$A$1501,"&lt;="&amp;TODAY()))</f>
        <v/>
      </c>
      <c r="X30" s="41" t="str">
        <f aca="false">IF($B30="","",IFERROR(C30/W30,0))</f>
        <v/>
      </c>
      <c r="Y30" s="42" t="str">
        <f aca="false">IF($B30="","",IFERROR(G30/C30,0))</f>
        <v/>
      </c>
      <c r="Z30" s="42" t="str">
        <f aca="false">IF($B30="","",IFERROR(S30/C30,0))</f>
        <v/>
      </c>
    </row>
    <row r="31" customFormat="false" ht="15" hidden="false" customHeight="false" outlineLevel="0" collapsed="false">
      <c r="B31" s="36" t="str">
        <f aca="false">IF(INDEX(マスタ!$B$2:$B$60,15)="","",INDEX(マスタ!$B$2:$B$60,15))</f>
        <v/>
      </c>
      <c r="C31" s="37" t="str">
        <f aca="false">IF($B31="","",COUNTIFS('全体集計(入力)触るな(京都)'!$M$2:$M$501,$B31,'全体集計(入力)触るな(京都)'!$L$2:$L$501,"&lt;&gt;"))</f>
        <v/>
      </c>
      <c r="D31" s="37" t="str">
        <f aca="false">IF($B31="","",COUNTIFS('全体集計(入力)触るな(京都)'!$M$2:$M$501,$B31,'全体集計(入力)触るな(京都)'!$L$2:$L$501,"決済")+COUNTIFS('全体集計(入力)触るな(京都)'!$M$2:$M$501,$B31,'全体集計(入力)触るな(京都)'!$L$2:$L$501,"外人(決済)"))</f>
        <v/>
      </c>
      <c r="E31" s="37" t="str">
        <f aca="false">IF($B31="","",COUNTIFS('全体集計(入力)触るな(京都)'!$M$2:$M$501,$B31,'全体集計(入力)触るな(京都)'!$L$2:$L$501,"非決済")+COUNTIFS('全体集計(入力)触るな(京都)'!$M$2:$M$501,$B31,'全体集計(入力)触るな(京都)'!$L$2:$L$501,"外人(非決済)"))</f>
        <v/>
      </c>
      <c r="F31" s="37" t="str">
        <f aca="false">IF($B31="","",COUNTIFS('全体集計(入力)触るな(京都)'!$M$2:$M$501,$B31,'全体集計(入力)触るな(京都)'!$L$2:$L$501,"外人(決済)")+COUNTIFS('全体集計(入力)触るな(京都)'!$M$2:$M$501,$B31,'全体集計(入力)触るな(京都)'!$L$2:$L$501,"外人(非決済)"))</f>
        <v/>
      </c>
      <c r="G31" s="37" t="str">
        <f aca="false">IF($B31="","",COUNTIFS('全体集計(入力)触るな(京都)'!$M$2:$M$501,$B31,'全体集計(入力)触るな(京都)'!$Q$2:$Q$501,"OK"))</f>
        <v/>
      </c>
      <c r="H31" s="37" t="str">
        <f aca="false">IF($B31="","",COUNTIFS('全体集計(入力)触るな(京都)'!$M$2:$M$501,$B31,'全体集計(入力)触るな(京都)'!$L$2:$L$501,"決済",'全体集計(入力)触るな(京都)'!$Q$2:$Q$501,"OK")+COUNTIFS('全体集計(入力)触るな(京都)'!$M$2:$M$501,$B31,'全体集計(入力)触るな(京都)'!$L$2:$L$501,"外人(決済)",'全体集計(入力)触るな(京都)'!$Q$2:$Q$501,"OK"))</f>
        <v/>
      </c>
      <c r="I31" s="37" t="str">
        <f aca="false">IF($B31="","",COUNTIFS('全体集計(入力)触るな(京都)'!$M$2:$M$501,$B31,'全体集計(入力)触るな(京都)'!$Q$2:$Q$501,"NG"))</f>
        <v/>
      </c>
      <c r="J31" s="37" t="str">
        <f aca="false">IF($B31="","",COUNTIFS('全体集計(入力)触るな(京都)'!$M$2:$M$501,$B31,'全体集計(入力)触るな(京都)'!$V$2:$V$501,"リスケ"))</f>
        <v/>
      </c>
      <c r="K31" s="37" t="str">
        <f aca="false">IF($B31="","",COUNTIFS('全体集計(入力)触るな(京都)'!$M$2:$M$501,$B31,'全体集計(入力)触るな(京都)'!$W$2:$W$501,"有効商談")+COUNTIFS('全体集計(入力)触るな(京都)'!$M$2:$M$501,$B31,'全体集計(入力)触るな(京都)'!$W$2:$W$501,"無効商談"))</f>
        <v/>
      </c>
      <c r="L31" s="37" t="str">
        <f aca="false">IF($B31="","",COUNTIFS('全体集計(入力)触るな(京都)'!$M$2:$M$501,$B31,'全体集計(入力)触るな(京都)'!$W$2:$W$501,"有効商談"))</f>
        <v/>
      </c>
      <c r="M31" s="37" t="str">
        <f aca="false">IF($B31="","",COUNTIFS('全体集計(入力)触るな(京都)'!$M$2:$M$501,$B31,'全体集計(入力)触るな(京都)'!$W$2:$W$501,"無効商談"))</f>
        <v/>
      </c>
      <c r="N31" s="37" t="str">
        <f aca="false">IF($B31="","",COUNTIFS('全体集計(入力)触るな(京都)'!$M$2:$M$501,$B31,'全体集計(入力)触るな(京都)'!$AF$2:$AF$501,"商談キャンセル"))</f>
        <v/>
      </c>
      <c r="O31" s="37" t="str">
        <f aca="false">IF($B31="","",COUNTIFS('全体集計(入力)触るな(京都)'!$M$2:$M$501,$B31,'全体集計(入力)触るな(京都)'!$Z$2:$Z$501,"決済者"))</f>
        <v/>
      </c>
      <c r="P31" s="37" t="str">
        <f aca="false">IF($B31="","",COUNTIFS('全体集計(入力)触るな(京都)'!$M$2:$M$501,$B31,'全体集計(入力)触るな(京都)'!$AF$2:$AF$501,"失注"))</f>
        <v/>
      </c>
      <c r="Q31" s="37" t="str">
        <f aca="false">IF($B31="","",COUNTIFS('全体集計(入力)触るな(京都)'!$M$2:$M$501,$B31,'全体集計(入力)触るな(京都)'!$W$2:$W$501,"有効商談",'全体集計(入力)触るな(京都)'!$AF$2:$AF$501,"失注"))</f>
        <v/>
      </c>
      <c r="R31" s="37" t="str">
        <f aca="false">IF($B31="","",COUNTIFS('全体集計(入力)触るな(京都)'!$M$2:$M$501,$B31,'全体集計(入力)触るな(京都)'!$W$2:$W$501,"有効商談",'全体集計(入力)触るな(京都)'!$X$2:$X$501,"検討"))</f>
        <v/>
      </c>
      <c r="S31" s="37" t="str">
        <f aca="false">IF($B31="","",COUNTIFS('全体集計(入力)触るな(京都)'!$M$2:$M$501,$B31,'全体集計(入力)触るな(京都)'!$AF$2:$AF$501,"受注"))</f>
        <v/>
      </c>
      <c r="T31" s="37" t="str">
        <f aca="false">IF($B31="","",COUNTIFS('全体集計(入力)触るな(京都)'!$M$2:$M$501,$B31,'全体集計(入力)触るな(京都)'!$AC$2:$AC$501,"⚪︎"))</f>
        <v/>
      </c>
      <c r="U31" s="38" t="str">
        <f aca="false">IF($B31="","",SUMIFS('全体集計(入力)触るな(京都)'!$AD$2:$AD$501,'全体集計(入力)触るな(京都)'!$M$2:$M$501,$B31,'全体集計(入力)触るな(京都)'!$AF$2:$AF$501,"受注"))</f>
        <v/>
      </c>
      <c r="V31" s="39" t="str">
        <f aca="false">IF($B31="","",INT(U31/10000))</f>
        <v/>
      </c>
      <c r="W31" s="40" t="str">
        <f aca="true">IF($B31="","",SUMIFS(シフト入力!$N$2:$N$1501,シフト入力!$B$2:$B$1501,$B31,シフト入力!$A$2:$A$1501,"&lt;="&amp;TODAY()))</f>
        <v/>
      </c>
      <c r="X31" s="41" t="str">
        <f aca="false">IF($B31="","",IFERROR(C31/W31,0))</f>
        <v/>
      </c>
      <c r="Y31" s="42" t="str">
        <f aca="false">IF($B31="","",IFERROR(G31/C31,0))</f>
        <v/>
      </c>
      <c r="Z31" s="42" t="str">
        <f aca="false">IF($B31="","",IFERROR(S31/C31,0))</f>
        <v/>
      </c>
    </row>
    <row r="34" customFormat="false" ht="15" hidden="false" customHeight="true" outlineLevel="0" collapsed="false">
      <c r="B34" s="23" t="s">
        <v>159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customFormat="false" ht="31.5" hidden="false" customHeight="true" outlineLevel="0" collapsed="false">
      <c r="B35" s="8" t="s">
        <v>135</v>
      </c>
      <c r="C35" s="8" t="s">
        <v>153</v>
      </c>
      <c r="D35" s="8" t="s">
        <v>142</v>
      </c>
      <c r="E35" s="8" t="s">
        <v>143</v>
      </c>
      <c r="F35" s="8" t="s">
        <v>113</v>
      </c>
      <c r="G35" s="8" t="s">
        <v>104</v>
      </c>
      <c r="H35" s="8" t="s">
        <v>154</v>
      </c>
      <c r="I35" s="8" t="s">
        <v>155</v>
      </c>
      <c r="J35" s="8" t="s">
        <v>115</v>
      </c>
      <c r="K35" s="8" t="s">
        <v>116</v>
      </c>
      <c r="L35" s="8" t="s">
        <v>156</v>
      </c>
      <c r="M35" s="8" t="s">
        <v>105</v>
      </c>
      <c r="N35" s="8" t="s">
        <v>117</v>
      </c>
      <c r="O35" s="8" t="s">
        <v>106</v>
      </c>
      <c r="P35" s="8" t="s">
        <v>147</v>
      </c>
      <c r="Q35" s="8" t="s">
        <v>119</v>
      </c>
      <c r="R35" s="8" t="s">
        <v>127</v>
      </c>
      <c r="S35" s="8" t="s">
        <v>124</v>
      </c>
      <c r="T35" s="8" t="s">
        <v>126</v>
      </c>
      <c r="U35" s="8" t="s">
        <v>128</v>
      </c>
      <c r="V35" s="8" t="s">
        <v>130</v>
      </c>
      <c r="W35" s="8" t="s">
        <v>131</v>
      </c>
      <c r="X35" s="8" t="s">
        <v>157</v>
      </c>
    </row>
    <row r="36" customFormat="false" ht="15" hidden="false" customHeight="false" outlineLevel="0" collapsed="false">
      <c r="B36" s="36" t="str">
        <f aca="false">IF(INDEX(マスタ!$D$2:$D$60,1)="","",INDEX(マスタ!$D$2:$D$60,1))</f>
        <v>石山</v>
      </c>
      <c r="C36" s="37" t="n">
        <f aca="false">IF($B36="","",COUNTIFS('全体集計(入力)触るな(京都)'!$U$2:$U$501,$B36))</f>
        <v>0</v>
      </c>
      <c r="D36" s="37" t="n">
        <f aca="false">IF($B36="","",COUNTIFS('全体集計(入力)触るな(京都)'!$U$2:$U$501,$B36,'全体集計(入力)触るな(京都)'!$V$2:$V$501,"リスケ"))</f>
        <v>0</v>
      </c>
      <c r="E36" s="37" t="n">
        <f aca="false">IF($B36="","",COUNTIFS('全体集計(入力)触るな(京都)'!$U$2:$U$501,$B36,'全体集計(入力)触るな(京都)'!$W$2:$W$501,"有効商談")+COUNTIFS('全体集計(入力)触るな(京都)'!$U$2:$U$501,$B36,'全体集計(入力)触るな(京都)'!$W$2:$W$501,"無効商談"))</f>
        <v>0</v>
      </c>
      <c r="F36" s="37" t="n">
        <f aca="false">IF($B36="","",COUNTIFS('全体集計(入力)触るな(京都)'!$U$2:$U$501,$B36,'全体集計(入力)触るな(京都)'!$W$2:$W$501,"無効商談"))</f>
        <v>0</v>
      </c>
      <c r="G36" s="37" t="n">
        <f aca="false">IF($B36="","",COUNTIFS('全体集計(入力)触るな(京都)'!$U$2:$U$501,$B36,'全体集計(入力)触るな(京都)'!$AF$2:$AF$501,"商談キャンセル"))</f>
        <v>0</v>
      </c>
      <c r="H36" s="37" t="n">
        <f aca="false">IF($B36="","",COUNTIFS('全体集計(入力)触るな(京都)'!$U$2:$U$501,$B36,'全体集計(入力)触るな(京都)'!$W$2:$W$501,"有効商談",'全体集計(入力)触るな(京都)'!$Z$2:$Z$501,"決済者"))</f>
        <v>0</v>
      </c>
      <c r="I36" s="37" t="n">
        <f aca="false">IF($B36="","",COUNTIFS('全体集計(入力)触るな(京都)'!$U$2:$U$501,$B36,'全体集計(入力)触るな(京都)'!$W$2:$W$501,"有効商談",'全体集計(入力)触るな(京都)'!$Z$2:$Z$501,"非決済"))</f>
        <v>0</v>
      </c>
      <c r="J36" s="37" t="n">
        <f aca="false">IF($B36="","",COUNTIFS('全体集計(入力)触るな(京都)'!$U$2:$U$501,$B36,'全体集計(入力)触るな(京都)'!$Z$2:$Z$501,"決済者"))</f>
        <v>0</v>
      </c>
      <c r="K36" s="37" t="n">
        <f aca="false">IF($B36="","",COUNTIFS('全体集計(入力)触るな(京都)'!$U$2:$U$501,$B36,'全体集計(入力)触るな(京都)'!$Z$2:$Z$501,"非決済"))</f>
        <v>0</v>
      </c>
      <c r="L36" s="37" t="n">
        <f aca="false">IF($B36="","",COUNTIFS('全体集計(入力)触るな(京都)'!$U$2:$U$501,$B36,'全体集計(入力)触るな(京都)'!$AG$2:$AG$501,"外人"))</f>
        <v>0</v>
      </c>
      <c r="M36" s="37" t="n">
        <f aca="false">IF($B36="","",COUNTIFS('全体集計(入力)触るな(京都)'!$U$2:$U$501,$B36,'全体集計(入力)触るな(京都)'!$AF$2:$AF$501,"失注"))</f>
        <v>0</v>
      </c>
      <c r="N36" s="37" t="n">
        <f aca="false">IF($B36="","",COUNTIFS('全体集計(入力)触るな(京都)'!$U$2:$U$501,$B36,'全体集計(入力)触るな(京都)'!$X$2:$X$501,"検討"))</f>
        <v>0</v>
      </c>
      <c r="O36" s="37" t="n">
        <f aca="false">IF($B36="","",COUNTIFS('全体集計(入力)触るな(京都)'!$U$2:$U$501,$B36,'全体集計(入力)触るな(京都)'!$AF$2:$AF$501,"受注"))</f>
        <v>0</v>
      </c>
      <c r="P36" s="38" t="n">
        <f aca="false">IF($B36="","",SUMIFS('全体集計(入力)触るな(京都)'!$AD$2:$AD$501,'全体集計(入力)触るな(京都)'!$U$2:$U$501,$B36,'全体集計(入力)触るな(京都)'!$AF$2:$AF$501,"受注"))</f>
        <v>0</v>
      </c>
      <c r="Q36" s="38" t="n">
        <f aca="false">IF($B36="","",IFERROR(P36/O36,0))</f>
        <v>0</v>
      </c>
      <c r="R36" s="42" t="n">
        <f aca="false">IF($B36="","",IFERROR(D36/C36,0))</f>
        <v>0</v>
      </c>
      <c r="S36" s="42" t="n">
        <f aca="false">IF($B36="","",IFERROR(E36/C36,0))</f>
        <v>0</v>
      </c>
      <c r="T36" s="42" t="n">
        <f aca="false">IF($B36="","",IFERROR((H36+I36)/E36,0))</f>
        <v>0</v>
      </c>
      <c r="U36" s="42" t="n">
        <f aca="false">IF($B36="","",IFERROR(J36/E36,0))</f>
        <v>0</v>
      </c>
      <c r="V36" s="42" t="n">
        <f aca="false">IF($B36="","",IFERROR(M36/E36,0))</f>
        <v>0</v>
      </c>
      <c r="W36" s="42" t="n">
        <f aca="false">IF($B36="","",IFERROR(O36/E36,0))</f>
        <v>0</v>
      </c>
      <c r="X36" s="42" t="n">
        <f aca="false">IF($B36="","",IFERROR(O36/J36,0))</f>
        <v>0</v>
      </c>
    </row>
    <row r="37" customFormat="false" ht="15" hidden="false" customHeight="false" outlineLevel="0" collapsed="false">
      <c r="B37" s="36" t="str">
        <f aca="false">IF(INDEX(マスタ!$D$2:$D$60,2)="","",INDEX(マスタ!$D$2:$D$60,2))</f>
        <v>荻野</v>
      </c>
      <c r="C37" s="37" t="n">
        <f aca="false">IF($B37="","",COUNTIFS('全体集計(入力)触るな(京都)'!$U$2:$U$501,$B37))</f>
        <v>0</v>
      </c>
      <c r="D37" s="37" t="n">
        <f aca="false">IF($B37="","",COUNTIFS('全体集計(入力)触るな(京都)'!$U$2:$U$501,$B37,'全体集計(入力)触るな(京都)'!$V$2:$V$501,"リスケ"))</f>
        <v>0</v>
      </c>
      <c r="E37" s="37" t="n">
        <f aca="false">IF($B37="","",COUNTIFS('全体集計(入力)触るな(京都)'!$U$2:$U$501,$B37,'全体集計(入力)触るな(京都)'!$W$2:$W$501,"有効商談")+COUNTIFS('全体集計(入力)触るな(京都)'!$U$2:$U$501,$B37,'全体集計(入力)触るな(京都)'!$W$2:$W$501,"無効商談"))</f>
        <v>0</v>
      </c>
      <c r="F37" s="37" t="n">
        <f aca="false">IF($B37="","",COUNTIFS('全体集計(入力)触るな(京都)'!$U$2:$U$501,$B37,'全体集計(入力)触るな(京都)'!$W$2:$W$501,"無効商談"))</f>
        <v>0</v>
      </c>
      <c r="G37" s="37" t="n">
        <f aca="false">IF($B37="","",COUNTIFS('全体集計(入力)触るな(京都)'!$U$2:$U$501,$B37,'全体集計(入力)触るな(京都)'!$AF$2:$AF$501,"商談キャンセル"))</f>
        <v>0</v>
      </c>
      <c r="H37" s="37" t="n">
        <f aca="false">IF($B37="","",COUNTIFS('全体集計(入力)触るな(京都)'!$U$2:$U$501,$B37,'全体集計(入力)触るな(京都)'!$W$2:$W$501,"有効商談",'全体集計(入力)触るな(京都)'!$Z$2:$Z$501,"決済者"))</f>
        <v>0</v>
      </c>
      <c r="I37" s="37" t="n">
        <f aca="false">IF($B37="","",COUNTIFS('全体集計(入力)触るな(京都)'!$U$2:$U$501,$B37,'全体集計(入力)触るな(京都)'!$W$2:$W$501,"有効商談",'全体集計(入力)触るな(京都)'!$Z$2:$Z$501,"非決済"))</f>
        <v>0</v>
      </c>
      <c r="J37" s="37" t="n">
        <f aca="false">IF($B37="","",COUNTIFS('全体集計(入力)触るな(京都)'!$U$2:$U$501,$B37,'全体集計(入力)触るな(京都)'!$Z$2:$Z$501,"決済者"))</f>
        <v>0</v>
      </c>
      <c r="K37" s="37" t="n">
        <f aca="false">IF($B37="","",COUNTIFS('全体集計(入力)触るな(京都)'!$U$2:$U$501,$B37,'全体集計(入力)触るな(京都)'!$Z$2:$Z$501,"非決済"))</f>
        <v>0</v>
      </c>
      <c r="L37" s="37" t="n">
        <f aca="false">IF($B37="","",COUNTIFS('全体集計(入力)触るな(京都)'!$U$2:$U$501,$B37,'全体集計(入力)触るな(京都)'!$AG$2:$AG$501,"外人"))</f>
        <v>0</v>
      </c>
      <c r="M37" s="37" t="n">
        <f aca="false">IF($B37="","",COUNTIFS('全体集計(入力)触るな(京都)'!$U$2:$U$501,$B37,'全体集計(入力)触るな(京都)'!$AF$2:$AF$501,"失注"))</f>
        <v>0</v>
      </c>
      <c r="N37" s="37" t="n">
        <f aca="false">IF($B37="","",COUNTIFS('全体集計(入力)触るな(京都)'!$U$2:$U$501,$B37,'全体集計(入力)触るな(京都)'!$X$2:$X$501,"検討"))</f>
        <v>0</v>
      </c>
      <c r="O37" s="37" t="n">
        <f aca="false">IF($B37="","",COUNTIFS('全体集計(入力)触るな(京都)'!$U$2:$U$501,$B37,'全体集計(入力)触るな(京都)'!$AF$2:$AF$501,"受注"))</f>
        <v>0</v>
      </c>
      <c r="P37" s="38" t="n">
        <f aca="false">IF($B37="","",SUMIFS('全体集計(入力)触るな(京都)'!$AD$2:$AD$501,'全体集計(入力)触るな(京都)'!$U$2:$U$501,$B37,'全体集計(入力)触るな(京都)'!$AF$2:$AF$501,"受注"))</f>
        <v>0</v>
      </c>
      <c r="Q37" s="38" t="n">
        <f aca="false">IF($B37="","",IFERROR(P37/O37,0))</f>
        <v>0</v>
      </c>
      <c r="R37" s="42" t="n">
        <f aca="false">IF($B37="","",IFERROR(D37/C37,0))</f>
        <v>0</v>
      </c>
      <c r="S37" s="42" t="n">
        <f aca="false">IF($B37="","",IFERROR(E37/C37,0))</f>
        <v>0</v>
      </c>
      <c r="T37" s="42" t="n">
        <f aca="false">IF($B37="","",IFERROR((H37+I37)/E37,0))</f>
        <v>0</v>
      </c>
      <c r="U37" s="42" t="n">
        <f aca="false">IF($B37="","",IFERROR(J37/E37,0))</f>
        <v>0</v>
      </c>
      <c r="V37" s="42" t="n">
        <f aca="false">IF($B37="","",IFERROR(M37/E37,0))</f>
        <v>0</v>
      </c>
      <c r="W37" s="42" t="n">
        <f aca="false">IF($B37="","",IFERROR(O37/E37,0))</f>
        <v>0</v>
      </c>
      <c r="X37" s="42" t="n">
        <f aca="false">IF($B37="","",IFERROR(O37/J37,0))</f>
        <v>0</v>
      </c>
    </row>
    <row r="38" customFormat="false" ht="15" hidden="false" customHeight="false" outlineLevel="0" collapsed="false">
      <c r="B38" s="36" t="str">
        <f aca="false">IF(INDEX(マスタ!$D$2:$D$60,3)="","",INDEX(マスタ!$D$2:$D$60,3))</f>
        <v>吉村</v>
      </c>
      <c r="C38" s="37" t="n">
        <f aca="false">IF($B38="","",COUNTIFS('全体集計(入力)触るな(京都)'!$U$2:$U$501,$B38))</f>
        <v>0</v>
      </c>
      <c r="D38" s="37" t="n">
        <f aca="false">IF($B38="","",COUNTIFS('全体集計(入力)触るな(京都)'!$U$2:$U$501,$B38,'全体集計(入力)触るな(京都)'!$V$2:$V$501,"リスケ"))</f>
        <v>0</v>
      </c>
      <c r="E38" s="37" t="n">
        <f aca="false">IF($B38="","",COUNTIFS('全体集計(入力)触るな(京都)'!$U$2:$U$501,$B38,'全体集計(入力)触るな(京都)'!$W$2:$W$501,"有効商談")+COUNTIFS('全体集計(入力)触るな(京都)'!$U$2:$U$501,$B38,'全体集計(入力)触るな(京都)'!$W$2:$W$501,"無効商談"))</f>
        <v>0</v>
      </c>
      <c r="F38" s="37" t="n">
        <f aca="false">IF($B38="","",COUNTIFS('全体集計(入力)触るな(京都)'!$U$2:$U$501,$B38,'全体集計(入力)触るな(京都)'!$W$2:$W$501,"無効商談"))</f>
        <v>0</v>
      </c>
      <c r="G38" s="37" t="n">
        <f aca="false">IF($B38="","",COUNTIFS('全体集計(入力)触るな(京都)'!$U$2:$U$501,$B38,'全体集計(入力)触るな(京都)'!$AF$2:$AF$501,"商談キャンセル"))</f>
        <v>0</v>
      </c>
      <c r="H38" s="37" t="n">
        <f aca="false">IF($B38="","",COUNTIFS('全体集計(入力)触るな(京都)'!$U$2:$U$501,$B38,'全体集計(入力)触るな(京都)'!$W$2:$W$501,"有効商談",'全体集計(入力)触るな(京都)'!$Z$2:$Z$501,"決済者"))</f>
        <v>0</v>
      </c>
      <c r="I38" s="37" t="n">
        <f aca="false">IF($B38="","",COUNTIFS('全体集計(入力)触るな(京都)'!$U$2:$U$501,$B38,'全体集計(入力)触るな(京都)'!$W$2:$W$501,"有効商談",'全体集計(入力)触るな(京都)'!$Z$2:$Z$501,"非決済"))</f>
        <v>0</v>
      </c>
      <c r="J38" s="37" t="n">
        <f aca="false">IF($B38="","",COUNTIFS('全体集計(入力)触るな(京都)'!$U$2:$U$501,$B38,'全体集計(入力)触るな(京都)'!$Z$2:$Z$501,"決済者"))</f>
        <v>0</v>
      </c>
      <c r="K38" s="37" t="n">
        <f aca="false">IF($B38="","",COUNTIFS('全体集計(入力)触るな(京都)'!$U$2:$U$501,$B38,'全体集計(入力)触るな(京都)'!$Z$2:$Z$501,"非決済"))</f>
        <v>0</v>
      </c>
      <c r="L38" s="37" t="n">
        <f aca="false">IF($B38="","",COUNTIFS('全体集計(入力)触るな(京都)'!$U$2:$U$501,$B38,'全体集計(入力)触るな(京都)'!$AG$2:$AG$501,"外人"))</f>
        <v>0</v>
      </c>
      <c r="M38" s="37" t="n">
        <f aca="false">IF($B38="","",COUNTIFS('全体集計(入力)触るな(京都)'!$U$2:$U$501,$B38,'全体集計(入力)触るな(京都)'!$AF$2:$AF$501,"失注"))</f>
        <v>0</v>
      </c>
      <c r="N38" s="37" t="n">
        <f aca="false">IF($B38="","",COUNTIFS('全体集計(入力)触るな(京都)'!$U$2:$U$501,$B38,'全体集計(入力)触るな(京都)'!$X$2:$X$501,"検討"))</f>
        <v>0</v>
      </c>
      <c r="O38" s="37" t="n">
        <f aca="false">IF($B38="","",COUNTIFS('全体集計(入力)触るな(京都)'!$U$2:$U$501,$B38,'全体集計(入力)触るな(京都)'!$AF$2:$AF$501,"受注"))</f>
        <v>0</v>
      </c>
      <c r="P38" s="38" t="n">
        <f aca="false">IF($B38="","",SUMIFS('全体集計(入力)触るな(京都)'!$AD$2:$AD$501,'全体集計(入力)触るな(京都)'!$U$2:$U$501,$B38,'全体集計(入力)触るな(京都)'!$AF$2:$AF$501,"受注"))</f>
        <v>0</v>
      </c>
      <c r="Q38" s="38" t="n">
        <f aca="false">IF($B38="","",IFERROR(P38/O38,0))</f>
        <v>0</v>
      </c>
      <c r="R38" s="42" t="n">
        <f aca="false">IF($B38="","",IFERROR(D38/C38,0))</f>
        <v>0</v>
      </c>
      <c r="S38" s="42" t="n">
        <f aca="false">IF($B38="","",IFERROR(E38/C38,0))</f>
        <v>0</v>
      </c>
      <c r="T38" s="42" t="n">
        <f aca="false">IF($B38="","",IFERROR((H38+I38)/E38,0))</f>
        <v>0</v>
      </c>
      <c r="U38" s="42" t="n">
        <f aca="false">IF($B38="","",IFERROR(J38/E38,0))</f>
        <v>0</v>
      </c>
      <c r="V38" s="42" t="n">
        <f aca="false">IF($B38="","",IFERROR(M38/E38,0))</f>
        <v>0</v>
      </c>
      <c r="W38" s="42" t="n">
        <f aca="false">IF($B38="","",IFERROR(O38/E38,0))</f>
        <v>0</v>
      </c>
      <c r="X38" s="42" t="n">
        <f aca="false">IF($B38="","",IFERROR(O38/J38,0))</f>
        <v>0</v>
      </c>
    </row>
    <row r="39" customFormat="false" ht="15" hidden="false" customHeight="false" outlineLevel="0" collapsed="false">
      <c r="B39" s="36" t="str">
        <f aca="false">IF(INDEX(マスタ!$D$2:$D$60,4)="","",INDEX(マスタ!$D$2:$D$60,4))</f>
        <v>篠原</v>
      </c>
      <c r="C39" s="37" t="n">
        <f aca="false">IF($B39="","",COUNTIFS('全体集計(入力)触るな(京都)'!$U$2:$U$501,$B39))</f>
        <v>0</v>
      </c>
      <c r="D39" s="37" t="n">
        <f aca="false">IF($B39="","",COUNTIFS('全体集計(入力)触るな(京都)'!$U$2:$U$501,$B39,'全体集計(入力)触るな(京都)'!$V$2:$V$501,"リスケ"))</f>
        <v>0</v>
      </c>
      <c r="E39" s="37" t="n">
        <f aca="false">IF($B39="","",COUNTIFS('全体集計(入力)触るな(京都)'!$U$2:$U$501,$B39,'全体集計(入力)触るな(京都)'!$W$2:$W$501,"有効商談")+COUNTIFS('全体集計(入力)触るな(京都)'!$U$2:$U$501,$B39,'全体集計(入力)触るな(京都)'!$W$2:$W$501,"無効商談"))</f>
        <v>0</v>
      </c>
      <c r="F39" s="37" t="n">
        <f aca="false">IF($B39="","",COUNTIFS('全体集計(入力)触るな(京都)'!$U$2:$U$501,$B39,'全体集計(入力)触るな(京都)'!$W$2:$W$501,"無効商談"))</f>
        <v>0</v>
      </c>
      <c r="G39" s="37" t="n">
        <f aca="false">IF($B39="","",COUNTIFS('全体集計(入力)触るな(京都)'!$U$2:$U$501,$B39,'全体集計(入力)触るな(京都)'!$AF$2:$AF$501,"商談キャンセル"))</f>
        <v>0</v>
      </c>
      <c r="H39" s="37" t="n">
        <f aca="false">IF($B39="","",COUNTIFS('全体集計(入力)触るな(京都)'!$U$2:$U$501,$B39,'全体集計(入力)触るな(京都)'!$W$2:$W$501,"有効商談",'全体集計(入力)触るな(京都)'!$Z$2:$Z$501,"決済者"))</f>
        <v>0</v>
      </c>
      <c r="I39" s="37" t="n">
        <f aca="false">IF($B39="","",COUNTIFS('全体集計(入力)触るな(京都)'!$U$2:$U$501,$B39,'全体集計(入力)触るな(京都)'!$W$2:$W$501,"有効商談",'全体集計(入力)触るな(京都)'!$Z$2:$Z$501,"非決済"))</f>
        <v>0</v>
      </c>
      <c r="J39" s="37" t="n">
        <f aca="false">IF($B39="","",COUNTIFS('全体集計(入力)触るな(京都)'!$U$2:$U$501,$B39,'全体集計(入力)触るな(京都)'!$Z$2:$Z$501,"決済者"))</f>
        <v>0</v>
      </c>
      <c r="K39" s="37" t="n">
        <f aca="false">IF($B39="","",COUNTIFS('全体集計(入力)触るな(京都)'!$U$2:$U$501,$B39,'全体集計(入力)触るな(京都)'!$Z$2:$Z$501,"非決済"))</f>
        <v>0</v>
      </c>
      <c r="L39" s="37" t="n">
        <f aca="false">IF($B39="","",COUNTIFS('全体集計(入力)触るな(京都)'!$U$2:$U$501,$B39,'全体集計(入力)触るな(京都)'!$AG$2:$AG$501,"外人"))</f>
        <v>0</v>
      </c>
      <c r="M39" s="37" t="n">
        <f aca="false">IF($B39="","",COUNTIFS('全体集計(入力)触るな(京都)'!$U$2:$U$501,$B39,'全体集計(入力)触るな(京都)'!$AF$2:$AF$501,"失注"))</f>
        <v>0</v>
      </c>
      <c r="N39" s="37" t="n">
        <f aca="false">IF($B39="","",COUNTIFS('全体集計(入力)触るな(京都)'!$U$2:$U$501,$B39,'全体集計(入力)触るな(京都)'!$X$2:$X$501,"検討"))</f>
        <v>0</v>
      </c>
      <c r="O39" s="37" t="n">
        <f aca="false">IF($B39="","",COUNTIFS('全体集計(入力)触るな(京都)'!$U$2:$U$501,$B39,'全体集計(入力)触るな(京都)'!$AF$2:$AF$501,"受注"))</f>
        <v>0</v>
      </c>
      <c r="P39" s="38" t="n">
        <f aca="false">IF($B39="","",SUMIFS('全体集計(入力)触るな(京都)'!$AD$2:$AD$501,'全体集計(入力)触るな(京都)'!$U$2:$U$501,$B39,'全体集計(入力)触るな(京都)'!$AF$2:$AF$501,"受注"))</f>
        <v>0</v>
      </c>
      <c r="Q39" s="38" t="n">
        <f aca="false">IF($B39="","",IFERROR(P39/O39,0))</f>
        <v>0</v>
      </c>
      <c r="R39" s="42" t="n">
        <f aca="false">IF($B39="","",IFERROR(D39/C39,0))</f>
        <v>0</v>
      </c>
      <c r="S39" s="42" t="n">
        <f aca="false">IF($B39="","",IFERROR(E39/C39,0))</f>
        <v>0</v>
      </c>
      <c r="T39" s="42" t="n">
        <f aca="false">IF($B39="","",IFERROR((H39+I39)/E39,0))</f>
        <v>0</v>
      </c>
      <c r="U39" s="42" t="n">
        <f aca="false">IF($B39="","",IFERROR(J39/E39,0))</f>
        <v>0</v>
      </c>
      <c r="V39" s="42" t="n">
        <f aca="false">IF($B39="","",IFERROR(M39/E39,0))</f>
        <v>0</v>
      </c>
      <c r="W39" s="42" t="n">
        <f aca="false">IF($B39="","",IFERROR(O39/E39,0))</f>
        <v>0</v>
      </c>
      <c r="X39" s="42" t="n">
        <f aca="false">IF($B39="","",IFERROR(O39/J39,0))</f>
        <v>0</v>
      </c>
    </row>
    <row r="40" customFormat="false" ht="15" hidden="false" customHeight="false" outlineLevel="0" collapsed="false">
      <c r="B40" s="36" t="str">
        <f aca="false">IF(INDEX(マスタ!$D$2:$D$60,5)="","",INDEX(マスタ!$D$2:$D$60,5))</f>
        <v/>
      </c>
      <c r="C40" s="37" t="str">
        <f aca="false">IF($B40="","",COUNTIFS('全体集計(入力)触るな(京都)'!$U$2:$U$501,$B40))</f>
        <v/>
      </c>
      <c r="D40" s="37" t="str">
        <f aca="false">IF($B40="","",COUNTIFS('全体集計(入力)触るな(京都)'!$U$2:$U$501,$B40,'全体集計(入力)触るな(京都)'!$V$2:$V$501,"リスケ"))</f>
        <v/>
      </c>
      <c r="E40" s="37" t="str">
        <f aca="false">IF($B40="","",COUNTIFS('全体集計(入力)触るな(京都)'!$U$2:$U$501,$B40,'全体集計(入力)触るな(京都)'!$W$2:$W$501,"有効商談")+COUNTIFS('全体集計(入力)触るな(京都)'!$U$2:$U$501,$B40,'全体集計(入力)触るな(京都)'!$W$2:$W$501,"無効商談"))</f>
        <v/>
      </c>
      <c r="F40" s="37" t="str">
        <f aca="false">IF($B40="","",COUNTIFS('全体集計(入力)触るな(京都)'!$U$2:$U$501,$B40,'全体集計(入力)触るな(京都)'!$W$2:$W$501,"無効商談"))</f>
        <v/>
      </c>
      <c r="G40" s="37" t="str">
        <f aca="false">IF($B40="","",COUNTIFS('全体集計(入力)触るな(京都)'!$U$2:$U$501,$B40,'全体集計(入力)触るな(京都)'!$AF$2:$AF$501,"商談キャンセル"))</f>
        <v/>
      </c>
      <c r="H40" s="37" t="str">
        <f aca="false">IF($B40="","",COUNTIFS('全体集計(入力)触るな(京都)'!$U$2:$U$501,$B40,'全体集計(入力)触るな(京都)'!$W$2:$W$501,"有効商談",'全体集計(入力)触るな(京都)'!$Z$2:$Z$501,"決済者"))</f>
        <v/>
      </c>
      <c r="I40" s="37" t="str">
        <f aca="false">IF($B40="","",COUNTIFS('全体集計(入力)触るな(京都)'!$U$2:$U$501,$B40,'全体集計(入力)触るな(京都)'!$W$2:$W$501,"有効商談",'全体集計(入力)触るな(京都)'!$Z$2:$Z$501,"非決済"))</f>
        <v/>
      </c>
      <c r="J40" s="37" t="str">
        <f aca="false">IF($B40="","",COUNTIFS('全体集計(入力)触るな(京都)'!$U$2:$U$501,$B40,'全体集計(入力)触るな(京都)'!$Z$2:$Z$501,"決済者"))</f>
        <v/>
      </c>
      <c r="K40" s="37" t="str">
        <f aca="false">IF($B40="","",COUNTIFS('全体集計(入力)触るな(京都)'!$U$2:$U$501,$B40,'全体集計(入力)触るな(京都)'!$Z$2:$Z$501,"非決済"))</f>
        <v/>
      </c>
      <c r="L40" s="37" t="str">
        <f aca="false">IF($B40="","",COUNTIFS('全体集計(入力)触るな(京都)'!$U$2:$U$501,$B40,'全体集計(入力)触るな(京都)'!$AG$2:$AG$501,"外人"))</f>
        <v/>
      </c>
      <c r="M40" s="37" t="str">
        <f aca="false">IF($B40="","",COUNTIFS('全体集計(入力)触るな(京都)'!$U$2:$U$501,$B40,'全体集計(入力)触るな(京都)'!$AF$2:$AF$501,"失注"))</f>
        <v/>
      </c>
      <c r="N40" s="37" t="str">
        <f aca="false">IF($B40="","",COUNTIFS('全体集計(入力)触るな(京都)'!$U$2:$U$501,$B40,'全体集計(入力)触るな(京都)'!$X$2:$X$501,"検討"))</f>
        <v/>
      </c>
      <c r="O40" s="37" t="str">
        <f aca="false">IF($B40="","",COUNTIFS('全体集計(入力)触るな(京都)'!$U$2:$U$501,$B40,'全体集計(入力)触るな(京都)'!$AF$2:$AF$501,"受注"))</f>
        <v/>
      </c>
      <c r="P40" s="38" t="str">
        <f aca="false">IF($B40="","",SUMIFS('全体集計(入力)触るな(京都)'!$AD$2:$AD$501,'全体集計(入力)触るな(京都)'!$U$2:$U$501,$B40,'全体集計(入力)触るな(京都)'!$AF$2:$AF$501,"受注"))</f>
        <v/>
      </c>
      <c r="Q40" s="38" t="str">
        <f aca="false">IF($B40="","",IFERROR(P40/O40,0))</f>
        <v/>
      </c>
      <c r="R40" s="42" t="str">
        <f aca="false">IF($B40="","",IFERROR(D40/C40,0))</f>
        <v/>
      </c>
      <c r="S40" s="42" t="str">
        <f aca="false">IF($B40="","",IFERROR(E40/C40,0))</f>
        <v/>
      </c>
      <c r="T40" s="42" t="str">
        <f aca="false">IF($B40="","",IFERROR((H40+I40)/E40,0))</f>
        <v/>
      </c>
      <c r="U40" s="42" t="str">
        <f aca="false">IF($B40="","",IFERROR(J40/E40,0))</f>
        <v/>
      </c>
      <c r="V40" s="42" t="str">
        <f aca="false">IF($B40="","",IFERROR(M40/E40,0))</f>
        <v/>
      </c>
      <c r="W40" s="42" t="str">
        <f aca="false">IF($B40="","",IFERROR(O40/E40,0))</f>
        <v/>
      </c>
      <c r="X40" s="42" t="str">
        <f aca="false">IF($B40="","",IFERROR(O40/J40,0))</f>
        <v/>
      </c>
    </row>
    <row r="41" customFormat="false" ht="15" hidden="false" customHeight="false" outlineLevel="0" collapsed="false">
      <c r="B41" s="36" t="str">
        <f aca="false">IF(INDEX(マスタ!$D$2:$D$60,6)="","",INDEX(マスタ!$D$2:$D$60,6))</f>
        <v/>
      </c>
      <c r="C41" s="37" t="str">
        <f aca="false">IF($B41="","",COUNTIFS('全体集計(入力)触るな(京都)'!$U$2:$U$501,$B41))</f>
        <v/>
      </c>
      <c r="D41" s="37" t="str">
        <f aca="false">IF($B41="","",COUNTIFS('全体集計(入力)触るな(京都)'!$U$2:$U$501,$B41,'全体集計(入力)触るな(京都)'!$V$2:$V$501,"リスケ"))</f>
        <v/>
      </c>
      <c r="E41" s="37" t="str">
        <f aca="false">IF($B41="","",COUNTIFS('全体集計(入力)触るな(京都)'!$U$2:$U$501,$B41,'全体集計(入力)触るな(京都)'!$W$2:$W$501,"有効商談")+COUNTIFS('全体集計(入力)触るな(京都)'!$U$2:$U$501,$B41,'全体集計(入力)触るな(京都)'!$W$2:$W$501,"無効商談"))</f>
        <v/>
      </c>
      <c r="F41" s="37" t="str">
        <f aca="false">IF($B41="","",COUNTIFS('全体集計(入力)触るな(京都)'!$U$2:$U$501,$B41,'全体集計(入力)触るな(京都)'!$W$2:$W$501,"無効商談"))</f>
        <v/>
      </c>
      <c r="G41" s="37" t="str">
        <f aca="false">IF($B41="","",COUNTIFS('全体集計(入力)触るな(京都)'!$U$2:$U$501,$B41,'全体集計(入力)触るな(京都)'!$AF$2:$AF$501,"商談キャンセル"))</f>
        <v/>
      </c>
      <c r="H41" s="37" t="str">
        <f aca="false">IF($B41="","",COUNTIFS('全体集計(入力)触るな(京都)'!$U$2:$U$501,$B41,'全体集計(入力)触るな(京都)'!$W$2:$W$501,"有効商談",'全体集計(入力)触るな(京都)'!$Z$2:$Z$501,"決済者"))</f>
        <v/>
      </c>
      <c r="I41" s="37" t="str">
        <f aca="false">IF($B41="","",COUNTIFS('全体集計(入力)触るな(京都)'!$U$2:$U$501,$B41,'全体集計(入力)触るな(京都)'!$W$2:$W$501,"有効商談",'全体集計(入力)触るな(京都)'!$Z$2:$Z$501,"非決済"))</f>
        <v/>
      </c>
      <c r="J41" s="37" t="str">
        <f aca="false">IF($B41="","",COUNTIFS('全体集計(入力)触るな(京都)'!$U$2:$U$501,$B41,'全体集計(入力)触るな(京都)'!$Z$2:$Z$501,"決済者"))</f>
        <v/>
      </c>
      <c r="K41" s="37" t="str">
        <f aca="false">IF($B41="","",COUNTIFS('全体集計(入力)触るな(京都)'!$U$2:$U$501,$B41,'全体集計(入力)触るな(京都)'!$Z$2:$Z$501,"非決済"))</f>
        <v/>
      </c>
      <c r="L41" s="37" t="str">
        <f aca="false">IF($B41="","",COUNTIFS('全体集計(入力)触るな(京都)'!$U$2:$U$501,$B41,'全体集計(入力)触るな(京都)'!$AG$2:$AG$501,"外人"))</f>
        <v/>
      </c>
      <c r="M41" s="37" t="str">
        <f aca="false">IF($B41="","",COUNTIFS('全体集計(入力)触るな(京都)'!$U$2:$U$501,$B41,'全体集計(入力)触るな(京都)'!$AF$2:$AF$501,"失注"))</f>
        <v/>
      </c>
      <c r="N41" s="37" t="str">
        <f aca="false">IF($B41="","",COUNTIFS('全体集計(入力)触るな(京都)'!$U$2:$U$501,$B41,'全体集計(入力)触るな(京都)'!$X$2:$X$501,"検討"))</f>
        <v/>
      </c>
      <c r="O41" s="37" t="str">
        <f aca="false">IF($B41="","",COUNTIFS('全体集計(入力)触るな(京都)'!$U$2:$U$501,$B41,'全体集計(入力)触るな(京都)'!$AF$2:$AF$501,"受注"))</f>
        <v/>
      </c>
      <c r="P41" s="38" t="str">
        <f aca="false">IF($B41="","",SUMIFS('全体集計(入力)触るな(京都)'!$AD$2:$AD$501,'全体集計(入力)触るな(京都)'!$U$2:$U$501,$B41,'全体集計(入力)触るな(京都)'!$AF$2:$AF$501,"受注"))</f>
        <v/>
      </c>
      <c r="Q41" s="38" t="str">
        <f aca="false">IF($B41="","",IFERROR(P41/O41,0))</f>
        <v/>
      </c>
      <c r="R41" s="42" t="str">
        <f aca="false">IF($B41="","",IFERROR(D41/C41,0))</f>
        <v/>
      </c>
      <c r="S41" s="42" t="str">
        <f aca="false">IF($B41="","",IFERROR(E41/C41,0))</f>
        <v/>
      </c>
      <c r="T41" s="42" t="str">
        <f aca="false">IF($B41="","",IFERROR((H41+I41)/E41,0))</f>
        <v/>
      </c>
      <c r="U41" s="42" t="str">
        <f aca="false">IF($B41="","",IFERROR(J41/E41,0))</f>
        <v/>
      </c>
      <c r="V41" s="42" t="str">
        <f aca="false">IF($B41="","",IFERROR(M41/E41,0))</f>
        <v/>
      </c>
      <c r="W41" s="42" t="str">
        <f aca="false">IF($B41="","",IFERROR(O41/E41,0))</f>
        <v/>
      </c>
      <c r="X41" s="42" t="str">
        <f aca="false">IF($B41="","",IFERROR(O41/J41,0))</f>
        <v/>
      </c>
    </row>
    <row r="42" customFormat="false" ht="15" hidden="false" customHeight="false" outlineLevel="0" collapsed="false">
      <c r="B42" s="36" t="str">
        <f aca="false">IF(INDEX(マスタ!$D$2:$D$60,7)="","",INDEX(マスタ!$D$2:$D$60,7))</f>
        <v/>
      </c>
      <c r="C42" s="37" t="str">
        <f aca="false">IF($B42="","",COUNTIFS('全体集計(入力)触るな(京都)'!$U$2:$U$501,$B42))</f>
        <v/>
      </c>
      <c r="D42" s="37" t="str">
        <f aca="false">IF($B42="","",COUNTIFS('全体集計(入力)触るな(京都)'!$U$2:$U$501,$B42,'全体集計(入力)触るな(京都)'!$V$2:$V$501,"リスケ"))</f>
        <v/>
      </c>
      <c r="E42" s="37" t="str">
        <f aca="false">IF($B42="","",COUNTIFS('全体集計(入力)触るな(京都)'!$U$2:$U$501,$B42,'全体集計(入力)触るな(京都)'!$W$2:$W$501,"有効商談")+COUNTIFS('全体集計(入力)触るな(京都)'!$U$2:$U$501,$B42,'全体集計(入力)触るな(京都)'!$W$2:$W$501,"無効商談"))</f>
        <v/>
      </c>
      <c r="F42" s="37" t="str">
        <f aca="false">IF($B42="","",COUNTIFS('全体集計(入力)触るな(京都)'!$U$2:$U$501,$B42,'全体集計(入力)触るな(京都)'!$W$2:$W$501,"無効商談"))</f>
        <v/>
      </c>
      <c r="G42" s="37" t="str">
        <f aca="false">IF($B42="","",COUNTIFS('全体集計(入力)触るな(京都)'!$U$2:$U$501,$B42,'全体集計(入力)触るな(京都)'!$AF$2:$AF$501,"商談キャンセル"))</f>
        <v/>
      </c>
      <c r="H42" s="37" t="str">
        <f aca="false">IF($B42="","",COUNTIFS('全体集計(入力)触るな(京都)'!$U$2:$U$501,$B42,'全体集計(入力)触るな(京都)'!$W$2:$W$501,"有効商談",'全体集計(入力)触るな(京都)'!$Z$2:$Z$501,"決済者"))</f>
        <v/>
      </c>
      <c r="I42" s="37" t="str">
        <f aca="false">IF($B42="","",COUNTIFS('全体集計(入力)触るな(京都)'!$U$2:$U$501,$B42,'全体集計(入力)触るな(京都)'!$W$2:$W$501,"有効商談",'全体集計(入力)触るな(京都)'!$Z$2:$Z$501,"非決済"))</f>
        <v/>
      </c>
      <c r="J42" s="37" t="str">
        <f aca="false">IF($B42="","",COUNTIFS('全体集計(入力)触るな(京都)'!$U$2:$U$501,$B42,'全体集計(入力)触るな(京都)'!$Z$2:$Z$501,"決済者"))</f>
        <v/>
      </c>
      <c r="K42" s="37" t="str">
        <f aca="false">IF($B42="","",COUNTIFS('全体集計(入力)触るな(京都)'!$U$2:$U$501,$B42,'全体集計(入力)触るな(京都)'!$Z$2:$Z$501,"非決済"))</f>
        <v/>
      </c>
      <c r="L42" s="37" t="str">
        <f aca="false">IF($B42="","",COUNTIFS('全体集計(入力)触るな(京都)'!$U$2:$U$501,$B42,'全体集計(入力)触るな(京都)'!$AG$2:$AG$501,"外人"))</f>
        <v/>
      </c>
      <c r="M42" s="37" t="str">
        <f aca="false">IF($B42="","",COUNTIFS('全体集計(入力)触るな(京都)'!$U$2:$U$501,$B42,'全体集計(入力)触るな(京都)'!$AF$2:$AF$501,"失注"))</f>
        <v/>
      </c>
      <c r="N42" s="37" t="str">
        <f aca="false">IF($B42="","",COUNTIFS('全体集計(入力)触るな(京都)'!$U$2:$U$501,$B42,'全体集計(入力)触るな(京都)'!$X$2:$X$501,"検討"))</f>
        <v/>
      </c>
      <c r="O42" s="37" t="str">
        <f aca="false">IF($B42="","",COUNTIFS('全体集計(入力)触るな(京都)'!$U$2:$U$501,$B42,'全体集計(入力)触るな(京都)'!$AF$2:$AF$501,"受注"))</f>
        <v/>
      </c>
      <c r="P42" s="38" t="str">
        <f aca="false">IF($B42="","",SUMIFS('全体集計(入力)触るな(京都)'!$AD$2:$AD$501,'全体集計(入力)触るな(京都)'!$U$2:$U$501,$B42,'全体集計(入力)触るな(京都)'!$AF$2:$AF$501,"受注"))</f>
        <v/>
      </c>
      <c r="Q42" s="38" t="str">
        <f aca="false">IF($B42="","",IFERROR(P42/O42,0))</f>
        <v/>
      </c>
      <c r="R42" s="42" t="str">
        <f aca="false">IF($B42="","",IFERROR(D42/C42,0))</f>
        <v/>
      </c>
      <c r="S42" s="42" t="str">
        <f aca="false">IF($B42="","",IFERROR(E42/C42,0))</f>
        <v/>
      </c>
      <c r="T42" s="42" t="str">
        <f aca="false">IF($B42="","",IFERROR((H42+I42)/E42,0))</f>
        <v/>
      </c>
      <c r="U42" s="42" t="str">
        <f aca="false">IF($B42="","",IFERROR(J42/E42,0))</f>
        <v/>
      </c>
      <c r="V42" s="42" t="str">
        <f aca="false">IF($B42="","",IFERROR(M42/E42,0))</f>
        <v/>
      </c>
      <c r="W42" s="42" t="str">
        <f aca="false">IF($B42="","",IFERROR(O42/E42,0))</f>
        <v/>
      </c>
      <c r="X42" s="42" t="str">
        <f aca="false">IF($B42="","",IFERROR(O42/J42,0))</f>
        <v/>
      </c>
    </row>
    <row r="43" customFormat="false" ht="15" hidden="false" customHeight="false" outlineLevel="0" collapsed="false">
      <c r="B43" s="36" t="str">
        <f aca="false">IF(INDEX(マスタ!$D$2:$D$60,8)="","",INDEX(マスタ!$D$2:$D$60,8))</f>
        <v/>
      </c>
      <c r="C43" s="37" t="str">
        <f aca="false">IF($B43="","",COUNTIFS('全体集計(入力)触るな(京都)'!$U$2:$U$501,$B43))</f>
        <v/>
      </c>
      <c r="D43" s="37" t="str">
        <f aca="false">IF($B43="","",COUNTIFS('全体集計(入力)触るな(京都)'!$U$2:$U$501,$B43,'全体集計(入力)触るな(京都)'!$V$2:$V$501,"リスケ"))</f>
        <v/>
      </c>
      <c r="E43" s="37" t="str">
        <f aca="false">IF($B43="","",COUNTIFS('全体集計(入力)触るな(京都)'!$U$2:$U$501,$B43,'全体集計(入力)触るな(京都)'!$W$2:$W$501,"有効商談")+COUNTIFS('全体集計(入力)触るな(京都)'!$U$2:$U$501,$B43,'全体集計(入力)触るな(京都)'!$W$2:$W$501,"無効商談"))</f>
        <v/>
      </c>
      <c r="F43" s="37" t="str">
        <f aca="false">IF($B43="","",COUNTIFS('全体集計(入力)触るな(京都)'!$U$2:$U$501,$B43,'全体集計(入力)触るな(京都)'!$W$2:$W$501,"無効商談"))</f>
        <v/>
      </c>
      <c r="G43" s="37" t="str">
        <f aca="false">IF($B43="","",COUNTIFS('全体集計(入力)触るな(京都)'!$U$2:$U$501,$B43,'全体集計(入力)触るな(京都)'!$AF$2:$AF$501,"商談キャンセル"))</f>
        <v/>
      </c>
      <c r="H43" s="37" t="str">
        <f aca="false">IF($B43="","",COUNTIFS('全体集計(入力)触るな(京都)'!$U$2:$U$501,$B43,'全体集計(入力)触るな(京都)'!$W$2:$W$501,"有効商談",'全体集計(入力)触るな(京都)'!$Z$2:$Z$501,"決済者"))</f>
        <v/>
      </c>
      <c r="I43" s="37" t="str">
        <f aca="false">IF($B43="","",COUNTIFS('全体集計(入力)触るな(京都)'!$U$2:$U$501,$B43,'全体集計(入力)触るな(京都)'!$W$2:$W$501,"有効商談",'全体集計(入力)触るな(京都)'!$Z$2:$Z$501,"非決済"))</f>
        <v/>
      </c>
      <c r="J43" s="37" t="str">
        <f aca="false">IF($B43="","",COUNTIFS('全体集計(入力)触るな(京都)'!$U$2:$U$501,$B43,'全体集計(入力)触るな(京都)'!$Z$2:$Z$501,"決済者"))</f>
        <v/>
      </c>
      <c r="K43" s="37" t="str">
        <f aca="false">IF($B43="","",COUNTIFS('全体集計(入力)触るな(京都)'!$U$2:$U$501,$B43,'全体集計(入力)触るな(京都)'!$Z$2:$Z$501,"非決済"))</f>
        <v/>
      </c>
      <c r="L43" s="37" t="str">
        <f aca="false">IF($B43="","",COUNTIFS('全体集計(入力)触るな(京都)'!$U$2:$U$501,$B43,'全体集計(入力)触るな(京都)'!$AG$2:$AG$501,"外人"))</f>
        <v/>
      </c>
      <c r="M43" s="37" t="str">
        <f aca="false">IF($B43="","",COUNTIFS('全体集計(入力)触るな(京都)'!$U$2:$U$501,$B43,'全体集計(入力)触るな(京都)'!$AF$2:$AF$501,"失注"))</f>
        <v/>
      </c>
      <c r="N43" s="37" t="str">
        <f aca="false">IF($B43="","",COUNTIFS('全体集計(入力)触るな(京都)'!$U$2:$U$501,$B43,'全体集計(入力)触るな(京都)'!$X$2:$X$501,"検討"))</f>
        <v/>
      </c>
      <c r="O43" s="37" t="str">
        <f aca="false">IF($B43="","",COUNTIFS('全体集計(入力)触るな(京都)'!$U$2:$U$501,$B43,'全体集計(入力)触るな(京都)'!$AF$2:$AF$501,"受注"))</f>
        <v/>
      </c>
      <c r="P43" s="38" t="str">
        <f aca="false">IF($B43="","",SUMIFS('全体集計(入力)触るな(京都)'!$AD$2:$AD$501,'全体集計(入力)触るな(京都)'!$U$2:$U$501,$B43,'全体集計(入力)触るな(京都)'!$AF$2:$AF$501,"受注"))</f>
        <v/>
      </c>
      <c r="Q43" s="38" t="str">
        <f aca="false">IF($B43="","",IFERROR(P43/O43,0))</f>
        <v/>
      </c>
      <c r="R43" s="42" t="str">
        <f aca="false">IF($B43="","",IFERROR(D43/C43,0))</f>
        <v/>
      </c>
      <c r="S43" s="42" t="str">
        <f aca="false">IF($B43="","",IFERROR(E43/C43,0))</f>
        <v/>
      </c>
      <c r="T43" s="42" t="str">
        <f aca="false">IF($B43="","",IFERROR((H43+I43)/E43,0))</f>
        <v/>
      </c>
      <c r="U43" s="42" t="str">
        <f aca="false">IF($B43="","",IFERROR(J43/E43,0))</f>
        <v/>
      </c>
      <c r="V43" s="42" t="str">
        <f aca="false">IF($B43="","",IFERROR(M43/E43,0))</f>
        <v/>
      </c>
      <c r="W43" s="42" t="str">
        <f aca="false">IF($B43="","",IFERROR(O43/E43,0))</f>
        <v/>
      </c>
      <c r="X43" s="42" t="str">
        <f aca="false">IF($B43="","",IFERROR(O43/J43,0))</f>
        <v/>
      </c>
    </row>
  </sheetData>
  <mergeCells count="5">
    <mergeCell ref="B3:O3"/>
    <mergeCell ref="B7:M7"/>
    <mergeCell ref="B11:N11"/>
    <mergeCell ref="B15:Z15"/>
    <mergeCell ref="B34:X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24" min="3" style="0" width="11"/>
  </cols>
  <sheetData>
    <row r="1" customFormat="false" ht="20.8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33" t="s">
        <v>161</v>
      </c>
    </row>
    <row r="3" customFormat="false" ht="15" hidden="false" customHeight="true" outlineLevel="0" collapsed="false">
      <c r="B3" s="7" t="s">
        <v>162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customFormat="false" ht="31.5" hidden="false" customHeight="true" outlineLevel="0" collapsed="false">
      <c r="B4" s="8" t="s">
        <v>135</v>
      </c>
      <c r="C4" s="8" t="s">
        <v>153</v>
      </c>
      <c r="D4" s="8" t="s">
        <v>112</v>
      </c>
      <c r="E4" s="8" t="s">
        <v>163</v>
      </c>
      <c r="F4" s="8" t="s">
        <v>106</v>
      </c>
      <c r="G4" s="8" t="s">
        <v>124</v>
      </c>
      <c r="H4" s="8" t="s">
        <v>157</v>
      </c>
      <c r="I4" s="8" t="s">
        <v>164</v>
      </c>
      <c r="J4" s="8" t="s">
        <v>165</v>
      </c>
      <c r="K4" s="8" t="s">
        <v>166</v>
      </c>
      <c r="L4" s="8" t="s">
        <v>88</v>
      </c>
      <c r="M4" s="8" t="s">
        <v>167</v>
      </c>
      <c r="N4" s="8" t="s">
        <v>168</v>
      </c>
      <c r="O4" s="8" t="s">
        <v>169</v>
      </c>
      <c r="P4" s="8" t="s">
        <v>170</v>
      </c>
      <c r="Q4" s="8" t="s">
        <v>171</v>
      </c>
      <c r="R4" s="8" t="s">
        <v>172</v>
      </c>
      <c r="S4" s="43" t="s">
        <v>173</v>
      </c>
      <c r="T4" s="43" t="s">
        <v>174</v>
      </c>
      <c r="U4" s="43" t="s">
        <v>175</v>
      </c>
      <c r="V4" s="43" t="s">
        <v>176</v>
      </c>
      <c r="W4" s="43" t="s">
        <v>177</v>
      </c>
      <c r="X4" s="43" t="s">
        <v>178</v>
      </c>
    </row>
    <row r="5" customFormat="false" ht="17.15" hidden="false" customHeight="false" outlineLevel="0" collapsed="false">
      <c r="B5" s="36" t="str">
        <f aca="false">IF(INDEX(マスタ!$D$2:$D$60,1)="","",INDEX(マスタ!$D$2:$D$60,1))</f>
        <v>石山</v>
      </c>
      <c r="C5" s="37" t="n">
        <f aca="false">IF($B5="","",COUNTIFS('クローザー集計(入力)触るな'!$D$2:$D$501,$B5)-COUNTIFS('クローザー集計(入力)触るな'!$D$2:$D$501,$B5,'クローザー集計(入力)触るな'!$O$2:$O$501,"解約受注"))</f>
        <v>0</v>
      </c>
      <c r="D5" s="37" t="n">
        <f aca="false">IF($B5="","",COUNTIFS('クローザー集計(入力)触るな'!$D$2:$D$501,$B5,'クローザー集計(入力)触るな'!$H$2:$H$501,"決済者")+COUNTIFS('クローザー集計(入力)触るな'!$D$2:$D$501,$B5,'クローザー集計(入力)触るな'!$H$2:$H$501,"非決済"))</f>
        <v>0</v>
      </c>
      <c r="E5" s="37" t="n">
        <f aca="false">IF($B5="","",COUNTIFS('クローザー集計(入力)触るな'!$D$2:$D$501,$B5,'クローザー集計(入力)触るな'!$H$2:$H$501,"決済者")+COUNTIFS('クローザー集計(入力)触るな'!$D$2:$D$501,$B5,'クローザー集計(入力)触るな'!$H$2:$H$501,"非決済",'クローザー集計(入力)触るな'!$O$2:$O$501,"受注"))</f>
        <v>0</v>
      </c>
      <c r="F5" s="37" t="n">
        <f aca="false">IF($B5="","",COUNTIFS('クローザー集計(入力)触るな'!$D$2:$D$501,$B5,'クローザー集計(入力)触るな'!$O$2:$O$501,"受注"))</f>
        <v>0</v>
      </c>
      <c r="G5" s="42" t="n">
        <f aca="false">IF($B5="","",IFERROR(D5/C5,0))</f>
        <v>0</v>
      </c>
      <c r="H5" s="42" t="n">
        <f aca="false">IF($B5="","",MAX(0,IFERROR(F5/E5,0)-P5*設定!$B$29))</f>
        <v>0</v>
      </c>
      <c r="I5" s="38" t="n">
        <f aca="false">IF($B5="","",IFERROR((J5+K5)/F5,0))</f>
        <v>0</v>
      </c>
      <c r="J5" s="38" t="n">
        <f aca="false">IF($B5="","",SUMIFS('クローザー集計(入力)触るな'!$L$2:$L$501,'クローザー集計(入力)触るな'!$D$2:$D$501,$B5,'クローザー集計(入力)触るな'!$O$2:$O$501,"受注",'クローザー集計(入力)触るな'!$P$2:$P$501,"&lt;&gt;〇"))</f>
        <v>0</v>
      </c>
      <c r="K5" s="38" t="n">
        <f aca="false">IF($B5="","",SUMIFS('クローザー集計(入力)触るな'!$L$2:$L$501,'クローザー集計(入力)触るな'!$D$2:$D$501,$B5,'クローザー集計(入力)触るな'!$O$2:$O$501,"受注",'クローザー集計(入力)触るな'!$P$2:$P$501,"〇"))</f>
        <v>0</v>
      </c>
      <c r="L5" s="38" t="n">
        <f aca="false">IF($B5="","",SUMIFS('クローザー集計(入力)触るな'!$M$2:$M$501,'クローザー集計(入力)触るな'!$D$2:$D$501,$B5,'クローザー集計(入力)触るな'!$O$2:$O$501,"受注"))</f>
        <v>0</v>
      </c>
      <c r="M5" s="38" t="n">
        <f aca="false">IF($B5="","",INT(L5/設定!$B$26)*設定!$B$27)</f>
        <v>0</v>
      </c>
      <c r="N5" s="44" t="n">
        <f aca="false">IF($B5="",0,MOD(L5,設定!$B$26))</f>
        <v>0</v>
      </c>
      <c r="O5" s="38" t="n">
        <f aca="false">IF($B5="","",COUNTIFS('クローザー集計(入力)触るな'!$D$2:$D$501,$B5,'クローザー集計(入力)触るな'!$O$2:$O$501,"解約受注")*設定!$B$28)</f>
        <v>0</v>
      </c>
      <c r="P5" s="37" t="n">
        <f aca="false">IF($B5="","",COUNTIFS('クローザー集計(入力)触るな'!$D$2:$D$501,$B5,'クローザー集計(入力)触るな'!$Q$2:$Q$501,"〇"))</f>
        <v>0</v>
      </c>
      <c r="Q5" s="38" t="n">
        <f aca="false">IF($B5="","",SUMIFS('クローザー集計(入力)触るな'!$L$2:$L$501,'クローザー集計(入力)触るな'!$D$2:$D$501,$B5,'クローザー集計(入力)触るな'!$Q$2:$Q$501,"〇")+SUMIFS('クローザー集計(入力)触るな'!$M$2:$M$501,'クローザー集計(入力)触るな'!$D$2:$D$501,$B5,'クローザー集計(入力)触るな'!$Q$2:$Q$501,"〇"))</f>
        <v>0</v>
      </c>
      <c r="R5" s="38" t="n">
        <f aca="false">IF($B5="","",J5+K5*設定!$B$25+M5+O5-Q5)</f>
        <v>0</v>
      </c>
      <c r="S5" s="39" t="n">
        <f aca="false">IF($B5="","",IF(AND(H5&gt;0,H5=MAX($H$5:$H$12)),設定!$B$30,0))</f>
        <v>0</v>
      </c>
      <c r="T5" s="39" t="n">
        <f aca="false">IF($B5="","",IF(AND(I5&gt;0,I5=MAX($I$5:$I$12)),設定!$B$30,0))</f>
        <v>0</v>
      </c>
      <c r="U5" s="39" t="n">
        <f aca="false">IF($B5="","",IF(AND(G5&gt;0,G5=MAX($G$5:$G$12)),設定!$B$30,0))</f>
        <v>0</v>
      </c>
      <c r="V5" s="39" t="n">
        <f aca="false">IF($B5="","",IF(R5&lt;=0,0,IF((1+SUMPRODUCT(($B$5:$B$12&lt;&gt;"")*($R$5:$R$12&gt;R5)))=1,設定!$B$30,IF((1+SUMPRODUCT(($B$5:$B$12&lt;&gt;"")*($R$5:$R$12&gt;R5)))=2,設定!$B$31,0))))</f>
        <v>0</v>
      </c>
      <c r="W5" s="45" t="n">
        <f aca="false">IF($B5="","",S5+T5+U5+V5)</f>
        <v>0</v>
      </c>
      <c r="X5" s="46" t="n">
        <f aca="false">IF($B5="","",1+SUMPRODUCT(($B$5:$B$12&lt;&gt;"")*(($W$5:$W$12&gt;W5)+($W$5:$W$12=W5)*($R$5:$R$12&gt;R5)+($W$5:$W$12=W5)*($R$5:$R$12=R5)*($N$5:$N$12&gt;N5))))</f>
        <v>1</v>
      </c>
    </row>
    <row r="6" customFormat="false" ht="17.15" hidden="false" customHeight="false" outlineLevel="0" collapsed="false">
      <c r="B6" s="36" t="str">
        <f aca="false">IF(INDEX(マスタ!$D$2:$D$60,2)="","",INDEX(マスタ!$D$2:$D$60,2))</f>
        <v>荻野</v>
      </c>
      <c r="C6" s="37" t="n">
        <f aca="false">IF($B6="","",COUNTIFS('クローザー集計(入力)触るな'!$D$2:$D$501,$B6)-COUNTIFS('クローザー集計(入力)触るな'!$D$2:$D$501,$B6,'クローザー集計(入力)触るな'!$O$2:$O$501,"解約受注"))</f>
        <v>0</v>
      </c>
      <c r="D6" s="37" t="n">
        <f aca="false">IF($B6="","",COUNTIFS('クローザー集計(入力)触るな'!$D$2:$D$501,$B6,'クローザー集計(入力)触るな'!$H$2:$H$501,"決済者")+COUNTIFS('クローザー集計(入力)触るな'!$D$2:$D$501,$B6,'クローザー集計(入力)触るな'!$H$2:$H$501,"非決済"))</f>
        <v>0</v>
      </c>
      <c r="E6" s="37" t="n">
        <f aca="false">IF($B6="","",COUNTIFS('クローザー集計(入力)触るな'!$D$2:$D$501,$B6,'クローザー集計(入力)触るな'!$H$2:$H$501,"決済者")+COUNTIFS('クローザー集計(入力)触るな'!$D$2:$D$501,$B6,'クローザー集計(入力)触るな'!$H$2:$H$501,"非決済",'クローザー集計(入力)触るな'!$O$2:$O$501,"受注"))</f>
        <v>0</v>
      </c>
      <c r="F6" s="37" t="n">
        <f aca="false">IF($B6="","",COUNTIFS('クローザー集計(入力)触るな'!$D$2:$D$501,$B6,'クローザー集計(入力)触るな'!$O$2:$O$501,"受注"))</f>
        <v>0</v>
      </c>
      <c r="G6" s="42" t="n">
        <f aca="false">IF($B6="","",IFERROR(D6/C6,0))</f>
        <v>0</v>
      </c>
      <c r="H6" s="42" t="n">
        <f aca="false">IF($B6="","",MAX(0,IFERROR(F6/E6,0)-P6*設定!$B$29))</f>
        <v>0</v>
      </c>
      <c r="I6" s="38" t="n">
        <f aca="false">IF($B6="","",IFERROR((J6+K6)/F6,0))</f>
        <v>0</v>
      </c>
      <c r="J6" s="38" t="n">
        <f aca="false">IF($B6="","",SUMIFS('クローザー集計(入力)触るな'!$L$2:$L$501,'クローザー集計(入力)触るな'!$D$2:$D$501,$B6,'クローザー集計(入力)触るな'!$O$2:$O$501,"受注",'クローザー集計(入力)触るな'!$P$2:$P$501,"&lt;&gt;〇"))</f>
        <v>0</v>
      </c>
      <c r="K6" s="38" t="n">
        <f aca="false">IF($B6="","",SUMIFS('クローザー集計(入力)触るな'!$L$2:$L$501,'クローザー集計(入力)触るな'!$D$2:$D$501,$B6,'クローザー集計(入力)触るな'!$O$2:$O$501,"受注",'クローザー集計(入力)触るな'!$P$2:$P$501,"〇"))</f>
        <v>0</v>
      </c>
      <c r="L6" s="38" t="n">
        <f aca="false">IF($B6="","",SUMIFS('クローザー集計(入力)触るな'!$M$2:$M$501,'クローザー集計(入力)触るな'!$D$2:$D$501,$B6,'クローザー集計(入力)触るな'!$O$2:$O$501,"受注"))</f>
        <v>0</v>
      </c>
      <c r="M6" s="38" t="n">
        <f aca="false">IF($B6="","",INT(L6/設定!$B$26)*設定!$B$27)</f>
        <v>0</v>
      </c>
      <c r="N6" s="44" t="n">
        <f aca="false">IF($B6="",0,MOD(L6,設定!$B$26))</f>
        <v>0</v>
      </c>
      <c r="O6" s="38" t="n">
        <f aca="false">IF($B6="","",COUNTIFS('クローザー集計(入力)触るな'!$D$2:$D$501,$B6,'クローザー集計(入力)触るな'!$O$2:$O$501,"解約受注")*設定!$B$28)</f>
        <v>0</v>
      </c>
      <c r="P6" s="37" t="n">
        <f aca="false">IF($B6="","",COUNTIFS('クローザー集計(入力)触るな'!$D$2:$D$501,$B6,'クローザー集計(入力)触るな'!$Q$2:$Q$501,"〇"))</f>
        <v>0</v>
      </c>
      <c r="Q6" s="38" t="n">
        <f aca="false">IF($B6="","",SUMIFS('クローザー集計(入力)触るな'!$L$2:$L$501,'クローザー集計(入力)触るな'!$D$2:$D$501,$B6,'クローザー集計(入力)触るな'!$Q$2:$Q$501,"〇")+SUMIFS('クローザー集計(入力)触るな'!$M$2:$M$501,'クローザー集計(入力)触るな'!$D$2:$D$501,$B6,'クローザー集計(入力)触るな'!$Q$2:$Q$501,"〇"))</f>
        <v>0</v>
      </c>
      <c r="R6" s="38" t="n">
        <f aca="false">IF($B6="","",J6+K6*設定!$B$25+M6+O6-Q6)</f>
        <v>0</v>
      </c>
      <c r="S6" s="39" t="n">
        <f aca="false">IF($B6="","",IF(AND(H6&gt;0,H6=MAX($H$5:$H$12)),設定!$B$30,0))</f>
        <v>0</v>
      </c>
      <c r="T6" s="39" t="n">
        <f aca="false">IF($B6="","",IF(AND(I6&gt;0,I6=MAX($I$5:$I$12)),設定!$B$30,0))</f>
        <v>0</v>
      </c>
      <c r="U6" s="39" t="n">
        <f aca="false">IF($B6="","",IF(AND(G6&gt;0,G6=MAX($G$5:$G$12)),設定!$B$30,0))</f>
        <v>0</v>
      </c>
      <c r="V6" s="39" t="n">
        <f aca="false">IF($B6="","",IF(R6&lt;=0,0,IF((1+SUMPRODUCT(($B$5:$B$12&lt;&gt;"")*($R$5:$R$12&gt;R6)))=1,設定!$B$30,IF((1+SUMPRODUCT(($B$5:$B$12&lt;&gt;"")*($R$5:$R$12&gt;R6)))=2,設定!$B$31,0))))</f>
        <v>0</v>
      </c>
      <c r="W6" s="45" t="n">
        <f aca="false">IF($B6="","",S6+T6+U6+V6)</f>
        <v>0</v>
      </c>
      <c r="X6" s="46" t="n">
        <f aca="false">IF($B6="","",1+SUMPRODUCT(($B$5:$B$12&lt;&gt;"")*(($W$5:$W$12&gt;W6)+($W$5:$W$12=W6)*($R$5:$R$12&gt;R6)+($W$5:$W$12=W6)*($R$5:$R$12=R6)*($N$5:$N$12&gt;N6))))</f>
        <v>1</v>
      </c>
    </row>
    <row r="7" customFormat="false" ht="17.15" hidden="false" customHeight="false" outlineLevel="0" collapsed="false">
      <c r="B7" s="36" t="str">
        <f aca="false">IF(INDEX(マスタ!$D$2:$D$60,3)="","",INDEX(マスタ!$D$2:$D$60,3))</f>
        <v>吉村</v>
      </c>
      <c r="C7" s="37" t="n">
        <f aca="false">IF($B7="","",COUNTIFS('クローザー集計(入力)触るな'!$D$2:$D$501,$B7)-COUNTIFS('クローザー集計(入力)触るな'!$D$2:$D$501,$B7,'クローザー集計(入力)触るな'!$O$2:$O$501,"解約受注"))</f>
        <v>0</v>
      </c>
      <c r="D7" s="37" t="n">
        <f aca="false">IF($B7="","",COUNTIFS('クローザー集計(入力)触るな'!$D$2:$D$501,$B7,'クローザー集計(入力)触るな'!$H$2:$H$501,"決済者")+COUNTIFS('クローザー集計(入力)触るな'!$D$2:$D$501,$B7,'クローザー集計(入力)触るな'!$H$2:$H$501,"非決済"))</f>
        <v>0</v>
      </c>
      <c r="E7" s="37" t="n">
        <f aca="false">IF($B7="","",COUNTIFS('クローザー集計(入力)触るな'!$D$2:$D$501,$B7,'クローザー集計(入力)触るな'!$H$2:$H$501,"決済者")+COUNTIFS('クローザー集計(入力)触るな'!$D$2:$D$501,$B7,'クローザー集計(入力)触るな'!$H$2:$H$501,"非決済",'クローザー集計(入力)触るな'!$O$2:$O$501,"受注"))</f>
        <v>0</v>
      </c>
      <c r="F7" s="37" t="n">
        <f aca="false">IF($B7="","",COUNTIFS('クローザー集計(入力)触るな'!$D$2:$D$501,$B7,'クローザー集計(入力)触るな'!$O$2:$O$501,"受注"))</f>
        <v>0</v>
      </c>
      <c r="G7" s="42" t="n">
        <f aca="false">IF($B7="","",IFERROR(D7/C7,0))</f>
        <v>0</v>
      </c>
      <c r="H7" s="42" t="n">
        <f aca="false">IF($B7="","",MAX(0,IFERROR(F7/E7,0)-P7*設定!$B$29))</f>
        <v>0</v>
      </c>
      <c r="I7" s="38" t="n">
        <f aca="false">IF($B7="","",IFERROR((J7+K7)/F7,0))</f>
        <v>0</v>
      </c>
      <c r="J7" s="38" t="n">
        <f aca="false">IF($B7="","",SUMIFS('クローザー集計(入力)触るな'!$L$2:$L$501,'クローザー集計(入力)触るな'!$D$2:$D$501,$B7,'クローザー集計(入力)触るな'!$O$2:$O$501,"受注",'クローザー集計(入力)触るな'!$P$2:$P$501,"&lt;&gt;〇"))</f>
        <v>0</v>
      </c>
      <c r="K7" s="38" t="n">
        <f aca="false">IF($B7="","",SUMIFS('クローザー集計(入力)触るな'!$L$2:$L$501,'クローザー集計(入力)触るな'!$D$2:$D$501,$B7,'クローザー集計(入力)触るな'!$O$2:$O$501,"受注",'クローザー集計(入力)触るな'!$P$2:$P$501,"〇"))</f>
        <v>0</v>
      </c>
      <c r="L7" s="38" t="n">
        <f aca="false">IF($B7="","",SUMIFS('クローザー集計(入力)触るな'!$M$2:$M$501,'クローザー集計(入力)触るな'!$D$2:$D$501,$B7,'クローザー集計(入力)触るな'!$O$2:$O$501,"受注"))</f>
        <v>0</v>
      </c>
      <c r="M7" s="38" t="n">
        <f aca="false">IF($B7="","",INT(L7/設定!$B$26)*設定!$B$27)</f>
        <v>0</v>
      </c>
      <c r="N7" s="44" t="n">
        <f aca="false">IF($B7="",0,MOD(L7,設定!$B$26))</f>
        <v>0</v>
      </c>
      <c r="O7" s="38" t="n">
        <f aca="false">IF($B7="","",COUNTIFS('クローザー集計(入力)触るな'!$D$2:$D$501,$B7,'クローザー集計(入力)触るな'!$O$2:$O$501,"解約受注")*設定!$B$28)</f>
        <v>0</v>
      </c>
      <c r="P7" s="37" t="n">
        <f aca="false">IF($B7="","",COUNTIFS('クローザー集計(入力)触るな'!$D$2:$D$501,$B7,'クローザー集計(入力)触るな'!$Q$2:$Q$501,"〇"))</f>
        <v>0</v>
      </c>
      <c r="Q7" s="38" t="n">
        <f aca="false">IF($B7="","",SUMIFS('クローザー集計(入力)触るな'!$L$2:$L$501,'クローザー集計(入力)触るな'!$D$2:$D$501,$B7,'クローザー集計(入力)触るな'!$Q$2:$Q$501,"〇")+SUMIFS('クローザー集計(入力)触るな'!$M$2:$M$501,'クローザー集計(入力)触るな'!$D$2:$D$501,$B7,'クローザー集計(入力)触るな'!$Q$2:$Q$501,"〇"))</f>
        <v>0</v>
      </c>
      <c r="R7" s="38" t="n">
        <f aca="false">IF($B7="","",J7+K7*設定!$B$25+M7+O7-Q7)</f>
        <v>0</v>
      </c>
      <c r="S7" s="39" t="n">
        <f aca="false">IF($B7="","",IF(AND(H7&gt;0,H7=MAX($H$5:$H$12)),設定!$B$30,0))</f>
        <v>0</v>
      </c>
      <c r="T7" s="39" t="n">
        <f aca="false">IF($B7="","",IF(AND(I7&gt;0,I7=MAX($I$5:$I$12)),設定!$B$30,0))</f>
        <v>0</v>
      </c>
      <c r="U7" s="39" t="n">
        <f aca="false">IF($B7="","",IF(AND(G7&gt;0,G7=MAX($G$5:$G$12)),設定!$B$30,0))</f>
        <v>0</v>
      </c>
      <c r="V7" s="39" t="n">
        <f aca="false">IF($B7="","",IF(R7&lt;=0,0,IF((1+SUMPRODUCT(($B$5:$B$12&lt;&gt;"")*($R$5:$R$12&gt;R7)))=1,設定!$B$30,IF((1+SUMPRODUCT(($B$5:$B$12&lt;&gt;"")*($R$5:$R$12&gt;R7)))=2,設定!$B$31,0))))</f>
        <v>0</v>
      </c>
      <c r="W7" s="45" t="n">
        <f aca="false">IF($B7="","",S7+T7+U7+V7)</f>
        <v>0</v>
      </c>
      <c r="X7" s="46" t="n">
        <f aca="false">IF($B7="","",1+SUMPRODUCT(($B$5:$B$12&lt;&gt;"")*(($W$5:$W$12&gt;W7)+($W$5:$W$12=W7)*($R$5:$R$12&gt;R7)+($W$5:$W$12=W7)*($R$5:$R$12=R7)*($N$5:$N$12&gt;N7))))</f>
        <v>1</v>
      </c>
    </row>
    <row r="8" customFormat="false" ht="17.15" hidden="false" customHeight="false" outlineLevel="0" collapsed="false">
      <c r="B8" s="36" t="str">
        <f aca="false">IF(INDEX(マスタ!$D$2:$D$60,4)="","",INDEX(マスタ!$D$2:$D$60,4))</f>
        <v>篠原</v>
      </c>
      <c r="C8" s="37" t="n">
        <f aca="false">IF($B8="","",COUNTIFS('クローザー集計(入力)触るな'!$D$2:$D$501,$B8)-COUNTIFS('クローザー集計(入力)触るな'!$D$2:$D$501,$B8,'クローザー集計(入力)触るな'!$O$2:$O$501,"解約受注"))</f>
        <v>0</v>
      </c>
      <c r="D8" s="37" t="n">
        <f aca="false">IF($B8="","",COUNTIFS('クローザー集計(入力)触るな'!$D$2:$D$501,$B8,'クローザー集計(入力)触るな'!$H$2:$H$501,"決済者")+COUNTIFS('クローザー集計(入力)触るな'!$D$2:$D$501,$B8,'クローザー集計(入力)触るな'!$H$2:$H$501,"非決済"))</f>
        <v>0</v>
      </c>
      <c r="E8" s="37" t="n">
        <f aca="false">IF($B8="","",COUNTIFS('クローザー集計(入力)触るな'!$D$2:$D$501,$B8,'クローザー集計(入力)触るな'!$H$2:$H$501,"決済者")+COUNTIFS('クローザー集計(入力)触るな'!$D$2:$D$501,$B8,'クローザー集計(入力)触るな'!$H$2:$H$501,"非決済",'クローザー集計(入力)触るな'!$O$2:$O$501,"受注"))</f>
        <v>0</v>
      </c>
      <c r="F8" s="37" t="n">
        <f aca="false">IF($B8="","",COUNTIFS('クローザー集計(入力)触るな'!$D$2:$D$501,$B8,'クローザー集計(入力)触るな'!$O$2:$O$501,"受注"))</f>
        <v>0</v>
      </c>
      <c r="G8" s="42" t="n">
        <f aca="false">IF($B8="","",IFERROR(D8/C8,0))</f>
        <v>0</v>
      </c>
      <c r="H8" s="42" t="n">
        <f aca="false">IF($B8="","",MAX(0,IFERROR(F8/E8,0)-P8*設定!$B$29))</f>
        <v>0</v>
      </c>
      <c r="I8" s="38" t="n">
        <f aca="false">IF($B8="","",IFERROR((J8+K8)/F8,0))</f>
        <v>0</v>
      </c>
      <c r="J8" s="38" t="n">
        <f aca="false">IF($B8="","",SUMIFS('クローザー集計(入力)触るな'!$L$2:$L$501,'クローザー集計(入力)触るな'!$D$2:$D$501,$B8,'クローザー集計(入力)触るな'!$O$2:$O$501,"受注",'クローザー集計(入力)触るな'!$P$2:$P$501,"&lt;&gt;〇"))</f>
        <v>0</v>
      </c>
      <c r="K8" s="38" t="n">
        <f aca="false">IF($B8="","",SUMIFS('クローザー集計(入力)触るな'!$L$2:$L$501,'クローザー集計(入力)触るな'!$D$2:$D$501,$B8,'クローザー集計(入力)触るな'!$O$2:$O$501,"受注",'クローザー集計(入力)触るな'!$P$2:$P$501,"〇"))</f>
        <v>0</v>
      </c>
      <c r="L8" s="38" t="n">
        <f aca="false">IF($B8="","",SUMIFS('クローザー集計(入力)触るな'!$M$2:$M$501,'クローザー集計(入力)触るな'!$D$2:$D$501,$B8,'クローザー集計(入力)触るな'!$O$2:$O$501,"受注"))</f>
        <v>0</v>
      </c>
      <c r="M8" s="38" t="n">
        <f aca="false">IF($B8="","",INT(L8/設定!$B$26)*設定!$B$27)</f>
        <v>0</v>
      </c>
      <c r="N8" s="44" t="n">
        <f aca="false">IF($B8="",0,MOD(L8,設定!$B$26))</f>
        <v>0</v>
      </c>
      <c r="O8" s="38" t="n">
        <f aca="false">IF($B8="","",COUNTIFS('クローザー集計(入力)触るな'!$D$2:$D$501,$B8,'クローザー集計(入力)触るな'!$O$2:$O$501,"解約受注")*設定!$B$28)</f>
        <v>0</v>
      </c>
      <c r="P8" s="37" t="n">
        <f aca="false">IF($B8="","",COUNTIFS('クローザー集計(入力)触るな'!$D$2:$D$501,$B8,'クローザー集計(入力)触るな'!$Q$2:$Q$501,"〇"))</f>
        <v>0</v>
      </c>
      <c r="Q8" s="38" t="n">
        <f aca="false">IF($B8="","",SUMIFS('クローザー集計(入力)触るな'!$L$2:$L$501,'クローザー集計(入力)触るな'!$D$2:$D$501,$B8,'クローザー集計(入力)触るな'!$Q$2:$Q$501,"〇")+SUMIFS('クローザー集計(入力)触るな'!$M$2:$M$501,'クローザー集計(入力)触るな'!$D$2:$D$501,$B8,'クローザー集計(入力)触るな'!$Q$2:$Q$501,"〇"))</f>
        <v>0</v>
      </c>
      <c r="R8" s="38" t="n">
        <f aca="false">IF($B8="","",J8+K8*設定!$B$25+M8+O8-Q8)</f>
        <v>0</v>
      </c>
      <c r="S8" s="39" t="n">
        <f aca="false">IF($B8="","",IF(AND(H8&gt;0,H8=MAX($H$5:$H$12)),設定!$B$30,0))</f>
        <v>0</v>
      </c>
      <c r="T8" s="39" t="n">
        <f aca="false">IF($B8="","",IF(AND(I8&gt;0,I8=MAX($I$5:$I$12)),設定!$B$30,0))</f>
        <v>0</v>
      </c>
      <c r="U8" s="39" t="n">
        <f aca="false">IF($B8="","",IF(AND(G8&gt;0,G8=MAX($G$5:$G$12)),設定!$B$30,0))</f>
        <v>0</v>
      </c>
      <c r="V8" s="39" t="n">
        <f aca="false">IF($B8="","",IF(R8&lt;=0,0,IF((1+SUMPRODUCT(($B$5:$B$12&lt;&gt;"")*($R$5:$R$12&gt;R8)))=1,設定!$B$30,IF((1+SUMPRODUCT(($B$5:$B$12&lt;&gt;"")*($R$5:$R$12&gt;R8)))=2,設定!$B$31,0))))</f>
        <v>0</v>
      </c>
      <c r="W8" s="45" t="n">
        <f aca="false">IF($B8="","",S8+T8+U8+V8)</f>
        <v>0</v>
      </c>
      <c r="X8" s="46" t="n">
        <f aca="false">IF($B8="","",1+SUMPRODUCT(($B$5:$B$12&lt;&gt;"")*(($W$5:$W$12&gt;W8)+($W$5:$W$12=W8)*($R$5:$R$12&gt;R8)+($W$5:$W$12=W8)*($R$5:$R$12=R8)*($N$5:$N$12&gt;N8))))</f>
        <v>1</v>
      </c>
    </row>
    <row r="9" customFormat="false" ht="15" hidden="false" customHeight="false" outlineLevel="0" collapsed="false">
      <c r="B9" s="36" t="str">
        <f aca="false">IF(INDEX(マスタ!$D$2:$D$60,5)="","",INDEX(マスタ!$D$2:$D$60,5))</f>
        <v/>
      </c>
      <c r="C9" s="37" t="str">
        <f aca="false">IF($B9="","",COUNTIFS('クローザー集計(入力)触るな'!$D$2:$D$501,$B9)-COUNTIFS('クローザー集計(入力)触るな'!$D$2:$D$501,$B9,'クローザー集計(入力)触るな'!$O$2:$O$501,"解約受注"))</f>
        <v/>
      </c>
      <c r="D9" s="37" t="str">
        <f aca="false">IF($B9="","",COUNTIFS('クローザー集計(入力)触るな'!$D$2:$D$501,$B9,'クローザー集計(入力)触るな'!$H$2:$H$501,"決済者")+COUNTIFS('クローザー集計(入力)触るな'!$D$2:$D$501,$B9,'クローザー集計(入力)触るな'!$H$2:$H$501,"非決済"))</f>
        <v/>
      </c>
      <c r="E9" s="37" t="str">
        <f aca="false">IF($B9="","",COUNTIFS('クローザー集計(入力)触るな'!$D$2:$D$501,$B9,'クローザー集計(入力)触るな'!$H$2:$H$501,"決済者")+COUNTIFS('クローザー集計(入力)触るな'!$D$2:$D$501,$B9,'クローザー集計(入力)触るな'!$H$2:$H$501,"非決済",'クローザー集計(入力)触るな'!$O$2:$O$501,"受注"))</f>
        <v/>
      </c>
      <c r="F9" s="37" t="str">
        <f aca="false">IF($B9="","",COUNTIFS('クローザー集計(入力)触るな'!$D$2:$D$501,$B9,'クローザー集計(入力)触るな'!$O$2:$O$501,"受注"))</f>
        <v/>
      </c>
      <c r="G9" s="42" t="str">
        <f aca="false">IF($B9="","",IFERROR(D9/C9,0))</f>
        <v/>
      </c>
      <c r="H9" s="42" t="str">
        <f aca="false">IF($B9="","",MAX(0,IFERROR(F9/E9,0)-P9*設定!$B$29))</f>
        <v/>
      </c>
      <c r="I9" s="38" t="str">
        <f aca="false">IF($B9="","",IFERROR((J9+K9)/F9,0))</f>
        <v/>
      </c>
      <c r="J9" s="38" t="str">
        <f aca="false">IF($B9="","",SUMIFS('クローザー集計(入力)触るな'!$L$2:$L$501,'クローザー集計(入力)触るな'!$D$2:$D$501,$B9,'クローザー集計(入力)触るな'!$O$2:$O$501,"受注",'クローザー集計(入力)触るな'!$P$2:$P$501,"&lt;&gt;〇"))</f>
        <v/>
      </c>
      <c r="K9" s="38" t="str">
        <f aca="false">IF($B9="","",SUMIFS('クローザー集計(入力)触るな'!$L$2:$L$501,'クローザー集計(入力)触るな'!$D$2:$D$501,$B9,'クローザー集計(入力)触るな'!$O$2:$O$501,"受注",'クローザー集計(入力)触るな'!$P$2:$P$501,"〇"))</f>
        <v/>
      </c>
      <c r="L9" s="38" t="str">
        <f aca="false">IF($B9="","",SUMIFS('クローザー集計(入力)触るな'!$M$2:$M$501,'クローザー集計(入力)触るな'!$D$2:$D$501,$B9,'クローザー集計(入力)触るな'!$O$2:$O$501,"受注"))</f>
        <v/>
      </c>
      <c r="M9" s="38" t="str">
        <f aca="false">IF($B9="","",INT(L9/設定!$B$26)*設定!$B$27)</f>
        <v/>
      </c>
      <c r="N9" s="44" t="n">
        <f aca="false">IF($B9="",0,MOD(L9,設定!$B$26))</f>
        <v>0</v>
      </c>
      <c r="O9" s="38" t="str">
        <f aca="false">IF($B9="","",COUNTIFS('クローザー集計(入力)触るな'!$D$2:$D$501,$B9,'クローザー集計(入力)触るな'!$O$2:$O$501,"解約受注")*設定!$B$28)</f>
        <v/>
      </c>
      <c r="P9" s="37" t="str">
        <f aca="false">IF($B9="","",COUNTIFS('クローザー集計(入力)触るな'!$D$2:$D$501,$B9,'クローザー集計(入力)触るな'!$Q$2:$Q$501,"〇"))</f>
        <v/>
      </c>
      <c r="Q9" s="38" t="str">
        <f aca="false">IF($B9="","",SUMIFS('クローザー集計(入力)触るな'!$L$2:$L$501,'クローザー集計(入力)触るな'!$D$2:$D$501,$B9,'クローザー集計(入力)触るな'!$Q$2:$Q$501,"〇")+SUMIFS('クローザー集計(入力)触るな'!$M$2:$M$501,'クローザー集計(入力)触るな'!$D$2:$D$501,$B9,'クローザー集計(入力)触るな'!$Q$2:$Q$501,"〇"))</f>
        <v/>
      </c>
      <c r="R9" s="38" t="str">
        <f aca="false">IF($B9="","",J9+K9*設定!$B$25+M9+O9-Q9)</f>
        <v/>
      </c>
      <c r="S9" s="39" t="str">
        <f aca="false">IF($B9="","",IF(AND(H9&gt;0,H9=MAX($H$5:$H$12)),設定!$B$30,0))</f>
        <v/>
      </c>
      <c r="T9" s="39" t="str">
        <f aca="false">IF($B9="","",IF(AND(I9&gt;0,I9=MAX($I$5:$I$12)),設定!$B$30,0))</f>
        <v/>
      </c>
      <c r="U9" s="39" t="str">
        <f aca="false">IF($B9="","",IF(AND(G9&gt;0,G9=MAX($G$5:$G$12)),設定!$B$30,0))</f>
        <v/>
      </c>
      <c r="V9" s="39" t="str">
        <f aca="false">IF($B9="","",IF(R9&lt;=0,0,IF((1+SUMPRODUCT(($B$5:$B$12&lt;&gt;"")*($R$5:$R$12&gt;R9)))=1,設定!$B$30,IF((1+SUMPRODUCT(($B$5:$B$12&lt;&gt;"")*($R$5:$R$12&gt;R9)))=2,設定!$B$31,0))))</f>
        <v/>
      </c>
      <c r="W9" s="45" t="str">
        <f aca="false">IF($B9="","",S9+T9+U9+V9)</f>
        <v/>
      </c>
      <c r="X9" s="46" t="str">
        <f aca="false">IF($B9="","",1+SUMPRODUCT(($B$5:$B$12&lt;&gt;"")*(($W$5:$W$12&gt;W9)+($W$5:$W$12=W9)*($R$5:$R$12&gt;R9)+($W$5:$W$12=W9)*($R$5:$R$12=R9)*($N$5:$N$12&gt;N9))))</f>
        <v/>
      </c>
    </row>
    <row r="10" customFormat="false" ht="15" hidden="false" customHeight="false" outlineLevel="0" collapsed="false">
      <c r="B10" s="36" t="str">
        <f aca="false">IF(INDEX(マスタ!$D$2:$D$60,6)="","",INDEX(マスタ!$D$2:$D$60,6))</f>
        <v/>
      </c>
      <c r="C10" s="37" t="str">
        <f aca="false">IF($B10="","",COUNTIFS('クローザー集計(入力)触るな'!$D$2:$D$501,$B10)-COUNTIFS('クローザー集計(入力)触るな'!$D$2:$D$501,$B10,'クローザー集計(入力)触るな'!$O$2:$O$501,"解約受注"))</f>
        <v/>
      </c>
      <c r="D10" s="37" t="str">
        <f aca="false">IF($B10="","",COUNTIFS('クローザー集計(入力)触るな'!$D$2:$D$501,$B10,'クローザー集計(入力)触るな'!$H$2:$H$501,"決済者")+COUNTIFS('クローザー集計(入力)触るな'!$D$2:$D$501,$B10,'クローザー集計(入力)触るな'!$H$2:$H$501,"非決済"))</f>
        <v/>
      </c>
      <c r="E10" s="37" t="str">
        <f aca="false">IF($B10="","",COUNTIFS('クローザー集計(入力)触るな'!$D$2:$D$501,$B10,'クローザー集計(入力)触るな'!$H$2:$H$501,"決済者")+COUNTIFS('クローザー集計(入力)触るな'!$D$2:$D$501,$B10,'クローザー集計(入力)触るな'!$H$2:$H$501,"非決済",'クローザー集計(入力)触るな'!$O$2:$O$501,"受注"))</f>
        <v/>
      </c>
      <c r="F10" s="37" t="str">
        <f aca="false">IF($B10="","",COUNTIFS('クローザー集計(入力)触るな'!$D$2:$D$501,$B10,'クローザー集計(入力)触るな'!$O$2:$O$501,"受注"))</f>
        <v/>
      </c>
      <c r="G10" s="42" t="str">
        <f aca="false">IF($B10="","",IFERROR(D10/C10,0))</f>
        <v/>
      </c>
      <c r="H10" s="42" t="str">
        <f aca="false">IF($B10="","",MAX(0,IFERROR(F10/E10,0)-P10*設定!$B$29))</f>
        <v/>
      </c>
      <c r="I10" s="38" t="str">
        <f aca="false">IF($B10="","",IFERROR((J10+K10)/F10,0))</f>
        <v/>
      </c>
      <c r="J10" s="38" t="str">
        <f aca="false">IF($B10="","",SUMIFS('クローザー集計(入力)触るな'!$L$2:$L$501,'クローザー集計(入力)触るな'!$D$2:$D$501,$B10,'クローザー集計(入力)触るな'!$O$2:$O$501,"受注",'クローザー集計(入力)触るな'!$P$2:$P$501,"&lt;&gt;〇"))</f>
        <v/>
      </c>
      <c r="K10" s="38" t="str">
        <f aca="false">IF($B10="","",SUMIFS('クローザー集計(入力)触るな'!$L$2:$L$501,'クローザー集計(入力)触るな'!$D$2:$D$501,$B10,'クローザー集計(入力)触るな'!$O$2:$O$501,"受注",'クローザー集計(入力)触るな'!$P$2:$P$501,"〇"))</f>
        <v/>
      </c>
      <c r="L10" s="38" t="str">
        <f aca="false">IF($B10="","",SUMIFS('クローザー集計(入力)触るな'!$M$2:$M$501,'クローザー集計(入力)触るな'!$D$2:$D$501,$B10,'クローザー集計(入力)触るな'!$O$2:$O$501,"受注"))</f>
        <v/>
      </c>
      <c r="M10" s="38" t="str">
        <f aca="false">IF($B10="","",INT(L10/設定!$B$26)*設定!$B$27)</f>
        <v/>
      </c>
      <c r="N10" s="44" t="n">
        <f aca="false">IF($B10="",0,MOD(L10,設定!$B$26))</f>
        <v>0</v>
      </c>
      <c r="O10" s="38" t="str">
        <f aca="false">IF($B10="","",COUNTIFS('クローザー集計(入力)触るな'!$D$2:$D$501,$B10,'クローザー集計(入力)触るな'!$O$2:$O$501,"解約受注")*設定!$B$28)</f>
        <v/>
      </c>
      <c r="P10" s="37" t="str">
        <f aca="false">IF($B10="","",COUNTIFS('クローザー集計(入力)触るな'!$D$2:$D$501,$B10,'クローザー集計(入力)触るな'!$Q$2:$Q$501,"〇"))</f>
        <v/>
      </c>
      <c r="Q10" s="38" t="str">
        <f aca="false">IF($B10="","",SUMIFS('クローザー集計(入力)触るな'!$L$2:$L$501,'クローザー集計(入力)触るな'!$D$2:$D$501,$B10,'クローザー集計(入力)触るな'!$Q$2:$Q$501,"〇")+SUMIFS('クローザー集計(入力)触るな'!$M$2:$M$501,'クローザー集計(入力)触るな'!$D$2:$D$501,$B10,'クローザー集計(入力)触るな'!$Q$2:$Q$501,"〇"))</f>
        <v/>
      </c>
      <c r="R10" s="38" t="str">
        <f aca="false">IF($B10="","",J10+K10*設定!$B$25+M10+O10-Q10)</f>
        <v/>
      </c>
      <c r="S10" s="39" t="str">
        <f aca="false">IF($B10="","",IF(AND(H10&gt;0,H10=MAX($H$5:$H$12)),設定!$B$30,0))</f>
        <v/>
      </c>
      <c r="T10" s="39" t="str">
        <f aca="false">IF($B10="","",IF(AND(I10&gt;0,I10=MAX($I$5:$I$12)),設定!$B$30,0))</f>
        <v/>
      </c>
      <c r="U10" s="39" t="str">
        <f aca="false">IF($B10="","",IF(AND(G10&gt;0,G10=MAX($G$5:$G$12)),設定!$B$30,0))</f>
        <v/>
      </c>
      <c r="V10" s="39" t="str">
        <f aca="false">IF($B10="","",IF(R10&lt;=0,0,IF((1+SUMPRODUCT(($B$5:$B$12&lt;&gt;"")*($R$5:$R$12&gt;R10)))=1,設定!$B$30,IF((1+SUMPRODUCT(($B$5:$B$12&lt;&gt;"")*($R$5:$R$12&gt;R10)))=2,設定!$B$31,0))))</f>
        <v/>
      </c>
      <c r="W10" s="45" t="str">
        <f aca="false">IF($B10="","",S10+T10+U10+V10)</f>
        <v/>
      </c>
      <c r="X10" s="46" t="str">
        <f aca="false">IF($B10="","",1+SUMPRODUCT(($B$5:$B$12&lt;&gt;"")*(($W$5:$W$12&gt;W10)+($W$5:$W$12=W10)*($R$5:$R$12&gt;R10)+($W$5:$W$12=W10)*($R$5:$R$12=R10)*($N$5:$N$12&gt;N10))))</f>
        <v/>
      </c>
    </row>
    <row r="11" customFormat="false" ht="15" hidden="false" customHeight="false" outlineLevel="0" collapsed="false">
      <c r="B11" s="36" t="str">
        <f aca="false">IF(INDEX(マスタ!$D$2:$D$60,7)="","",INDEX(マスタ!$D$2:$D$60,7))</f>
        <v/>
      </c>
      <c r="C11" s="37" t="str">
        <f aca="false">IF($B11="","",COUNTIFS('クローザー集計(入力)触るな'!$D$2:$D$501,$B11)-COUNTIFS('クローザー集計(入力)触るな'!$D$2:$D$501,$B11,'クローザー集計(入力)触るな'!$O$2:$O$501,"解約受注"))</f>
        <v/>
      </c>
      <c r="D11" s="37" t="str">
        <f aca="false">IF($B11="","",COUNTIFS('クローザー集計(入力)触るな'!$D$2:$D$501,$B11,'クローザー集計(入力)触るな'!$H$2:$H$501,"決済者")+COUNTIFS('クローザー集計(入力)触るな'!$D$2:$D$501,$B11,'クローザー集計(入力)触るな'!$H$2:$H$501,"非決済"))</f>
        <v/>
      </c>
      <c r="E11" s="37" t="str">
        <f aca="false">IF($B11="","",COUNTIFS('クローザー集計(入力)触るな'!$D$2:$D$501,$B11,'クローザー集計(入力)触るな'!$H$2:$H$501,"決済者")+COUNTIFS('クローザー集計(入力)触るな'!$D$2:$D$501,$B11,'クローザー集計(入力)触るな'!$H$2:$H$501,"非決済",'クローザー集計(入力)触るな'!$O$2:$O$501,"受注"))</f>
        <v/>
      </c>
      <c r="F11" s="37" t="str">
        <f aca="false">IF($B11="","",COUNTIFS('クローザー集計(入力)触るな'!$D$2:$D$501,$B11,'クローザー集計(入力)触るな'!$O$2:$O$501,"受注"))</f>
        <v/>
      </c>
      <c r="G11" s="42" t="str">
        <f aca="false">IF($B11="","",IFERROR(D11/C11,0))</f>
        <v/>
      </c>
      <c r="H11" s="42" t="str">
        <f aca="false">IF($B11="","",MAX(0,IFERROR(F11/E11,0)-P11*設定!$B$29))</f>
        <v/>
      </c>
      <c r="I11" s="38" t="str">
        <f aca="false">IF($B11="","",IFERROR((J11+K11)/F11,0))</f>
        <v/>
      </c>
      <c r="J11" s="38" t="str">
        <f aca="false">IF($B11="","",SUMIFS('クローザー集計(入力)触るな'!$L$2:$L$501,'クローザー集計(入力)触るな'!$D$2:$D$501,$B11,'クローザー集計(入力)触るな'!$O$2:$O$501,"受注",'クローザー集計(入力)触るな'!$P$2:$P$501,"&lt;&gt;〇"))</f>
        <v/>
      </c>
      <c r="K11" s="38" t="str">
        <f aca="false">IF($B11="","",SUMIFS('クローザー集計(入力)触るな'!$L$2:$L$501,'クローザー集計(入力)触るな'!$D$2:$D$501,$B11,'クローザー集計(入力)触るな'!$O$2:$O$501,"受注",'クローザー集計(入力)触るな'!$P$2:$P$501,"〇"))</f>
        <v/>
      </c>
      <c r="L11" s="38" t="str">
        <f aca="false">IF($B11="","",SUMIFS('クローザー集計(入力)触るな'!$M$2:$M$501,'クローザー集計(入力)触るな'!$D$2:$D$501,$B11,'クローザー集計(入力)触るな'!$O$2:$O$501,"受注"))</f>
        <v/>
      </c>
      <c r="M11" s="38" t="str">
        <f aca="false">IF($B11="","",INT(L11/設定!$B$26)*設定!$B$27)</f>
        <v/>
      </c>
      <c r="N11" s="44" t="n">
        <f aca="false">IF($B11="",0,MOD(L11,設定!$B$26))</f>
        <v>0</v>
      </c>
      <c r="O11" s="38" t="str">
        <f aca="false">IF($B11="","",COUNTIFS('クローザー集計(入力)触るな'!$D$2:$D$501,$B11,'クローザー集計(入力)触るな'!$O$2:$O$501,"解約受注")*設定!$B$28)</f>
        <v/>
      </c>
      <c r="P11" s="37" t="str">
        <f aca="false">IF($B11="","",COUNTIFS('クローザー集計(入力)触るな'!$D$2:$D$501,$B11,'クローザー集計(入力)触るな'!$Q$2:$Q$501,"〇"))</f>
        <v/>
      </c>
      <c r="Q11" s="38" t="str">
        <f aca="false">IF($B11="","",SUMIFS('クローザー集計(入力)触るな'!$L$2:$L$501,'クローザー集計(入力)触るな'!$D$2:$D$501,$B11,'クローザー集計(入力)触るな'!$Q$2:$Q$501,"〇")+SUMIFS('クローザー集計(入力)触るな'!$M$2:$M$501,'クローザー集計(入力)触るな'!$D$2:$D$501,$B11,'クローザー集計(入力)触るな'!$Q$2:$Q$501,"〇"))</f>
        <v/>
      </c>
      <c r="R11" s="38" t="str">
        <f aca="false">IF($B11="","",J11+K11*設定!$B$25+M11+O11-Q11)</f>
        <v/>
      </c>
      <c r="S11" s="39" t="str">
        <f aca="false">IF($B11="","",IF(AND(H11&gt;0,H11=MAX($H$5:$H$12)),設定!$B$30,0))</f>
        <v/>
      </c>
      <c r="T11" s="39" t="str">
        <f aca="false">IF($B11="","",IF(AND(I11&gt;0,I11=MAX($I$5:$I$12)),設定!$B$30,0))</f>
        <v/>
      </c>
      <c r="U11" s="39" t="str">
        <f aca="false">IF($B11="","",IF(AND(G11&gt;0,G11=MAX($G$5:$G$12)),設定!$B$30,0))</f>
        <v/>
      </c>
      <c r="V11" s="39" t="str">
        <f aca="false">IF($B11="","",IF(R11&lt;=0,0,IF((1+SUMPRODUCT(($B$5:$B$12&lt;&gt;"")*($R$5:$R$12&gt;R11)))=1,設定!$B$30,IF((1+SUMPRODUCT(($B$5:$B$12&lt;&gt;"")*($R$5:$R$12&gt;R11)))=2,設定!$B$31,0))))</f>
        <v/>
      </c>
      <c r="W11" s="45" t="str">
        <f aca="false">IF($B11="","",S11+T11+U11+V11)</f>
        <v/>
      </c>
      <c r="X11" s="46" t="str">
        <f aca="false">IF($B11="","",1+SUMPRODUCT(($B$5:$B$12&lt;&gt;"")*(($W$5:$W$12&gt;W11)+($W$5:$W$12=W11)*($R$5:$R$12&gt;R11)+($W$5:$W$12=W11)*($R$5:$R$12=R11)*($N$5:$N$12&gt;N11))))</f>
        <v/>
      </c>
    </row>
    <row r="12" customFormat="false" ht="15" hidden="false" customHeight="false" outlineLevel="0" collapsed="false">
      <c r="B12" s="36" t="str">
        <f aca="false">IF(INDEX(マスタ!$D$2:$D$60,8)="","",INDEX(マスタ!$D$2:$D$60,8))</f>
        <v/>
      </c>
      <c r="C12" s="37" t="str">
        <f aca="false">IF($B12="","",COUNTIFS('クローザー集計(入力)触るな'!$D$2:$D$501,$B12)-COUNTIFS('クローザー集計(入力)触るな'!$D$2:$D$501,$B12,'クローザー集計(入力)触るな'!$O$2:$O$501,"解約受注"))</f>
        <v/>
      </c>
      <c r="D12" s="37" t="str">
        <f aca="false">IF($B12="","",COUNTIFS('クローザー集計(入力)触るな'!$D$2:$D$501,$B12,'クローザー集計(入力)触るな'!$H$2:$H$501,"決済者")+COUNTIFS('クローザー集計(入力)触るな'!$D$2:$D$501,$B12,'クローザー集計(入力)触るな'!$H$2:$H$501,"非決済"))</f>
        <v/>
      </c>
      <c r="E12" s="37" t="str">
        <f aca="false">IF($B12="","",COUNTIFS('クローザー集計(入力)触るな'!$D$2:$D$501,$B12,'クローザー集計(入力)触るな'!$H$2:$H$501,"決済者")+COUNTIFS('クローザー集計(入力)触るな'!$D$2:$D$501,$B12,'クローザー集計(入力)触るな'!$H$2:$H$501,"非決済",'クローザー集計(入力)触るな'!$O$2:$O$501,"受注"))</f>
        <v/>
      </c>
      <c r="F12" s="37" t="str">
        <f aca="false">IF($B12="","",COUNTIFS('クローザー集計(入力)触るな'!$D$2:$D$501,$B12,'クローザー集計(入力)触るな'!$O$2:$O$501,"受注"))</f>
        <v/>
      </c>
      <c r="G12" s="42" t="str">
        <f aca="false">IF($B12="","",IFERROR(D12/C12,0))</f>
        <v/>
      </c>
      <c r="H12" s="42" t="str">
        <f aca="false">IF($B12="","",MAX(0,IFERROR(F12/E12,0)-P12*設定!$B$29))</f>
        <v/>
      </c>
      <c r="I12" s="38" t="str">
        <f aca="false">IF($B12="","",IFERROR((J12+K12)/F12,0))</f>
        <v/>
      </c>
      <c r="J12" s="38" t="str">
        <f aca="false">IF($B12="","",SUMIFS('クローザー集計(入力)触るな'!$L$2:$L$501,'クローザー集計(入力)触るな'!$D$2:$D$501,$B12,'クローザー集計(入力)触るな'!$O$2:$O$501,"受注",'クローザー集計(入力)触るな'!$P$2:$P$501,"&lt;&gt;〇"))</f>
        <v/>
      </c>
      <c r="K12" s="38" t="str">
        <f aca="false">IF($B12="","",SUMIFS('クローザー集計(入力)触るな'!$L$2:$L$501,'クローザー集計(入力)触るな'!$D$2:$D$501,$B12,'クローザー集計(入力)触るな'!$O$2:$O$501,"受注",'クローザー集計(入力)触るな'!$P$2:$P$501,"〇"))</f>
        <v/>
      </c>
      <c r="L12" s="38" t="str">
        <f aca="false">IF($B12="","",SUMIFS('クローザー集計(入力)触るな'!$M$2:$M$501,'クローザー集計(入力)触るな'!$D$2:$D$501,$B12,'クローザー集計(入力)触るな'!$O$2:$O$501,"受注"))</f>
        <v/>
      </c>
      <c r="M12" s="38" t="str">
        <f aca="false">IF($B12="","",INT(L12/設定!$B$26)*設定!$B$27)</f>
        <v/>
      </c>
      <c r="N12" s="44" t="n">
        <f aca="false">IF($B12="",0,MOD(L12,設定!$B$26))</f>
        <v>0</v>
      </c>
      <c r="O12" s="38" t="str">
        <f aca="false">IF($B12="","",COUNTIFS('クローザー集計(入力)触るな'!$D$2:$D$501,$B12,'クローザー集計(入力)触るな'!$O$2:$O$501,"解約受注")*設定!$B$28)</f>
        <v/>
      </c>
      <c r="P12" s="37" t="str">
        <f aca="false">IF($B12="","",COUNTIFS('クローザー集計(入力)触るな'!$D$2:$D$501,$B12,'クローザー集計(入力)触るな'!$Q$2:$Q$501,"〇"))</f>
        <v/>
      </c>
      <c r="Q12" s="38" t="str">
        <f aca="false">IF($B12="","",SUMIFS('クローザー集計(入力)触るな'!$L$2:$L$501,'クローザー集計(入力)触るな'!$D$2:$D$501,$B12,'クローザー集計(入力)触るな'!$Q$2:$Q$501,"〇")+SUMIFS('クローザー集計(入力)触るな'!$M$2:$M$501,'クローザー集計(入力)触るな'!$D$2:$D$501,$B12,'クローザー集計(入力)触るな'!$Q$2:$Q$501,"〇"))</f>
        <v/>
      </c>
      <c r="R12" s="38" t="str">
        <f aca="false">IF($B12="","",J12+K12*設定!$B$25+M12+O12-Q12)</f>
        <v/>
      </c>
      <c r="S12" s="39" t="str">
        <f aca="false">IF($B12="","",IF(AND(H12&gt;0,H12=MAX($H$5:$H$12)),設定!$B$30,0))</f>
        <v/>
      </c>
      <c r="T12" s="39" t="str">
        <f aca="false">IF($B12="","",IF(AND(I12&gt;0,I12=MAX($I$5:$I$12)),設定!$B$30,0))</f>
        <v/>
      </c>
      <c r="U12" s="39" t="str">
        <f aca="false">IF($B12="","",IF(AND(G12&gt;0,G12=MAX($G$5:$G$12)),設定!$B$30,0))</f>
        <v/>
      </c>
      <c r="V12" s="39" t="str">
        <f aca="false">IF($B12="","",IF(R12&lt;=0,0,IF((1+SUMPRODUCT(($B$5:$B$12&lt;&gt;"")*($R$5:$R$12&gt;R12)))=1,設定!$B$30,IF((1+SUMPRODUCT(($B$5:$B$12&lt;&gt;"")*($R$5:$R$12&gt;R12)))=2,設定!$B$31,0))))</f>
        <v/>
      </c>
      <c r="W12" s="45" t="str">
        <f aca="false">IF($B12="","",S12+T12+U12+V12)</f>
        <v/>
      </c>
      <c r="X12" s="46" t="str">
        <f aca="false">IF($B12="","",1+SUMPRODUCT(($B$5:$B$12&lt;&gt;"")*(($W$5:$W$12&gt;W12)+($W$5:$W$12=W12)*($R$5:$R$12&gt;R12)+($W$5:$W$12=W12)*($R$5:$R$12=R12)*($N$5:$N$12&gt;N12))))</f>
        <v/>
      </c>
    </row>
    <row r="13" customFormat="false" ht="15" hidden="false" customHeight="false" outlineLevel="0" collapsed="false">
      <c r="B13" s="47" t="s">
        <v>28</v>
      </c>
      <c r="C13" s="48" t="n">
        <f aca="false">SUM(C5:C12)</f>
        <v>0</v>
      </c>
      <c r="D13" s="48" t="n">
        <f aca="false">SUM(D5:D12)</f>
        <v>0</v>
      </c>
      <c r="E13" s="48" t="n">
        <f aca="false">SUM(E5:E12)</f>
        <v>0</v>
      </c>
      <c r="F13" s="48" t="n">
        <f aca="false">SUM(F5:F12)</f>
        <v>0</v>
      </c>
      <c r="G13" s="49" t="n">
        <f aca="false">IFERROR(D13/C13,0)</f>
        <v>0</v>
      </c>
      <c r="H13" s="49" t="n">
        <f aca="false">IFERROR(F13/E13,0)</f>
        <v>0</v>
      </c>
      <c r="I13" s="50" t="n">
        <f aca="false">IFERROR((J13+K13)/F13,0)</f>
        <v>0</v>
      </c>
      <c r="J13" s="50" t="n">
        <f aca="false">SUM(J5:J12)</f>
        <v>0</v>
      </c>
      <c r="K13" s="50" t="n">
        <f aca="false">SUM(K5:K12)</f>
        <v>0</v>
      </c>
      <c r="L13" s="50" t="n">
        <f aca="false">SUM(L5:L12)</f>
        <v>0</v>
      </c>
      <c r="M13" s="50" t="n">
        <f aca="false">SUM(M5:M12)</f>
        <v>0</v>
      </c>
      <c r="N13" s="47"/>
      <c r="O13" s="50" t="n">
        <f aca="false">SUM(O5:O12)</f>
        <v>0</v>
      </c>
      <c r="P13" s="48" t="n">
        <f aca="false">SUM(P5:P12)</f>
        <v>0</v>
      </c>
      <c r="Q13" s="50" t="n">
        <f aca="false">SUM(Q5:Q12)</f>
        <v>0</v>
      </c>
      <c r="R13" s="50" t="n">
        <f aca="false">SUM(R5:R12)</f>
        <v>0</v>
      </c>
      <c r="S13" s="47"/>
      <c r="T13" s="47"/>
      <c r="U13" s="47"/>
      <c r="V13" s="47"/>
      <c r="W13" s="47"/>
      <c r="X13" s="47"/>
    </row>
    <row r="16" customFormat="false" ht="15" hidden="false" customHeight="true" outlineLevel="0" collapsed="false">
      <c r="B16" s="7" t="s">
        <v>179</v>
      </c>
      <c r="C16" s="7"/>
      <c r="D16" s="7"/>
      <c r="E16" s="7"/>
    </row>
    <row r="17" customFormat="false" ht="26.85" hidden="false" customHeight="false" outlineLevel="0" collapsed="false">
      <c r="B17" s="8" t="s">
        <v>180</v>
      </c>
      <c r="C17" s="8" t="s">
        <v>181</v>
      </c>
      <c r="D17" s="8" t="s">
        <v>182</v>
      </c>
      <c r="E17" s="8" t="s">
        <v>183</v>
      </c>
    </row>
    <row r="18" customFormat="false" ht="15" hidden="false" customHeight="false" outlineLevel="0" collapsed="false">
      <c r="B18" s="36" t="s">
        <v>99</v>
      </c>
      <c r="C18" s="51" t="n">
        <f aca="false">IS進捗!$E$6</f>
        <v>0</v>
      </c>
      <c r="D18" s="51" t="n">
        <f aca="false">IS進捗!$E$6</f>
        <v>0</v>
      </c>
      <c r="E18" s="51"/>
    </row>
    <row r="19" customFormat="false" ht="15" hidden="false" customHeight="false" outlineLevel="0" collapsed="false">
      <c r="B19" s="36" t="s">
        <v>184</v>
      </c>
      <c r="C19" s="51" t="n">
        <f aca="false">C18*設定!$B$18</f>
        <v>0</v>
      </c>
      <c r="D19" s="51" t="n">
        <f aca="false">クローザーサマリー!$C$13</f>
        <v>0</v>
      </c>
      <c r="E19" s="51"/>
    </row>
    <row r="20" customFormat="false" ht="15" hidden="false" customHeight="false" outlineLevel="0" collapsed="false">
      <c r="B20" s="36" t="s">
        <v>185</v>
      </c>
      <c r="C20" s="51" t="n">
        <f aca="false">C19*設定!$B$19</f>
        <v>0</v>
      </c>
      <c r="D20" s="51" t="n">
        <f aca="false">D19*設定!$B$19</f>
        <v>0</v>
      </c>
      <c r="E20" s="51" t="n">
        <f aca="false">クローザーサマリー!$D$13</f>
        <v>0</v>
      </c>
    </row>
    <row r="21" customFormat="false" ht="15" hidden="false" customHeight="false" outlineLevel="0" collapsed="false">
      <c r="B21" s="36" t="s">
        <v>106</v>
      </c>
      <c r="C21" s="51" t="n">
        <f aca="false">C20*設定!$B$21</f>
        <v>0</v>
      </c>
      <c r="D21" s="51" t="n">
        <f aca="false">D20*設定!$B$21</f>
        <v>0</v>
      </c>
      <c r="E21" s="51" t="n">
        <f aca="false">E20*設定!$B$21</f>
        <v>0</v>
      </c>
    </row>
    <row r="22" customFormat="false" ht="15" hidden="false" customHeight="false" outlineLevel="0" collapsed="false">
      <c r="B22" s="36" t="s">
        <v>56</v>
      </c>
      <c r="C22" s="38" t="n">
        <f aca="false">C21*設定!$B$22</f>
        <v>0</v>
      </c>
      <c r="D22" s="38" t="n">
        <f aca="false">D21*設定!$B$22</f>
        <v>0</v>
      </c>
      <c r="E22" s="38" t="n">
        <f aca="false">E21*設定!$B$22</f>
        <v>0</v>
      </c>
    </row>
    <row r="23" customFormat="false" ht="15" hidden="false" customHeight="false" outlineLevel="0" collapsed="false">
      <c r="B23" s="52" t="s">
        <v>186</v>
      </c>
      <c r="C23" s="53" t="n">
        <f aca="false">クローザーサマリー!$R$13</f>
        <v>0</v>
      </c>
    </row>
    <row r="24" customFormat="false" ht="15" hidden="false" customHeight="false" outlineLevel="0" collapsed="false">
      <c r="B24" s="52" t="s">
        <v>187</v>
      </c>
      <c r="C24" s="53" t="n">
        <f aca="false">C23-D22</f>
        <v>0</v>
      </c>
    </row>
    <row r="27" customFormat="false" ht="15" hidden="false" customHeight="true" outlineLevel="0" collapsed="false">
      <c r="B27" s="7" t="s">
        <v>188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B28" s="54" t="s">
        <v>189</v>
      </c>
    </row>
    <row r="29" customFormat="false" ht="15" hidden="false" customHeight="false" outlineLevel="0" collapsed="false">
      <c r="B29" s="54" t="s">
        <v>190</v>
      </c>
    </row>
    <row r="30" customFormat="false" ht="15" hidden="false" customHeight="false" outlineLevel="0" collapsed="false">
      <c r="B30" s="54" t="s">
        <v>191</v>
      </c>
    </row>
    <row r="31" customFormat="false" ht="15" hidden="false" customHeight="false" outlineLevel="0" collapsed="false">
      <c r="B31" s="54" t="s">
        <v>192</v>
      </c>
    </row>
    <row r="32" customFormat="false" ht="15" hidden="false" customHeight="false" outlineLevel="0" collapsed="false">
      <c r="B32" s="54" t="s">
        <v>193</v>
      </c>
    </row>
    <row r="33" customFormat="false" ht="15" hidden="false" customHeight="false" outlineLevel="0" collapsed="false">
      <c r="B33" s="54" t="s">
        <v>194</v>
      </c>
    </row>
    <row r="34" customFormat="false" ht="15" hidden="false" customHeight="false" outlineLevel="0" collapsed="false">
      <c r="B34" s="54" t="s">
        <v>195</v>
      </c>
    </row>
    <row r="35" customFormat="false" ht="15" hidden="false" customHeight="false" outlineLevel="0" collapsed="false">
      <c r="B35" s="54" t="s">
        <v>196</v>
      </c>
    </row>
    <row r="36" customFormat="false" ht="15" hidden="false" customHeight="false" outlineLevel="0" collapsed="false">
      <c r="B36" s="54" t="s">
        <v>197</v>
      </c>
    </row>
    <row r="37" customFormat="false" ht="15" hidden="false" customHeight="false" outlineLevel="0" collapsed="false">
      <c r="B37" s="54" t="s">
        <v>198</v>
      </c>
    </row>
  </sheetData>
  <mergeCells count="3">
    <mergeCell ref="B3:X3"/>
    <mergeCell ref="B16:E16"/>
    <mergeCell ref="B27:L27"/>
  </mergeCells>
  <conditionalFormatting sqref="B5:X12">
    <cfRule type="expression" priority="2" aboveAverage="0" equalAverage="0" bottom="0" percent="0" rank="0" text="" dxfId="2">
      <formula>$X5=1</formula>
    </cfRule>
    <cfRule type="expression" priority="3" aboveAverage="0" equalAverage="0" bottom="0" percent="0" rank="0" text="" dxfId="3">
      <formula>$X5=2</formula>
    </cfRule>
    <cfRule type="expression" priority="4" aboveAverage="0" equalAverage="0" bottom="0" percent="0" rank="0" text="" dxfId="4">
      <formula>$X5=3</formula>
    </cfRule>
  </conditionalFormatting>
  <conditionalFormatting sqref="C2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1" min="2" style="0" width="11"/>
  </cols>
  <sheetData>
    <row r="1" customFormat="false" ht="19.7" hidden="false" customHeight="false" outlineLevel="0" collapsed="false">
      <c r="A1" s="1" t="s">
        <v>199</v>
      </c>
    </row>
    <row r="2" customFormat="false" ht="15" hidden="false" customHeight="false" outlineLevel="0" collapsed="false">
      <c r="A2" s="33" t="s">
        <v>200</v>
      </c>
    </row>
    <row r="3" customFormat="false" ht="31.5" hidden="false" customHeight="true" outlineLevel="0" collapsed="false">
      <c r="A3" s="8" t="s">
        <v>201</v>
      </c>
      <c r="B3" s="8" t="s">
        <v>202</v>
      </c>
      <c r="C3" s="8" t="s">
        <v>203</v>
      </c>
      <c r="D3" s="8" t="s">
        <v>204</v>
      </c>
      <c r="E3" s="8" t="s">
        <v>205</v>
      </c>
      <c r="F3" s="8" t="s">
        <v>206</v>
      </c>
      <c r="G3" s="8" t="s">
        <v>207</v>
      </c>
      <c r="H3" s="8" t="s">
        <v>208</v>
      </c>
      <c r="I3" s="8" t="s">
        <v>209</v>
      </c>
      <c r="J3" s="8" t="s">
        <v>210</v>
      </c>
      <c r="K3" s="8" t="s">
        <v>211</v>
      </c>
      <c r="L3" s="8" t="s">
        <v>212</v>
      </c>
      <c r="M3" s="8" t="s">
        <v>213</v>
      </c>
      <c r="N3" s="8" t="s">
        <v>214</v>
      </c>
      <c r="O3" s="8" t="s">
        <v>215</v>
      </c>
      <c r="P3" s="8" t="s">
        <v>153</v>
      </c>
      <c r="Q3" s="8" t="s">
        <v>216</v>
      </c>
      <c r="R3" s="8" t="s">
        <v>217</v>
      </c>
      <c r="S3" s="8" t="s">
        <v>157</v>
      </c>
      <c r="T3" s="8" t="s">
        <v>56</v>
      </c>
      <c r="U3" s="8" t="s">
        <v>218</v>
      </c>
    </row>
    <row r="4" customFormat="false" ht="15" hidden="false" customHeight="false" outlineLevel="0" collapsed="false">
      <c r="A4" s="55" t="str">
        <f aca="false">TEXT(設定!$B$5,"yyyy年m月")&amp;"（今月）"</f>
        <v>2026年11月（今月）</v>
      </c>
      <c r="B4" s="56" t="n">
        <f aca="false">IS進捗!F18</f>
        <v>0</v>
      </c>
      <c r="C4" s="56" t="n">
        <f aca="false">IS進捗!F19</f>
        <v>0</v>
      </c>
      <c r="D4" s="56" t="n">
        <f aca="false">IS進捗!F20</f>
        <v>0</v>
      </c>
      <c r="E4" s="56" t="n">
        <f aca="false">IS進捗!F22</f>
        <v>0</v>
      </c>
      <c r="F4" s="56" t="n">
        <f aca="false">IS進捗!F24</f>
        <v>0</v>
      </c>
      <c r="G4" s="57" t="n">
        <f aca="false">IS進捗!F29</f>
        <v>0</v>
      </c>
      <c r="H4" s="58" t="n">
        <f aca="false">IS進捗!F30</f>
        <v>0</v>
      </c>
      <c r="I4" s="56" t="n">
        <f aca="false">IS進捗!F44</f>
        <v>0</v>
      </c>
      <c r="J4" s="56" t="n">
        <f aca="false">IS進捗!F45</f>
        <v>0</v>
      </c>
      <c r="K4" s="56" t="n">
        <f aca="false">IS進捗!F46</f>
        <v>0</v>
      </c>
      <c r="L4" s="56" t="n">
        <f aca="false">IS進捗!F48</f>
        <v>0</v>
      </c>
      <c r="M4" s="56" t="n">
        <f aca="false">IS進捗!F50</f>
        <v>0</v>
      </c>
      <c r="N4" s="57" t="n">
        <f aca="false">IS進捗!F55</f>
        <v>0</v>
      </c>
      <c r="O4" s="58" t="n">
        <f aca="false">IS進捗!F56</f>
        <v>0</v>
      </c>
      <c r="P4" s="56" t="n">
        <f aca="false">FS進捗!F5</f>
        <v>0</v>
      </c>
      <c r="Q4" s="56" t="n">
        <f aca="false">FS進捗!F6</f>
        <v>0</v>
      </c>
      <c r="R4" s="56" t="n">
        <f aca="false">FS進捗!F9</f>
        <v>0</v>
      </c>
      <c r="S4" s="59" t="n">
        <f aca="false">FS進捗!F10</f>
        <v>0</v>
      </c>
      <c r="T4" s="60" t="n">
        <f aca="false">FS進捗!F12</f>
        <v>0</v>
      </c>
      <c r="U4" s="60" t="n">
        <f aca="false">FS進捗!F14</f>
        <v>0</v>
      </c>
    </row>
    <row r="6" customFormat="false" ht="15" hidden="false" customHeight="false" outlineLevel="0" collapsed="false">
      <c r="A6" s="61" t="s">
        <v>219</v>
      </c>
    </row>
    <row r="7" customFormat="false" ht="15" hidden="false" customHeight="false" outlineLevel="0" collapsed="false">
      <c r="A7" s="62" t="s">
        <v>220</v>
      </c>
      <c r="B7" s="37" t="n">
        <v>96</v>
      </c>
      <c r="C7" s="37" t="n">
        <v>86</v>
      </c>
      <c r="D7" s="37" t="n">
        <v>69</v>
      </c>
      <c r="E7" s="37" t="n">
        <v>41</v>
      </c>
      <c r="F7" s="37" t="n">
        <v>13</v>
      </c>
      <c r="G7" s="40" t="n">
        <v>713.5</v>
      </c>
      <c r="H7" s="41" t="n">
        <f aca="false">IFERROR(B7/G7,0)</f>
        <v>0.134548002803083</v>
      </c>
      <c r="I7" s="37" t="n">
        <v>39</v>
      </c>
      <c r="J7" s="37" t="n">
        <v>37</v>
      </c>
      <c r="K7" s="37" t="n">
        <v>23</v>
      </c>
      <c r="L7" s="37" t="n">
        <v>14</v>
      </c>
      <c r="M7" s="37" t="n">
        <v>3</v>
      </c>
      <c r="N7" s="40" t="n">
        <v>505.5</v>
      </c>
      <c r="O7" s="41" t="n">
        <f aca="false">IFERROR(I7/N7,0)</f>
        <v>0.0771513353115727</v>
      </c>
      <c r="P7" s="37" t="n">
        <v>107</v>
      </c>
      <c r="Q7" s="37" t="n">
        <v>60</v>
      </c>
      <c r="R7" s="37" t="n">
        <v>17</v>
      </c>
      <c r="S7" s="42" t="n">
        <f aca="false">IFERROR(R7/Q7,0)</f>
        <v>0.283333333333333</v>
      </c>
      <c r="T7" s="38" t="n">
        <v>336000</v>
      </c>
      <c r="U7" s="38" t="n">
        <v>330000</v>
      </c>
    </row>
    <row r="8" customFormat="false" ht="15" hidden="false" customHeight="false" outlineLevel="0" collapsed="false">
      <c r="A8" s="62" t="s">
        <v>221</v>
      </c>
      <c r="B8" s="37" t="n">
        <v>83</v>
      </c>
      <c r="C8" s="37" t="n">
        <v>63</v>
      </c>
      <c r="D8" s="37" t="n">
        <v>50</v>
      </c>
      <c r="E8" s="37" t="n">
        <v>38</v>
      </c>
      <c r="F8" s="37" t="n">
        <v>16</v>
      </c>
      <c r="G8" s="40" t="n">
        <v>493</v>
      </c>
      <c r="H8" s="41" t="n">
        <f aca="false">IFERROR(B8/G8,0)</f>
        <v>0.168356997971602</v>
      </c>
      <c r="I8" s="37" t="n">
        <v>60</v>
      </c>
      <c r="J8" s="37" t="n">
        <v>56</v>
      </c>
      <c r="K8" s="37" t="n">
        <v>41</v>
      </c>
      <c r="L8" s="37" t="n">
        <v>25</v>
      </c>
      <c r="M8" s="37" t="n">
        <v>14</v>
      </c>
      <c r="N8" s="40" t="n">
        <v>690.4</v>
      </c>
      <c r="O8" s="41" t="n">
        <f aca="false">IFERROR(I8/N8,0)</f>
        <v>0.0869061413673233</v>
      </c>
      <c r="P8" s="37" t="n">
        <v>106</v>
      </c>
      <c r="Q8" s="37" t="n">
        <v>65</v>
      </c>
      <c r="R8" s="37" t="n">
        <v>31</v>
      </c>
      <c r="S8" s="42" t="n">
        <f aca="false">IFERROR(R8/Q8,0)</f>
        <v>0.476923076923077</v>
      </c>
      <c r="T8" s="38" t="n">
        <v>530500</v>
      </c>
      <c r="U8" s="38" t="n">
        <v>620000</v>
      </c>
    </row>
    <row r="9" customFormat="false" ht="15" hidden="false" customHeight="false" outlineLevel="0" collapsed="false">
      <c r="A9" s="63"/>
      <c r="B9" s="64"/>
      <c r="C9" s="64"/>
      <c r="D9" s="64"/>
      <c r="E9" s="64"/>
      <c r="F9" s="64"/>
      <c r="G9" s="65"/>
      <c r="H9" s="66"/>
      <c r="I9" s="64"/>
      <c r="J9" s="64"/>
      <c r="K9" s="64"/>
      <c r="L9" s="64"/>
      <c r="M9" s="64"/>
      <c r="N9" s="65"/>
      <c r="O9" s="66"/>
      <c r="P9" s="64"/>
      <c r="Q9" s="64"/>
      <c r="R9" s="64"/>
      <c r="S9" s="67"/>
      <c r="T9" s="68"/>
      <c r="U9" s="68"/>
    </row>
    <row r="10" customFormat="false" ht="15" hidden="false" customHeight="false" outlineLevel="0" collapsed="false">
      <c r="A10" s="63"/>
      <c r="B10" s="64"/>
      <c r="C10" s="64"/>
      <c r="D10" s="64"/>
      <c r="E10" s="64"/>
      <c r="F10" s="64"/>
      <c r="G10" s="65"/>
      <c r="H10" s="66"/>
      <c r="I10" s="64"/>
      <c r="J10" s="64"/>
      <c r="K10" s="64"/>
      <c r="L10" s="64"/>
      <c r="M10" s="64"/>
      <c r="N10" s="65"/>
      <c r="O10" s="66"/>
      <c r="P10" s="64"/>
      <c r="Q10" s="64"/>
      <c r="R10" s="64"/>
      <c r="S10" s="67"/>
      <c r="T10" s="68"/>
      <c r="U10" s="68"/>
    </row>
    <row r="11" customFormat="false" ht="15" hidden="false" customHeight="false" outlineLevel="0" collapsed="false">
      <c r="A11" s="63"/>
      <c r="B11" s="64"/>
      <c r="C11" s="64"/>
      <c r="D11" s="64"/>
      <c r="E11" s="64"/>
      <c r="F11" s="64"/>
      <c r="G11" s="65"/>
      <c r="H11" s="66"/>
      <c r="I11" s="64"/>
      <c r="J11" s="64"/>
      <c r="K11" s="64"/>
      <c r="L11" s="64"/>
      <c r="M11" s="64"/>
      <c r="N11" s="65"/>
      <c r="O11" s="66"/>
      <c r="P11" s="64"/>
      <c r="Q11" s="64"/>
      <c r="R11" s="64"/>
      <c r="S11" s="67"/>
      <c r="T11" s="68"/>
      <c r="U11" s="68"/>
    </row>
    <row r="12" customFormat="false" ht="15" hidden="false" customHeight="false" outlineLevel="0" collapsed="false">
      <c r="A12" s="63"/>
      <c r="B12" s="64"/>
      <c r="C12" s="64"/>
      <c r="D12" s="64"/>
      <c r="E12" s="64"/>
      <c r="F12" s="64"/>
      <c r="G12" s="65"/>
      <c r="H12" s="66"/>
      <c r="I12" s="64"/>
      <c r="J12" s="64"/>
      <c r="K12" s="64"/>
      <c r="L12" s="64"/>
      <c r="M12" s="64"/>
      <c r="N12" s="65"/>
      <c r="O12" s="66"/>
      <c r="P12" s="64"/>
      <c r="Q12" s="64"/>
      <c r="R12" s="64"/>
      <c r="S12" s="67"/>
      <c r="T12" s="68"/>
      <c r="U12" s="68"/>
    </row>
    <row r="13" customFormat="false" ht="15" hidden="false" customHeight="false" outlineLevel="0" collapsed="false">
      <c r="A13" s="63"/>
      <c r="B13" s="64"/>
      <c r="C13" s="64"/>
      <c r="D13" s="64"/>
      <c r="E13" s="64"/>
      <c r="F13" s="64"/>
      <c r="G13" s="65"/>
      <c r="H13" s="66"/>
      <c r="I13" s="64"/>
      <c r="J13" s="64"/>
      <c r="K13" s="64"/>
      <c r="L13" s="64"/>
      <c r="M13" s="64"/>
      <c r="N13" s="65"/>
      <c r="O13" s="66"/>
      <c r="P13" s="64"/>
      <c r="Q13" s="64"/>
      <c r="R13" s="64"/>
      <c r="S13" s="67"/>
      <c r="T13" s="68"/>
      <c r="U13" s="68"/>
    </row>
    <row r="14" customFormat="false" ht="15" hidden="false" customHeight="false" outlineLevel="0" collapsed="false">
      <c r="A14" s="63"/>
      <c r="B14" s="64"/>
      <c r="C14" s="64"/>
      <c r="D14" s="64"/>
      <c r="E14" s="64"/>
      <c r="F14" s="64"/>
      <c r="G14" s="65"/>
      <c r="H14" s="66"/>
      <c r="I14" s="64"/>
      <c r="J14" s="64"/>
      <c r="K14" s="64"/>
      <c r="L14" s="64"/>
      <c r="M14" s="64"/>
      <c r="N14" s="65"/>
      <c r="O14" s="66"/>
      <c r="P14" s="64"/>
      <c r="Q14" s="64"/>
      <c r="R14" s="64"/>
      <c r="S14" s="67"/>
      <c r="T14" s="68"/>
      <c r="U14" s="68"/>
    </row>
    <row r="15" customFormat="false" ht="15" hidden="false" customHeight="false" outlineLevel="0" collapsed="false">
      <c r="A15" s="63"/>
      <c r="B15" s="64"/>
      <c r="C15" s="64"/>
      <c r="D15" s="64"/>
      <c r="E15" s="64"/>
      <c r="F15" s="64"/>
      <c r="G15" s="65"/>
      <c r="H15" s="66"/>
      <c r="I15" s="64"/>
      <c r="J15" s="64"/>
      <c r="K15" s="64"/>
      <c r="L15" s="64"/>
      <c r="M15" s="64"/>
      <c r="N15" s="65"/>
      <c r="O15" s="66"/>
      <c r="P15" s="64"/>
      <c r="Q15" s="64"/>
      <c r="R15" s="64"/>
      <c r="S15" s="67"/>
      <c r="T15" s="68"/>
      <c r="U15" s="68"/>
    </row>
    <row r="16" customFormat="false" ht="15" hidden="false" customHeight="false" outlineLevel="0" collapsed="false">
      <c r="A16" s="63"/>
      <c r="B16" s="64"/>
      <c r="C16" s="64"/>
      <c r="D16" s="64"/>
      <c r="E16" s="64"/>
      <c r="F16" s="64"/>
      <c r="G16" s="65"/>
      <c r="H16" s="66"/>
      <c r="I16" s="64"/>
      <c r="J16" s="64"/>
      <c r="K16" s="64"/>
      <c r="L16" s="64"/>
      <c r="M16" s="64"/>
      <c r="N16" s="65"/>
      <c r="O16" s="66"/>
      <c r="P16" s="64"/>
      <c r="Q16" s="64"/>
      <c r="R16" s="64"/>
      <c r="S16" s="67"/>
      <c r="T16" s="68"/>
      <c r="U16" s="68"/>
    </row>
    <row r="17" customFormat="false" ht="15" hidden="false" customHeight="false" outlineLevel="0" collapsed="false">
      <c r="A17" s="63"/>
      <c r="B17" s="64"/>
      <c r="C17" s="64"/>
      <c r="D17" s="64"/>
      <c r="E17" s="64"/>
      <c r="F17" s="64"/>
      <c r="G17" s="65"/>
      <c r="H17" s="66"/>
      <c r="I17" s="64"/>
      <c r="J17" s="64"/>
      <c r="K17" s="64"/>
      <c r="L17" s="64"/>
      <c r="M17" s="64"/>
      <c r="N17" s="65"/>
      <c r="O17" s="66"/>
      <c r="P17" s="64"/>
      <c r="Q17" s="64"/>
      <c r="R17" s="64"/>
      <c r="S17" s="67"/>
      <c r="T17" s="68"/>
      <c r="U17" s="68"/>
    </row>
    <row r="18" customFormat="false" ht="15" hidden="false" customHeight="false" outlineLevel="0" collapsed="false">
      <c r="A18" s="63"/>
      <c r="B18" s="64"/>
      <c r="C18" s="64"/>
      <c r="D18" s="64"/>
      <c r="E18" s="64"/>
      <c r="F18" s="64"/>
      <c r="G18" s="65"/>
      <c r="H18" s="66"/>
      <c r="I18" s="64"/>
      <c r="J18" s="64"/>
      <c r="K18" s="64"/>
      <c r="L18" s="64"/>
      <c r="M18" s="64"/>
      <c r="N18" s="65"/>
      <c r="O18" s="66"/>
      <c r="P18" s="64"/>
      <c r="Q18" s="64"/>
      <c r="R18" s="64"/>
      <c r="S18" s="67"/>
      <c r="T18" s="68"/>
      <c r="U18" s="68"/>
    </row>
    <row r="19" customFormat="false" ht="15" hidden="false" customHeight="false" outlineLevel="0" collapsed="false">
      <c r="A19" s="63"/>
      <c r="B19" s="64"/>
      <c r="C19" s="64"/>
      <c r="D19" s="64"/>
      <c r="E19" s="64"/>
      <c r="F19" s="64"/>
      <c r="G19" s="65"/>
      <c r="H19" s="66"/>
      <c r="I19" s="64"/>
      <c r="J19" s="64"/>
      <c r="K19" s="64"/>
      <c r="L19" s="64"/>
      <c r="M19" s="64"/>
      <c r="N19" s="65"/>
      <c r="O19" s="66"/>
      <c r="P19" s="64"/>
      <c r="Q19" s="64"/>
      <c r="R19" s="64"/>
      <c r="S19" s="67"/>
      <c r="T19" s="68"/>
      <c r="U19" s="68"/>
    </row>
    <row r="20" customFormat="false" ht="15" hidden="false" customHeight="false" outlineLevel="0" collapsed="false">
      <c r="A20" s="63"/>
      <c r="B20" s="64"/>
      <c r="C20" s="64"/>
      <c r="D20" s="64"/>
      <c r="E20" s="64"/>
      <c r="F20" s="64"/>
      <c r="G20" s="65"/>
      <c r="H20" s="66"/>
      <c r="I20" s="64"/>
      <c r="J20" s="64"/>
      <c r="K20" s="64"/>
      <c r="L20" s="64"/>
      <c r="M20" s="64"/>
      <c r="N20" s="65"/>
      <c r="O20" s="66"/>
      <c r="P20" s="64"/>
      <c r="Q20" s="64"/>
      <c r="R20" s="64"/>
      <c r="S20" s="67"/>
      <c r="T20" s="68"/>
      <c r="U20" s="68"/>
    </row>
    <row r="21" customFormat="false" ht="15" hidden="false" customHeight="false" outlineLevel="0" collapsed="false">
      <c r="A21" s="63"/>
      <c r="B21" s="64"/>
      <c r="C21" s="64"/>
      <c r="D21" s="64"/>
      <c r="E21" s="64"/>
      <c r="F21" s="64"/>
      <c r="G21" s="65"/>
      <c r="H21" s="66"/>
      <c r="I21" s="64"/>
      <c r="J21" s="64"/>
      <c r="K21" s="64"/>
      <c r="L21" s="64"/>
      <c r="M21" s="64"/>
      <c r="N21" s="65"/>
      <c r="O21" s="66"/>
      <c r="P21" s="64"/>
      <c r="Q21" s="64"/>
      <c r="R21" s="64"/>
      <c r="S21" s="67"/>
      <c r="T21" s="68"/>
      <c r="U21" s="68"/>
    </row>
    <row r="22" customFormat="false" ht="15" hidden="false" customHeight="false" outlineLevel="0" collapsed="false">
      <c r="A22" s="63"/>
      <c r="B22" s="64"/>
      <c r="C22" s="64"/>
      <c r="D22" s="64"/>
      <c r="E22" s="64"/>
      <c r="F22" s="64"/>
      <c r="G22" s="65"/>
      <c r="H22" s="66"/>
      <c r="I22" s="64"/>
      <c r="J22" s="64"/>
      <c r="K22" s="64"/>
      <c r="L22" s="64"/>
      <c r="M22" s="64"/>
      <c r="N22" s="65"/>
      <c r="O22" s="66"/>
      <c r="P22" s="64"/>
      <c r="Q22" s="64"/>
      <c r="R22" s="64"/>
      <c r="S22" s="67"/>
      <c r="T22" s="68"/>
      <c r="U22" s="68"/>
    </row>
    <row r="23" customFormat="false" ht="15" hidden="false" customHeight="false" outlineLevel="0" collapsed="false">
      <c r="A23" s="63"/>
      <c r="B23" s="64"/>
      <c r="C23" s="64"/>
      <c r="D23" s="64"/>
      <c r="E23" s="64"/>
      <c r="F23" s="64"/>
      <c r="G23" s="65"/>
      <c r="H23" s="66"/>
      <c r="I23" s="64"/>
      <c r="J23" s="64"/>
      <c r="K23" s="64"/>
      <c r="L23" s="64"/>
      <c r="M23" s="64"/>
      <c r="N23" s="65"/>
      <c r="O23" s="66"/>
      <c r="P23" s="64"/>
      <c r="Q23" s="64"/>
      <c r="R23" s="64"/>
      <c r="S23" s="67"/>
      <c r="T23" s="68"/>
      <c r="U23" s="68"/>
    </row>
    <row r="24" customFormat="false" ht="15" hidden="false" customHeight="false" outlineLevel="0" collapsed="false">
      <c r="A24" s="63"/>
      <c r="B24" s="64"/>
      <c r="C24" s="64"/>
      <c r="D24" s="64"/>
      <c r="E24" s="64"/>
      <c r="F24" s="64"/>
      <c r="G24" s="65"/>
      <c r="H24" s="66"/>
      <c r="I24" s="64"/>
      <c r="J24" s="64"/>
      <c r="K24" s="64"/>
      <c r="L24" s="64"/>
      <c r="M24" s="64"/>
      <c r="N24" s="65"/>
      <c r="O24" s="66"/>
      <c r="P24" s="64"/>
      <c r="Q24" s="64"/>
      <c r="R24" s="64"/>
      <c r="S24" s="67"/>
      <c r="T24" s="68"/>
      <c r="U24" s="68"/>
    </row>
    <row r="25" customFormat="false" ht="15" hidden="false" customHeight="false" outlineLevel="0" collapsed="false">
      <c r="A25" s="63"/>
      <c r="B25" s="64"/>
      <c r="C25" s="64"/>
      <c r="D25" s="64"/>
      <c r="E25" s="64"/>
      <c r="F25" s="64"/>
      <c r="G25" s="65"/>
      <c r="H25" s="66"/>
      <c r="I25" s="64"/>
      <c r="J25" s="64"/>
      <c r="K25" s="64"/>
      <c r="L25" s="64"/>
      <c r="M25" s="64"/>
      <c r="N25" s="65"/>
      <c r="O25" s="66"/>
      <c r="P25" s="64"/>
      <c r="Q25" s="64"/>
      <c r="R25" s="64"/>
      <c r="S25" s="67"/>
      <c r="T25" s="68"/>
      <c r="U25" s="68"/>
    </row>
    <row r="26" customFormat="false" ht="15" hidden="false" customHeight="false" outlineLevel="0" collapsed="false">
      <c r="A26" s="63"/>
      <c r="B26" s="64"/>
      <c r="C26" s="64"/>
      <c r="D26" s="64"/>
      <c r="E26" s="64"/>
      <c r="F26" s="64"/>
      <c r="G26" s="65"/>
      <c r="H26" s="66"/>
      <c r="I26" s="64"/>
      <c r="J26" s="64"/>
      <c r="K26" s="64"/>
      <c r="L26" s="64"/>
      <c r="M26" s="64"/>
      <c r="N26" s="65"/>
      <c r="O26" s="66"/>
      <c r="P26" s="64"/>
      <c r="Q26" s="64"/>
      <c r="R26" s="64"/>
      <c r="S26" s="67"/>
      <c r="T26" s="68"/>
      <c r="U26" s="68"/>
    </row>
    <row r="27" customFormat="false" ht="15" hidden="false" customHeight="false" outlineLevel="0" collapsed="false">
      <c r="A27" s="63"/>
      <c r="B27" s="64"/>
      <c r="C27" s="64"/>
      <c r="D27" s="64"/>
      <c r="E27" s="64"/>
      <c r="F27" s="64"/>
      <c r="G27" s="65"/>
      <c r="H27" s="66"/>
      <c r="I27" s="64"/>
      <c r="J27" s="64"/>
      <c r="K27" s="64"/>
      <c r="L27" s="64"/>
      <c r="M27" s="64"/>
      <c r="N27" s="65"/>
      <c r="O27" s="66"/>
      <c r="P27" s="64"/>
      <c r="Q27" s="64"/>
      <c r="R27" s="64"/>
      <c r="S27" s="67"/>
      <c r="T27" s="68"/>
      <c r="U27" s="68"/>
    </row>
    <row r="28" customFormat="false" ht="15" hidden="false" customHeight="false" outlineLevel="0" collapsed="false">
      <c r="A28" s="63"/>
      <c r="B28" s="64"/>
      <c r="C28" s="64"/>
      <c r="D28" s="64"/>
      <c r="E28" s="64"/>
      <c r="F28" s="64"/>
      <c r="G28" s="65"/>
      <c r="H28" s="66"/>
      <c r="I28" s="64"/>
      <c r="J28" s="64"/>
      <c r="K28" s="64"/>
      <c r="L28" s="64"/>
      <c r="M28" s="64"/>
      <c r="N28" s="65"/>
      <c r="O28" s="66"/>
      <c r="P28" s="64"/>
      <c r="Q28" s="64"/>
      <c r="R28" s="64"/>
      <c r="S28" s="67"/>
      <c r="T28" s="68"/>
      <c r="U28" s="68"/>
    </row>
    <row r="29" customFormat="false" ht="15" hidden="false" customHeight="false" outlineLevel="0" collapsed="false">
      <c r="A29" s="63"/>
      <c r="B29" s="64"/>
      <c r="C29" s="64"/>
      <c r="D29" s="64"/>
      <c r="E29" s="64"/>
      <c r="F29" s="64"/>
      <c r="G29" s="65"/>
      <c r="H29" s="66"/>
      <c r="I29" s="64"/>
      <c r="J29" s="64"/>
      <c r="K29" s="64"/>
      <c r="L29" s="64"/>
      <c r="M29" s="64"/>
      <c r="N29" s="65"/>
      <c r="O29" s="66"/>
      <c r="P29" s="64"/>
      <c r="Q29" s="64"/>
      <c r="R29" s="64"/>
      <c r="S29" s="67"/>
      <c r="T29" s="68"/>
      <c r="U29" s="68"/>
    </row>
    <row r="30" customFormat="false" ht="15" hidden="false" customHeight="false" outlineLevel="0" collapsed="false">
      <c r="A30" s="63"/>
      <c r="B30" s="64"/>
      <c r="C30" s="64"/>
      <c r="D30" s="64"/>
      <c r="E30" s="64"/>
      <c r="F30" s="64"/>
      <c r="G30" s="65"/>
      <c r="H30" s="66"/>
      <c r="I30" s="64"/>
      <c r="J30" s="64"/>
      <c r="K30" s="64"/>
      <c r="L30" s="64"/>
      <c r="M30" s="64"/>
      <c r="N30" s="65"/>
      <c r="O30" s="66"/>
      <c r="P30" s="64"/>
      <c r="Q30" s="64"/>
      <c r="R30" s="64"/>
      <c r="S30" s="67"/>
      <c r="T30" s="68"/>
      <c r="U30" s="68"/>
    </row>
    <row r="31" customFormat="false" ht="15" hidden="false" customHeight="false" outlineLevel="0" collapsed="false">
      <c r="A31" s="63"/>
      <c r="B31" s="64"/>
      <c r="C31" s="64"/>
      <c r="D31" s="64"/>
      <c r="E31" s="64"/>
      <c r="F31" s="64"/>
      <c r="G31" s="65"/>
      <c r="H31" s="66"/>
      <c r="I31" s="64"/>
      <c r="J31" s="64"/>
      <c r="K31" s="64"/>
      <c r="L31" s="64"/>
      <c r="M31" s="64"/>
      <c r="N31" s="65"/>
      <c r="O31" s="66"/>
      <c r="P31" s="64"/>
      <c r="Q31" s="64"/>
      <c r="R31" s="64"/>
      <c r="S31" s="67"/>
      <c r="T31" s="68"/>
      <c r="U31" s="68"/>
    </row>
    <row r="32" customFormat="false" ht="15" hidden="false" customHeight="false" outlineLevel="0" collapsed="false">
      <c r="A32" s="63"/>
      <c r="B32" s="64"/>
      <c r="C32" s="64"/>
      <c r="D32" s="64"/>
      <c r="E32" s="64"/>
      <c r="F32" s="64"/>
      <c r="G32" s="65"/>
      <c r="H32" s="66"/>
      <c r="I32" s="64"/>
      <c r="J32" s="64"/>
      <c r="K32" s="64"/>
      <c r="L32" s="64"/>
      <c r="M32" s="64"/>
      <c r="N32" s="65"/>
      <c r="O32" s="66"/>
      <c r="P32" s="64"/>
      <c r="Q32" s="64"/>
      <c r="R32" s="64"/>
      <c r="S32" s="67"/>
      <c r="T32" s="68"/>
      <c r="U32" s="68"/>
    </row>
    <row r="33" customFormat="false" ht="15" hidden="false" customHeight="false" outlineLevel="0" collapsed="false">
      <c r="A33" s="63"/>
      <c r="B33" s="64"/>
      <c r="C33" s="64"/>
      <c r="D33" s="64"/>
      <c r="E33" s="64"/>
      <c r="F33" s="64"/>
      <c r="G33" s="65"/>
      <c r="H33" s="66"/>
      <c r="I33" s="64"/>
      <c r="J33" s="64"/>
      <c r="K33" s="64"/>
      <c r="L33" s="64"/>
      <c r="M33" s="64"/>
      <c r="N33" s="65"/>
      <c r="O33" s="66"/>
      <c r="P33" s="64"/>
      <c r="Q33" s="64"/>
      <c r="R33" s="64"/>
      <c r="S33" s="67"/>
      <c r="T33" s="68"/>
      <c r="U33" s="68"/>
    </row>
    <row r="34" customFormat="false" ht="15" hidden="false" customHeight="false" outlineLevel="0" collapsed="false">
      <c r="A34" s="63"/>
      <c r="B34" s="64"/>
      <c r="C34" s="64"/>
      <c r="D34" s="64"/>
      <c r="E34" s="64"/>
      <c r="F34" s="64"/>
      <c r="G34" s="65"/>
      <c r="H34" s="66"/>
      <c r="I34" s="64"/>
      <c r="J34" s="64"/>
      <c r="K34" s="64"/>
      <c r="L34" s="64"/>
      <c r="M34" s="64"/>
      <c r="N34" s="65"/>
      <c r="O34" s="66"/>
      <c r="P34" s="64"/>
      <c r="Q34" s="64"/>
      <c r="R34" s="64"/>
      <c r="S34" s="67"/>
      <c r="T34" s="68"/>
      <c r="U34" s="68"/>
    </row>
    <row r="35" customFormat="false" ht="15" hidden="false" customHeight="false" outlineLevel="0" collapsed="false">
      <c r="A35" s="63"/>
      <c r="B35" s="64"/>
      <c r="C35" s="64"/>
      <c r="D35" s="64"/>
      <c r="E35" s="64"/>
      <c r="F35" s="64"/>
      <c r="G35" s="65"/>
      <c r="H35" s="66"/>
      <c r="I35" s="64"/>
      <c r="J35" s="64"/>
      <c r="K35" s="64"/>
      <c r="L35" s="64"/>
      <c r="M35" s="64"/>
      <c r="N35" s="65"/>
      <c r="O35" s="66"/>
      <c r="P35" s="64"/>
      <c r="Q35" s="64"/>
      <c r="R35" s="64"/>
      <c r="S35" s="67"/>
      <c r="T35" s="68"/>
      <c r="U35" s="68"/>
    </row>
    <row r="36" customFormat="false" ht="15" hidden="false" customHeight="false" outlineLevel="0" collapsed="false">
      <c r="A36" s="63"/>
      <c r="B36" s="64"/>
      <c r="C36" s="64"/>
      <c r="D36" s="64"/>
      <c r="E36" s="64"/>
      <c r="F36" s="64"/>
      <c r="G36" s="65"/>
      <c r="H36" s="66"/>
      <c r="I36" s="64"/>
      <c r="J36" s="64"/>
      <c r="K36" s="64"/>
      <c r="L36" s="64"/>
      <c r="M36" s="64"/>
      <c r="N36" s="65"/>
      <c r="O36" s="66"/>
      <c r="P36" s="64"/>
      <c r="Q36" s="64"/>
      <c r="R36" s="64"/>
      <c r="S36" s="67"/>
      <c r="T36" s="68"/>
      <c r="U36" s="68"/>
    </row>
    <row r="37" customFormat="false" ht="15" hidden="false" customHeight="false" outlineLevel="0" collapsed="false">
      <c r="A37" s="63"/>
      <c r="B37" s="64"/>
      <c r="C37" s="64"/>
      <c r="D37" s="64"/>
      <c r="E37" s="64"/>
      <c r="F37" s="64"/>
      <c r="G37" s="65"/>
      <c r="H37" s="66"/>
      <c r="I37" s="64"/>
      <c r="J37" s="64"/>
      <c r="K37" s="64"/>
      <c r="L37" s="64"/>
      <c r="M37" s="64"/>
      <c r="N37" s="65"/>
      <c r="O37" s="66"/>
      <c r="P37" s="64"/>
      <c r="Q37" s="64"/>
      <c r="R37" s="64"/>
      <c r="S37" s="67"/>
      <c r="T37" s="68"/>
      <c r="U37" s="68"/>
    </row>
    <row r="38" customFormat="false" ht="15" hidden="false" customHeight="false" outlineLevel="0" collapsed="false">
      <c r="A38" s="63"/>
      <c r="B38" s="64"/>
      <c r="C38" s="64"/>
      <c r="D38" s="64"/>
      <c r="E38" s="64"/>
      <c r="F38" s="64"/>
      <c r="G38" s="65"/>
      <c r="H38" s="66"/>
      <c r="I38" s="64"/>
      <c r="J38" s="64"/>
      <c r="K38" s="64"/>
      <c r="L38" s="64"/>
      <c r="M38" s="64"/>
      <c r="N38" s="65"/>
      <c r="O38" s="66"/>
      <c r="P38" s="64"/>
      <c r="Q38" s="64"/>
      <c r="R38" s="64"/>
      <c r="S38" s="67"/>
      <c r="T38" s="68"/>
      <c r="U38" s="68"/>
    </row>
    <row r="39" customFormat="false" ht="15" hidden="false" customHeight="false" outlineLevel="0" collapsed="false">
      <c r="A39" s="63"/>
      <c r="B39" s="64"/>
      <c r="C39" s="64"/>
      <c r="D39" s="64"/>
      <c r="E39" s="64"/>
      <c r="F39" s="64"/>
      <c r="G39" s="65"/>
      <c r="H39" s="66"/>
      <c r="I39" s="64"/>
      <c r="J39" s="64"/>
      <c r="K39" s="64"/>
      <c r="L39" s="64"/>
      <c r="M39" s="64"/>
      <c r="N39" s="65"/>
      <c r="O39" s="66"/>
      <c r="P39" s="64"/>
      <c r="Q39" s="64"/>
      <c r="R39" s="64"/>
      <c r="S39" s="67"/>
      <c r="T39" s="68"/>
      <c r="U39" s="68"/>
    </row>
    <row r="41" customFormat="false" ht="15" hidden="false" customHeight="false" outlineLevel="0" collapsed="false">
      <c r="A41" s="69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7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1" min="20" style="0" width="9"/>
    <col collapsed="false" customWidth="true" hidden="false" outlineLevel="0" max="23" min="22" style="0" width="11"/>
    <col collapsed="false" customWidth="true" hidden="false" outlineLevel="0" max="24" min="24" style="0" width="10"/>
    <col collapsed="false" customWidth="true" hidden="false" outlineLevel="0" max="25" min="25" style="0" width="22"/>
    <col collapsed="false" customWidth="true" hidden="false" outlineLevel="0" max="26" min="26" style="0" width="8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7"/>
    <col collapsed="false" customWidth="true" hidden="false" outlineLevel="0" max="30" min="30" style="0" width="10"/>
    <col collapsed="false" customWidth="true" hidden="false" outlineLevel="0" max="31" min="31" style="0" width="7"/>
    <col collapsed="false" customWidth="true" hidden="false" outlineLevel="0" max="32" min="32" style="0" width="10"/>
    <col collapsed="false" customWidth="true" hidden="false" outlineLevel="0" max="33" min="33" style="0" width="6"/>
    <col collapsed="false" customWidth="true" hidden="false" outlineLevel="0" max="34" min="34" style="0" width="9"/>
    <col collapsed="false" customWidth="true" hidden="false" outlineLevel="0" max="35" min="35" style="0" width="24"/>
  </cols>
  <sheetData>
    <row r="1" customFormat="false" ht="30" hidden="false" customHeight="true" outlineLevel="0" collapsed="false">
      <c r="A1" s="70" t="s">
        <v>223</v>
      </c>
      <c r="B1" s="8" t="s">
        <v>224</v>
      </c>
      <c r="C1" s="8" t="s">
        <v>225</v>
      </c>
      <c r="D1" s="8" t="s">
        <v>226</v>
      </c>
      <c r="E1" s="8" t="s">
        <v>227</v>
      </c>
      <c r="F1" s="8" t="s">
        <v>228</v>
      </c>
      <c r="G1" s="22" t="s">
        <v>229</v>
      </c>
      <c r="H1" s="22" t="s">
        <v>230</v>
      </c>
      <c r="I1" s="22" t="s">
        <v>231</v>
      </c>
      <c r="J1" s="8" t="s">
        <v>232</v>
      </c>
      <c r="K1" s="8" t="s">
        <v>233</v>
      </c>
      <c r="L1" s="8" t="s">
        <v>234</v>
      </c>
      <c r="M1" s="8" t="s">
        <v>235</v>
      </c>
      <c r="N1" s="8" t="s">
        <v>236</v>
      </c>
      <c r="O1" s="8" t="s">
        <v>237</v>
      </c>
      <c r="P1" s="8" t="s">
        <v>238</v>
      </c>
      <c r="Q1" s="8" t="s">
        <v>239</v>
      </c>
      <c r="R1" s="8" t="s">
        <v>240</v>
      </c>
      <c r="S1" s="8" t="s">
        <v>241</v>
      </c>
      <c r="T1" s="8" t="s">
        <v>242</v>
      </c>
      <c r="U1" s="8" t="s">
        <v>243</v>
      </c>
      <c r="V1" s="8" t="s">
        <v>244</v>
      </c>
      <c r="W1" s="8" t="s">
        <v>245</v>
      </c>
      <c r="X1" s="8" t="s">
        <v>246</v>
      </c>
      <c r="Y1" s="8" t="s">
        <v>247</v>
      </c>
      <c r="Z1" s="8" t="s">
        <v>248</v>
      </c>
      <c r="AA1" s="8" t="s">
        <v>249</v>
      </c>
      <c r="AB1" s="8" t="s">
        <v>250</v>
      </c>
      <c r="AC1" s="8" t="s">
        <v>107</v>
      </c>
      <c r="AD1" s="8" t="s">
        <v>251</v>
      </c>
      <c r="AE1" s="8" t="s">
        <v>252</v>
      </c>
      <c r="AF1" s="8" t="s">
        <v>253</v>
      </c>
      <c r="AG1" s="8" t="s">
        <v>254</v>
      </c>
      <c r="AH1" s="8" t="s">
        <v>255</v>
      </c>
      <c r="AI1" s="8" t="s">
        <v>256</v>
      </c>
    </row>
    <row r="2" customFormat="false" ht="15" hidden="false" customHeight="false" outlineLevel="0" collapsed="false">
      <c r="A2" s="71" t="str">
        <f aca="false">IF(D2="","",ROW()-1)</f>
        <v/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4"/>
      <c r="O2" s="73"/>
      <c r="P2" s="74"/>
      <c r="Q2" s="73"/>
      <c r="R2" s="74"/>
      <c r="S2" s="75"/>
      <c r="T2" s="73"/>
      <c r="U2" s="73"/>
      <c r="V2" s="73"/>
      <c r="W2" s="73"/>
      <c r="X2" s="73"/>
      <c r="Y2" s="73"/>
      <c r="Z2" s="73"/>
      <c r="AA2" s="73"/>
      <c r="AB2" s="74"/>
      <c r="AC2" s="73"/>
      <c r="AD2" s="76"/>
      <c r="AE2" s="73"/>
      <c r="AF2" s="73"/>
      <c r="AG2" s="73"/>
      <c r="AH2" s="73"/>
      <c r="AI2" s="73"/>
    </row>
    <row r="3" customFormat="false" ht="15" hidden="false" customHeight="false" outlineLevel="0" collapsed="false">
      <c r="A3" s="71" t="str">
        <f aca="false">IF(D3="","",ROW()-1)</f>
        <v/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  <c r="O3" s="73"/>
      <c r="P3" s="74"/>
      <c r="Q3" s="73"/>
      <c r="R3" s="74"/>
      <c r="S3" s="75"/>
      <c r="T3" s="73"/>
      <c r="U3" s="73"/>
      <c r="V3" s="73"/>
      <c r="W3" s="73"/>
      <c r="X3" s="73"/>
      <c r="Y3" s="73"/>
      <c r="Z3" s="73"/>
      <c r="AA3" s="73"/>
      <c r="AB3" s="74"/>
      <c r="AC3" s="73"/>
      <c r="AD3" s="76"/>
      <c r="AE3" s="73"/>
      <c r="AF3" s="73"/>
      <c r="AG3" s="73"/>
      <c r="AH3" s="73"/>
      <c r="AI3" s="73"/>
    </row>
    <row r="4" customFormat="false" ht="15" hidden="false" customHeight="false" outlineLevel="0" collapsed="false">
      <c r="A4" s="71" t="str">
        <f aca="false">IF(D4="","",ROW()-1)</f>
        <v/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4"/>
      <c r="O4" s="73"/>
      <c r="P4" s="74"/>
      <c r="Q4" s="73"/>
      <c r="R4" s="74"/>
      <c r="S4" s="75"/>
      <c r="T4" s="73"/>
      <c r="U4" s="73"/>
      <c r="V4" s="73"/>
      <c r="W4" s="73"/>
      <c r="X4" s="73"/>
      <c r="Y4" s="73"/>
      <c r="Z4" s="73"/>
      <c r="AA4" s="73"/>
      <c r="AB4" s="74"/>
      <c r="AC4" s="73"/>
      <c r="AD4" s="76"/>
      <c r="AE4" s="73"/>
      <c r="AF4" s="73"/>
      <c r="AG4" s="73"/>
      <c r="AH4" s="73"/>
      <c r="AI4" s="73"/>
    </row>
    <row r="5" customFormat="false" ht="15" hidden="false" customHeight="false" outlineLevel="0" collapsed="false">
      <c r="A5" s="71" t="str">
        <f aca="false">IF(D5="","",ROW()-1)</f>
        <v/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  <c r="O5" s="73"/>
      <c r="P5" s="74"/>
      <c r="Q5" s="73"/>
      <c r="R5" s="74"/>
      <c r="S5" s="75"/>
      <c r="T5" s="73"/>
      <c r="U5" s="73"/>
      <c r="V5" s="73"/>
      <c r="W5" s="73"/>
      <c r="X5" s="73"/>
      <c r="Y5" s="73"/>
      <c r="Z5" s="73"/>
      <c r="AA5" s="73"/>
      <c r="AB5" s="74"/>
      <c r="AC5" s="73"/>
      <c r="AD5" s="76"/>
      <c r="AE5" s="73"/>
      <c r="AF5" s="73"/>
      <c r="AG5" s="73"/>
      <c r="AH5" s="73"/>
      <c r="AI5" s="73"/>
    </row>
    <row r="6" customFormat="false" ht="15" hidden="false" customHeight="false" outlineLevel="0" collapsed="false">
      <c r="A6" s="71" t="str">
        <f aca="false">IF(D6="","",ROW()-1)</f>
        <v/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  <c r="O6" s="73"/>
      <c r="P6" s="74"/>
      <c r="Q6" s="73"/>
      <c r="R6" s="74"/>
      <c r="S6" s="75"/>
      <c r="T6" s="73"/>
      <c r="U6" s="73"/>
      <c r="V6" s="73"/>
      <c r="W6" s="73"/>
      <c r="X6" s="73"/>
      <c r="Y6" s="73"/>
      <c r="Z6" s="73"/>
      <c r="AA6" s="73"/>
      <c r="AB6" s="74"/>
      <c r="AC6" s="73"/>
      <c r="AD6" s="76"/>
      <c r="AE6" s="73"/>
      <c r="AF6" s="73"/>
      <c r="AG6" s="73"/>
      <c r="AH6" s="73"/>
      <c r="AI6" s="73"/>
    </row>
    <row r="7" customFormat="false" ht="15" hidden="false" customHeight="false" outlineLevel="0" collapsed="false">
      <c r="A7" s="71" t="str">
        <f aca="false">IF(D7="","",ROW()-1)</f>
        <v/>
      </c>
      <c r="B7" s="72"/>
      <c r="C7" s="72"/>
      <c r="D7" s="73"/>
      <c r="E7" s="73"/>
      <c r="F7" s="73"/>
      <c r="G7" s="73"/>
      <c r="H7" s="73"/>
      <c r="I7" s="73"/>
      <c r="J7" s="73"/>
      <c r="K7" s="73"/>
      <c r="L7" s="73"/>
      <c r="M7" s="73"/>
      <c r="N7" s="74"/>
      <c r="O7" s="73"/>
      <c r="P7" s="74"/>
      <c r="Q7" s="73"/>
      <c r="R7" s="74"/>
      <c r="S7" s="75"/>
      <c r="T7" s="73"/>
      <c r="U7" s="73"/>
      <c r="V7" s="73"/>
      <c r="W7" s="73"/>
      <c r="X7" s="73"/>
      <c r="Y7" s="73"/>
      <c r="Z7" s="73"/>
      <c r="AA7" s="73"/>
      <c r="AB7" s="74"/>
      <c r="AC7" s="73"/>
      <c r="AD7" s="76"/>
      <c r="AE7" s="73"/>
      <c r="AF7" s="73"/>
      <c r="AG7" s="73"/>
      <c r="AH7" s="73"/>
      <c r="AI7" s="73"/>
    </row>
    <row r="8" customFormat="false" ht="15" hidden="false" customHeight="false" outlineLevel="0" collapsed="false">
      <c r="A8" s="71" t="str">
        <f aca="false">IF(D8="","",ROW()-1)</f>
        <v/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4"/>
      <c r="O8" s="73"/>
      <c r="P8" s="74"/>
      <c r="Q8" s="73"/>
      <c r="R8" s="74"/>
      <c r="S8" s="75"/>
      <c r="T8" s="73"/>
      <c r="U8" s="73"/>
      <c r="V8" s="73"/>
      <c r="W8" s="73"/>
      <c r="X8" s="73"/>
      <c r="Y8" s="73"/>
      <c r="Z8" s="73"/>
      <c r="AA8" s="73"/>
      <c r="AB8" s="74"/>
      <c r="AC8" s="73"/>
      <c r="AD8" s="76"/>
      <c r="AE8" s="73"/>
      <c r="AF8" s="73"/>
      <c r="AG8" s="73"/>
      <c r="AH8" s="73"/>
      <c r="AI8" s="73"/>
    </row>
    <row r="9" customFormat="false" ht="15" hidden="false" customHeight="false" outlineLevel="0" collapsed="false">
      <c r="A9" s="71" t="str">
        <f aca="false">IF(D9="","",ROW()-1)</f>
        <v/>
      </c>
      <c r="B9" s="72"/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O9" s="73"/>
      <c r="P9" s="74"/>
      <c r="Q9" s="73"/>
      <c r="R9" s="74"/>
      <c r="S9" s="75"/>
      <c r="T9" s="73"/>
      <c r="U9" s="73"/>
      <c r="V9" s="73"/>
      <c r="W9" s="73"/>
      <c r="X9" s="73"/>
      <c r="Y9" s="73"/>
      <c r="Z9" s="73"/>
      <c r="AA9" s="73"/>
      <c r="AB9" s="74"/>
      <c r="AC9" s="73"/>
      <c r="AD9" s="76"/>
      <c r="AE9" s="73"/>
      <c r="AF9" s="73"/>
      <c r="AG9" s="73"/>
      <c r="AH9" s="73"/>
      <c r="AI9" s="73"/>
    </row>
    <row r="10" customFormat="false" ht="15" hidden="false" customHeight="false" outlineLevel="0" collapsed="false">
      <c r="A10" s="71" t="str">
        <f aca="false">IF(D10="","",ROW()-1)</f>
        <v/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4"/>
      <c r="O10" s="73"/>
      <c r="P10" s="74"/>
      <c r="Q10" s="73"/>
      <c r="R10" s="74"/>
      <c r="S10" s="75"/>
      <c r="T10" s="73"/>
      <c r="U10" s="73"/>
      <c r="V10" s="73"/>
      <c r="W10" s="73"/>
      <c r="X10" s="73"/>
      <c r="Y10" s="73"/>
      <c r="Z10" s="73"/>
      <c r="AA10" s="73"/>
      <c r="AB10" s="74"/>
      <c r="AC10" s="73"/>
      <c r="AD10" s="76"/>
      <c r="AE10" s="73"/>
      <c r="AF10" s="73"/>
      <c r="AG10" s="73"/>
      <c r="AH10" s="73"/>
      <c r="AI10" s="73"/>
    </row>
    <row r="11" customFormat="false" ht="15" hidden="false" customHeight="false" outlineLevel="0" collapsed="false">
      <c r="A11" s="71" t="str">
        <f aca="false">IF(D11="","",ROW()-1)</f>
        <v/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4"/>
      <c r="O11" s="73"/>
      <c r="P11" s="74"/>
      <c r="Q11" s="73"/>
      <c r="R11" s="74"/>
      <c r="S11" s="75"/>
      <c r="T11" s="73"/>
      <c r="U11" s="73"/>
      <c r="V11" s="73"/>
      <c r="W11" s="73"/>
      <c r="X11" s="73"/>
      <c r="Y11" s="73"/>
      <c r="Z11" s="73"/>
      <c r="AA11" s="73"/>
      <c r="AB11" s="74"/>
      <c r="AC11" s="73"/>
      <c r="AD11" s="76"/>
      <c r="AE11" s="73"/>
      <c r="AF11" s="73"/>
      <c r="AG11" s="73"/>
      <c r="AH11" s="73"/>
      <c r="AI11" s="73"/>
    </row>
    <row r="12" customFormat="false" ht="15" hidden="false" customHeight="false" outlineLevel="0" collapsed="false">
      <c r="A12" s="71" t="str">
        <f aca="false">IF(D12="","",ROW()-1)</f>
        <v/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4"/>
      <c r="O12" s="73"/>
      <c r="P12" s="74"/>
      <c r="Q12" s="73"/>
      <c r="R12" s="74"/>
      <c r="S12" s="75"/>
      <c r="T12" s="73"/>
      <c r="U12" s="73"/>
      <c r="V12" s="73"/>
      <c r="W12" s="73"/>
      <c r="X12" s="73"/>
      <c r="Y12" s="73"/>
      <c r="Z12" s="73"/>
      <c r="AA12" s="73"/>
      <c r="AB12" s="74"/>
      <c r="AC12" s="73"/>
      <c r="AD12" s="76"/>
      <c r="AE12" s="73"/>
      <c r="AF12" s="73"/>
      <c r="AG12" s="73"/>
      <c r="AH12" s="73"/>
      <c r="AI12" s="73"/>
    </row>
    <row r="13" customFormat="false" ht="15" hidden="false" customHeight="false" outlineLevel="0" collapsed="false">
      <c r="A13" s="71" t="str">
        <f aca="false">IF(D13="","",ROW()-1)</f>
        <v/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4"/>
      <c r="O13" s="73"/>
      <c r="P13" s="74"/>
      <c r="Q13" s="73"/>
      <c r="R13" s="74"/>
      <c r="S13" s="75"/>
      <c r="T13" s="73"/>
      <c r="U13" s="73"/>
      <c r="V13" s="73"/>
      <c r="W13" s="73"/>
      <c r="X13" s="73"/>
      <c r="Y13" s="73"/>
      <c r="Z13" s="73"/>
      <c r="AA13" s="73"/>
      <c r="AB13" s="74"/>
      <c r="AC13" s="73"/>
      <c r="AD13" s="76"/>
      <c r="AE13" s="73"/>
      <c r="AF13" s="73"/>
      <c r="AG13" s="73"/>
      <c r="AH13" s="73"/>
      <c r="AI13" s="73"/>
    </row>
    <row r="14" customFormat="false" ht="15" hidden="false" customHeight="false" outlineLevel="0" collapsed="false">
      <c r="A14" s="71" t="str">
        <f aca="false">IF(D14="","",ROW()-1)</f>
        <v/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4"/>
      <c r="O14" s="73"/>
      <c r="P14" s="74"/>
      <c r="Q14" s="73"/>
      <c r="R14" s="74"/>
      <c r="S14" s="75"/>
      <c r="T14" s="73"/>
      <c r="U14" s="73"/>
      <c r="V14" s="73"/>
      <c r="W14" s="73"/>
      <c r="X14" s="73"/>
      <c r="Y14" s="73"/>
      <c r="Z14" s="73"/>
      <c r="AA14" s="73"/>
      <c r="AB14" s="74"/>
      <c r="AC14" s="73"/>
      <c r="AD14" s="76"/>
      <c r="AE14" s="73"/>
      <c r="AF14" s="73"/>
      <c r="AG14" s="73"/>
      <c r="AH14" s="73"/>
      <c r="AI14" s="73"/>
    </row>
    <row r="15" customFormat="false" ht="15" hidden="false" customHeight="false" outlineLevel="0" collapsed="false">
      <c r="A15" s="71" t="str">
        <f aca="false">IF(D15="","",ROW()-1)</f>
        <v/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  <c r="O15" s="73"/>
      <c r="P15" s="74"/>
      <c r="Q15" s="73"/>
      <c r="R15" s="74"/>
      <c r="S15" s="75"/>
      <c r="T15" s="73"/>
      <c r="U15" s="73"/>
      <c r="V15" s="73"/>
      <c r="W15" s="73"/>
      <c r="X15" s="73"/>
      <c r="Y15" s="73"/>
      <c r="Z15" s="73"/>
      <c r="AA15" s="73"/>
      <c r="AB15" s="74"/>
      <c r="AC15" s="73"/>
      <c r="AD15" s="76"/>
      <c r="AE15" s="73"/>
      <c r="AF15" s="73"/>
      <c r="AG15" s="73"/>
      <c r="AH15" s="73"/>
      <c r="AI15" s="73"/>
    </row>
    <row r="16" customFormat="false" ht="15" hidden="false" customHeight="false" outlineLevel="0" collapsed="false">
      <c r="A16" s="71" t="str">
        <f aca="false">IF(D16="","",ROW()-1)</f>
        <v/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4"/>
      <c r="O16" s="73"/>
      <c r="P16" s="74"/>
      <c r="Q16" s="73"/>
      <c r="R16" s="74"/>
      <c r="S16" s="75"/>
      <c r="T16" s="73"/>
      <c r="U16" s="73"/>
      <c r="V16" s="73"/>
      <c r="W16" s="73"/>
      <c r="X16" s="73"/>
      <c r="Y16" s="73"/>
      <c r="Z16" s="73"/>
      <c r="AA16" s="73"/>
      <c r="AB16" s="74"/>
      <c r="AC16" s="73"/>
      <c r="AD16" s="76"/>
      <c r="AE16" s="73"/>
      <c r="AF16" s="73"/>
      <c r="AG16" s="73"/>
      <c r="AH16" s="73"/>
      <c r="AI16" s="73"/>
    </row>
    <row r="17" customFormat="false" ht="15" hidden="false" customHeight="false" outlineLevel="0" collapsed="false">
      <c r="A17" s="71" t="str">
        <f aca="false">IF(D17="","",ROW()-1)</f>
        <v/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4"/>
      <c r="O17" s="73"/>
      <c r="P17" s="74"/>
      <c r="Q17" s="73"/>
      <c r="R17" s="74"/>
      <c r="S17" s="75"/>
      <c r="T17" s="73"/>
      <c r="U17" s="73"/>
      <c r="V17" s="73"/>
      <c r="W17" s="73"/>
      <c r="X17" s="73"/>
      <c r="Y17" s="73"/>
      <c r="Z17" s="73"/>
      <c r="AA17" s="73"/>
      <c r="AB17" s="74"/>
      <c r="AC17" s="73"/>
      <c r="AD17" s="76"/>
      <c r="AE17" s="73"/>
      <c r="AF17" s="73"/>
      <c r="AG17" s="73"/>
      <c r="AH17" s="73"/>
      <c r="AI17" s="73"/>
    </row>
    <row r="18" customFormat="false" ht="15" hidden="false" customHeight="false" outlineLevel="0" collapsed="false">
      <c r="A18" s="71" t="str">
        <f aca="false">IF(D18="","",ROW()-1)</f>
        <v/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  <c r="O18" s="73"/>
      <c r="P18" s="74"/>
      <c r="Q18" s="73"/>
      <c r="R18" s="74"/>
      <c r="S18" s="75"/>
      <c r="T18" s="73"/>
      <c r="U18" s="73"/>
      <c r="V18" s="73"/>
      <c r="W18" s="73"/>
      <c r="X18" s="73"/>
      <c r="Y18" s="73"/>
      <c r="Z18" s="73"/>
      <c r="AA18" s="73"/>
      <c r="AB18" s="74"/>
      <c r="AC18" s="73"/>
      <c r="AD18" s="76"/>
      <c r="AE18" s="73"/>
      <c r="AF18" s="73"/>
      <c r="AG18" s="73"/>
      <c r="AH18" s="73"/>
      <c r="AI18" s="73"/>
    </row>
    <row r="19" customFormat="false" ht="15" hidden="false" customHeight="false" outlineLevel="0" collapsed="false">
      <c r="A19" s="71" t="str">
        <f aca="false">IF(D19="","",ROW()-1)</f>
        <v/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  <c r="O19" s="73"/>
      <c r="P19" s="74"/>
      <c r="Q19" s="73"/>
      <c r="R19" s="74"/>
      <c r="S19" s="75"/>
      <c r="T19" s="73"/>
      <c r="U19" s="73"/>
      <c r="V19" s="73"/>
      <c r="W19" s="73"/>
      <c r="X19" s="73"/>
      <c r="Y19" s="73"/>
      <c r="Z19" s="73"/>
      <c r="AA19" s="73"/>
      <c r="AB19" s="74"/>
      <c r="AC19" s="73"/>
      <c r="AD19" s="76"/>
      <c r="AE19" s="73"/>
      <c r="AF19" s="73"/>
      <c r="AG19" s="73"/>
      <c r="AH19" s="73"/>
      <c r="AI19" s="73"/>
    </row>
    <row r="20" customFormat="false" ht="15" hidden="false" customHeight="false" outlineLevel="0" collapsed="false">
      <c r="A20" s="71" t="str">
        <f aca="false">IF(D20="","",ROW()-1)</f>
        <v/>
      </c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  <c r="O20" s="73"/>
      <c r="P20" s="74"/>
      <c r="Q20" s="73"/>
      <c r="R20" s="74"/>
      <c r="S20" s="75"/>
      <c r="T20" s="73"/>
      <c r="U20" s="73"/>
      <c r="V20" s="73"/>
      <c r="W20" s="73"/>
      <c r="X20" s="73"/>
      <c r="Y20" s="73"/>
      <c r="Z20" s="73"/>
      <c r="AA20" s="73"/>
      <c r="AB20" s="74"/>
      <c r="AC20" s="73"/>
      <c r="AD20" s="76"/>
      <c r="AE20" s="73"/>
      <c r="AF20" s="73"/>
      <c r="AG20" s="73"/>
      <c r="AH20" s="73"/>
      <c r="AI20" s="73"/>
    </row>
    <row r="21" customFormat="false" ht="15" hidden="false" customHeight="false" outlineLevel="0" collapsed="false">
      <c r="A21" s="71" t="str">
        <f aca="false">IF(D21="","",ROW()-1)</f>
        <v/>
      </c>
      <c r="B21" s="72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4"/>
      <c r="O21" s="73"/>
      <c r="P21" s="74"/>
      <c r="Q21" s="73"/>
      <c r="R21" s="74"/>
      <c r="S21" s="75"/>
      <c r="T21" s="73"/>
      <c r="U21" s="73"/>
      <c r="V21" s="73"/>
      <c r="W21" s="73"/>
      <c r="X21" s="73"/>
      <c r="Y21" s="73"/>
      <c r="Z21" s="73"/>
      <c r="AA21" s="73"/>
      <c r="AB21" s="74"/>
      <c r="AC21" s="73"/>
      <c r="AD21" s="76"/>
      <c r="AE21" s="73"/>
      <c r="AF21" s="73"/>
      <c r="AG21" s="73"/>
      <c r="AH21" s="73"/>
      <c r="AI21" s="73"/>
    </row>
    <row r="22" customFormat="false" ht="15" hidden="false" customHeight="false" outlineLevel="0" collapsed="false">
      <c r="A22" s="71" t="str">
        <f aca="false">IF(D22="","",ROW()-1)</f>
        <v/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  <c r="O22" s="73"/>
      <c r="P22" s="74"/>
      <c r="Q22" s="73"/>
      <c r="R22" s="74"/>
      <c r="S22" s="75"/>
      <c r="T22" s="73"/>
      <c r="U22" s="73"/>
      <c r="V22" s="73"/>
      <c r="W22" s="73"/>
      <c r="X22" s="73"/>
      <c r="Y22" s="73"/>
      <c r="Z22" s="73"/>
      <c r="AA22" s="73"/>
      <c r="AB22" s="74"/>
      <c r="AC22" s="73"/>
      <c r="AD22" s="76"/>
      <c r="AE22" s="73"/>
      <c r="AF22" s="73"/>
      <c r="AG22" s="73"/>
      <c r="AH22" s="73"/>
      <c r="AI22" s="73"/>
    </row>
    <row r="23" customFormat="false" ht="15" hidden="false" customHeight="false" outlineLevel="0" collapsed="false">
      <c r="A23" s="71" t="str">
        <f aca="false">IF(D23="","",ROW()-1)</f>
        <v/>
      </c>
      <c r="B23" s="72"/>
      <c r="C23" s="72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4"/>
      <c r="O23" s="73"/>
      <c r="P23" s="74"/>
      <c r="Q23" s="73"/>
      <c r="R23" s="74"/>
      <c r="S23" s="75"/>
      <c r="T23" s="73"/>
      <c r="U23" s="73"/>
      <c r="V23" s="73"/>
      <c r="W23" s="73"/>
      <c r="X23" s="73"/>
      <c r="Y23" s="73"/>
      <c r="Z23" s="73"/>
      <c r="AA23" s="73"/>
      <c r="AB23" s="74"/>
      <c r="AC23" s="73"/>
      <c r="AD23" s="76"/>
      <c r="AE23" s="73"/>
      <c r="AF23" s="73"/>
      <c r="AG23" s="73"/>
      <c r="AH23" s="73"/>
      <c r="AI23" s="73"/>
    </row>
    <row r="24" customFormat="false" ht="15" hidden="false" customHeight="false" outlineLevel="0" collapsed="false">
      <c r="A24" s="71" t="str">
        <f aca="false">IF(D24="","",ROW()-1)</f>
        <v/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4"/>
      <c r="O24" s="73"/>
      <c r="P24" s="74"/>
      <c r="Q24" s="73"/>
      <c r="R24" s="74"/>
      <c r="S24" s="75"/>
      <c r="T24" s="73"/>
      <c r="U24" s="73"/>
      <c r="V24" s="73"/>
      <c r="W24" s="73"/>
      <c r="X24" s="73"/>
      <c r="Y24" s="73"/>
      <c r="Z24" s="73"/>
      <c r="AA24" s="73"/>
      <c r="AB24" s="74"/>
      <c r="AC24" s="73"/>
      <c r="AD24" s="76"/>
      <c r="AE24" s="73"/>
      <c r="AF24" s="73"/>
      <c r="AG24" s="73"/>
      <c r="AH24" s="73"/>
      <c r="AI24" s="73"/>
    </row>
    <row r="25" customFormat="false" ht="15" hidden="false" customHeight="false" outlineLevel="0" collapsed="false">
      <c r="A25" s="71" t="str">
        <f aca="false">IF(D25="","",ROW()-1)</f>
        <v/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4"/>
      <c r="O25" s="73"/>
      <c r="P25" s="74"/>
      <c r="Q25" s="73"/>
      <c r="R25" s="74"/>
      <c r="S25" s="75"/>
      <c r="T25" s="73"/>
      <c r="U25" s="73"/>
      <c r="V25" s="73"/>
      <c r="W25" s="73"/>
      <c r="X25" s="73"/>
      <c r="Y25" s="73"/>
      <c r="Z25" s="73"/>
      <c r="AA25" s="73"/>
      <c r="AB25" s="74"/>
      <c r="AC25" s="73"/>
      <c r="AD25" s="76"/>
      <c r="AE25" s="73"/>
      <c r="AF25" s="73"/>
      <c r="AG25" s="73"/>
      <c r="AH25" s="73"/>
      <c r="AI25" s="73"/>
    </row>
    <row r="26" customFormat="false" ht="15" hidden="false" customHeight="false" outlineLevel="0" collapsed="false">
      <c r="A26" s="71" t="str">
        <f aca="false">IF(D26="","",ROW()-1)</f>
        <v/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4"/>
      <c r="O26" s="73"/>
      <c r="P26" s="74"/>
      <c r="Q26" s="73"/>
      <c r="R26" s="74"/>
      <c r="S26" s="75"/>
      <c r="T26" s="73"/>
      <c r="U26" s="73"/>
      <c r="V26" s="73"/>
      <c r="W26" s="73"/>
      <c r="X26" s="73"/>
      <c r="Y26" s="73"/>
      <c r="Z26" s="73"/>
      <c r="AA26" s="73"/>
      <c r="AB26" s="74"/>
      <c r="AC26" s="73"/>
      <c r="AD26" s="76"/>
      <c r="AE26" s="73"/>
      <c r="AF26" s="73"/>
      <c r="AG26" s="73"/>
      <c r="AH26" s="73"/>
      <c r="AI26" s="73"/>
    </row>
    <row r="27" customFormat="false" ht="15" hidden="false" customHeight="false" outlineLevel="0" collapsed="false">
      <c r="A27" s="71" t="str">
        <f aca="false">IF(D27="","",ROW()-1)</f>
        <v/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4"/>
      <c r="O27" s="73"/>
      <c r="P27" s="74"/>
      <c r="Q27" s="73"/>
      <c r="R27" s="74"/>
      <c r="S27" s="75"/>
      <c r="T27" s="73"/>
      <c r="U27" s="73"/>
      <c r="V27" s="73"/>
      <c r="W27" s="73"/>
      <c r="X27" s="73"/>
      <c r="Y27" s="73"/>
      <c r="Z27" s="73"/>
      <c r="AA27" s="73"/>
      <c r="AB27" s="74"/>
      <c r="AC27" s="73"/>
      <c r="AD27" s="76"/>
      <c r="AE27" s="73"/>
      <c r="AF27" s="73"/>
      <c r="AG27" s="73"/>
      <c r="AH27" s="73"/>
      <c r="AI27" s="73"/>
    </row>
    <row r="28" customFormat="false" ht="15" hidden="false" customHeight="false" outlineLevel="0" collapsed="false">
      <c r="A28" s="71" t="str">
        <f aca="false">IF(D28="","",ROW()-1)</f>
        <v/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4"/>
      <c r="O28" s="73"/>
      <c r="P28" s="74"/>
      <c r="Q28" s="73"/>
      <c r="R28" s="74"/>
      <c r="S28" s="75"/>
      <c r="T28" s="73"/>
      <c r="U28" s="73"/>
      <c r="V28" s="73"/>
      <c r="W28" s="73"/>
      <c r="X28" s="73"/>
      <c r="Y28" s="73"/>
      <c r="Z28" s="73"/>
      <c r="AA28" s="73"/>
      <c r="AB28" s="74"/>
      <c r="AC28" s="73"/>
      <c r="AD28" s="76"/>
      <c r="AE28" s="73"/>
      <c r="AF28" s="73"/>
      <c r="AG28" s="73"/>
      <c r="AH28" s="73"/>
      <c r="AI28" s="73"/>
    </row>
    <row r="29" customFormat="false" ht="15" hidden="false" customHeight="false" outlineLevel="0" collapsed="false">
      <c r="A29" s="71" t="str">
        <f aca="false">IF(D29="","",ROW()-1)</f>
        <v/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4"/>
      <c r="O29" s="73"/>
      <c r="P29" s="74"/>
      <c r="Q29" s="73"/>
      <c r="R29" s="74"/>
      <c r="S29" s="75"/>
      <c r="T29" s="73"/>
      <c r="U29" s="73"/>
      <c r="V29" s="73"/>
      <c r="W29" s="73"/>
      <c r="X29" s="73"/>
      <c r="Y29" s="73"/>
      <c r="Z29" s="73"/>
      <c r="AA29" s="73"/>
      <c r="AB29" s="74"/>
      <c r="AC29" s="73"/>
      <c r="AD29" s="76"/>
      <c r="AE29" s="73"/>
      <c r="AF29" s="73"/>
      <c r="AG29" s="73"/>
      <c r="AH29" s="73"/>
      <c r="AI29" s="73"/>
    </row>
    <row r="30" customFormat="false" ht="15" hidden="false" customHeight="false" outlineLevel="0" collapsed="false">
      <c r="A30" s="71" t="str">
        <f aca="false">IF(D30="","",ROW()-1)</f>
        <v/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4"/>
      <c r="O30" s="73"/>
      <c r="P30" s="74"/>
      <c r="Q30" s="73"/>
      <c r="R30" s="74"/>
      <c r="S30" s="75"/>
      <c r="T30" s="73"/>
      <c r="U30" s="73"/>
      <c r="V30" s="73"/>
      <c r="W30" s="73"/>
      <c r="X30" s="73"/>
      <c r="Y30" s="73"/>
      <c r="Z30" s="73"/>
      <c r="AA30" s="73"/>
      <c r="AB30" s="74"/>
      <c r="AC30" s="73"/>
      <c r="AD30" s="76"/>
      <c r="AE30" s="73"/>
      <c r="AF30" s="73"/>
      <c r="AG30" s="73"/>
      <c r="AH30" s="73"/>
      <c r="AI30" s="73"/>
    </row>
    <row r="31" customFormat="false" ht="15" hidden="false" customHeight="false" outlineLevel="0" collapsed="false">
      <c r="A31" s="71" t="str">
        <f aca="false">IF(D31="","",ROW()-1)</f>
        <v/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4"/>
      <c r="O31" s="73"/>
      <c r="P31" s="74"/>
      <c r="Q31" s="73"/>
      <c r="R31" s="74"/>
      <c r="S31" s="75"/>
      <c r="T31" s="73"/>
      <c r="U31" s="73"/>
      <c r="V31" s="73"/>
      <c r="W31" s="73"/>
      <c r="X31" s="73"/>
      <c r="Y31" s="73"/>
      <c r="Z31" s="73"/>
      <c r="AA31" s="73"/>
      <c r="AB31" s="74"/>
      <c r="AC31" s="73"/>
      <c r="AD31" s="76"/>
      <c r="AE31" s="73"/>
      <c r="AF31" s="73"/>
      <c r="AG31" s="73"/>
      <c r="AH31" s="73"/>
      <c r="AI31" s="73"/>
    </row>
    <row r="32" customFormat="false" ht="15" hidden="false" customHeight="false" outlineLevel="0" collapsed="false">
      <c r="A32" s="71" t="str">
        <f aca="false">IF(D32="","",ROW()-1)</f>
        <v/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4"/>
      <c r="O32" s="73"/>
      <c r="P32" s="74"/>
      <c r="Q32" s="73"/>
      <c r="R32" s="74"/>
      <c r="S32" s="75"/>
      <c r="T32" s="73"/>
      <c r="U32" s="73"/>
      <c r="V32" s="73"/>
      <c r="W32" s="73"/>
      <c r="X32" s="73"/>
      <c r="Y32" s="73"/>
      <c r="Z32" s="73"/>
      <c r="AA32" s="73"/>
      <c r="AB32" s="74"/>
      <c r="AC32" s="73"/>
      <c r="AD32" s="76"/>
      <c r="AE32" s="73"/>
      <c r="AF32" s="73"/>
      <c r="AG32" s="73"/>
      <c r="AH32" s="73"/>
      <c r="AI32" s="73"/>
    </row>
    <row r="33" customFormat="false" ht="15" hidden="false" customHeight="false" outlineLevel="0" collapsed="false">
      <c r="A33" s="71" t="str">
        <f aca="false">IF(D33="","",ROW()-1)</f>
        <v/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4"/>
      <c r="O33" s="73"/>
      <c r="P33" s="74"/>
      <c r="Q33" s="73"/>
      <c r="R33" s="74"/>
      <c r="S33" s="75"/>
      <c r="T33" s="73"/>
      <c r="U33" s="73"/>
      <c r="V33" s="73"/>
      <c r="W33" s="73"/>
      <c r="X33" s="73"/>
      <c r="Y33" s="73"/>
      <c r="Z33" s="73"/>
      <c r="AA33" s="73"/>
      <c r="AB33" s="74"/>
      <c r="AC33" s="73"/>
      <c r="AD33" s="76"/>
      <c r="AE33" s="73"/>
      <c r="AF33" s="73"/>
      <c r="AG33" s="73"/>
      <c r="AH33" s="73"/>
      <c r="AI33" s="73"/>
    </row>
    <row r="34" customFormat="false" ht="15" hidden="false" customHeight="false" outlineLevel="0" collapsed="false">
      <c r="A34" s="71" t="str">
        <f aca="false">IF(D34="","",ROW()-1)</f>
        <v/>
      </c>
      <c r="B34" s="72"/>
      <c r="C34" s="72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  <c r="O34" s="73"/>
      <c r="P34" s="74"/>
      <c r="Q34" s="73"/>
      <c r="R34" s="74"/>
      <c r="S34" s="75"/>
      <c r="T34" s="73"/>
      <c r="U34" s="73"/>
      <c r="V34" s="73"/>
      <c r="W34" s="73"/>
      <c r="X34" s="73"/>
      <c r="Y34" s="73"/>
      <c r="Z34" s="73"/>
      <c r="AA34" s="73"/>
      <c r="AB34" s="74"/>
      <c r="AC34" s="73"/>
      <c r="AD34" s="76"/>
      <c r="AE34" s="73"/>
      <c r="AF34" s="73"/>
      <c r="AG34" s="73"/>
      <c r="AH34" s="73"/>
      <c r="AI34" s="73"/>
    </row>
    <row r="35" customFormat="false" ht="15" hidden="false" customHeight="false" outlineLevel="0" collapsed="false">
      <c r="A35" s="71" t="str">
        <f aca="false">IF(D35="","",ROW()-1)</f>
        <v/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/>
      <c r="O35" s="73"/>
      <c r="P35" s="74"/>
      <c r="Q35" s="73"/>
      <c r="R35" s="74"/>
      <c r="S35" s="75"/>
      <c r="T35" s="73"/>
      <c r="U35" s="73"/>
      <c r="V35" s="73"/>
      <c r="W35" s="73"/>
      <c r="X35" s="73"/>
      <c r="Y35" s="73"/>
      <c r="Z35" s="73"/>
      <c r="AA35" s="73"/>
      <c r="AB35" s="74"/>
      <c r="AC35" s="73"/>
      <c r="AD35" s="76"/>
      <c r="AE35" s="73"/>
      <c r="AF35" s="73"/>
      <c r="AG35" s="73"/>
      <c r="AH35" s="73"/>
      <c r="AI35" s="73"/>
    </row>
    <row r="36" customFormat="false" ht="15" hidden="false" customHeight="false" outlineLevel="0" collapsed="false">
      <c r="A36" s="71" t="str">
        <f aca="false">IF(D36="","",ROW()-1)</f>
        <v/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/>
      <c r="O36" s="73"/>
      <c r="P36" s="74"/>
      <c r="Q36" s="73"/>
      <c r="R36" s="74"/>
      <c r="S36" s="75"/>
      <c r="T36" s="73"/>
      <c r="U36" s="73"/>
      <c r="V36" s="73"/>
      <c r="W36" s="73"/>
      <c r="X36" s="73"/>
      <c r="Y36" s="73"/>
      <c r="Z36" s="73"/>
      <c r="AA36" s="73"/>
      <c r="AB36" s="74"/>
      <c r="AC36" s="73"/>
      <c r="AD36" s="76"/>
      <c r="AE36" s="73"/>
      <c r="AF36" s="73"/>
      <c r="AG36" s="73"/>
      <c r="AH36" s="73"/>
      <c r="AI36" s="73"/>
    </row>
    <row r="37" customFormat="false" ht="15" hidden="false" customHeight="false" outlineLevel="0" collapsed="false">
      <c r="A37" s="71" t="str">
        <f aca="false">IF(D37="","",ROW()-1)</f>
        <v/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4"/>
      <c r="O37" s="73"/>
      <c r="P37" s="74"/>
      <c r="Q37" s="73"/>
      <c r="R37" s="74"/>
      <c r="S37" s="75"/>
      <c r="T37" s="73"/>
      <c r="U37" s="73"/>
      <c r="V37" s="73"/>
      <c r="W37" s="73"/>
      <c r="X37" s="73"/>
      <c r="Y37" s="73"/>
      <c r="Z37" s="73"/>
      <c r="AA37" s="73"/>
      <c r="AB37" s="74"/>
      <c r="AC37" s="73"/>
      <c r="AD37" s="76"/>
      <c r="AE37" s="73"/>
      <c r="AF37" s="73"/>
      <c r="AG37" s="73"/>
      <c r="AH37" s="73"/>
      <c r="AI37" s="73"/>
    </row>
    <row r="38" customFormat="false" ht="15" hidden="false" customHeight="false" outlineLevel="0" collapsed="false">
      <c r="A38" s="71" t="str">
        <f aca="false">IF(D38="","",ROW()-1)</f>
        <v/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4"/>
      <c r="O38" s="73"/>
      <c r="P38" s="74"/>
      <c r="Q38" s="73"/>
      <c r="R38" s="74"/>
      <c r="S38" s="75"/>
      <c r="T38" s="73"/>
      <c r="U38" s="73"/>
      <c r="V38" s="73"/>
      <c r="W38" s="73"/>
      <c r="X38" s="73"/>
      <c r="Y38" s="73"/>
      <c r="Z38" s="73"/>
      <c r="AA38" s="73"/>
      <c r="AB38" s="74"/>
      <c r="AC38" s="73"/>
      <c r="AD38" s="76"/>
      <c r="AE38" s="73"/>
      <c r="AF38" s="73"/>
      <c r="AG38" s="73"/>
      <c r="AH38" s="73"/>
      <c r="AI38" s="73"/>
    </row>
    <row r="39" customFormat="false" ht="15" hidden="false" customHeight="false" outlineLevel="0" collapsed="false">
      <c r="A39" s="71" t="str">
        <f aca="false">IF(D39="","",ROW()-1)</f>
        <v/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4"/>
      <c r="O39" s="73"/>
      <c r="P39" s="74"/>
      <c r="Q39" s="73"/>
      <c r="R39" s="74"/>
      <c r="S39" s="75"/>
      <c r="T39" s="73"/>
      <c r="U39" s="73"/>
      <c r="V39" s="73"/>
      <c r="W39" s="73"/>
      <c r="X39" s="73"/>
      <c r="Y39" s="73"/>
      <c r="Z39" s="73"/>
      <c r="AA39" s="73"/>
      <c r="AB39" s="74"/>
      <c r="AC39" s="73"/>
      <c r="AD39" s="76"/>
      <c r="AE39" s="73"/>
      <c r="AF39" s="73"/>
      <c r="AG39" s="73"/>
      <c r="AH39" s="73"/>
      <c r="AI39" s="73"/>
    </row>
    <row r="40" customFormat="false" ht="15" hidden="false" customHeight="false" outlineLevel="0" collapsed="false">
      <c r="A40" s="71" t="str">
        <f aca="false">IF(D40="","",ROW()-1)</f>
        <v/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4"/>
      <c r="O40" s="73"/>
      <c r="P40" s="74"/>
      <c r="Q40" s="73"/>
      <c r="R40" s="74"/>
      <c r="S40" s="75"/>
      <c r="T40" s="73"/>
      <c r="U40" s="73"/>
      <c r="V40" s="73"/>
      <c r="W40" s="73"/>
      <c r="X40" s="73"/>
      <c r="Y40" s="73"/>
      <c r="Z40" s="73"/>
      <c r="AA40" s="73"/>
      <c r="AB40" s="74"/>
      <c r="AC40" s="73"/>
      <c r="AD40" s="76"/>
      <c r="AE40" s="73"/>
      <c r="AF40" s="73"/>
      <c r="AG40" s="73"/>
      <c r="AH40" s="73"/>
      <c r="AI40" s="73"/>
    </row>
    <row r="41" customFormat="false" ht="15" hidden="false" customHeight="false" outlineLevel="0" collapsed="false">
      <c r="A41" s="71" t="str">
        <f aca="false">IF(D41="","",ROW()-1)</f>
        <v/>
      </c>
      <c r="B41" s="72"/>
      <c r="C41" s="72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4"/>
      <c r="O41" s="73"/>
      <c r="P41" s="74"/>
      <c r="Q41" s="73"/>
      <c r="R41" s="74"/>
      <c r="S41" s="75"/>
      <c r="T41" s="73"/>
      <c r="U41" s="73"/>
      <c r="V41" s="73"/>
      <c r="W41" s="73"/>
      <c r="X41" s="73"/>
      <c r="Y41" s="73"/>
      <c r="Z41" s="73"/>
      <c r="AA41" s="73"/>
      <c r="AB41" s="74"/>
      <c r="AC41" s="73"/>
      <c r="AD41" s="76"/>
      <c r="AE41" s="73"/>
      <c r="AF41" s="73"/>
      <c r="AG41" s="73"/>
      <c r="AH41" s="73"/>
      <c r="AI41" s="73"/>
    </row>
    <row r="42" customFormat="false" ht="15" hidden="false" customHeight="false" outlineLevel="0" collapsed="false">
      <c r="A42" s="71" t="str">
        <f aca="false">IF(D42="","",ROW()-1)</f>
        <v/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4"/>
      <c r="O42" s="73"/>
      <c r="P42" s="74"/>
      <c r="Q42" s="73"/>
      <c r="R42" s="74"/>
      <c r="S42" s="75"/>
      <c r="T42" s="73"/>
      <c r="U42" s="73"/>
      <c r="V42" s="73"/>
      <c r="W42" s="73"/>
      <c r="X42" s="73"/>
      <c r="Y42" s="73"/>
      <c r="Z42" s="73"/>
      <c r="AA42" s="73"/>
      <c r="AB42" s="74"/>
      <c r="AC42" s="73"/>
      <c r="AD42" s="76"/>
      <c r="AE42" s="73"/>
      <c r="AF42" s="73"/>
      <c r="AG42" s="73"/>
      <c r="AH42" s="73"/>
      <c r="AI42" s="73"/>
    </row>
    <row r="43" customFormat="false" ht="15" hidden="false" customHeight="false" outlineLevel="0" collapsed="false">
      <c r="A43" s="71" t="str">
        <f aca="false">IF(D43="","",ROW()-1)</f>
        <v/>
      </c>
      <c r="B43" s="72"/>
      <c r="C43" s="72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4"/>
      <c r="O43" s="73"/>
      <c r="P43" s="74"/>
      <c r="Q43" s="73"/>
      <c r="R43" s="74"/>
      <c r="S43" s="75"/>
      <c r="T43" s="73"/>
      <c r="U43" s="73"/>
      <c r="V43" s="73"/>
      <c r="W43" s="73"/>
      <c r="X43" s="73"/>
      <c r="Y43" s="73"/>
      <c r="Z43" s="73"/>
      <c r="AA43" s="73"/>
      <c r="AB43" s="74"/>
      <c r="AC43" s="73"/>
      <c r="AD43" s="76"/>
      <c r="AE43" s="73"/>
      <c r="AF43" s="73"/>
      <c r="AG43" s="73"/>
      <c r="AH43" s="73"/>
      <c r="AI43" s="73"/>
    </row>
    <row r="44" customFormat="false" ht="15" hidden="false" customHeight="false" outlineLevel="0" collapsed="false">
      <c r="A44" s="71" t="str">
        <f aca="false">IF(D44="","",ROW()-1)</f>
        <v/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4"/>
      <c r="O44" s="73"/>
      <c r="P44" s="74"/>
      <c r="Q44" s="73"/>
      <c r="R44" s="74"/>
      <c r="S44" s="75"/>
      <c r="T44" s="73"/>
      <c r="U44" s="73"/>
      <c r="V44" s="73"/>
      <c r="W44" s="73"/>
      <c r="X44" s="73"/>
      <c r="Y44" s="73"/>
      <c r="Z44" s="73"/>
      <c r="AA44" s="73"/>
      <c r="AB44" s="74"/>
      <c r="AC44" s="73"/>
      <c r="AD44" s="76"/>
      <c r="AE44" s="73"/>
      <c r="AF44" s="73"/>
      <c r="AG44" s="73"/>
      <c r="AH44" s="73"/>
      <c r="AI44" s="73"/>
    </row>
    <row r="45" customFormat="false" ht="15" hidden="false" customHeight="false" outlineLevel="0" collapsed="false">
      <c r="A45" s="71" t="str">
        <f aca="false">IF(D45="","",ROW()-1)</f>
        <v/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4"/>
      <c r="O45" s="73"/>
      <c r="P45" s="74"/>
      <c r="Q45" s="73"/>
      <c r="R45" s="74"/>
      <c r="S45" s="75"/>
      <c r="T45" s="73"/>
      <c r="U45" s="73"/>
      <c r="V45" s="73"/>
      <c r="W45" s="73"/>
      <c r="X45" s="73"/>
      <c r="Y45" s="73"/>
      <c r="Z45" s="73"/>
      <c r="AA45" s="73"/>
      <c r="AB45" s="74"/>
      <c r="AC45" s="73"/>
      <c r="AD45" s="76"/>
      <c r="AE45" s="73"/>
      <c r="AF45" s="73"/>
      <c r="AG45" s="73"/>
      <c r="AH45" s="73"/>
      <c r="AI45" s="73"/>
    </row>
    <row r="46" customFormat="false" ht="15" hidden="false" customHeight="false" outlineLevel="0" collapsed="false">
      <c r="A46" s="71" t="str">
        <f aca="false">IF(D46="","",ROW()-1)</f>
        <v/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4"/>
      <c r="O46" s="73"/>
      <c r="P46" s="74"/>
      <c r="Q46" s="73"/>
      <c r="R46" s="74"/>
      <c r="S46" s="75"/>
      <c r="T46" s="73"/>
      <c r="U46" s="73"/>
      <c r="V46" s="73"/>
      <c r="W46" s="73"/>
      <c r="X46" s="73"/>
      <c r="Y46" s="73"/>
      <c r="Z46" s="73"/>
      <c r="AA46" s="73"/>
      <c r="AB46" s="74"/>
      <c r="AC46" s="73"/>
      <c r="AD46" s="76"/>
      <c r="AE46" s="73"/>
      <c r="AF46" s="73"/>
      <c r="AG46" s="73"/>
      <c r="AH46" s="73"/>
      <c r="AI46" s="73"/>
    </row>
    <row r="47" customFormat="false" ht="15" hidden="false" customHeight="false" outlineLevel="0" collapsed="false">
      <c r="A47" s="71" t="str">
        <f aca="false">IF(D47="","",ROW()-1)</f>
        <v/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4"/>
      <c r="O47" s="73"/>
      <c r="P47" s="74"/>
      <c r="Q47" s="73"/>
      <c r="R47" s="74"/>
      <c r="S47" s="75"/>
      <c r="T47" s="73"/>
      <c r="U47" s="73"/>
      <c r="V47" s="73"/>
      <c r="W47" s="73"/>
      <c r="X47" s="73"/>
      <c r="Y47" s="73"/>
      <c r="Z47" s="73"/>
      <c r="AA47" s="73"/>
      <c r="AB47" s="74"/>
      <c r="AC47" s="73"/>
      <c r="AD47" s="76"/>
      <c r="AE47" s="73"/>
      <c r="AF47" s="73"/>
      <c r="AG47" s="73"/>
      <c r="AH47" s="73"/>
      <c r="AI47" s="73"/>
    </row>
    <row r="48" customFormat="false" ht="15" hidden="false" customHeight="false" outlineLevel="0" collapsed="false">
      <c r="A48" s="71" t="str">
        <f aca="false">IF(D48="","",ROW()-1)</f>
        <v/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4"/>
      <c r="O48" s="73"/>
      <c r="P48" s="74"/>
      <c r="Q48" s="73"/>
      <c r="R48" s="74"/>
      <c r="S48" s="75"/>
      <c r="T48" s="73"/>
      <c r="U48" s="73"/>
      <c r="V48" s="73"/>
      <c r="W48" s="73"/>
      <c r="X48" s="73"/>
      <c r="Y48" s="73"/>
      <c r="Z48" s="73"/>
      <c r="AA48" s="73"/>
      <c r="AB48" s="74"/>
      <c r="AC48" s="73"/>
      <c r="AD48" s="76"/>
      <c r="AE48" s="73"/>
      <c r="AF48" s="73"/>
      <c r="AG48" s="73"/>
      <c r="AH48" s="73"/>
      <c r="AI48" s="73"/>
    </row>
    <row r="49" customFormat="false" ht="15" hidden="false" customHeight="false" outlineLevel="0" collapsed="false">
      <c r="A49" s="71" t="str">
        <f aca="false">IF(D49="","",ROW()-1)</f>
        <v/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4"/>
      <c r="O49" s="73"/>
      <c r="P49" s="74"/>
      <c r="Q49" s="73"/>
      <c r="R49" s="74"/>
      <c r="S49" s="75"/>
      <c r="T49" s="73"/>
      <c r="U49" s="73"/>
      <c r="V49" s="73"/>
      <c r="W49" s="73"/>
      <c r="X49" s="73"/>
      <c r="Y49" s="73"/>
      <c r="Z49" s="73"/>
      <c r="AA49" s="73"/>
      <c r="AB49" s="74"/>
      <c r="AC49" s="73"/>
      <c r="AD49" s="76"/>
      <c r="AE49" s="73"/>
      <c r="AF49" s="73"/>
      <c r="AG49" s="73"/>
      <c r="AH49" s="73"/>
      <c r="AI49" s="73"/>
    </row>
    <row r="50" customFormat="false" ht="15" hidden="false" customHeight="false" outlineLevel="0" collapsed="false">
      <c r="A50" s="71" t="str">
        <f aca="false">IF(D50="","",ROW()-1)</f>
        <v/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4"/>
      <c r="O50" s="73"/>
      <c r="P50" s="74"/>
      <c r="Q50" s="73"/>
      <c r="R50" s="74"/>
      <c r="S50" s="75"/>
      <c r="T50" s="73"/>
      <c r="U50" s="73"/>
      <c r="V50" s="73"/>
      <c r="W50" s="73"/>
      <c r="X50" s="73"/>
      <c r="Y50" s="73"/>
      <c r="Z50" s="73"/>
      <c r="AA50" s="73"/>
      <c r="AB50" s="74"/>
      <c r="AC50" s="73"/>
      <c r="AD50" s="76"/>
      <c r="AE50" s="73"/>
      <c r="AF50" s="73"/>
      <c r="AG50" s="73"/>
      <c r="AH50" s="73"/>
      <c r="AI50" s="73"/>
    </row>
    <row r="51" customFormat="false" ht="15" hidden="false" customHeight="false" outlineLevel="0" collapsed="false">
      <c r="A51" s="71" t="str">
        <f aca="false">IF(D51="","",ROW()-1)</f>
        <v/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4"/>
      <c r="O51" s="73"/>
      <c r="P51" s="74"/>
      <c r="Q51" s="73"/>
      <c r="R51" s="74"/>
      <c r="S51" s="75"/>
      <c r="T51" s="73"/>
      <c r="U51" s="73"/>
      <c r="V51" s="73"/>
      <c r="W51" s="73"/>
      <c r="X51" s="73"/>
      <c r="Y51" s="73"/>
      <c r="Z51" s="73"/>
      <c r="AA51" s="73"/>
      <c r="AB51" s="74"/>
      <c r="AC51" s="73"/>
      <c r="AD51" s="76"/>
      <c r="AE51" s="73"/>
      <c r="AF51" s="73"/>
      <c r="AG51" s="73"/>
      <c r="AH51" s="73"/>
      <c r="AI51" s="73"/>
    </row>
    <row r="52" customFormat="false" ht="15" hidden="false" customHeight="false" outlineLevel="0" collapsed="false">
      <c r="A52" s="71" t="str">
        <f aca="false">IF(D52="","",ROW()-1)</f>
        <v/>
      </c>
      <c r="B52" s="72"/>
      <c r="C52" s="72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4"/>
      <c r="O52" s="73"/>
      <c r="P52" s="74"/>
      <c r="Q52" s="73"/>
      <c r="R52" s="74"/>
      <c r="S52" s="75"/>
      <c r="T52" s="73"/>
      <c r="U52" s="73"/>
      <c r="V52" s="73"/>
      <c r="W52" s="73"/>
      <c r="X52" s="73"/>
      <c r="Y52" s="73"/>
      <c r="Z52" s="73"/>
      <c r="AA52" s="73"/>
      <c r="AB52" s="74"/>
      <c r="AC52" s="73"/>
      <c r="AD52" s="76"/>
      <c r="AE52" s="73"/>
      <c r="AF52" s="73"/>
      <c r="AG52" s="73"/>
      <c r="AH52" s="73"/>
      <c r="AI52" s="73"/>
    </row>
    <row r="53" customFormat="false" ht="15" hidden="false" customHeight="false" outlineLevel="0" collapsed="false">
      <c r="A53" s="71" t="str">
        <f aca="false">IF(D53="","",ROW()-1)</f>
        <v/>
      </c>
      <c r="B53" s="72"/>
      <c r="C53" s="72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4"/>
      <c r="O53" s="73"/>
      <c r="P53" s="74"/>
      <c r="Q53" s="73"/>
      <c r="R53" s="74"/>
      <c r="S53" s="75"/>
      <c r="T53" s="73"/>
      <c r="U53" s="73"/>
      <c r="V53" s="73"/>
      <c r="W53" s="73"/>
      <c r="X53" s="73"/>
      <c r="Y53" s="73"/>
      <c r="Z53" s="73"/>
      <c r="AA53" s="73"/>
      <c r="AB53" s="74"/>
      <c r="AC53" s="73"/>
      <c r="AD53" s="76"/>
      <c r="AE53" s="73"/>
      <c r="AF53" s="73"/>
      <c r="AG53" s="73"/>
      <c r="AH53" s="73"/>
      <c r="AI53" s="73"/>
    </row>
    <row r="54" customFormat="false" ht="15" hidden="false" customHeight="false" outlineLevel="0" collapsed="false">
      <c r="A54" s="71" t="str">
        <f aca="false">IF(D54="","",ROW()-1)</f>
        <v/>
      </c>
      <c r="B54" s="72"/>
      <c r="C54" s="72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  <c r="O54" s="73"/>
      <c r="P54" s="74"/>
      <c r="Q54" s="73"/>
      <c r="R54" s="74"/>
      <c r="S54" s="75"/>
      <c r="T54" s="73"/>
      <c r="U54" s="73"/>
      <c r="V54" s="73"/>
      <c r="W54" s="73"/>
      <c r="X54" s="73"/>
      <c r="Y54" s="73"/>
      <c r="Z54" s="73"/>
      <c r="AA54" s="73"/>
      <c r="AB54" s="74"/>
      <c r="AC54" s="73"/>
      <c r="AD54" s="76"/>
      <c r="AE54" s="73"/>
      <c r="AF54" s="73"/>
      <c r="AG54" s="73"/>
      <c r="AH54" s="73"/>
      <c r="AI54" s="73"/>
    </row>
    <row r="55" customFormat="false" ht="15" hidden="false" customHeight="false" outlineLevel="0" collapsed="false">
      <c r="A55" s="71" t="str">
        <f aca="false">IF(D55="","",ROW()-1)</f>
        <v/>
      </c>
      <c r="B55" s="72"/>
      <c r="C55" s="72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4"/>
      <c r="O55" s="73"/>
      <c r="P55" s="74"/>
      <c r="Q55" s="73"/>
      <c r="R55" s="74"/>
      <c r="S55" s="75"/>
      <c r="T55" s="73"/>
      <c r="U55" s="73"/>
      <c r="V55" s="73"/>
      <c r="W55" s="73"/>
      <c r="X55" s="73"/>
      <c r="Y55" s="73"/>
      <c r="Z55" s="73"/>
      <c r="AA55" s="73"/>
      <c r="AB55" s="74"/>
      <c r="AC55" s="73"/>
      <c r="AD55" s="76"/>
      <c r="AE55" s="73"/>
      <c r="AF55" s="73"/>
      <c r="AG55" s="73"/>
      <c r="AH55" s="73"/>
      <c r="AI55" s="73"/>
    </row>
    <row r="56" customFormat="false" ht="15" hidden="false" customHeight="false" outlineLevel="0" collapsed="false">
      <c r="A56" s="71" t="str">
        <f aca="false">IF(D56="","",ROW()-1)</f>
        <v/>
      </c>
      <c r="B56" s="72"/>
      <c r="C56" s="72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4"/>
      <c r="O56" s="73"/>
      <c r="P56" s="74"/>
      <c r="Q56" s="73"/>
      <c r="R56" s="74"/>
      <c r="S56" s="75"/>
      <c r="T56" s="73"/>
      <c r="U56" s="73"/>
      <c r="V56" s="73"/>
      <c r="W56" s="73"/>
      <c r="X56" s="73"/>
      <c r="Y56" s="73"/>
      <c r="Z56" s="73"/>
      <c r="AA56" s="73"/>
      <c r="AB56" s="74"/>
      <c r="AC56" s="73"/>
      <c r="AD56" s="76"/>
      <c r="AE56" s="73"/>
      <c r="AF56" s="73"/>
      <c r="AG56" s="73"/>
      <c r="AH56" s="73"/>
      <c r="AI56" s="73"/>
    </row>
    <row r="57" customFormat="false" ht="15" hidden="false" customHeight="false" outlineLevel="0" collapsed="false">
      <c r="A57" s="71" t="str">
        <f aca="false">IF(D57="","",ROW()-1)</f>
        <v/>
      </c>
      <c r="B57" s="72"/>
      <c r="C57" s="72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4"/>
      <c r="O57" s="73"/>
      <c r="P57" s="74"/>
      <c r="Q57" s="73"/>
      <c r="R57" s="74"/>
      <c r="S57" s="75"/>
      <c r="T57" s="73"/>
      <c r="U57" s="73"/>
      <c r="V57" s="73"/>
      <c r="W57" s="73"/>
      <c r="X57" s="73"/>
      <c r="Y57" s="73"/>
      <c r="Z57" s="73"/>
      <c r="AA57" s="73"/>
      <c r="AB57" s="74"/>
      <c r="AC57" s="73"/>
      <c r="AD57" s="76"/>
      <c r="AE57" s="73"/>
      <c r="AF57" s="73"/>
      <c r="AG57" s="73"/>
      <c r="AH57" s="73"/>
      <c r="AI57" s="73"/>
    </row>
    <row r="58" customFormat="false" ht="15" hidden="false" customHeight="false" outlineLevel="0" collapsed="false">
      <c r="A58" s="71" t="str">
        <f aca="false">IF(D58="","",ROW()-1)</f>
        <v/>
      </c>
      <c r="B58" s="72"/>
      <c r="C58" s="72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4"/>
      <c r="O58" s="73"/>
      <c r="P58" s="74"/>
      <c r="Q58" s="73"/>
      <c r="R58" s="74"/>
      <c r="S58" s="75"/>
      <c r="T58" s="73"/>
      <c r="U58" s="73"/>
      <c r="V58" s="73"/>
      <c r="W58" s="73"/>
      <c r="X58" s="73"/>
      <c r="Y58" s="73"/>
      <c r="Z58" s="73"/>
      <c r="AA58" s="73"/>
      <c r="AB58" s="74"/>
      <c r="AC58" s="73"/>
      <c r="AD58" s="76"/>
      <c r="AE58" s="73"/>
      <c r="AF58" s="73"/>
      <c r="AG58" s="73"/>
      <c r="AH58" s="73"/>
      <c r="AI58" s="73"/>
    </row>
    <row r="59" customFormat="false" ht="15" hidden="false" customHeight="false" outlineLevel="0" collapsed="false">
      <c r="A59" s="71" t="str">
        <f aca="false">IF(D59="","",ROW()-1)</f>
        <v/>
      </c>
      <c r="B59" s="72"/>
      <c r="C59" s="72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4"/>
      <c r="O59" s="73"/>
      <c r="P59" s="74"/>
      <c r="Q59" s="73"/>
      <c r="R59" s="74"/>
      <c r="S59" s="75"/>
      <c r="T59" s="73"/>
      <c r="U59" s="73"/>
      <c r="V59" s="73"/>
      <c r="W59" s="73"/>
      <c r="X59" s="73"/>
      <c r="Y59" s="73"/>
      <c r="Z59" s="73"/>
      <c r="AA59" s="73"/>
      <c r="AB59" s="74"/>
      <c r="AC59" s="73"/>
      <c r="AD59" s="76"/>
      <c r="AE59" s="73"/>
      <c r="AF59" s="73"/>
      <c r="AG59" s="73"/>
      <c r="AH59" s="73"/>
      <c r="AI59" s="73"/>
    </row>
    <row r="60" customFormat="false" ht="15" hidden="false" customHeight="false" outlineLevel="0" collapsed="false">
      <c r="A60" s="71" t="str">
        <f aca="false">IF(D60="","",ROW()-1)</f>
        <v/>
      </c>
      <c r="B60" s="72"/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4"/>
      <c r="O60" s="73"/>
      <c r="P60" s="74"/>
      <c r="Q60" s="73"/>
      <c r="R60" s="74"/>
      <c r="S60" s="75"/>
      <c r="T60" s="73"/>
      <c r="U60" s="73"/>
      <c r="V60" s="73"/>
      <c r="W60" s="73"/>
      <c r="X60" s="73"/>
      <c r="Y60" s="73"/>
      <c r="Z60" s="73"/>
      <c r="AA60" s="73"/>
      <c r="AB60" s="74"/>
      <c r="AC60" s="73"/>
      <c r="AD60" s="76"/>
      <c r="AE60" s="73"/>
      <c r="AF60" s="73"/>
      <c r="AG60" s="73"/>
      <c r="AH60" s="73"/>
      <c r="AI60" s="73"/>
    </row>
    <row r="61" customFormat="false" ht="15" hidden="false" customHeight="false" outlineLevel="0" collapsed="false">
      <c r="A61" s="71" t="str">
        <f aca="false">IF(D61="","",ROW()-1)</f>
        <v/>
      </c>
      <c r="B61" s="72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4"/>
      <c r="O61" s="73"/>
      <c r="P61" s="74"/>
      <c r="Q61" s="73"/>
      <c r="R61" s="74"/>
      <c r="S61" s="75"/>
      <c r="T61" s="73"/>
      <c r="U61" s="73"/>
      <c r="V61" s="73"/>
      <c r="W61" s="73"/>
      <c r="X61" s="73"/>
      <c r="Y61" s="73"/>
      <c r="Z61" s="73"/>
      <c r="AA61" s="73"/>
      <c r="AB61" s="74"/>
      <c r="AC61" s="73"/>
      <c r="AD61" s="76"/>
      <c r="AE61" s="73"/>
      <c r="AF61" s="73"/>
      <c r="AG61" s="73"/>
      <c r="AH61" s="73"/>
      <c r="AI61" s="73"/>
    </row>
    <row r="62" customFormat="false" ht="15" hidden="false" customHeight="false" outlineLevel="0" collapsed="false">
      <c r="A62" s="71" t="str">
        <f aca="false">IF(D62="","",ROW()-1)</f>
        <v/>
      </c>
      <c r="B62" s="72"/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4"/>
      <c r="O62" s="73"/>
      <c r="P62" s="74"/>
      <c r="Q62" s="73"/>
      <c r="R62" s="74"/>
      <c r="S62" s="75"/>
      <c r="T62" s="73"/>
      <c r="U62" s="73"/>
      <c r="V62" s="73"/>
      <c r="W62" s="73"/>
      <c r="X62" s="73"/>
      <c r="Y62" s="73"/>
      <c r="Z62" s="73"/>
      <c r="AA62" s="73"/>
      <c r="AB62" s="74"/>
      <c r="AC62" s="73"/>
      <c r="AD62" s="76"/>
      <c r="AE62" s="73"/>
      <c r="AF62" s="73"/>
      <c r="AG62" s="73"/>
      <c r="AH62" s="73"/>
      <c r="AI62" s="73"/>
    </row>
    <row r="63" customFormat="false" ht="15" hidden="false" customHeight="false" outlineLevel="0" collapsed="false">
      <c r="A63" s="71" t="str">
        <f aca="false">IF(D63="","",ROW()-1)</f>
        <v/>
      </c>
      <c r="B63" s="72"/>
      <c r="C63" s="72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4"/>
      <c r="O63" s="73"/>
      <c r="P63" s="74"/>
      <c r="Q63" s="73"/>
      <c r="R63" s="74"/>
      <c r="S63" s="75"/>
      <c r="T63" s="73"/>
      <c r="U63" s="73"/>
      <c r="V63" s="73"/>
      <c r="W63" s="73"/>
      <c r="X63" s="73"/>
      <c r="Y63" s="73"/>
      <c r="Z63" s="73"/>
      <c r="AA63" s="73"/>
      <c r="AB63" s="74"/>
      <c r="AC63" s="73"/>
      <c r="AD63" s="76"/>
      <c r="AE63" s="73"/>
      <c r="AF63" s="73"/>
      <c r="AG63" s="73"/>
      <c r="AH63" s="73"/>
      <c r="AI63" s="73"/>
    </row>
    <row r="64" customFormat="false" ht="15" hidden="false" customHeight="false" outlineLevel="0" collapsed="false">
      <c r="A64" s="71" t="str">
        <f aca="false">IF(D64="","",ROW()-1)</f>
        <v/>
      </c>
      <c r="B64" s="72"/>
      <c r="C64" s="72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4"/>
      <c r="O64" s="73"/>
      <c r="P64" s="74"/>
      <c r="Q64" s="73"/>
      <c r="R64" s="74"/>
      <c r="S64" s="75"/>
      <c r="T64" s="73"/>
      <c r="U64" s="73"/>
      <c r="V64" s="73"/>
      <c r="W64" s="73"/>
      <c r="X64" s="73"/>
      <c r="Y64" s="73"/>
      <c r="Z64" s="73"/>
      <c r="AA64" s="73"/>
      <c r="AB64" s="74"/>
      <c r="AC64" s="73"/>
      <c r="AD64" s="76"/>
      <c r="AE64" s="73"/>
      <c r="AF64" s="73"/>
      <c r="AG64" s="73"/>
      <c r="AH64" s="73"/>
      <c r="AI64" s="73"/>
    </row>
    <row r="65" customFormat="false" ht="15" hidden="false" customHeight="false" outlineLevel="0" collapsed="false">
      <c r="A65" s="71" t="str">
        <f aca="false">IF(D65="","",ROW()-1)</f>
        <v/>
      </c>
      <c r="B65" s="72"/>
      <c r="C65" s="72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4"/>
      <c r="O65" s="73"/>
      <c r="P65" s="74"/>
      <c r="Q65" s="73"/>
      <c r="R65" s="74"/>
      <c r="S65" s="75"/>
      <c r="T65" s="73"/>
      <c r="U65" s="73"/>
      <c r="V65" s="73"/>
      <c r="W65" s="73"/>
      <c r="X65" s="73"/>
      <c r="Y65" s="73"/>
      <c r="Z65" s="73"/>
      <c r="AA65" s="73"/>
      <c r="AB65" s="74"/>
      <c r="AC65" s="73"/>
      <c r="AD65" s="76"/>
      <c r="AE65" s="73"/>
      <c r="AF65" s="73"/>
      <c r="AG65" s="73"/>
      <c r="AH65" s="73"/>
      <c r="AI65" s="73"/>
    </row>
    <row r="66" customFormat="false" ht="15" hidden="false" customHeight="false" outlineLevel="0" collapsed="false">
      <c r="A66" s="71" t="str">
        <f aca="false">IF(D66="","",ROW()-1)</f>
        <v/>
      </c>
      <c r="B66" s="72"/>
      <c r="C66" s="72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4"/>
      <c r="O66" s="73"/>
      <c r="P66" s="74"/>
      <c r="Q66" s="73"/>
      <c r="R66" s="74"/>
      <c r="S66" s="75"/>
      <c r="T66" s="73"/>
      <c r="U66" s="73"/>
      <c r="V66" s="73"/>
      <c r="W66" s="73"/>
      <c r="X66" s="73"/>
      <c r="Y66" s="73"/>
      <c r="Z66" s="73"/>
      <c r="AA66" s="73"/>
      <c r="AB66" s="74"/>
      <c r="AC66" s="73"/>
      <c r="AD66" s="76"/>
      <c r="AE66" s="73"/>
      <c r="AF66" s="73"/>
      <c r="AG66" s="73"/>
      <c r="AH66" s="73"/>
      <c r="AI66" s="73"/>
    </row>
    <row r="67" customFormat="false" ht="15" hidden="false" customHeight="false" outlineLevel="0" collapsed="false">
      <c r="A67" s="71" t="str">
        <f aca="false">IF(D67="","",ROW()-1)</f>
        <v/>
      </c>
      <c r="B67" s="72"/>
      <c r="C67" s="72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4"/>
      <c r="O67" s="73"/>
      <c r="P67" s="74"/>
      <c r="Q67" s="73"/>
      <c r="R67" s="74"/>
      <c r="S67" s="75"/>
      <c r="T67" s="73"/>
      <c r="U67" s="73"/>
      <c r="V67" s="73"/>
      <c r="W67" s="73"/>
      <c r="X67" s="73"/>
      <c r="Y67" s="73"/>
      <c r="Z67" s="73"/>
      <c r="AA67" s="73"/>
      <c r="AB67" s="74"/>
      <c r="AC67" s="73"/>
      <c r="AD67" s="76"/>
      <c r="AE67" s="73"/>
      <c r="AF67" s="73"/>
      <c r="AG67" s="73"/>
      <c r="AH67" s="73"/>
      <c r="AI67" s="73"/>
    </row>
    <row r="68" customFormat="false" ht="15" hidden="false" customHeight="false" outlineLevel="0" collapsed="false">
      <c r="A68" s="71" t="str">
        <f aca="false">IF(D68="","",ROW()-1)</f>
        <v/>
      </c>
      <c r="B68" s="72"/>
      <c r="C68" s="72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4"/>
      <c r="O68" s="73"/>
      <c r="P68" s="74"/>
      <c r="Q68" s="73"/>
      <c r="R68" s="74"/>
      <c r="S68" s="75"/>
      <c r="T68" s="73"/>
      <c r="U68" s="73"/>
      <c r="V68" s="73"/>
      <c r="W68" s="73"/>
      <c r="X68" s="73"/>
      <c r="Y68" s="73"/>
      <c r="Z68" s="73"/>
      <c r="AA68" s="73"/>
      <c r="AB68" s="74"/>
      <c r="AC68" s="73"/>
      <c r="AD68" s="76"/>
      <c r="AE68" s="73"/>
      <c r="AF68" s="73"/>
      <c r="AG68" s="73"/>
      <c r="AH68" s="73"/>
      <c r="AI68" s="73"/>
    </row>
    <row r="69" customFormat="false" ht="15" hidden="false" customHeight="false" outlineLevel="0" collapsed="false">
      <c r="A69" s="71" t="str">
        <f aca="false">IF(D69="","",ROW()-1)</f>
        <v/>
      </c>
      <c r="B69" s="72"/>
      <c r="C69" s="72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4"/>
      <c r="O69" s="73"/>
      <c r="P69" s="74"/>
      <c r="Q69" s="73"/>
      <c r="R69" s="74"/>
      <c r="S69" s="75"/>
      <c r="T69" s="73"/>
      <c r="U69" s="73"/>
      <c r="V69" s="73"/>
      <c r="W69" s="73"/>
      <c r="X69" s="73"/>
      <c r="Y69" s="73"/>
      <c r="Z69" s="73"/>
      <c r="AA69" s="73"/>
      <c r="AB69" s="74"/>
      <c r="AC69" s="73"/>
      <c r="AD69" s="76"/>
      <c r="AE69" s="73"/>
      <c r="AF69" s="73"/>
      <c r="AG69" s="73"/>
      <c r="AH69" s="73"/>
      <c r="AI69" s="73"/>
    </row>
    <row r="70" customFormat="false" ht="15" hidden="false" customHeight="false" outlineLevel="0" collapsed="false">
      <c r="A70" s="71" t="str">
        <f aca="false">IF(D70="","",ROW()-1)</f>
        <v/>
      </c>
      <c r="B70" s="72"/>
      <c r="C70" s="72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4"/>
      <c r="O70" s="73"/>
      <c r="P70" s="74"/>
      <c r="Q70" s="73"/>
      <c r="R70" s="74"/>
      <c r="S70" s="75"/>
      <c r="T70" s="73"/>
      <c r="U70" s="73"/>
      <c r="V70" s="73"/>
      <c r="W70" s="73"/>
      <c r="X70" s="73"/>
      <c r="Y70" s="73"/>
      <c r="Z70" s="73"/>
      <c r="AA70" s="73"/>
      <c r="AB70" s="74"/>
      <c r="AC70" s="73"/>
      <c r="AD70" s="76"/>
      <c r="AE70" s="73"/>
      <c r="AF70" s="73"/>
      <c r="AG70" s="73"/>
      <c r="AH70" s="73"/>
      <c r="AI70" s="73"/>
    </row>
    <row r="71" customFormat="false" ht="15" hidden="false" customHeight="false" outlineLevel="0" collapsed="false">
      <c r="A71" s="71" t="str">
        <f aca="false">IF(D71="","",ROW()-1)</f>
        <v/>
      </c>
      <c r="B71" s="72"/>
      <c r="C71" s="72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4"/>
      <c r="O71" s="73"/>
      <c r="P71" s="74"/>
      <c r="Q71" s="73"/>
      <c r="R71" s="74"/>
      <c r="S71" s="75"/>
      <c r="T71" s="73"/>
      <c r="U71" s="73"/>
      <c r="V71" s="73"/>
      <c r="W71" s="73"/>
      <c r="X71" s="73"/>
      <c r="Y71" s="73"/>
      <c r="Z71" s="73"/>
      <c r="AA71" s="73"/>
      <c r="AB71" s="74"/>
      <c r="AC71" s="73"/>
      <c r="AD71" s="76"/>
      <c r="AE71" s="73"/>
      <c r="AF71" s="73"/>
      <c r="AG71" s="73"/>
      <c r="AH71" s="73"/>
      <c r="AI71" s="73"/>
    </row>
    <row r="72" customFormat="false" ht="15" hidden="false" customHeight="false" outlineLevel="0" collapsed="false">
      <c r="A72" s="71" t="str">
        <f aca="false">IF(D72="","",ROW()-1)</f>
        <v/>
      </c>
      <c r="B72" s="72"/>
      <c r="C72" s="72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4"/>
      <c r="O72" s="73"/>
      <c r="P72" s="74"/>
      <c r="Q72" s="73"/>
      <c r="R72" s="74"/>
      <c r="S72" s="75"/>
      <c r="T72" s="73"/>
      <c r="U72" s="73"/>
      <c r="V72" s="73"/>
      <c r="W72" s="73"/>
      <c r="X72" s="73"/>
      <c r="Y72" s="73"/>
      <c r="Z72" s="73"/>
      <c r="AA72" s="73"/>
      <c r="AB72" s="74"/>
      <c r="AC72" s="73"/>
      <c r="AD72" s="76"/>
      <c r="AE72" s="73"/>
      <c r="AF72" s="73"/>
      <c r="AG72" s="73"/>
      <c r="AH72" s="73"/>
      <c r="AI72" s="73"/>
    </row>
    <row r="73" customFormat="false" ht="15" hidden="false" customHeight="false" outlineLevel="0" collapsed="false">
      <c r="A73" s="71" t="str">
        <f aca="false">IF(D73="","",ROW()-1)</f>
        <v/>
      </c>
      <c r="B73" s="72"/>
      <c r="C73" s="72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4"/>
      <c r="O73" s="73"/>
      <c r="P73" s="74"/>
      <c r="Q73" s="73"/>
      <c r="R73" s="74"/>
      <c r="S73" s="75"/>
      <c r="T73" s="73"/>
      <c r="U73" s="73"/>
      <c r="V73" s="73"/>
      <c r="W73" s="73"/>
      <c r="X73" s="73"/>
      <c r="Y73" s="73"/>
      <c r="Z73" s="73"/>
      <c r="AA73" s="73"/>
      <c r="AB73" s="74"/>
      <c r="AC73" s="73"/>
      <c r="AD73" s="76"/>
      <c r="AE73" s="73"/>
      <c r="AF73" s="73"/>
      <c r="AG73" s="73"/>
      <c r="AH73" s="73"/>
      <c r="AI73" s="73"/>
    </row>
    <row r="74" customFormat="false" ht="15" hidden="false" customHeight="false" outlineLevel="0" collapsed="false">
      <c r="A74" s="71" t="str">
        <f aca="false">IF(D74="","",ROW()-1)</f>
        <v/>
      </c>
      <c r="B74" s="72"/>
      <c r="C74" s="72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4"/>
      <c r="O74" s="73"/>
      <c r="P74" s="74"/>
      <c r="Q74" s="73"/>
      <c r="R74" s="74"/>
      <c r="S74" s="75"/>
      <c r="T74" s="73"/>
      <c r="U74" s="73"/>
      <c r="V74" s="73"/>
      <c r="W74" s="73"/>
      <c r="X74" s="73"/>
      <c r="Y74" s="73"/>
      <c r="Z74" s="73"/>
      <c r="AA74" s="73"/>
      <c r="AB74" s="74"/>
      <c r="AC74" s="73"/>
      <c r="AD74" s="76"/>
      <c r="AE74" s="73"/>
      <c r="AF74" s="73"/>
      <c r="AG74" s="73"/>
      <c r="AH74" s="73"/>
      <c r="AI74" s="73"/>
    </row>
    <row r="75" customFormat="false" ht="15" hidden="false" customHeight="false" outlineLevel="0" collapsed="false">
      <c r="A75" s="71" t="str">
        <f aca="false">IF(D75="","",ROW()-1)</f>
        <v/>
      </c>
      <c r="B75" s="72"/>
      <c r="C75" s="72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4"/>
      <c r="O75" s="73"/>
      <c r="P75" s="74"/>
      <c r="Q75" s="73"/>
      <c r="R75" s="74"/>
      <c r="S75" s="75"/>
      <c r="T75" s="73"/>
      <c r="U75" s="73"/>
      <c r="V75" s="73"/>
      <c r="W75" s="73"/>
      <c r="X75" s="73"/>
      <c r="Y75" s="73"/>
      <c r="Z75" s="73"/>
      <c r="AA75" s="73"/>
      <c r="AB75" s="74"/>
      <c r="AC75" s="73"/>
      <c r="AD75" s="76"/>
      <c r="AE75" s="73"/>
      <c r="AF75" s="73"/>
      <c r="AG75" s="73"/>
      <c r="AH75" s="73"/>
      <c r="AI75" s="73"/>
    </row>
    <row r="76" customFormat="false" ht="15" hidden="false" customHeight="false" outlineLevel="0" collapsed="false">
      <c r="A76" s="71" t="str">
        <f aca="false">IF(D76="","",ROW()-1)</f>
        <v/>
      </c>
      <c r="B76" s="72"/>
      <c r="C76" s="72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4"/>
      <c r="O76" s="73"/>
      <c r="P76" s="74"/>
      <c r="Q76" s="73"/>
      <c r="R76" s="74"/>
      <c r="S76" s="75"/>
      <c r="T76" s="73"/>
      <c r="U76" s="73"/>
      <c r="V76" s="73"/>
      <c r="W76" s="73"/>
      <c r="X76" s="73"/>
      <c r="Y76" s="73"/>
      <c r="Z76" s="73"/>
      <c r="AA76" s="73"/>
      <c r="AB76" s="74"/>
      <c r="AC76" s="73"/>
      <c r="AD76" s="76"/>
      <c r="AE76" s="73"/>
      <c r="AF76" s="73"/>
      <c r="AG76" s="73"/>
      <c r="AH76" s="73"/>
      <c r="AI76" s="73"/>
    </row>
    <row r="77" customFormat="false" ht="15" hidden="false" customHeight="false" outlineLevel="0" collapsed="false">
      <c r="A77" s="71" t="str">
        <f aca="false">IF(D77="","",ROW()-1)</f>
        <v/>
      </c>
      <c r="B77" s="72"/>
      <c r="C77" s="72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4"/>
      <c r="O77" s="73"/>
      <c r="P77" s="74"/>
      <c r="Q77" s="73"/>
      <c r="R77" s="74"/>
      <c r="S77" s="75"/>
      <c r="T77" s="73"/>
      <c r="U77" s="73"/>
      <c r="V77" s="73"/>
      <c r="W77" s="73"/>
      <c r="X77" s="73"/>
      <c r="Y77" s="73"/>
      <c r="Z77" s="73"/>
      <c r="AA77" s="73"/>
      <c r="AB77" s="74"/>
      <c r="AC77" s="73"/>
      <c r="AD77" s="76"/>
      <c r="AE77" s="73"/>
      <c r="AF77" s="73"/>
      <c r="AG77" s="73"/>
      <c r="AH77" s="73"/>
      <c r="AI77" s="73"/>
    </row>
    <row r="78" customFormat="false" ht="15" hidden="false" customHeight="false" outlineLevel="0" collapsed="false">
      <c r="A78" s="71" t="str">
        <f aca="false">IF(D78="","",ROW()-1)</f>
        <v/>
      </c>
      <c r="B78" s="72"/>
      <c r="C78" s="72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4"/>
      <c r="O78" s="73"/>
      <c r="P78" s="74"/>
      <c r="Q78" s="73"/>
      <c r="R78" s="74"/>
      <c r="S78" s="75"/>
      <c r="T78" s="73"/>
      <c r="U78" s="73"/>
      <c r="V78" s="73"/>
      <c r="W78" s="73"/>
      <c r="X78" s="73"/>
      <c r="Y78" s="73"/>
      <c r="Z78" s="73"/>
      <c r="AA78" s="73"/>
      <c r="AB78" s="74"/>
      <c r="AC78" s="73"/>
      <c r="AD78" s="76"/>
      <c r="AE78" s="73"/>
      <c r="AF78" s="73"/>
      <c r="AG78" s="73"/>
      <c r="AH78" s="73"/>
      <c r="AI78" s="73"/>
    </row>
    <row r="79" customFormat="false" ht="15" hidden="false" customHeight="false" outlineLevel="0" collapsed="false">
      <c r="A79" s="71" t="str">
        <f aca="false">IF(D79="","",ROW()-1)</f>
        <v/>
      </c>
      <c r="B79" s="72"/>
      <c r="C79" s="72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4"/>
      <c r="O79" s="73"/>
      <c r="P79" s="74"/>
      <c r="Q79" s="73"/>
      <c r="R79" s="74"/>
      <c r="S79" s="75"/>
      <c r="T79" s="73"/>
      <c r="U79" s="73"/>
      <c r="V79" s="73"/>
      <c r="W79" s="73"/>
      <c r="X79" s="73"/>
      <c r="Y79" s="73"/>
      <c r="Z79" s="73"/>
      <c r="AA79" s="73"/>
      <c r="AB79" s="74"/>
      <c r="AC79" s="73"/>
      <c r="AD79" s="76"/>
      <c r="AE79" s="73"/>
      <c r="AF79" s="73"/>
      <c r="AG79" s="73"/>
      <c r="AH79" s="73"/>
      <c r="AI79" s="73"/>
    </row>
    <row r="80" customFormat="false" ht="15" hidden="false" customHeight="false" outlineLevel="0" collapsed="false">
      <c r="A80" s="71" t="str">
        <f aca="false">IF(D80="","",ROW()-1)</f>
        <v/>
      </c>
      <c r="B80" s="72"/>
      <c r="C80" s="72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4"/>
      <c r="O80" s="73"/>
      <c r="P80" s="74"/>
      <c r="Q80" s="73"/>
      <c r="R80" s="74"/>
      <c r="S80" s="75"/>
      <c r="T80" s="73"/>
      <c r="U80" s="73"/>
      <c r="V80" s="73"/>
      <c r="W80" s="73"/>
      <c r="X80" s="73"/>
      <c r="Y80" s="73"/>
      <c r="Z80" s="73"/>
      <c r="AA80" s="73"/>
      <c r="AB80" s="74"/>
      <c r="AC80" s="73"/>
      <c r="AD80" s="76"/>
      <c r="AE80" s="73"/>
      <c r="AF80" s="73"/>
      <c r="AG80" s="73"/>
      <c r="AH80" s="73"/>
      <c r="AI80" s="73"/>
    </row>
    <row r="81" customFormat="false" ht="15" hidden="false" customHeight="false" outlineLevel="0" collapsed="false">
      <c r="A81" s="71" t="str">
        <f aca="false">IF(D81="","",ROW()-1)</f>
        <v/>
      </c>
      <c r="B81" s="72"/>
      <c r="C81" s="72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4"/>
      <c r="O81" s="73"/>
      <c r="P81" s="74"/>
      <c r="Q81" s="73"/>
      <c r="R81" s="74"/>
      <c r="S81" s="75"/>
      <c r="T81" s="73"/>
      <c r="U81" s="73"/>
      <c r="V81" s="73"/>
      <c r="W81" s="73"/>
      <c r="X81" s="73"/>
      <c r="Y81" s="73"/>
      <c r="Z81" s="73"/>
      <c r="AA81" s="73"/>
      <c r="AB81" s="74"/>
      <c r="AC81" s="73"/>
      <c r="AD81" s="76"/>
      <c r="AE81" s="73"/>
      <c r="AF81" s="73"/>
      <c r="AG81" s="73"/>
      <c r="AH81" s="73"/>
      <c r="AI81" s="73"/>
    </row>
    <row r="82" customFormat="false" ht="15" hidden="false" customHeight="false" outlineLevel="0" collapsed="false">
      <c r="A82" s="71" t="str">
        <f aca="false">IF(D82="","",ROW()-1)</f>
        <v/>
      </c>
      <c r="B82" s="72"/>
      <c r="C82" s="72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4"/>
      <c r="O82" s="73"/>
      <c r="P82" s="74"/>
      <c r="Q82" s="73"/>
      <c r="R82" s="74"/>
      <c r="S82" s="75"/>
      <c r="T82" s="73"/>
      <c r="U82" s="73"/>
      <c r="V82" s="73"/>
      <c r="W82" s="73"/>
      <c r="X82" s="73"/>
      <c r="Y82" s="73"/>
      <c r="Z82" s="73"/>
      <c r="AA82" s="73"/>
      <c r="AB82" s="74"/>
      <c r="AC82" s="73"/>
      <c r="AD82" s="76"/>
      <c r="AE82" s="73"/>
      <c r="AF82" s="73"/>
      <c r="AG82" s="73"/>
      <c r="AH82" s="73"/>
      <c r="AI82" s="73"/>
    </row>
    <row r="83" customFormat="false" ht="15" hidden="false" customHeight="false" outlineLevel="0" collapsed="false">
      <c r="A83" s="71" t="str">
        <f aca="false">IF(D83="","",ROW()-1)</f>
        <v/>
      </c>
      <c r="B83" s="72"/>
      <c r="C83" s="72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4"/>
      <c r="O83" s="73"/>
      <c r="P83" s="74"/>
      <c r="Q83" s="73"/>
      <c r="R83" s="74"/>
      <c r="S83" s="75"/>
      <c r="T83" s="73"/>
      <c r="U83" s="73"/>
      <c r="V83" s="73"/>
      <c r="W83" s="73"/>
      <c r="X83" s="73"/>
      <c r="Y83" s="73"/>
      <c r="Z83" s="73"/>
      <c r="AA83" s="73"/>
      <c r="AB83" s="74"/>
      <c r="AC83" s="73"/>
      <c r="AD83" s="76"/>
      <c r="AE83" s="73"/>
      <c r="AF83" s="73"/>
      <c r="AG83" s="73"/>
      <c r="AH83" s="73"/>
      <c r="AI83" s="73"/>
    </row>
    <row r="84" customFormat="false" ht="15" hidden="false" customHeight="false" outlineLevel="0" collapsed="false">
      <c r="A84" s="71" t="str">
        <f aca="false">IF(D84="","",ROW()-1)</f>
        <v/>
      </c>
      <c r="B84" s="72"/>
      <c r="C84" s="72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4"/>
      <c r="O84" s="73"/>
      <c r="P84" s="74"/>
      <c r="Q84" s="73"/>
      <c r="R84" s="74"/>
      <c r="S84" s="75"/>
      <c r="T84" s="73"/>
      <c r="U84" s="73"/>
      <c r="V84" s="73"/>
      <c r="W84" s="73"/>
      <c r="X84" s="73"/>
      <c r="Y84" s="73"/>
      <c r="Z84" s="73"/>
      <c r="AA84" s="73"/>
      <c r="AB84" s="74"/>
      <c r="AC84" s="73"/>
      <c r="AD84" s="76"/>
      <c r="AE84" s="73"/>
      <c r="AF84" s="73"/>
      <c r="AG84" s="73"/>
      <c r="AH84" s="73"/>
      <c r="AI84" s="73"/>
    </row>
    <row r="85" customFormat="false" ht="15" hidden="false" customHeight="false" outlineLevel="0" collapsed="false">
      <c r="A85" s="71" t="str">
        <f aca="false">IF(D85="","",ROW()-1)</f>
        <v/>
      </c>
      <c r="B85" s="72"/>
      <c r="C85" s="72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4"/>
      <c r="O85" s="73"/>
      <c r="P85" s="74"/>
      <c r="Q85" s="73"/>
      <c r="R85" s="74"/>
      <c r="S85" s="75"/>
      <c r="T85" s="73"/>
      <c r="U85" s="73"/>
      <c r="V85" s="73"/>
      <c r="W85" s="73"/>
      <c r="X85" s="73"/>
      <c r="Y85" s="73"/>
      <c r="Z85" s="73"/>
      <c r="AA85" s="73"/>
      <c r="AB85" s="74"/>
      <c r="AC85" s="73"/>
      <c r="AD85" s="76"/>
      <c r="AE85" s="73"/>
      <c r="AF85" s="73"/>
      <c r="AG85" s="73"/>
      <c r="AH85" s="73"/>
      <c r="AI85" s="73"/>
    </row>
    <row r="86" customFormat="false" ht="15" hidden="false" customHeight="false" outlineLevel="0" collapsed="false">
      <c r="A86" s="71" t="str">
        <f aca="false">IF(D86="","",ROW()-1)</f>
        <v/>
      </c>
      <c r="B86" s="72"/>
      <c r="C86" s="72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4"/>
      <c r="O86" s="73"/>
      <c r="P86" s="74"/>
      <c r="Q86" s="73"/>
      <c r="R86" s="74"/>
      <c r="S86" s="75"/>
      <c r="T86" s="73"/>
      <c r="U86" s="73"/>
      <c r="V86" s="73"/>
      <c r="W86" s="73"/>
      <c r="X86" s="73"/>
      <c r="Y86" s="73"/>
      <c r="Z86" s="73"/>
      <c r="AA86" s="73"/>
      <c r="AB86" s="74"/>
      <c r="AC86" s="73"/>
      <c r="AD86" s="76"/>
      <c r="AE86" s="73"/>
      <c r="AF86" s="73"/>
      <c r="AG86" s="73"/>
      <c r="AH86" s="73"/>
      <c r="AI86" s="73"/>
    </row>
    <row r="87" customFormat="false" ht="15" hidden="false" customHeight="false" outlineLevel="0" collapsed="false">
      <c r="A87" s="71" t="str">
        <f aca="false">IF(D87="","",ROW()-1)</f>
        <v/>
      </c>
      <c r="B87" s="72"/>
      <c r="C87" s="72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4"/>
      <c r="O87" s="73"/>
      <c r="P87" s="74"/>
      <c r="Q87" s="73"/>
      <c r="R87" s="74"/>
      <c r="S87" s="75"/>
      <c r="T87" s="73"/>
      <c r="U87" s="73"/>
      <c r="V87" s="73"/>
      <c r="W87" s="73"/>
      <c r="X87" s="73"/>
      <c r="Y87" s="73"/>
      <c r="Z87" s="73"/>
      <c r="AA87" s="73"/>
      <c r="AB87" s="74"/>
      <c r="AC87" s="73"/>
      <c r="AD87" s="76"/>
      <c r="AE87" s="73"/>
      <c r="AF87" s="73"/>
      <c r="AG87" s="73"/>
      <c r="AH87" s="73"/>
      <c r="AI87" s="73"/>
    </row>
    <row r="88" customFormat="false" ht="15" hidden="false" customHeight="false" outlineLevel="0" collapsed="false">
      <c r="A88" s="71" t="str">
        <f aca="false">IF(D88="","",ROW()-1)</f>
        <v/>
      </c>
      <c r="B88" s="72"/>
      <c r="C88" s="72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4"/>
      <c r="O88" s="73"/>
      <c r="P88" s="74"/>
      <c r="Q88" s="73"/>
      <c r="R88" s="74"/>
      <c r="S88" s="75"/>
      <c r="T88" s="73"/>
      <c r="U88" s="73"/>
      <c r="V88" s="73"/>
      <c r="W88" s="73"/>
      <c r="X88" s="73"/>
      <c r="Y88" s="73"/>
      <c r="Z88" s="73"/>
      <c r="AA88" s="73"/>
      <c r="AB88" s="74"/>
      <c r="AC88" s="73"/>
      <c r="AD88" s="76"/>
      <c r="AE88" s="73"/>
      <c r="AF88" s="73"/>
      <c r="AG88" s="73"/>
      <c r="AH88" s="73"/>
      <c r="AI88" s="73"/>
    </row>
    <row r="89" customFormat="false" ht="15" hidden="false" customHeight="false" outlineLevel="0" collapsed="false">
      <c r="A89" s="71" t="str">
        <f aca="false">IF(D89="","",ROW()-1)</f>
        <v/>
      </c>
      <c r="B89" s="72"/>
      <c r="C89" s="72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4"/>
      <c r="O89" s="73"/>
      <c r="P89" s="74"/>
      <c r="Q89" s="73"/>
      <c r="R89" s="74"/>
      <c r="S89" s="75"/>
      <c r="T89" s="73"/>
      <c r="U89" s="73"/>
      <c r="V89" s="73"/>
      <c r="W89" s="73"/>
      <c r="X89" s="73"/>
      <c r="Y89" s="73"/>
      <c r="Z89" s="73"/>
      <c r="AA89" s="73"/>
      <c r="AB89" s="74"/>
      <c r="AC89" s="73"/>
      <c r="AD89" s="76"/>
      <c r="AE89" s="73"/>
      <c r="AF89" s="73"/>
      <c r="AG89" s="73"/>
      <c r="AH89" s="73"/>
      <c r="AI89" s="73"/>
    </row>
    <row r="90" customFormat="false" ht="15" hidden="false" customHeight="false" outlineLevel="0" collapsed="false">
      <c r="A90" s="71" t="str">
        <f aca="false">IF(D90="","",ROW()-1)</f>
        <v/>
      </c>
      <c r="B90" s="72"/>
      <c r="C90" s="72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4"/>
      <c r="O90" s="73"/>
      <c r="P90" s="74"/>
      <c r="Q90" s="73"/>
      <c r="R90" s="74"/>
      <c r="S90" s="75"/>
      <c r="T90" s="73"/>
      <c r="U90" s="73"/>
      <c r="V90" s="73"/>
      <c r="W90" s="73"/>
      <c r="X90" s="73"/>
      <c r="Y90" s="73"/>
      <c r="Z90" s="73"/>
      <c r="AA90" s="73"/>
      <c r="AB90" s="74"/>
      <c r="AC90" s="73"/>
      <c r="AD90" s="76"/>
      <c r="AE90" s="73"/>
      <c r="AF90" s="73"/>
      <c r="AG90" s="73"/>
      <c r="AH90" s="73"/>
      <c r="AI90" s="73"/>
    </row>
    <row r="91" customFormat="false" ht="15" hidden="false" customHeight="false" outlineLevel="0" collapsed="false">
      <c r="A91" s="71" t="str">
        <f aca="false">IF(D91="","",ROW()-1)</f>
        <v/>
      </c>
      <c r="B91" s="72"/>
      <c r="C91" s="72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4"/>
      <c r="O91" s="73"/>
      <c r="P91" s="74"/>
      <c r="Q91" s="73"/>
      <c r="R91" s="74"/>
      <c r="S91" s="75"/>
      <c r="T91" s="73"/>
      <c r="U91" s="73"/>
      <c r="V91" s="73"/>
      <c r="W91" s="73"/>
      <c r="X91" s="73"/>
      <c r="Y91" s="73"/>
      <c r="Z91" s="73"/>
      <c r="AA91" s="73"/>
      <c r="AB91" s="74"/>
      <c r="AC91" s="73"/>
      <c r="AD91" s="76"/>
      <c r="AE91" s="73"/>
      <c r="AF91" s="73"/>
      <c r="AG91" s="73"/>
      <c r="AH91" s="73"/>
      <c r="AI91" s="73"/>
    </row>
    <row r="92" customFormat="false" ht="15" hidden="false" customHeight="false" outlineLevel="0" collapsed="false">
      <c r="A92" s="71" t="str">
        <f aca="false">IF(D92="","",ROW()-1)</f>
        <v/>
      </c>
      <c r="B92" s="72"/>
      <c r="C92" s="72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4"/>
      <c r="O92" s="73"/>
      <c r="P92" s="74"/>
      <c r="Q92" s="73"/>
      <c r="R92" s="74"/>
      <c r="S92" s="75"/>
      <c r="T92" s="73"/>
      <c r="U92" s="73"/>
      <c r="V92" s="73"/>
      <c r="W92" s="73"/>
      <c r="X92" s="73"/>
      <c r="Y92" s="73"/>
      <c r="Z92" s="73"/>
      <c r="AA92" s="73"/>
      <c r="AB92" s="74"/>
      <c r="AC92" s="73"/>
      <c r="AD92" s="76"/>
      <c r="AE92" s="73"/>
      <c r="AF92" s="73"/>
      <c r="AG92" s="73"/>
      <c r="AH92" s="73"/>
      <c r="AI92" s="73"/>
    </row>
    <row r="93" customFormat="false" ht="15" hidden="false" customHeight="false" outlineLevel="0" collapsed="false">
      <c r="A93" s="71" t="str">
        <f aca="false">IF(D93="","",ROW()-1)</f>
        <v/>
      </c>
      <c r="B93" s="72"/>
      <c r="C93" s="72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4"/>
      <c r="O93" s="73"/>
      <c r="P93" s="74"/>
      <c r="Q93" s="73"/>
      <c r="R93" s="74"/>
      <c r="S93" s="75"/>
      <c r="T93" s="73"/>
      <c r="U93" s="73"/>
      <c r="V93" s="73"/>
      <c r="W93" s="73"/>
      <c r="X93" s="73"/>
      <c r="Y93" s="73"/>
      <c r="Z93" s="73"/>
      <c r="AA93" s="73"/>
      <c r="AB93" s="74"/>
      <c r="AC93" s="73"/>
      <c r="AD93" s="76"/>
      <c r="AE93" s="73"/>
      <c r="AF93" s="73"/>
      <c r="AG93" s="73"/>
      <c r="AH93" s="73"/>
      <c r="AI93" s="73"/>
    </row>
    <row r="94" customFormat="false" ht="15" hidden="false" customHeight="false" outlineLevel="0" collapsed="false">
      <c r="A94" s="71" t="str">
        <f aca="false">IF(D94="","",ROW()-1)</f>
        <v/>
      </c>
      <c r="B94" s="72"/>
      <c r="C94" s="72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4"/>
      <c r="O94" s="73"/>
      <c r="P94" s="74"/>
      <c r="Q94" s="73"/>
      <c r="R94" s="74"/>
      <c r="S94" s="75"/>
      <c r="T94" s="73"/>
      <c r="U94" s="73"/>
      <c r="V94" s="73"/>
      <c r="W94" s="73"/>
      <c r="X94" s="73"/>
      <c r="Y94" s="73"/>
      <c r="Z94" s="73"/>
      <c r="AA94" s="73"/>
      <c r="AB94" s="74"/>
      <c r="AC94" s="73"/>
      <c r="AD94" s="76"/>
      <c r="AE94" s="73"/>
      <c r="AF94" s="73"/>
      <c r="AG94" s="73"/>
      <c r="AH94" s="73"/>
      <c r="AI94" s="73"/>
    </row>
    <row r="95" customFormat="false" ht="15" hidden="false" customHeight="false" outlineLevel="0" collapsed="false">
      <c r="A95" s="71" t="str">
        <f aca="false">IF(D95="","",ROW()-1)</f>
        <v/>
      </c>
      <c r="B95" s="72"/>
      <c r="C95" s="72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4"/>
      <c r="O95" s="73"/>
      <c r="P95" s="74"/>
      <c r="Q95" s="73"/>
      <c r="R95" s="74"/>
      <c r="S95" s="75"/>
      <c r="T95" s="73"/>
      <c r="U95" s="73"/>
      <c r="V95" s="73"/>
      <c r="W95" s="73"/>
      <c r="X95" s="73"/>
      <c r="Y95" s="73"/>
      <c r="Z95" s="73"/>
      <c r="AA95" s="73"/>
      <c r="AB95" s="74"/>
      <c r="AC95" s="73"/>
      <c r="AD95" s="76"/>
      <c r="AE95" s="73"/>
      <c r="AF95" s="73"/>
      <c r="AG95" s="73"/>
      <c r="AH95" s="73"/>
      <c r="AI95" s="73"/>
    </row>
    <row r="96" customFormat="false" ht="15" hidden="false" customHeight="false" outlineLevel="0" collapsed="false">
      <c r="A96" s="71" t="str">
        <f aca="false">IF(D96="","",ROW()-1)</f>
        <v/>
      </c>
      <c r="B96" s="72"/>
      <c r="C96" s="72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4"/>
      <c r="O96" s="73"/>
      <c r="P96" s="74"/>
      <c r="Q96" s="73"/>
      <c r="R96" s="74"/>
      <c r="S96" s="75"/>
      <c r="T96" s="73"/>
      <c r="U96" s="73"/>
      <c r="V96" s="73"/>
      <c r="W96" s="73"/>
      <c r="X96" s="73"/>
      <c r="Y96" s="73"/>
      <c r="Z96" s="73"/>
      <c r="AA96" s="73"/>
      <c r="AB96" s="74"/>
      <c r="AC96" s="73"/>
      <c r="AD96" s="76"/>
      <c r="AE96" s="73"/>
      <c r="AF96" s="73"/>
      <c r="AG96" s="73"/>
      <c r="AH96" s="73"/>
      <c r="AI96" s="73"/>
    </row>
    <row r="97" customFormat="false" ht="15" hidden="false" customHeight="false" outlineLevel="0" collapsed="false">
      <c r="A97" s="71" t="str">
        <f aca="false">IF(D97="","",ROW()-1)</f>
        <v/>
      </c>
      <c r="B97" s="72"/>
      <c r="C97" s="72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4"/>
      <c r="O97" s="73"/>
      <c r="P97" s="74"/>
      <c r="Q97" s="73"/>
      <c r="R97" s="74"/>
      <c r="S97" s="75"/>
      <c r="T97" s="73"/>
      <c r="U97" s="73"/>
      <c r="V97" s="73"/>
      <c r="W97" s="73"/>
      <c r="X97" s="73"/>
      <c r="Y97" s="73"/>
      <c r="Z97" s="73"/>
      <c r="AA97" s="73"/>
      <c r="AB97" s="74"/>
      <c r="AC97" s="73"/>
      <c r="AD97" s="76"/>
      <c r="AE97" s="73"/>
      <c r="AF97" s="73"/>
      <c r="AG97" s="73"/>
      <c r="AH97" s="73"/>
      <c r="AI97" s="73"/>
    </row>
    <row r="98" customFormat="false" ht="15" hidden="false" customHeight="false" outlineLevel="0" collapsed="false">
      <c r="A98" s="71" t="str">
        <f aca="false">IF(D98="","",ROW()-1)</f>
        <v/>
      </c>
      <c r="B98" s="72"/>
      <c r="C98" s="72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4"/>
      <c r="O98" s="73"/>
      <c r="P98" s="74"/>
      <c r="Q98" s="73"/>
      <c r="R98" s="74"/>
      <c r="S98" s="75"/>
      <c r="T98" s="73"/>
      <c r="U98" s="73"/>
      <c r="V98" s="73"/>
      <c r="W98" s="73"/>
      <c r="X98" s="73"/>
      <c r="Y98" s="73"/>
      <c r="Z98" s="73"/>
      <c r="AA98" s="73"/>
      <c r="AB98" s="74"/>
      <c r="AC98" s="73"/>
      <c r="AD98" s="76"/>
      <c r="AE98" s="73"/>
      <c r="AF98" s="73"/>
      <c r="AG98" s="73"/>
      <c r="AH98" s="73"/>
      <c r="AI98" s="73"/>
    </row>
    <row r="99" customFormat="false" ht="15" hidden="false" customHeight="false" outlineLevel="0" collapsed="false">
      <c r="A99" s="71" t="str">
        <f aca="false">IF(D99="","",ROW()-1)</f>
        <v/>
      </c>
      <c r="B99" s="72"/>
      <c r="C99" s="72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4"/>
      <c r="O99" s="73"/>
      <c r="P99" s="74"/>
      <c r="Q99" s="73"/>
      <c r="R99" s="74"/>
      <c r="S99" s="75"/>
      <c r="T99" s="73"/>
      <c r="U99" s="73"/>
      <c r="V99" s="73"/>
      <c r="W99" s="73"/>
      <c r="X99" s="73"/>
      <c r="Y99" s="73"/>
      <c r="Z99" s="73"/>
      <c r="AA99" s="73"/>
      <c r="AB99" s="74"/>
      <c r="AC99" s="73"/>
      <c r="AD99" s="76"/>
      <c r="AE99" s="73"/>
      <c r="AF99" s="73"/>
      <c r="AG99" s="73"/>
      <c r="AH99" s="73"/>
      <c r="AI99" s="73"/>
    </row>
    <row r="100" customFormat="false" ht="15" hidden="false" customHeight="false" outlineLevel="0" collapsed="false">
      <c r="A100" s="71" t="str">
        <f aca="false">IF(D100="","",ROW()-1)</f>
        <v/>
      </c>
      <c r="B100" s="72"/>
      <c r="C100" s="72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4"/>
      <c r="O100" s="73"/>
      <c r="P100" s="74"/>
      <c r="Q100" s="73"/>
      <c r="R100" s="74"/>
      <c r="S100" s="75"/>
      <c r="T100" s="73"/>
      <c r="U100" s="73"/>
      <c r="V100" s="73"/>
      <c r="W100" s="73"/>
      <c r="X100" s="73"/>
      <c r="Y100" s="73"/>
      <c r="Z100" s="73"/>
      <c r="AA100" s="73"/>
      <c r="AB100" s="74"/>
      <c r="AC100" s="73"/>
      <c r="AD100" s="76"/>
      <c r="AE100" s="73"/>
      <c r="AF100" s="73"/>
      <c r="AG100" s="73"/>
      <c r="AH100" s="73"/>
      <c r="AI100" s="73"/>
    </row>
    <row r="101" customFormat="false" ht="15" hidden="false" customHeight="false" outlineLevel="0" collapsed="false">
      <c r="A101" s="71" t="str">
        <f aca="false">IF(D101="","",ROW()-1)</f>
        <v/>
      </c>
      <c r="B101" s="72"/>
      <c r="C101" s="72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4"/>
      <c r="O101" s="73"/>
      <c r="P101" s="74"/>
      <c r="Q101" s="73"/>
      <c r="R101" s="74"/>
      <c r="S101" s="75"/>
      <c r="T101" s="73"/>
      <c r="U101" s="73"/>
      <c r="V101" s="73"/>
      <c r="W101" s="73"/>
      <c r="X101" s="73"/>
      <c r="Y101" s="73"/>
      <c r="Z101" s="73"/>
      <c r="AA101" s="73"/>
      <c r="AB101" s="74"/>
      <c r="AC101" s="73"/>
      <c r="AD101" s="76"/>
      <c r="AE101" s="73"/>
      <c r="AF101" s="73"/>
      <c r="AG101" s="73"/>
      <c r="AH101" s="73"/>
      <c r="AI101" s="73"/>
    </row>
    <row r="102" customFormat="false" ht="15" hidden="false" customHeight="false" outlineLevel="0" collapsed="false">
      <c r="A102" s="71" t="str">
        <f aca="false">IF(D102="","",ROW()-1)</f>
        <v/>
      </c>
      <c r="B102" s="72"/>
      <c r="C102" s="72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4"/>
      <c r="O102" s="73"/>
      <c r="P102" s="74"/>
      <c r="Q102" s="73"/>
      <c r="R102" s="74"/>
      <c r="S102" s="75"/>
      <c r="T102" s="73"/>
      <c r="U102" s="73"/>
      <c r="V102" s="73"/>
      <c r="W102" s="73"/>
      <c r="X102" s="73"/>
      <c r="Y102" s="73"/>
      <c r="Z102" s="73"/>
      <c r="AA102" s="73"/>
      <c r="AB102" s="74"/>
      <c r="AC102" s="73"/>
      <c r="AD102" s="76"/>
      <c r="AE102" s="73"/>
      <c r="AF102" s="73"/>
      <c r="AG102" s="73"/>
      <c r="AH102" s="73"/>
      <c r="AI102" s="73"/>
    </row>
    <row r="103" customFormat="false" ht="15" hidden="false" customHeight="false" outlineLevel="0" collapsed="false">
      <c r="A103" s="71" t="str">
        <f aca="false">IF(D103="","",ROW()-1)</f>
        <v/>
      </c>
      <c r="B103" s="72"/>
      <c r="C103" s="72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4"/>
      <c r="O103" s="73"/>
      <c r="P103" s="74"/>
      <c r="Q103" s="73"/>
      <c r="R103" s="74"/>
      <c r="S103" s="75"/>
      <c r="T103" s="73"/>
      <c r="U103" s="73"/>
      <c r="V103" s="73"/>
      <c r="W103" s="73"/>
      <c r="X103" s="73"/>
      <c r="Y103" s="73"/>
      <c r="Z103" s="73"/>
      <c r="AA103" s="73"/>
      <c r="AB103" s="74"/>
      <c r="AC103" s="73"/>
      <c r="AD103" s="76"/>
      <c r="AE103" s="73"/>
      <c r="AF103" s="73"/>
      <c r="AG103" s="73"/>
      <c r="AH103" s="73"/>
      <c r="AI103" s="73"/>
    </row>
    <row r="104" customFormat="false" ht="15" hidden="false" customHeight="false" outlineLevel="0" collapsed="false">
      <c r="A104" s="71" t="str">
        <f aca="false">IF(D104="","",ROW()-1)</f>
        <v/>
      </c>
      <c r="B104" s="72"/>
      <c r="C104" s="72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4"/>
      <c r="O104" s="73"/>
      <c r="P104" s="74"/>
      <c r="Q104" s="73"/>
      <c r="R104" s="74"/>
      <c r="S104" s="75"/>
      <c r="T104" s="73"/>
      <c r="U104" s="73"/>
      <c r="V104" s="73"/>
      <c r="W104" s="73"/>
      <c r="X104" s="73"/>
      <c r="Y104" s="73"/>
      <c r="Z104" s="73"/>
      <c r="AA104" s="73"/>
      <c r="AB104" s="74"/>
      <c r="AC104" s="73"/>
      <c r="AD104" s="76"/>
      <c r="AE104" s="73"/>
      <c r="AF104" s="73"/>
      <c r="AG104" s="73"/>
      <c r="AH104" s="73"/>
      <c r="AI104" s="73"/>
    </row>
    <row r="105" customFormat="false" ht="15" hidden="false" customHeight="false" outlineLevel="0" collapsed="false">
      <c r="A105" s="71" t="str">
        <f aca="false">IF(D105="","",ROW()-1)</f>
        <v/>
      </c>
      <c r="B105" s="72"/>
      <c r="C105" s="72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4"/>
      <c r="O105" s="73"/>
      <c r="P105" s="74"/>
      <c r="Q105" s="73"/>
      <c r="R105" s="74"/>
      <c r="S105" s="75"/>
      <c r="T105" s="73"/>
      <c r="U105" s="73"/>
      <c r="V105" s="73"/>
      <c r="W105" s="73"/>
      <c r="X105" s="73"/>
      <c r="Y105" s="73"/>
      <c r="Z105" s="73"/>
      <c r="AA105" s="73"/>
      <c r="AB105" s="74"/>
      <c r="AC105" s="73"/>
      <c r="AD105" s="76"/>
      <c r="AE105" s="73"/>
      <c r="AF105" s="73"/>
      <c r="AG105" s="73"/>
      <c r="AH105" s="73"/>
      <c r="AI105" s="73"/>
    </row>
    <row r="106" customFormat="false" ht="15" hidden="false" customHeight="false" outlineLevel="0" collapsed="false">
      <c r="A106" s="71" t="str">
        <f aca="false">IF(D106="","",ROW()-1)</f>
        <v/>
      </c>
      <c r="B106" s="72"/>
      <c r="C106" s="72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4"/>
      <c r="O106" s="73"/>
      <c r="P106" s="74"/>
      <c r="Q106" s="73"/>
      <c r="R106" s="74"/>
      <c r="S106" s="75"/>
      <c r="T106" s="73"/>
      <c r="U106" s="73"/>
      <c r="V106" s="73"/>
      <c r="W106" s="73"/>
      <c r="X106" s="73"/>
      <c r="Y106" s="73"/>
      <c r="Z106" s="73"/>
      <c r="AA106" s="73"/>
      <c r="AB106" s="74"/>
      <c r="AC106" s="73"/>
      <c r="AD106" s="76"/>
      <c r="AE106" s="73"/>
      <c r="AF106" s="73"/>
      <c r="AG106" s="73"/>
      <c r="AH106" s="73"/>
      <c r="AI106" s="73"/>
    </row>
    <row r="107" customFormat="false" ht="15" hidden="false" customHeight="false" outlineLevel="0" collapsed="false">
      <c r="A107" s="71" t="str">
        <f aca="false">IF(D107="","",ROW()-1)</f>
        <v/>
      </c>
      <c r="B107" s="72"/>
      <c r="C107" s="72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4"/>
      <c r="O107" s="73"/>
      <c r="P107" s="74"/>
      <c r="Q107" s="73"/>
      <c r="R107" s="74"/>
      <c r="S107" s="75"/>
      <c r="T107" s="73"/>
      <c r="U107" s="73"/>
      <c r="V107" s="73"/>
      <c r="W107" s="73"/>
      <c r="X107" s="73"/>
      <c r="Y107" s="73"/>
      <c r="Z107" s="73"/>
      <c r="AA107" s="73"/>
      <c r="AB107" s="74"/>
      <c r="AC107" s="73"/>
      <c r="AD107" s="76"/>
      <c r="AE107" s="73"/>
      <c r="AF107" s="73"/>
      <c r="AG107" s="73"/>
      <c r="AH107" s="73"/>
      <c r="AI107" s="73"/>
    </row>
    <row r="108" customFormat="false" ht="15" hidden="false" customHeight="false" outlineLevel="0" collapsed="false">
      <c r="A108" s="71" t="str">
        <f aca="false">IF(D108="","",ROW()-1)</f>
        <v/>
      </c>
      <c r="B108" s="72"/>
      <c r="C108" s="72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4"/>
      <c r="O108" s="73"/>
      <c r="P108" s="74"/>
      <c r="Q108" s="73"/>
      <c r="R108" s="74"/>
      <c r="S108" s="75"/>
      <c r="T108" s="73"/>
      <c r="U108" s="73"/>
      <c r="V108" s="73"/>
      <c r="W108" s="73"/>
      <c r="X108" s="73"/>
      <c r="Y108" s="73"/>
      <c r="Z108" s="73"/>
      <c r="AA108" s="73"/>
      <c r="AB108" s="74"/>
      <c r="AC108" s="73"/>
      <c r="AD108" s="76"/>
      <c r="AE108" s="73"/>
      <c r="AF108" s="73"/>
      <c r="AG108" s="73"/>
      <c r="AH108" s="73"/>
      <c r="AI108" s="73"/>
    </row>
    <row r="109" customFormat="false" ht="15" hidden="false" customHeight="false" outlineLevel="0" collapsed="false">
      <c r="A109" s="71" t="str">
        <f aca="false">IF(D109="","",ROW()-1)</f>
        <v/>
      </c>
      <c r="B109" s="72"/>
      <c r="C109" s="72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4"/>
      <c r="O109" s="73"/>
      <c r="P109" s="74"/>
      <c r="Q109" s="73"/>
      <c r="R109" s="74"/>
      <c r="S109" s="75"/>
      <c r="T109" s="73"/>
      <c r="U109" s="73"/>
      <c r="V109" s="73"/>
      <c r="W109" s="73"/>
      <c r="X109" s="73"/>
      <c r="Y109" s="73"/>
      <c r="Z109" s="73"/>
      <c r="AA109" s="73"/>
      <c r="AB109" s="74"/>
      <c r="AC109" s="73"/>
      <c r="AD109" s="76"/>
      <c r="AE109" s="73"/>
      <c r="AF109" s="73"/>
      <c r="AG109" s="73"/>
      <c r="AH109" s="73"/>
      <c r="AI109" s="73"/>
    </row>
    <row r="110" customFormat="false" ht="15" hidden="false" customHeight="false" outlineLevel="0" collapsed="false">
      <c r="A110" s="71" t="str">
        <f aca="false">IF(D110="","",ROW()-1)</f>
        <v/>
      </c>
      <c r="B110" s="72"/>
      <c r="C110" s="72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4"/>
      <c r="O110" s="73"/>
      <c r="P110" s="74"/>
      <c r="Q110" s="73"/>
      <c r="R110" s="74"/>
      <c r="S110" s="75"/>
      <c r="T110" s="73"/>
      <c r="U110" s="73"/>
      <c r="V110" s="73"/>
      <c r="W110" s="73"/>
      <c r="X110" s="73"/>
      <c r="Y110" s="73"/>
      <c r="Z110" s="73"/>
      <c r="AA110" s="73"/>
      <c r="AB110" s="74"/>
      <c r="AC110" s="73"/>
      <c r="AD110" s="76"/>
      <c r="AE110" s="73"/>
      <c r="AF110" s="73"/>
      <c r="AG110" s="73"/>
      <c r="AH110" s="73"/>
      <c r="AI110" s="73"/>
    </row>
    <row r="111" customFormat="false" ht="15" hidden="false" customHeight="false" outlineLevel="0" collapsed="false">
      <c r="A111" s="71" t="str">
        <f aca="false">IF(D111="","",ROW()-1)</f>
        <v/>
      </c>
      <c r="B111" s="72"/>
      <c r="C111" s="72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4"/>
      <c r="O111" s="73"/>
      <c r="P111" s="74"/>
      <c r="Q111" s="73"/>
      <c r="R111" s="74"/>
      <c r="S111" s="75"/>
      <c r="T111" s="73"/>
      <c r="U111" s="73"/>
      <c r="V111" s="73"/>
      <c r="W111" s="73"/>
      <c r="X111" s="73"/>
      <c r="Y111" s="73"/>
      <c r="Z111" s="73"/>
      <c r="AA111" s="73"/>
      <c r="AB111" s="74"/>
      <c r="AC111" s="73"/>
      <c r="AD111" s="76"/>
      <c r="AE111" s="73"/>
      <c r="AF111" s="73"/>
      <c r="AG111" s="73"/>
      <c r="AH111" s="73"/>
      <c r="AI111" s="73"/>
    </row>
    <row r="112" customFormat="false" ht="15" hidden="false" customHeight="false" outlineLevel="0" collapsed="false">
      <c r="A112" s="71" t="str">
        <f aca="false">IF(D112="","",ROW()-1)</f>
        <v/>
      </c>
      <c r="B112" s="72"/>
      <c r="C112" s="72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4"/>
      <c r="O112" s="73"/>
      <c r="P112" s="74"/>
      <c r="Q112" s="73"/>
      <c r="R112" s="74"/>
      <c r="S112" s="75"/>
      <c r="T112" s="73"/>
      <c r="U112" s="73"/>
      <c r="V112" s="73"/>
      <c r="W112" s="73"/>
      <c r="X112" s="73"/>
      <c r="Y112" s="73"/>
      <c r="Z112" s="73"/>
      <c r="AA112" s="73"/>
      <c r="AB112" s="74"/>
      <c r="AC112" s="73"/>
      <c r="AD112" s="76"/>
      <c r="AE112" s="73"/>
      <c r="AF112" s="73"/>
      <c r="AG112" s="73"/>
      <c r="AH112" s="73"/>
      <c r="AI112" s="73"/>
    </row>
    <row r="113" customFormat="false" ht="15" hidden="false" customHeight="false" outlineLevel="0" collapsed="false">
      <c r="A113" s="71" t="str">
        <f aca="false">IF(D113="","",ROW()-1)</f>
        <v/>
      </c>
      <c r="B113" s="72"/>
      <c r="C113" s="72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4"/>
      <c r="O113" s="73"/>
      <c r="P113" s="74"/>
      <c r="Q113" s="73"/>
      <c r="R113" s="74"/>
      <c r="S113" s="75"/>
      <c r="T113" s="73"/>
      <c r="U113" s="73"/>
      <c r="V113" s="73"/>
      <c r="W113" s="73"/>
      <c r="X113" s="73"/>
      <c r="Y113" s="73"/>
      <c r="Z113" s="73"/>
      <c r="AA113" s="73"/>
      <c r="AB113" s="74"/>
      <c r="AC113" s="73"/>
      <c r="AD113" s="76"/>
      <c r="AE113" s="73"/>
      <c r="AF113" s="73"/>
      <c r="AG113" s="73"/>
      <c r="AH113" s="73"/>
      <c r="AI113" s="73"/>
    </row>
    <row r="114" customFormat="false" ht="15" hidden="false" customHeight="false" outlineLevel="0" collapsed="false">
      <c r="A114" s="71" t="str">
        <f aca="false">IF(D114="","",ROW()-1)</f>
        <v/>
      </c>
      <c r="B114" s="72"/>
      <c r="C114" s="72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4"/>
      <c r="O114" s="73"/>
      <c r="P114" s="74"/>
      <c r="Q114" s="73"/>
      <c r="R114" s="74"/>
      <c r="S114" s="75"/>
      <c r="T114" s="73"/>
      <c r="U114" s="73"/>
      <c r="V114" s="73"/>
      <c r="W114" s="73"/>
      <c r="X114" s="73"/>
      <c r="Y114" s="73"/>
      <c r="Z114" s="73"/>
      <c r="AA114" s="73"/>
      <c r="AB114" s="74"/>
      <c r="AC114" s="73"/>
      <c r="AD114" s="76"/>
      <c r="AE114" s="73"/>
      <c r="AF114" s="73"/>
      <c r="AG114" s="73"/>
      <c r="AH114" s="73"/>
      <c r="AI114" s="73"/>
    </row>
    <row r="115" customFormat="false" ht="15" hidden="false" customHeight="false" outlineLevel="0" collapsed="false">
      <c r="A115" s="71" t="str">
        <f aca="false">IF(D115="","",ROW()-1)</f>
        <v/>
      </c>
      <c r="B115" s="72"/>
      <c r="C115" s="72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4"/>
      <c r="O115" s="73"/>
      <c r="P115" s="74"/>
      <c r="Q115" s="73"/>
      <c r="R115" s="74"/>
      <c r="S115" s="75"/>
      <c r="T115" s="73"/>
      <c r="U115" s="73"/>
      <c r="V115" s="73"/>
      <c r="W115" s="73"/>
      <c r="X115" s="73"/>
      <c r="Y115" s="73"/>
      <c r="Z115" s="73"/>
      <c r="AA115" s="73"/>
      <c r="AB115" s="74"/>
      <c r="AC115" s="73"/>
      <c r="AD115" s="76"/>
      <c r="AE115" s="73"/>
      <c r="AF115" s="73"/>
      <c r="AG115" s="73"/>
      <c r="AH115" s="73"/>
      <c r="AI115" s="73"/>
    </row>
    <row r="116" customFormat="false" ht="15" hidden="false" customHeight="false" outlineLevel="0" collapsed="false">
      <c r="A116" s="71" t="str">
        <f aca="false">IF(D116="","",ROW()-1)</f>
        <v/>
      </c>
      <c r="B116" s="72"/>
      <c r="C116" s="72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4"/>
      <c r="O116" s="73"/>
      <c r="P116" s="74"/>
      <c r="Q116" s="73"/>
      <c r="R116" s="74"/>
      <c r="S116" s="75"/>
      <c r="T116" s="73"/>
      <c r="U116" s="73"/>
      <c r="V116" s="73"/>
      <c r="W116" s="73"/>
      <c r="X116" s="73"/>
      <c r="Y116" s="73"/>
      <c r="Z116" s="73"/>
      <c r="AA116" s="73"/>
      <c r="AB116" s="74"/>
      <c r="AC116" s="73"/>
      <c r="AD116" s="76"/>
      <c r="AE116" s="73"/>
      <c r="AF116" s="73"/>
      <c r="AG116" s="73"/>
      <c r="AH116" s="73"/>
      <c r="AI116" s="73"/>
    </row>
    <row r="117" customFormat="false" ht="15" hidden="false" customHeight="false" outlineLevel="0" collapsed="false">
      <c r="A117" s="71" t="str">
        <f aca="false">IF(D117="","",ROW()-1)</f>
        <v/>
      </c>
      <c r="B117" s="72"/>
      <c r="C117" s="72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4"/>
      <c r="O117" s="73"/>
      <c r="P117" s="74"/>
      <c r="Q117" s="73"/>
      <c r="R117" s="74"/>
      <c r="S117" s="75"/>
      <c r="T117" s="73"/>
      <c r="U117" s="73"/>
      <c r="V117" s="73"/>
      <c r="W117" s="73"/>
      <c r="X117" s="73"/>
      <c r="Y117" s="73"/>
      <c r="Z117" s="73"/>
      <c r="AA117" s="73"/>
      <c r="AB117" s="74"/>
      <c r="AC117" s="73"/>
      <c r="AD117" s="76"/>
      <c r="AE117" s="73"/>
      <c r="AF117" s="73"/>
      <c r="AG117" s="73"/>
      <c r="AH117" s="73"/>
      <c r="AI117" s="73"/>
    </row>
    <row r="118" customFormat="false" ht="15" hidden="false" customHeight="false" outlineLevel="0" collapsed="false">
      <c r="A118" s="71" t="str">
        <f aca="false">IF(D118="","",ROW()-1)</f>
        <v/>
      </c>
      <c r="B118" s="72"/>
      <c r="C118" s="72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4"/>
      <c r="O118" s="73"/>
      <c r="P118" s="74"/>
      <c r="Q118" s="73"/>
      <c r="R118" s="74"/>
      <c r="S118" s="75"/>
      <c r="T118" s="73"/>
      <c r="U118" s="73"/>
      <c r="V118" s="73"/>
      <c r="W118" s="73"/>
      <c r="X118" s="73"/>
      <c r="Y118" s="73"/>
      <c r="Z118" s="73"/>
      <c r="AA118" s="73"/>
      <c r="AB118" s="74"/>
      <c r="AC118" s="73"/>
      <c r="AD118" s="76"/>
      <c r="AE118" s="73"/>
      <c r="AF118" s="73"/>
      <c r="AG118" s="73"/>
      <c r="AH118" s="73"/>
      <c r="AI118" s="73"/>
    </row>
    <row r="119" customFormat="false" ht="15" hidden="false" customHeight="false" outlineLevel="0" collapsed="false">
      <c r="A119" s="71" t="str">
        <f aca="false">IF(D119="","",ROW()-1)</f>
        <v/>
      </c>
      <c r="B119" s="72"/>
      <c r="C119" s="72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4"/>
      <c r="O119" s="73"/>
      <c r="P119" s="74"/>
      <c r="Q119" s="73"/>
      <c r="R119" s="74"/>
      <c r="S119" s="75"/>
      <c r="T119" s="73"/>
      <c r="U119" s="73"/>
      <c r="V119" s="73"/>
      <c r="W119" s="73"/>
      <c r="X119" s="73"/>
      <c r="Y119" s="73"/>
      <c r="Z119" s="73"/>
      <c r="AA119" s="73"/>
      <c r="AB119" s="74"/>
      <c r="AC119" s="73"/>
      <c r="AD119" s="76"/>
      <c r="AE119" s="73"/>
      <c r="AF119" s="73"/>
      <c r="AG119" s="73"/>
      <c r="AH119" s="73"/>
      <c r="AI119" s="73"/>
    </row>
    <row r="120" customFormat="false" ht="15" hidden="false" customHeight="false" outlineLevel="0" collapsed="false">
      <c r="A120" s="71" t="str">
        <f aca="false">IF(D120="","",ROW()-1)</f>
        <v/>
      </c>
      <c r="B120" s="72"/>
      <c r="C120" s="72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4"/>
      <c r="O120" s="73"/>
      <c r="P120" s="74"/>
      <c r="Q120" s="73"/>
      <c r="R120" s="74"/>
      <c r="S120" s="75"/>
      <c r="T120" s="73"/>
      <c r="U120" s="73"/>
      <c r="V120" s="73"/>
      <c r="W120" s="73"/>
      <c r="X120" s="73"/>
      <c r="Y120" s="73"/>
      <c r="Z120" s="73"/>
      <c r="AA120" s="73"/>
      <c r="AB120" s="74"/>
      <c r="AC120" s="73"/>
      <c r="AD120" s="76"/>
      <c r="AE120" s="73"/>
      <c r="AF120" s="73"/>
      <c r="AG120" s="73"/>
      <c r="AH120" s="73"/>
      <c r="AI120" s="73"/>
    </row>
    <row r="121" customFormat="false" ht="15" hidden="false" customHeight="false" outlineLevel="0" collapsed="false">
      <c r="A121" s="71" t="str">
        <f aca="false">IF(D121="","",ROW()-1)</f>
        <v/>
      </c>
      <c r="B121" s="72"/>
      <c r="C121" s="72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4"/>
      <c r="O121" s="73"/>
      <c r="P121" s="74"/>
      <c r="Q121" s="73"/>
      <c r="R121" s="74"/>
      <c r="S121" s="75"/>
      <c r="T121" s="73"/>
      <c r="U121" s="73"/>
      <c r="V121" s="73"/>
      <c r="W121" s="73"/>
      <c r="X121" s="73"/>
      <c r="Y121" s="73"/>
      <c r="Z121" s="73"/>
      <c r="AA121" s="73"/>
      <c r="AB121" s="74"/>
      <c r="AC121" s="73"/>
      <c r="AD121" s="76"/>
      <c r="AE121" s="73"/>
      <c r="AF121" s="73"/>
      <c r="AG121" s="73"/>
      <c r="AH121" s="73"/>
      <c r="AI121" s="73"/>
    </row>
    <row r="122" customFormat="false" ht="15" hidden="false" customHeight="false" outlineLevel="0" collapsed="false">
      <c r="A122" s="71" t="str">
        <f aca="false">IF(D122="","",ROW()-1)</f>
        <v/>
      </c>
      <c r="B122" s="72"/>
      <c r="C122" s="72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4"/>
      <c r="O122" s="73"/>
      <c r="P122" s="74"/>
      <c r="Q122" s="73"/>
      <c r="R122" s="74"/>
      <c r="S122" s="75"/>
      <c r="T122" s="73"/>
      <c r="U122" s="73"/>
      <c r="V122" s="73"/>
      <c r="W122" s="73"/>
      <c r="X122" s="73"/>
      <c r="Y122" s="73"/>
      <c r="Z122" s="73"/>
      <c r="AA122" s="73"/>
      <c r="AB122" s="74"/>
      <c r="AC122" s="73"/>
      <c r="AD122" s="76"/>
      <c r="AE122" s="73"/>
      <c r="AF122" s="73"/>
      <c r="AG122" s="73"/>
      <c r="AH122" s="73"/>
      <c r="AI122" s="73"/>
    </row>
    <row r="123" customFormat="false" ht="15" hidden="false" customHeight="false" outlineLevel="0" collapsed="false">
      <c r="A123" s="71" t="str">
        <f aca="false">IF(D123="","",ROW()-1)</f>
        <v/>
      </c>
      <c r="B123" s="72"/>
      <c r="C123" s="72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4"/>
      <c r="O123" s="73"/>
      <c r="P123" s="74"/>
      <c r="Q123" s="73"/>
      <c r="R123" s="74"/>
      <c r="S123" s="75"/>
      <c r="T123" s="73"/>
      <c r="U123" s="73"/>
      <c r="V123" s="73"/>
      <c r="W123" s="73"/>
      <c r="X123" s="73"/>
      <c r="Y123" s="73"/>
      <c r="Z123" s="73"/>
      <c r="AA123" s="73"/>
      <c r="AB123" s="74"/>
      <c r="AC123" s="73"/>
      <c r="AD123" s="76"/>
      <c r="AE123" s="73"/>
      <c r="AF123" s="73"/>
      <c r="AG123" s="73"/>
      <c r="AH123" s="73"/>
      <c r="AI123" s="73"/>
    </row>
    <row r="124" customFormat="false" ht="15" hidden="false" customHeight="false" outlineLevel="0" collapsed="false">
      <c r="A124" s="71" t="str">
        <f aca="false">IF(D124="","",ROW()-1)</f>
        <v/>
      </c>
      <c r="B124" s="72"/>
      <c r="C124" s="72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4"/>
      <c r="O124" s="73"/>
      <c r="P124" s="74"/>
      <c r="Q124" s="73"/>
      <c r="R124" s="74"/>
      <c r="S124" s="75"/>
      <c r="T124" s="73"/>
      <c r="U124" s="73"/>
      <c r="V124" s="73"/>
      <c r="W124" s="73"/>
      <c r="X124" s="73"/>
      <c r="Y124" s="73"/>
      <c r="Z124" s="73"/>
      <c r="AA124" s="73"/>
      <c r="AB124" s="74"/>
      <c r="AC124" s="73"/>
      <c r="AD124" s="76"/>
      <c r="AE124" s="73"/>
      <c r="AF124" s="73"/>
      <c r="AG124" s="73"/>
      <c r="AH124" s="73"/>
      <c r="AI124" s="73"/>
    </row>
    <row r="125" customFormat="false" ht="15" hidden="false" customHeight="false" outlineLevel="0" collapsed="false">
      <c r="A125" s="71" t="str">
        <f aca="false">IF(D125="","",ROW()-1)</f>
        <v/>
      </c>
      <c r="B125" s="72"/>
      <c r="C125" s="72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4"/>
      <c r="O125" s="73"/>
      <c r="P125" s="74"/>
      <c r="Q125" s="73"/>
      <c r="R125" s="74"/>
      <c r="S125" s="75"/>
      <c r="T125" s="73"/>
      <c r="U125" s="73"/>
      <c r="V125" s="73"/>
      <c r="W125" s="73"/>
      <c r="X125" s="73"/>
      <c r="Y125" s="73"/>
      <c r="Z125" s="73"/>
      <c r="AA125" s="73"/>
      <c r="AB125" s="74"/>
      <c r="AC125" s="73"/>
      <c r="AD125" s="76"/>
      <c r="AE125" s="73"/>
      <c r="AF125" s="73"/>
      <c r="AG125" s="73"/>
      <c r="AH125" s="73"/>
      <c r="AI125" s="73"/>
    </row>
    <row r="126" customFormat="false" ht="15" hidden="false" customHeight="false" outlineLevel="0" collapsed="false">
      <c r="A126" s="71" t="str">
        <f aca="false">IF(D126="","",ROW()-1)</f>
        <v/>
      </c>
      <c r="B126" s="72"/>
      <c r="C126" s="72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4"/>
      <c r="O126" s="73"/>
      <c r="P126" s="74"/>
      <c r="Q126" s="73"/>
      <c r="R126" s="74"/>
      <c r="S126" s="75"/>
      <c r="T126" s="73"/>
      <c r="U126" s="73"/>
      <c r="V126" s="73"/>
      <c r="W126" s="73"/>
      <c r="X126" s="73"/>
      <c r="Y126" s="73"/>
      <c r="Z126" s="73"/>
      <c r="AA126" s="73"/>
      <c r="AB126" s="74"/>
      <c r="AC126" s="73"/>
      <c r="AD126" s="76"/>
      <c r="AE126" s="73"/>
      <c r="AF126" s="73"/>
      <c r="AG126" s="73"/>
      <c r="AH126" s="73"/>
      <c r="AI126" s="73"/>
    </row>
    <row r="127" customFormat="false" ht="15" hidden="false" customHeight="false" outlineLevel="0" collapsed="false">
      <c r="A127" s="71" t="str">
        <f aca="false">IF(D127="","",ROW()-1)</f>
        <v/>
      </c>
      <c r="B127" s="72"/>
      <c r="C127" s="72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4"/>
      <c r="O127" s="73"/>
      <c r="P127" s="74"/>
      <c r="Q127" s="73"/>
      <c r="R127" s="74"/>
      <c r="S127" s="75"/>
      <c r="T127" s="73"/>
      <c r="U127" s="73"/>
      <c r="V127" s="73"/>
      <c r="W127" s="73"/>
      <c r="X127" s="73"/>
      <c r="Y127" s="73"/>
      <c r="Z127" s="73"/>
      <c r="AA127" s="73"/>
      <c r="AB127" s="74"/>
      <c r="AC127" s="73"/>
      <c r="AD127" s="76"/>
      <c r="AE127" s="73"/>
      <c r="AF127" s="73"/>
      <c r="AG127" s="73"/>
      <c r="AH127" s="73"/>
      <c r="AI127" s="73"/>
    </row>
    <row r="128" customFormat="false" ht="15" hidden="false" customHeight="false" outlineLevel="0" collapsed="false">
      <c r="A128" s="71" t="str">
        <f aca="false">IF(D128="","",ROW()-1)</f>
        <v/>
      </c>
      <c r="B128" s="72"/>
      <c r="C128" s="72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4"/>
      <c r="O128" s="73"/>
      <c r="P128" s="74"/>
      <c r="Q128" s="73"/>
      <c r="R128" s="74"/>
      <c r="S128" s="75"/>
      <c r="T128" s="73"/>
      <c r="U128" s="73"/>
      <c r="V128" s="73"/>
      <c r="W128" s="73"/>
      <c r="X128" s="73"/>
      <c r="Y128" s="73"/>
      <c r="Z128" s="73"/>
      <c r="AA128" s="73"/>
      <c r="AB128" s="74"/>
      <c r="AC128" s="73"/>
      <c r="AD128" s="76"/>
      <c r="AE128" s="73"/>
      <c r="AF128" s="73"/>
      <c r="AG128" s="73"/>
      <c r="AH128" s="73"/>
      <c r="AI128" s="73"/>
    </row>
    <row r="129" customFormat="false" ht="15" hidden="false" customHeight="false" outlineLevel="0" collapsed="false">
      <c r="A129" s="71" t="str">
        <f aca="false">IF(D129="","",ROW()-1)</f>
        <v/>
      </c>
      <c r="B129" s="72"/>
      <c r="C129" s="72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4"/>
      <c r="O129" s="73"/>
      <c r="P129" s="74"/>
      <c r="Q129" s="73"/>
      <c r="R129" s="74"/>
      <c r="S129" s="75"/>
      <c r="T129" s="73"/>
      <c r="U129" s="73"/>
      <c r="V129" s="73"/>
      <c r="W129" s="73"/>
      <c r="X129" s="73"/>
      <c r="Y129" s="73"/>
      <c r="Z129" s="73"/>
      <c r="AA129" s="73"/>
      <c r="AB129" s="74"/>
      <c r="AC129" s="73"/>
      <c r="AD129" s="76"/>
      <c r="AE129" s="73"/>
      <c r="AF129" s="73"/>
      <c r="AG129" s="73"/>
      <c r="AH129" s="73"/>
      <c r="AI129" s="73"/>
    </row>
    <row r="130" customFormat="false" ht="15" hidden="false" customHeight="false" outlineLevel="0" collapsed="false">
      <c r="A130" s="71" t="str">
        <f aca="false">IF(D130="","",ROW()-1)</f>
        <v/>
      </c>
      <c r="B130" s="72"/>
      <c r="C130" s="72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4"/>
      <c r="O130" s="73"/>
      <c r="P130" s="74"/>
      <c r="Q130" s="73"/>
      <c r="R130" s="74"/>
      <c r="S130" s="75"/>
      <c r="T130" s="73"/>
      <c r="U130" s="73"/>
      <c r="V130" s="73"/>
      <c r="W130" s="73"/>
      <c r="X130" s="73"/>
      <c r="Y130" s="73"/>
      <c r="Z130" s="73"/>
      <c r="AA130" s="73"/>
      <c r="AB130" s="74"/>
      <c r="AC130" s="73"/>
      <c r="AD130" s="76"/>
      <c r="AE130" s="73"/>
      <c r="AF130" s="73"/>
      <c r="AG130" s="73"/>
      <c r="AH130" s="73"/>
      <c r="AI130" s="73"/>
    </row>
    <row r="131" customFormat="false" ht="15" hidden="false" customHeight="false" outlineLevel="0" collapsed="false">
      <c r="A131" s="71" t="str">
        <f aca="false">IF(D131="","",ROW()-1)</f>
        <v/>
      </c>
      <c r="B131" s="72"/>
      <c r="C131" s="72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4"/>
      <c r="O131" s="73"/>
      <c r="P131" s="74"/>
      <c r="Q131" s="73"/>
      <c r="R131" s="74"/>
      <c r="S131" s="75"/>
      <c r="T131" s="73"/>
      <c r="U131" s="73"/>
      <c r="V131" s="73"/>
      <c r="W131" s="73"/>
      <c r="X131" s="73"/>
      <c r="Y131" s="73"/>
      <c r="Z131" s="73"/>
      <c r="AA131" s="73"/>
      <c r="AB131" s="74"/>
      <c r="AC131" s="73"/>
      <c r="AD131" s="76"/>
      <c r="AE131" s="73"/>
      <c r="AF131" s="73"/>
      <c r="AG131" s="73"/>
      <c r="AH131" s="73"/>
      <c r="AI131" s="73"/>
    </row>
    <row r="132" customFormat="false" ht="15" hidden="false" customHeight="false" outlineLevel="0" collapsed="false">
      <c r="A132" s="71" t="str">
        <f aca="false">IF(D132="","",ROW()-1)</f>
        <v/>
      </c>
      <c r="B132" s="72"/>
      <c r="C132" s="72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4"/>
      <c r="O132" s="73"/>
      <c r="P132" s="74"/>
      <c r="Q132" s="73"/>
      <c r="R132" s="74"/>
      <c r="S132" s="75"/>
      <c r="T132" s="73"/>
      <c r="U132" s="73"/>
      <c r="V132" s="73"/>
      <c r="W132" s="73"/>
      <c r="X132" s="73"/>
      <c r="Y132" s="73"/>
      <c r="Z132" s="73"/>
      <c r="AA132" s="73"/>
      <c r="AB132" s="74"/>
      <c r="AC132" s="73"/>
      <c r="AD132" s="76"/>
      <c r="AE132" s="73"/>
      <c r="AF132" s="73"/>
      <c r="AG132" s="73"/>
      <c r="AH132" s="73"/>
      <c r="AI132" s="73"/>
    </row>
    <row r="133" customFormat="false" ht="15" hidden="false" customHeight="false" outlineLevel="0" collapsed="false">
      <c r="A133" s="71" t="str">
        <f aca="false">IF(D133="","",ROW()-1)</f>
        <v/>
      </c>
      <c r="B133" s="72"/>
      <c r="C133" s="72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4"/>
      <c r="O133" s="73"/>
      <c r="P133" s="74"/>
      <c r="Q133" s="73"/>
      <c r="R133" s="74"/>
      <c r="S133" s="75"/>
      <c r="T133" s="73"/>
      <c r="U133" s="73"/>
      <c r="V133" s="73"/>
      <c r="W133" s="73"/>
      <c r="X133" s="73"/>
      <c r="Y133" s="73"/>
      <c r="Z133" s="73"/>
      <c r="AA133" s="73"/>
      <c r="AB133" s="74"/>
      <c r="AC133" s="73"/>
      <c r="AD133" s="76"/>
      <c r="AE133" s="73"/>
      <c r="AF133" s="73"/>
      <c r="AG133" s="73"/>
      <c r="AH133" s="73"/>
      <c r="AI133" s="73"/>
    </row>
    <row r="134" customFormat="false" ht="15" hidden="false" customHeight="false" outlineLevel="0" collapsed="false">
      <c r="A134" s="71" t="str">
        <f aca="false">IF(D134="","",ROW()-1)</f>
        <v/>
      </c>
      <c r="B134" s="72"/>
      <c r="C134" s="72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4"/>
      <c r="O134" s="73"/>
      <c r="P134" s="74"/>
      <c r="Q134" s="73"/>
      <c r="R134" s="74"/>
      <c r="S134" s="75"/>
      <c r="T134" s="73"/>
      <c r="U134" s="73"/>
      <c r="V134" s="73"/>
      <c r="W134" s="73"/>
      <c r="X134" s="73"/>
      <c r="Y134" s="73"/>
      <c r="Z134" s="73"/>
      <c r="AA134" s="73"/>
      <c r="AB134" s="74"/>
      <c r="AC134" s="73"/>
      <c r="AD134" s="76"/>
      <c r="AE134" s="73"/>
      <c r="AF134" s="73"/>
      <c r="AG134" s="73"/>
      <c r="AH134" s="73"/>
      <c r="AI134" s="73"/>
    </row>
    <row r="135" customFormat="false" ht="15" hidden="false" customHeight="false" outlineLevel="0" collapsed="false">
      <c r="A135" s="71" t="str">
        <f aca="false">IF(D135="","",ROW()-1)</f>
        <v/>
      </c>
      <c r="B135" s="72"/>
      <c r="C135" s="72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4"/>
      <c r="O135" s="73"/>
      <c r="P135" s="74"/>
      <c r="Q135" s="73"/>
      <c r="R135" s="74"/>
      <c r="S135" s="75"/>
      <c r="T135" s="73"/>
      <c r="U135" s="73"/>
      <c r="V135" s="73"/>
      <c r="W135" s="73"/>
      <c r="X135" s="73"/>
      <c r="Y135" s="73"/>
      <c r="Z135" s="73"/>
      <c r="AA135" s="73"/>
      <c r="AB135" s="74"/>
      <c r="AC135" s="73"/>
      <c r="AD135" s="76"/>
      <c r="AE135" s="73"/>
      <c r="AF135" s="73"/>
      <c r="AG135" s="73"/>
      <c r="AH135" s="73"/>
      <c r="AI135" s="73"/>
    </row>
    <row r="136" customFormat="false" ht="15" hidden="false" customHeight="false" outlineLevel="0" collapsed="false">
      <c r="A136" s="71" t="str">
        <f aca="false">IF(D136="","",ROW()-1)</f>
        <v/>
      </c>
      <c r="B136" s="72"/>
      <c r="C136" s="72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4"/>
      <c r="O136" s="73"/>
      <c r="P136" s="74"/>
      <c r="Q136" s="73"/>
      <c r="R136" s="74"/>
      <c r="S136" s="75"/>
      <c r="T136" s="73"/>
      <c r="U136" s="73"/>
      <c r="V136" s="73"/>
      <c r="W136" s="73"/>
      <c r="X136" s="73"/>
      <c r="Y136" s="73"/>
      <c r="Z136" s="73"/>
      <c r="AA136" s="73"/>
      <c r="AB136" s="74"/>
      <c r="AC136" s="73"/>
      <c r="AD136" s="76"/>
      <c r="AE136" s="73"/>
      <c r="AF136" s="73"/>
      <c r="AG136" s="73"/>
      <c r="AH136" s="73"/>
      <c r="AI136" s="73"/>
    </row>
    <row r="137" customFormat="false" ht="15" hidden="false" customHeight="false" outlineLevel="0" collapsed="false">
      <c r="A137" s="71" t="str">
        <f aca="false">IF(D137="","",ROW()-1)</f>
        <v/>
      </c>
      <c r="B137" s="72"/>
      <c r="C137" s="72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4"/>
      <c r="O137" s="73"/>
      <c r="P137" s="74"/>
      <c r="Q137" s="73"/>
      <c r="R137" s="74"/>
      <c r="S137" s="75"/>
      <c r="T137" s="73"/>
      <c r="U137" s="73"/>
      <c r="V137" s="73"/>
      <c r="W137" s="73"/>
      <c r="X137" s="73"/>
      <c r="Y137" s="73"/>
      <c r="Z137" s="73"/>
      <c r="AA137" s="73"/>
      <c r="AB137" s="74"/>
      <c r="AC137" s="73"/>
      <c r="AD137" s="76"/>
      <c r="AE137" s="73"/>
      <c r="AF137" s="73"/>
      <c r="AG137" s="73"/>
      <c r="AH137" s="73"/>
      <c r="AI137" s="73"/>
    </row>
    <row r="138" customFormat="false" ht="15" hidden="false" customHeight="false" outlineLevel="0" collapsed="false">
      <c r="A138" s="71" t="str">
        <f aca="false">IF(D138="","",ROW()-1)</f>
        <v/>
      </c>
      <c r="B138" s="72"/>
      <c r="C138" s="72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4"/>
      <c r="O138" s="73"/>
      <c r="P138" s="74"/>
      <c r="Q138" s="73"/>
      <c r="R138" s="74"/>
      <c r="S138" s="75"/>
      <c r="T138" s="73"/>
      <c r="U138" s="73"/>
      <c r="V138" s="73"/>
      <c r="W138" s="73"/>
      <c r="X138" s="73"/>
      <c r="Y138" s="73"/>
      <c r="Z138" s="73"/>
      <c r="AA138" s="73"/>
      <c r="AB138" s="74"/>
      <c r="AC138" s="73"/>
      <c r="AD138" s="76"/>
      <c r="AE138" s="73"/>
      <c r="AF138" s="73"/>
      <c r="AG138" s="73"/>
      <c r="AH138" s="73"/>
      <c r="AI138" s="73"/>
    </row>
    <row r="139" customFormat="false" ht="15" hidden="false" customHeight="false" outlineLevel="0" collapsed="false">
      <c r="A139" s="71" t="str">
        <f aca="false">IF(D139="","",ROW()-1)</f>
        <v/>
      </c>
      <c r="B139" s="72"/>
      <c r="C139" s="72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4"/>
      <c r="O139" s="73"/>
      <c r="P139" s="74"/>
      <c r="Q139" s="73"/>
      <c r="R139" s="74"/>
      <c r="S139" s="75"/>
      <c r="T139" s="73"/>
      <c r="U139" s="73"/>
      <c r="V139" s="73"/>
      <c r="W139" s="73"/>
      <c r="X139" s="73"/>
      <c r="Y139" s="73"/>
      <c r="Z139" s="73"/>
      <c r="AA139" s="73"/>
      <c r="AB139" s="74"/>
      <c r="AC139" s="73"/>
      <c r="AD139" s="76"/>
      <c r="AE139" s="73"/>
      <c r="AF139" s="73"/>
      <c r="AG139" s="73"/>
      <c r="AH139" s="73"/>
      <c r="AI139" s="73"/>
    </row>
    <row r="140" customFormat="false" ht="15" hidden="false" customHeight="false" outlineLevel="0" collapsed="false">
      <c r="A140" s="71" t="str">
        <f aca="false">IF(D140="","",ROW()-1)</f>
        <v/>
      </c>
      <c r="B140" s="72"/>
      <c r="C140" s="72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4"/>
      <c r="O140" s="73"/>
      <c r="P140" s="74"/>
      <c r="Q140" s="73"/>
      <c r="R140" s="74"/>
      <c r="S140" s="75"/>
      <c r="T140" s="73"/>
      <c r="U140" s="73"/>
      <c r="V140" s="73"/>
      <c r="W140" s="73"/>
      <c r="X140" s="73"/>
      <c r="Y140" s="73"/>
      <c r="Z140" s="73"/>
      <c r="AA140" s="73"/>
      <c r="AB140" s="74"/>
      <c r="AC140" s="73"/>
      <c r="AD140" s="76"/>
      <c r="AE140" s="73"/>
      <c r="AF140" s="73"/>
      <c r="AG140" s="73"/>
      <c r="AH140" s="73"/>
      <c r="AI140" s="73"/>
    </row>
    <row r="141" customFormat="false" ht="15" hidden="false" customHeight="false" outlineLevel="0" collapsed="false">
      <c r="A141" s="71" t="str">
        <f aca="false">IF(D141="","",ROW()-1)</f>
        <v/>
      </c>
      <c r="B141" s="72"/>
      <c r="C141" s="72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4"/>
      <c r="O141" s="73"/>
      <c r="P141" s="74"/>
      <c r="Q141" s="73"/>
      <c r="R141" s="74"/>
      <c r="S141" s="75"/>
      <c r="T141" s="73"/>
      <c r="U141" s="73"/>
      <c r="V141" s="73"/>
      <c r="W141" s="73"/>
      <c r="X141" s="73"/>
      <c r="Y141" s="73"/>
      <c r="Z141" s="73"/>
      <c r="AA141" s="73"/>
      <c r="AB141" s="74"/>
      <c r="AC141" s="73"/>
      <c r="AD141" s="76"/>
      <c r="AE141" s="73"/>
      <c r="AF141" s="73"/>
      <c r="AG141" s="73"/>
      <c r="AH141" s="73"/>
      <c r="AI141" s="73"/>
    </row>
    <row r="142" customFormat="false" ht="15" hidden="false" customHeight="false" outlineLevel="0" collapsed="false">
      <c r="A142" s="71" t="str">
        <f aca="false">IF(D142="","",ROW()-1)</f>
        <v/>
      </c>
      <c r="B142" s="72"/>
      <c r="C142" s="72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4"/>
      <c r="O142" s="73"/>
      <c r="P142" s="74"/>
      <c r="Q142" s="73"/>
      <c r="R142" s="74"/>
      <c r="S142" s="75"/>
      <c r="T142" s="73"/>
      <c r="U142" s="73"/>
      <c r="V142" s="73"/>
      <c r="W142" s="73"/>
      <c r="X142" s="73"/>
      <c r="Y142" s="73"/>
      <c r="Z142" s="73"/>
      <c r="AA142" s="73"/>
      <c r="AB142" s="74"/>
      <c r="AC142" s="73"/>
      <c r="AD142" s="76"/>
      <c r="AE142" s="73"/>
      <c r="AF142" s="73"/>
      <c r="AG142" s="73"/>
      <c r="AH142" s="73"/>
      <c r="AI142" s="73"/>
    </row>
    <row r="143" customFormat="false" ht="15" hidden="false" customHeight="false" outlineLevel="0" collapsed="false">
      <c r="A143" s="71" t="str">
        <f aca="false">IF(D143="","",ROW()-1)</f>
        <v/>
      </c>
      <c r="B143" s="72"/>
      <c r="C143" s="72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4"/>
      <c r="O143" s="73"/>
      <c r="P143" s="74"/>
      <c r="Q143" s="73"/>
      <c r="R143" s="74"/>
      <c r="S143" s="75"/>
      <c r="T143" s="73"/>
      <c r="U143" s="73"/>
      <c r="V143" s="73"/>
      <c r="W143" s="73"/>
      <c r="X143" s="73"/>
      <c r="Y143" s="73"/>
      <c r="Z143" s="73"/>
      <c r="AA143" s="73"/>
      <c r="AB143" s="74"/>
      <c r="AC143" s="73"/>
      <c r="AD143" s="76"/>
      <c r="AE143" s="73"/>
      <c r="AF143" s="73"/>
      <c r="AG143" s="73"/>
      <c r="AH143" s="73"/>
      <c r="AI143" s="73"/>
    </row>
    <row r="144" customFormat="false" ht="15" hidden="false" customHeight="false" outlineLevel="0" collapsed="false">
      <c r="A144" s="71" t="str">
        <f aca="false">IF(D144="","",ROW()-1)</f>
        <v/>
      </c>
      <c r="B144" s="72"/>
      <c r="C144" s="72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4"/>
      <c r="O144" s="73"/>
      <c r="P144" s="74"/>
      <c r="Q144" s="73"/>
      <c r="R144" s="74"/>
      <c r="S144" s="75"/>
      <c r="T144" s="73"/>
      <c r="U144" s="73"/>
      <c r="V144" s="73"/>
      <c r="W144" s="73"/>
      <c r="X144" s="73"/>
      <c r="Y144" s="73"/>
      <c r="Z144" s="73"/>
      <c r="AA144" s="73"/>
      <c r="AB144" s="74"/>
      <c r="AC144" s="73"/>
      <c r="AD144" s="76"/>
      <c r="AE144" s="73"/>
      <c r="AF144" s="73"/>
      <c r="AG144" s="73"/>
      <c r="AH144" s="73"/>
      <c r="AI144" s="73"/>
    </row>
    <row r="145" customFormat="false" ht="15" hidden="false" customHeight="false" outlineLevel="0" collapsed="false">
      <c r="A145" s="71" t="str">
        <f aca="false">IF(D145="","",ROW()-1)</f>
        <v/>
      </c>
      <c r="B145" s="72"/>
      <c r="C145" s="72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4"/>
      <c r="O145" s="73"/>
      <c r="P145" s="74"/>
      <c r="Q145" s="73"/>
      <c r="R145" s="74"/>
      <c r="S145" s="75"/>
      <c r="T145" s="73"/>
      <c r="U145" s="73"/>
      <c r="V145" s="73"/>
      <c r="W145" s="73"/>
      <c r="X145" s="73"/>
      <c r="Y145" s="73"/>
      <c r="Z145" s="73"/>
      <c r="AA145" s="73"/>
      <c r="AB145" s="74"/>
      <c r="AC145" s="73"/>
      <c r="AD145" s="76"/>
      <c r="AE145" s="73"/>
      <c r="AF145" s="73"/>
      <c r="AG145" s="73"/>
      <c r="AH145" s="73"/>
      <c r="AI145" s="73"/>
    </row>
    <row r="146" customFormat="false" ht="15" hidden="false" customHeight="false" outlineLevel="0" collapsed="false">
      <c r="A146" s="71" t="str">
        <f aca="false">IF(D146="","",ROW()-1)</f>
        <v/>
      </c>
      <c r="B146" s="72"/>
      <c r="C146" s="72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4"/>
      <c r="O146" s="73"/>
      <c r="P146" s="74"/>
      <c r="Q146" s="73"/>
      <c r="R146" s="74"/>
      <c r="S146" s="75"/>
      <c r="T146" s="73"/>
      <c r="U146" s="73"/>
      <c r="V146" s="73"/>
      <c r="W146" s="73"/>
      <c r="X146" s="73"/>
      <c r="Y146" s="73"/>
      <c r="Z146" s="73"/>
      <c r="AA146" s="73"/>
      <c r="AB146" s="74"/>
      <c r="AC146" s="73"/>
      <c r="AD146" s="76"/>
      <c r="AE146" s="73"/>
      <c r="AF146" s="73"/>
      <c r="AG146" s="73"/>
      <c r="AH146" s="73"/>
      <c r="AI146" s="73"/>
    </row>
    <row r="147" customFormat="false" ht="15" hidden="false" customHeight="false" outlineLevel="0" collapsed="false">
      <c r="A147" s="71" t="str">
        <f aca="false">IF(D147="","",ROW()-1)</f>
        <v/>
      </c>
      <c r="B147" s="72"/>
      <c r="C147" s="72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4"/>
      <c r="O147" s="73"/>
      <c r="P147" s="74"/>
      <c r="Q147" s="73"/>
      <c r="R147" s="74"/>
      <c r="S147" s="75"/>
      <c r="T147" s="73"/>
      <c r="U147" s="73"/>
      <c r="V147" s="73"/>
      <c r="W147" s="73"/>
      <c r="X147" s="73"/>
      <c r="Y147" s="73"/>
      <c r="Z147" s="73"/>
      <c r="AA147" s="73"/>
      <c r="AB147" s="74"/>
      <c r="AC147" s="73"/>
      <c r="AD147" s="76"/>
      <c r="AE147" s="73"/>
      <c r="AF147" s="73"/>
      <c r="AG147" s="73"/>
      <c r="AH147" s="73"/>
      <c r="AI147" s="73"/>
    </row>
    <row r="148" customFormat="false" ht="15" hidden="false" customHeight="false" outlineLevel="0" collapsed="false">
      <c r="A148" s="71" t="str">
        <f aca="false">IF(D148="","",ROW()-1)</f>
        <v/>
      </c>
      <c r="B148" s="72"/>
      <c r="C148" s="72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4"/>
      <c r="O148" s="73"/>
      <c r="P148" s="74"/>
      <c r="Q148" s="73"/>
      <c r="R148" s="74"/>
      <c r="S148" s="75"/>
      <c r="T148" s="73"/>
      <c r="U148" s="73"/>
      <c r="V148" s="73"/>
      <c r="W148" s="73"/>
      <c r="X148" s="73"/>
      <c r="Y148" s="73"/>
      <c r="Z148" s="73"/>
      <c r="AA148" s="73"/>
      <c r="AB148" s="74"/>
      <c r="AC148" s="73"/>
      <c r="AD148" s="76"/>
      <c r="AE148" s="73"/>
      <c r="AF148" s="73"/>
      <c r="AG148" s="73"/>
      <c r="AH148" s="73"/>
      <c r="AI148" s="73"/>
    </row>
    <row r="149" customFormat="false" ht="15" hidden="false" customHeight="false" outlineLevel="0" collapsed="false">
      <c r="A149" s="71" t="str">
        <f aca="false">IF(D149="","",ROW()-1)</f>
        <v/>
      </c>
      <c r="B149" s="72"/>
      <c r="C149" s="72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4"/>
      <c r="O149" s="73"/>
      <c r="P149" s="74"/>
      <c r="Q149" s="73"/>
      <c r="R149" s="74"/>
      <c r="S149" s="75"/>
      <c r="T149" s="73"/>
      <c r="U149" s="73"/>
      <c r="V149" s="73"/>
      <c r="W149" s="73"/>
      <c r="X149" s="73"/>
      <c r="Y149" s="73"/>
      <c r="Z149" s="73"/>
      <c r="AA149" s="73"/>
      <c r="AB149" s="74"/>
      <c r="AC149" s="73"/>
      <c r="AD149" s="76"/>
      <c r="AE149" s="73"/>
      <c r="AF149" s="73"/>
      <c r="AG149" s="73"/>
      <c r="AH149" s="73"/>
      <c r="AI149" s="73"/>
    </row>
    <row r="150" customFormat="false" ht="15" hidden="false" customHeight="false" outlineLevel="0" collapsed="false">
      <c r="A150" s="71" t="str">
        <f aca="false">IF(D150="","",ROW()-1)</f>
        <v/>
      </c>
      <c r="B150" s="72"/>
      <c r="C150" s="72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4"/>
      <c r="O150" s="73"/>
      <c r="P150" s="74"/>
      <c r="Q150" s="73"/>
      <c r="R150" s="74"/>
      <c r="S150" s="75"/>
      <c r="T150" s="73"/>
      <c r="U150" s="73"/>
      <c r="V150" s="73"/>
      <c r="W150" s="73"/>
      <c r="X150" s="73"/>
      <c r="Y150" s="73"/>
      <c r="Z150" s="73"/>
      <c r="AA150" s="73"/>
      <c r="AB150" s="74"/>
      <c r="AC150" s="73"/>
      <c r="AD150" s="76"/>
      <c r="AE150" s="73"/>
      <c r="AF150" s="73"/>
      <c r="AG150" s="73"/>
      <c r="AH150" s="73"/>
      <c r="AI150" s="73"/>
    </row>
    <row r="151" customFormat="false" ht="15" hidden="false" customHeight="false" outlineLevel="0" collapsed="false">
      <c r="A151" s="71" t="str">
        <f aca="false">IF(D151="","",ROW()-1)</f>
        <v/>
      </c>
      <c r="B151" s="72"/>
      <c r="C151" s="72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4"/>
      <c r="O151" s="73"/>
      <c r="P151" s="74"/>
      <c r="Q151" s="73"/>
      <c r="R151" s="74"/>
      <c r="S151" s="75"/>
      <c r="T151" s="73"/>
      <c r="U151" s="73"/>
      <c r="V151" s="73"/>
      <c r="W151" s="73"/>
      <c r="X151" s="73"/>
      <c r="Y151" s="73"/>
      <c r="Z151" s="73"/>
      <c r="AA151" s="73"/>
      <c r="AB151" s="74"/>
      <c r="AC151" s="73"/>
      <c r="AD151" s="76"/>
      <c r="AE151" s="73"/>
      <c r="AF151" s="73"/>
      <c r="AG151" s="73"/>
      <c r="AH151" s="73"/>
      <c r="AI151" s="73"/>
    </row>
    <row r="152" customFormat="false" ht="15" hidden="false" customHeight="false" outlineLevel="0" collapsed="false">
      <c r="A152" s="71" t="str">
        <f aca="false">IF(D152="","",ROW()-1)</f>
        <v/>
      </c>
      <c r="B152" s="72"/>
      <c r="C152" s="72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4"/>
      <c r="O152" s="73"/>
      <c r="P152" s="74"/>
      <c r="Q152" s="73"/>
      <c r="R152" s="74"/>
      <c r="S152" s="75"/>
      <c r="T152" s="73"/>
      <c r="U152" s="73"/>
      <c r="V152" s="73"/>
      <c r="W152" s="73"/>
      <c r="X152" s="73"/>
      <c r="Y152" s="73"/>
      <c r="Z152" s="73"/>
      <c r="AA152" s="73"/>
      <c r="AB152" s="74"/>
      <c r="AC152" s="73"/>
      <c r="AD152" s="76"/>
      <c r="AE152" s="73"/>
      <c r="AF152" s="73"/>
      <c r="AG152" s="73"/>
      <c r="AH152" s="73"/>
      <c r="AI152" s="73"/>
    </row>
    <row r="153" customFormat="false" ht="15" hidden="false" customHeight="false" outlineLevel="0" collapsed="false">
      <c r="A153" s="71" t="str">
        <f aca="false">IF(D153="","",ROW()-1)</f>
        <v/>
      </c>
      <c r="B153" s="72"/>
      <c r="C153" s="72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4"/>
      <c r="O153" s="73"/>
      <c r="P153" s="74"/>
      <c r="Q153" s="73"/>
      <c r="R153" s="74"/>
      <c r="S153" s="75"/>
      <c r="T153" s="73"/>
      <c r="U153" s="73"/>
      <c r="V153" s="73"/>
      <c r="W153" s="73"/>
      <c r="X153" s="73"/>
      <c r="Y153" s="73"/>
      <c r="Z153" s="73"/>
      <c r="AA153" s="73"/>
      <c r="AB153" s="74"/>
      <c r="AC153" s="73"/>
      <c r="AD153" s="76"/>
      <c r="AE153" s="73"/>
      <c r="AF153" s="73"/>
      <c r="AG153" s="73"/>
      <c r="AH153" s="73"/>
      <c r="AI153" s="73"/>
    </row>
    <row r="154" customFormat="false" ht="15" hidden="false" customHeight="false" outlineLevel="0" collapsed="false">
      <c r="A154" s="71" t="str">
        <f aca="false">IF(D154="","",ROW()-1)</f>
        <v/>
      </c>
      <c r="B154" s="72"/>
      <c r="C154" s="72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4"/>
      <c r="O154" s="73"/>
      <c r="P154" s="74"/>
      <c r="Q154" s="73"/>
      <c r="R154" s="74"/>
      <c r="S154" s="75"/>
      <c r="T154" s="73"/>
      <c r="U154" s="73"/>
      <c r="V154" s="73"/>
      <c r="W154" s="73"/>
      <c r="X154" s="73"/>
      <c r="Y154" s="73"/>
      <c r="Z154" s="73"/>
      <c r="AA154" s="73"/>
      <c r="AB154" s="74"/>
      <c r="AC154" s="73"/>
      <c r="AD154" s="76"/>
      <c r="AE154" s="73"/>
      <c r="AF154" s="73"/>
      <c r="AG154" s="73"/>
      <c r="AH154" s="73"/>
      <c r="AI154" s="73"/>
    </row>
    <row r="155" customFormat="false" ht="15" hidden="false" customHeight="false" outlineLevel="0" collapsed="false">
      <c r="A155" s="71" t="str">
        <f aca="false">IF(D155="","",ROW()-1)</f>
        <v/>
      </c>
      <c r="B155" s="72"/>
      <c r="C155" s="72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4"/>
      <c r="O155" s="73"/>
      <c r="P155" s="74"/>
      <c r="Q155" s="73"/>
      <c r="R155" s="74"/>
      <c r="S155" s="75"/>
      <c r="T155" s="73"/>
      <c r="U155" s="73"/>
      <c r="V155" s="73"/>
      <c r="W155" s="73"/>
      <c r="X155" s="73"/>
      <c r="Y155" s="73"/>
      <c r="Z155" s="73"/>
      <c r="AA155" s="73"/>
      <c r="AB155" s="74"/>
      <c r="AC155" s="73"/>
      <c r="AD155" s="76"/>
      <c r="AE155" s="73"/>
      <c r="AF155" s="73"/>
      <c r="AG155" s="73"/>
      <c r="AH155" s="73"/>
      <c r="AI155" s="73"/>
    </row>
    <row r="156" customFormat="false" ht="15" hidden="false" customHeight="false" outlineLevel="0" collapsed="false">
      <c r="A156" s="71" t="str">
        <f aca="false">IF(D156="","",ROW()-1)</f>
        <v/>
      </c>
      <c r="B156" s="72"/>
      <c r="C156" s="72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4"/>
      <c r="O156" s="73"/>
      <c r="P156" s="74"/>
      <c r="Q156" s="73"/>
      <c r="R156" s="74"/>
      <c r="S156" s="75"/>
      <c r="T156" s="73"/>
      <c r="U156" s="73"/>
      <c r="V156" s="73"/>
      <c r="W156" s="73"/>
      <c r="X156" s="73"/>
      <c r="Y156" s="73"/>
      <c r="Z156" s="73"/>
      <c r="AA156" s="73"/>
      <c r="AB156" s="74"/>
      <c r="AC156" s="73"/>
      <c r="AD156" s="76"/>
      <c r="AE156" s="73"/>
      <c r="AF156" s="73"/>
      <c r="AG156" s="73"/>
      <c r="AH156" s="73"/>
      <c r="AI156" s="73"/>
    </row>
    <row r="157" customFormat="false" ht="15" hidden="false" customHeight="false" outlineLevel="0" collapsed="false">
      <c r="A157" s="71" t="str">
        <f aca="false">IF(D157="","",ROW()-1)</f>
        <v/>
      </c>
      <c r="B157" s="72"/>
      <c r="C157" s="72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4"/>
      <c r="O157" s="73"/>
      <c r="P157" s="74"/>
      <c r="Q157" s="73"/>
      <c r="R157" s="74"/>
      <c r="S157" s="75"/>
      <c r="T157" s="73"/>
      <c r="U157" s="73"/>
      <c r="V157" s="73"/>
      <c r="W157" s="73"/>
      <c r="X157" s="73"/>
      <c r="Y157" s="73"/>
      <c r="Z157" s="73"/>
      <c r="AA157" s="73"/>
      <c r="AB157" s="74"/>
      <c r="AC157" s="73"/>
      <c r="AD157" s="76"/>
      <c r="AE157" s="73"/>
      <c r="AF157" s="73"/>
      <c r="AG157" s="73"/>
      <c r="AH157" s="73"/>
      <c r="AI157" s="73"/>
    </row>
    <row r="158" customFormat="false" ht="15" hidden="false" customHeight="false" outlineLevel="0" collapsed="false">
      <c r="A158" s="71" t="str">
        <f aca="false">IF(D158="","",ROW()-1)</f>
        <v/>
      </c>
      <c r="B158" s="72"/>
      <c r="C158" s="72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4"/>
      <c r="O158" s="73"/>
      <c r="P158" s="74"/>
      <c r="Q158" s="73"/>
      <c r="R158" s="74"/>
      <c r="S158" s="75"/>
      <c r="T158" s="73"/>
      <c r="U158" s="73"/>
      <c r="V158" s="73"/>
      <c r="W158" s="73"/>
      <c r="X158" s="73"/>
      <c r="Y158" s="73"/>
      <c r="Z158" s="73"/>
      <c r="AA158" s="73"/>
      <c r="AB158" s="74"/>
      <c r="AC158" s="73"/>
      <c r="AD158" s="76"/>
      <c r="AE158" s="73"/>
      <c r="AF158" s="73"/>
      <c r="AG158" s="73"/>
      <c r="AH158" s="73"/>
      <c r="AI158" s="73"/>
    </row>
    <row r="159" customFormat="false" ht="15" hidden="false" customHeight="false" outlineLevel="0" collapsed="false">
      <c r="A159" s="71" t="str">
        <f aca="false">IF(D159="","",ROW()-1)</f>
        <v/>
      </c>
      <c r="B159" s="72"/>
      <c r="C159" s="72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4"/>
      <c r="O159" s="73"/>
      <c r="P159" s="74"/>
      <c r="Q159" s="73"/>
      <c r="R159" s="74"/>
      <c r="S159" s="75"/>
      <c r="T159" s="73"/>
      <c r="U159" s="73"/>
      <c r="V159" s="73"/>
      <c r="W159" s="73"/>
      <c r="X159" s="73"/>
      <c r="Y159" s="73"/>
      <c r="Z159" s="73"/>
      <c r="AA159" s="73"/>
      <c r="AB159" s="74"/>
      <c r="AC159" s="73"/>
      <c r="AD159" s="76"/>
      <c r="AE159" s="73"/>
      <c r="AF159" s="73"/>
      <c r="AG159" s="73"/>
      <c r="AH159" s="73"/>
      <c r="AI159" s="73"/>
    </row>
    <row r="160" customFormat="false" ht="15" hidden="false" customHeight="false" outlineLevel="0" collapsed="false">
      <c r="A160" s="71" t="str">
        <f aca="false">IF(D160="","",ROW()-1)</f>
        <v/>
      </c>
      <c r="B160" s="72"/>
      <c r="C160" s="72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4"/>
      <c r="O160" s="73"/>
      <c r="P160" s="74"/>
      <c r="Q160" s="73"/>
      <c r="R160" s="74"/>
      <c r="S160" s="75"/>
      <c r="T160" s="73"/>
      <c r="U160" s="73"/>
      <c r="V160" s="73"/>
      <c r="W160" s="73"/>
      <c r="X160" s="73"/>
      <c r="Y160" s="73"/>
      <c r="Z160" s="73"/>
      <c r="AA160" s="73"/>
      <c r="AB160" s="74"/>
      <c r="AC160" s="73"/>
      <c r="AD160" s="76"/>
      <c r="AE160" s="73"/>
      <c r="AF160" s="73"/>
      <c r="AG160" s="73"/>
      <c r="AH160" s="73"/>
      <c r="AI160" s="73"/>
    </row>
    <row r="161" customFormat="false" ht="15" hidden="false" customHeight="false" outlineLevel="0" collapsed="false">
      <c r="A161" s="71" t="str">
        <f aca="false">IF(D161="","",ROW()-1)</f>
        <v/>
      </c>
      <c r="B161" s="72"/>
      <c r="C161" s="72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4"/>
      <c r="O161" s="73"/>
      <c r="P161" s="74"/>
      <c r="Q161" s="73"/>
      <c r="R161" s="74"/>
      <c r="S161" s="75"/>
      <c r="T161" s="73"/>
      <c r="U161" s="73"/>
      <c r="V161" s="73"/>
      <c r="W161" s="73"/>
      <c r="X161" s="73"/>
      <c r="Y161" s="73"/>
      <c r="Z161" s="73"/>
      <c r="AA161" s="73"/>
      <c r="AB161" s="74"/>
      <c r="AC161" s="73"/>
      <c r="AD161" s="76"/>
      <c r="AE161" s="73"/>
      <c r="AF161" s="73"/>
      <c r="AG161" s="73"/>
      <c r="AH161" s="73"/>
      <c r="AI161" s="73"/>
    </row>
    <row r="162" customFormat="false" ht="15" hidden="false" customHeight="false" outlineLevel="0" collapsed="false">
      <c r="A162" s="71" t="str">
        <f aca="false">IF(D162="","",ROW()-1)</f>
        <v/>
      </c>
      <c r="B162" s="72"/>
      <c r="C162" s="72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4"/>
      <c r="O162" s="73"/>
      <c r="P162" s="74"/>
      <c r="Q162" s="73"/>
      <c r="R162" s="74"/>
      <c r="S162" s="75"/>
      <c r="T162" s="73"/>
      <c r="U162" s="73"/>
      <c r="V162" s="73"/>
      <c r="W162" s="73"/>
      <c r="X162" s="73"/>
      <c r="Y162" s="73"/>
      <c r="Z162" s="73"/>
      <c r="AA162" s="73"/>
      <c r="AB162" s="74"/>
      <c r="AC162" s="73"/>
      <c r="AD162" s="76"/>
      <c r="AE162" s="73"/>
      <c r="AF162" s="73"/>
      <c r="AG162" s="73"/>
      <c r="AH162" s="73"/>
      <c r="AI162" s="73"/>
    </row>
    <row r="163" customFormat="false" ht="15" hidden="false" customHeight="false" outlineLevel="0" collapsed="false">
      <c r="A163" s="71" t="str">
        <f aca="false">IF(D163="","",ROW()-1)</f>
        <v/>
      </c>
      <c r="B163" s="72"/>
      <c r="C163" s="72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4"/>
      <c r="O163" s="73"/>
      <c r="P163" s="74"/>
      <c r="Q163" s="73"/>
      <c r="R163" s="74"/>
      <c r="S163" s="75"/>
      <c r="T163" s="73"/>
      <c r="U163" s="73"/>
      <c r="V163" s="73"/>
      <c r="W163" s="73"/>
      <c r="X163" s="73"/>
      <c r="Y163" s="73"/>
      <c r="Z163" s="73"/>
      <c r="AA163" s="73"/>
      <c r="AB163" s="74"/>
      <c r="AC163" s="73"/>
      <c r="AD163" s="76"/>
      <c r="AE163" s="73"/>
      <c r="AF163" s="73"/>
      <c r="AG163" s="73"/>
      <c r="AH163" s="73"/>
      <c r="AI163" s="73"/>
    </row>
    <row r="164" customFormat="false" ht="15" hidden="false" customHeight="false" outlineLevel="0" collapsed="false">
      <c r="A164" s="71" t="str">
        <f aca="false">IF(D164="","",ROW()-1)</f>
        <v/>
      </c>
      <c r="B164" s="72"/>
      <c r="C164" s="72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4"/>
      <c r="O164" s="73"/>
      <c r="P164" s="74"/>
      <c r="Q164" s="73"/>
      <c r="R164" s="74"/>
      <c r="S164" s="75"/>
      <c r="T164" s="73"/>
      <c r="U164" s="73"/>
      <c r="V164" s="73"/>
      <c r="W164" s="73"/>
      <c r="X164" s="73"/>
      <c r="Y164" s="73"/>
      <c r="Z164" s="73"/>
      <c r="AA164" s="73"/>
      <c r="AB164" s="74"/>
      <c r="AC164" s="73"/>
      <c r="AD164" s="76"/>
      <c r="AE164" s="73"/>
      <c r="AF164" s="73"/>
      <c r="AG164" s="73"/>
      <c r="AH164" s="73"/>
      <c r="AI164" s="73"/>
    </row>
    <row r="165" customFormat="false" ht="15" hidden="false" customHeight="false" outlineLevel="0" collapsed="false">
      <c r="A165" s="71" t="str">
        <f aca="false">IF(D165="","",ROW()-1)</f>
        <v/>
      </c>
      <c r="B165" s="72"/>
      <c r="C165" s="72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4"/>
      <c r="O165" s="73"/>
      <c r="P165" s="74"/>
      <c r="Q165" s="73"/>
      <c r="R165" s="74"/>
      <c r="S165" s="75"/>
      <c r="T165" s="73"/>
      <c r="U165" s="73"/>
      <c r="V165" s="73"/>
      <c r="W165" s="73"/>
      <c r="X165" s="73"/>
      <c r="Y165" s="73"/>
      <c r="Z165" s="73"/>
      <c r="AA165" s="73"/>
      <c r="AB165" s="74"/>
      <c r="AC165" s="73"/>
      <c r="AD165" s="76"/>
      <c r="AE165" s="73"/>
      <c r="AF165" s="73"/>
      <c r="AG165" s="73"/>
      <c r="AH165" s="73"/>
      <c r="AI165" s="73"/>
    </row>
    <row r="166" customFormat="false" ht="15" hidden="false" customHeight="false" outlineLevel="0" collapsed="false">
      <c r="A166" s="71" t="str">
        <f aca="false">IF(D166="","",ROW()-1)</f>
        <v/>
      </c>
      <c r="B166" s="72"/>
      <c r="C166" s="72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4"/>
      <c r="O166" s="73"/>
      <c r="P166" s="74"/>
      <c r="Q166" s="73"/>
      <c r="R166" s="74"/>
      <c r="S166" s="75"/>
      <c r="T166" s="73"/>
      <c r="U166" s="73"/>
      <c r="V166" s="73"/>
      <c r="W166" s="73"/>
      <c r="X166" s="73"/>
      <c r="Y166" s="73"/>
      <c r="Z166" s="73"/>
      <c r="AA166" s="73"/>
      <c r="AB166" s="74"/>
      <c r="AC166" s="73"/>
      <c r="AD166" s="76"/>
      <c r="AE166" s="73"/>
      <c r="AF166" s="73"/>
      <c r="AG166" s="73"/>
      <c r="AH166" s="73"/>
      <c r="AI166" s="73"/>
    </row>
    <row r="167" customFormat="false" ht="15" hidden="false" customHeight="false" outlineLevel="0" collapsed="false">
      <c r="A167" s="71" t="str">
        <f aca="false">IF(D167="","",ROW()-1)</f>
        <v/>
      </c>
      <c r="B167" s="72"/>
      <c r="C167" s="72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4"/>
      <c r="O167" s="73"/>
      <c r="P167" s="74"/>
      <c r="Q167" s="73"/>
      <c r="R167" s="74"/>
      <c r="S167" s="75"/>
      <c r="T167" s="73"/>
      <c r="U167" s="73"/>
      <c r="V167" s="73"/>
      <c r="W167" s="73"/>
      <c r="X167" s="73"/>
      <c r="Y167" s="73"/>
      <c r="Z167" s="73"/>
      <c r="AA167" s="73"/>
      <c r="AB167" s="74"/>
      <c r="AC167" s="73"/>
      <c r="AD167" s="76"/>
      <c r="AE167" s="73"/>
      <c r="AF167" s="73"/>
      <c r="AG167" s="73"/>
      <c r="AH167" s="73"/>
      <c r="AI167" s="73"/>
    </row>
    <row r="168" customFormat="false" ht="15" hidden="false" customHeight="false" outlineLevel="0" collapsed="false">
      <c r="A168" s="71" t="str">
        <f aca="false">IF(D168="","",ROW()-1)</f>
        <v/>
      </c>
      <c r="B168" s="72"/>
      <c r="C168" s="72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4"/>
      <c r="O168" s="73"/>
      <c r="P168" s="74"/>
      <c r="Q168" s="73"/>
      <c r="R168" s="74"/>
      <c r="S168" s="75"/>
      <c r="T168" s="73"/>
      <c r="U168" s="73"/>
      <c r="V168" s="73"/>
      <c r="W168" s="73"/>
      <c r="X168" s="73"/>
      <c r="Y168" s="73"/>
      <c r="Z168" s="73"/>
      <c r="AA168" s="73"/>
      <c r="AB168" s="74"/>
      <c r="AC168" s="73"/>
      <c r="AD168" s="76"/>
      <c r="AE168" s="73"/>
      <c r="AF168" s="73"/>
      <c r="AG168" s="73"/>
      <c r="AH168" s="73"/>
      <c r="AI168" s="73"/>
    </row>
    <row r="169" customFormat="false" ht="15" hidden="false" customHeight="false" outlineLevel="0" collapsed="false">
      <c r="A169" s="71" t="str">
        <f aca="false">IF(D169="","",ROW()-1)</f>
        <v/>
      </c>
      <c r="B169" s="72"/>
      <c r="C169" s="72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4"/>
      <c r="O169" s="73"/>
      <c r="P169" s="74"/>
      <c r="Q169" s="73"/>
      <c r="R169" s="74"/>
      <c r="S169" s="75"/>
      <c r="T169" s="73"/>
      <c r="U169" s="73"/>
      <c r="V169" s="73"/>
      <c r="W169" s="73"/>
      <c r="X169" s="73"/>
      <c r="Y169" s="73"/>
      <c r="Z169" s="73"/>
      <c r="AA169" s="73"/>
      <c r="AB169" s="74"/>
      <c r="AC169" s="73"/>
      <c r="AD169" s="76"/>
      <c r="AE169" s="73"/>
      <c r="AF169" s="73"/>
      <c r="AG169" s="73"/>
      <c r="AH169" s="73"/>
      <c r="AI169" s="73"/>
    </row>
    <row r="170" customFormat="false" ht="15" hidden="false" customHeight="false" outlineLevel="0" collapsed="false">
      <c r="A170" s="71" t="str">
        <f aca="false">IF(D170="","",ROW()-1)</f>
        <v/>
      </c>
      <c r="B170" s="72"/>
      <c r="C170" s="72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4"/>
      <c r="O170" s="73"/>
      <c r="P170" s="74"/>
      <c r="Q170" s="73"/>
      <c r="R170" s="74"/>
      <c r="S170" s="75"/>
      <c r="T170" s="73"/>
      <c r="U170" s="73"/>
      <c r="V170" s="73"/>
      <c r="W170" s="73"/>
      <c r="X170" s="73"/>
      <c r="Y170" s="73"/>
      <c r="Z170" s="73"/>
      <c r="AA170" s="73"/>
      <c r="AB170" s="74"/>
      <c r="AC170" s="73"/>
      <c r="AD170" s="76"/>
      <c r="AE170" s="73"/>
      <c r="AF170" s="73"/>
      <c r="AG170" s="73"/>
      <c r="AH170" s="73"/>
      <c r="AI170" s="73"/>
    </row>
    <row r="171" customFormat="false" ht="15" hidden="false" customHeight="false" outlineLevel="0" collapsed="false">
      <c r="A171" s="71" t="str">
        <f aca="false">IF(D171="","",ROW()-1)</f>
        <v/>
      </c>
      <c r="B171" s="72"/>
      <c r="C171" s="72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4"/>
      <c r="O171" s="73"/>
      <c r="P171" s="74"/>
      <c r="Q171" s="73"/>
      <c r="R171" s="74"/>
      <c r="S171" s="75"/>
      <c r="T171" s="73"/>
      <c r="U171" s="73"/>
      <c r="V171" s="73"/>
      <c r="W171" s="73"/>
      <c r="X171" s="73"/>
      <c r="Y171" s="73"/>
      <c r="Z171" s="73"/>
      <c r="AA171" s="73"/>
      <c r="AB171" s="74"/>
      <c r="AC171" s="73"/>
      <c r="AD171" s="76"/>
      <c r="AE171" s="73"/>
      <c r="AF171" s="73"/>
      <c r="AG171" s="73"/>
      <c r="AH171" s="73"/>
      <c r="AI171" s="73"/>
    </row>
    <row r="172" customFormat="false" ht="15" hidden="false" customHeight="false" outlineLevel="0" collapsed="false">
      <c r="A172" s="71" t="str">
        <f aca="false">IF(D172="","",ROW()-1)</f>
        <v/>
      </c>
      <c r="B172" s="72"/>
      <c r="C172" s="72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4"/>
      <c r="O172" s="73"/>
      <c r="P172" s="74"/>
      <c r="Q172" s="73"/>
      <c r="R172" s="74"/>
      <c r="S172" s="75"/>
      <c r="T172" s="73"/>
      <c r="U172" s="73"/>
      <c r="V172" s="73"/>
      <c r="W172" s="73"/>
      <c r="X172" s="73"/>
      <c r="Y172" s="73"/>
      <c r="Z172" s="73"/>
      <c r="AA172" s="73"/>
      <c r="AB172" s="74"/>
      <c r="AC172" s="73"/>
      <c r="AD172" s="76"/>
      <c r="AE172" s="73"/>
      <c r="AF172" s="73"/>
      <c r="AG172" s="73"/>
      <c r="AH172" s="73"/>
      <c r="AI172" s="73"/>
    </row>
    <row r="173" customFormat="false" ht="15" hidden="false" customHeight="false" outlineLevel="0" collapsed="false">
      <c r="A173" s="71" t="str">
        <f aca="false">IF(D173="","",ROW()-1)</f>
        <v/>
      </c>
      <c r="B173" s="72"/>
      <c r="C173" s="72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4"/>
      <c r="O173" s="73"/>
      <c r="P173" s="74"/>
      <c r="Q173" s="73"/>
      <c r="R173" s="74"/>
      <c r="S173" s="75"/>
      <c r="T173" s="73"/>
      <c r="U173" s="73"/>
      <c r="V173" s="73"/>
      <c r="W173" s="73"/>
      <c r="X173" s="73"/>
      <c r="Y173" s="73"/>
      <c r="Z173" s="73"/>
      <c r="AA173" s="73"/>
      <c r="AB173" s="74"/>
      <c r="AC173" s="73"/>
      <c r="AD173" s="76"/>
      <c r="AE173" s="73"/>
      <c r="AF173" s="73"/>
      <c r="AG173" s="73"/>
      <c r="AH173" s="73"/>
      <c r="AI173" s="73"/>
    </row>
    <row r="174" customFormat="false" ht="15" hidden="false" customHeight="false" outlineLevel="0" collapsed="false">
      <c r="A174" s="71" t="str">
        <f aca="false">IF(D174="","",ROW()-1)</f>
        <v/>
      </c>
      <c r="B174" s="72"/>
      <c r="C174" s="72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4"/>
      <c r="O174" s="73"/>
      <c r="P174" s="74"/>
      <c r="Q174" s="73"/>
      <c r="R174" s="74"/>
      <c r="S174" s="75"/>
      <c r="T174" s="73"/>
      <c r="U174" s="73"/>
      <c r="V174" s="73"/>
      <c r="W174" s="73"/>
      <c r="X174" s="73"/>
      <c r="Y174" s="73"/>
      <c r="Z174" s="73"/>
      <c r="AA174" s="73"/>
      <c r="AB174" s="74"/>
      <c r="AC174" s="73"/>
      <c r="AD174" s="76"/>
      <c r="AE174" s="73"/>
      <c r="AF174" s="73"/>
      <c r="AG174" s="73"/>
      <c r="AH174" s="73"/>
      <c r="AI174" s="73"/>
    </row>
    <row r="175" customFormat="false" ht="15" hidden="false" customHeight="false" outlineLevel="0" collapsed="false">
      <c r="A175" s="71" t="str">
        <f aca="false">IF(D175="","",ROW()-1)</f>
        <v/>
      </c>
      <c r="B175" s="72"/>
      <c r="C175" s="72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4"/>
      <c r="O175" s="73"/>
      <c r="P175" s="74"/>
      <c r="Q175" s="73"/>
      <c r="R175" s="74"/>
      <c r="S175" s="75"/>
      <c r="T175" s="73"/>
      <c r="U175" s="73"/>
      <c r="V175" s="73"/>
      <c r="W175" s="73"/>
      <c r="X175" s="73"/>
      <c r="Y175" s="73"/>
      <c r="Z175" s="73"/>
      <c r="AA175" s="73"/>
      <c r="AB175" s="74"/>
      <c r="AC175" s="73"/>
      <c r="AD175" s="76"/>
      <c r="AE175" s="73"/>
      <c r="AF175" s="73"/>
      <c r="AG175" s="73"/>
      <c r="AH175" s="73"/>
      <c r="AI175" s="73"/>
    </row>
    <row r="176" customFormat="false" ht="15" hidden="false" customHeight="false" outlineLevel="0" collapsed="false">
      <c r="A176" s="71" t="str">
        <f aca="false">IF(D176="","",ROW()-1)</f>
        <v/>
      </c>
      <c r="B176" s="72"/>
      <c r="C176" s="72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4"/>
      <c r="O176" s="73"/>
      <c r="P176" s="74"/>
      <c r="Q176" s="73"/>
      <c r="R176" s="74"/>
      <c r="S176" s="75"/>
      <c r="T176" s="73"/>
      <c r="U176" s="73"/>
      <c r="V176" s="73"/>
      <c r="W176" s="73"/>
      <c r="X176" s="73"/>
      <c r="Y176" s="73"/>
      <c r="Z176" s="73"/>
      <c r="AA176" s="73"/>
      <c r="AB176" s="74"/>
      <c r="AC176" s="73"/>
      <c r="AD176" s="76"/>
      <c r="AE176" s="73"/>
      <c r="AF176" s="73"/>
      <c r="AG176" s="73"/>
      <c r="AH176" s="73"/>
      <c r="AI176" s="73"/>
    </row>
    <row r="177" customFormat="false" ht="15" hidden="false" customHeight="false" outlineLevel="0" collapsed="false">
      <c r="A177" s="71" t="str">
        <f aca="false">IF(D177="","",ROW()-1)</f>
        <v/>
      </c>
      <c r="B177" s="72"/>
      <c r="C177" s="72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4"/>
      <c r="O177" s="73"/>
      <c r="P177" s="74"/>
      <c r="Q177" s="73"/>
      <c r="R177" s="74"/>
      <c r="S177" s="75"/>
      <c r="T177" s="73"/>
      <c r="U177" s="73"/>
      <c r="V177" s="73"/>
      <c r="W177" s="73"/>
      <c r="X177" s="73"/>
      <c r="Y177" s="73"/>
      <c r="Z177" s="73"/>
      <c r="AA177" s="73"/>
      <c r="AB177" s="74"/>
      <c r="AC177" s="73"/>
      <c r="AD177" s="76"/>
      <c r="AE177" s="73"/>
      <c r="AF177" s="73"/>
      <c r="AG177" s="73"/>
      <c r="AH177" s="73"/>
      <c r="AI177" s="73"/>
    </row>
    <row r="178" customFormat="false" ht="15" hidden="false" customHeight="false" outlineLevel="0" collapsed="false">
      <c r="A178" s="71" t="str">
        <f aca="false">IF(D178="","",ROW()-1)</f>
        <v/>
      </c>
      <c r="B178" s="72"/>
      <c r="C178" s="72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4"/>
      <c r="O178" s="73"/>
      <c r="P178" s="74"/>
      <c r="Q178" s="73"/>
      <c r="R178" s="74"/>
      <c r="S178" s="75"/>
      <c r="T178" s="73"/>
      <c r="U178" s="73"/>
      <c r="V178" s="73"/>
      <c r="W178" s="73"/>
      <c r="X178" s="73"/>
      <c r="Y178" s="73"/>
      <c r="Z178" s="73"/>
      <c r="AA178" s="73"/>
      <c r="AB178" s="74"/>
      <c r="AC178" s="73"/>
      <c r="AD178" s="76"/>
      <c r="AE178" s="73"/>
      <c r="AF178" s="73"/>
      <c r="AG178" s="73"/>
      <c r="AH178" s="73"/>
      <c r="AI178" s="73"/>
    </row>
    <row r="179" customFormat="false" ht="15" hidden="false" customHeight="false" outlineLevel="0" collapsed="false">
      <c r="A179" s="71" t="str">
        <f aca="false">IF(D179="","",ROW()-1)</f>
        <v/>
      </c>
      <c r="B179" s="72"/>
      <c r="C179" s="72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4"/>
      <c r="O179" s="73"/>
      <c r="P179" s="74"/>
      <c r="Q179" s="73"/>
      <c r="R179" s="74"/>
      <c r="S179" s="75"/>
      <c r="T179" s="73"/>
      <c r="U179" s="73"/>
      <c r="V179" s="73"/>
      <c r="W179" s="73"/>
      <c r="X179" s="73"/>
      <c r="Y179" s="73"/>
      <c r="Z179" s="73"/>
      <c r="AA179" s="73"/>
      <c r="AB179" s="74"/>
      <c r="AC179" s="73"/>
      <c r="AD179" s="76"/>
      <c r="AE179" s="73"/>
      <c r="AF179" s="73"/>
      <c r="AG179" s="73"/>
      <c r="AH179" s="73"/>
      <c r="AI179" s="73"/>
    </row>
    <row r="180" customFormat="false" ht="15" hidden="false" customHeight="false" outlineLevel="0" collapsed="false">
      <c r="A180" s="71" t="str">
        <f aca="false">IF(D180="","",ROW()-1)</f>
        <v/>
      </c>
      <c r="B180" s="72"/>
      <c r="C180" s="72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4"/>
      <c r="O180" s="73"/>
      <c r="P180" s="74"/>
      <c r="Q180" s="73"/>
      <c r="R180" s="74"/>
      <c r="S180" s="75"/>
      <c r="T180" s="73"/>
      <c r="U180" s="73"/>
      <c r="V180" s="73"/>
      <c r="W180" s="73"/>
      <c r="X180" s="73"/>
      <c r="Y180" s="73"/>
      <c r="Z180" s="73"/>
      <c r="AA180" s="73"/>
      <c r="AB180" s="74"/>
      <c r="AC180" s="73"/>
      <c r="AD180" s="76"/>
      <c r="AE180" s="73"/>
      <c r="AF180" s="73"/>
      <c r="AG180" s="73"/>
      <c r="AH180" s="73"/>
      <c r="AI180" s="73"/>
    </row>
    <row r="181" customFormat="false" ht="15" hidden="false" customHeight="false" outlineLevel="0" collapsed="false">
      <c r="A181" s="71" t="str">
        <f aca="false">IF(D181="","",ROW()-1)</f>
        <v/>
      </c>
      <c r="B181" s="72"/>
      <c r="C181" s="72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4"/>
      <c r="O181" s="73"/>
      <c r="P181" s="74"/>
      <c r="Q181" s="73"/>
      <c r="R181" s="74"/>
      <c r="S181" s="75"/>
      <c r="T181" s="73"/>
      <c r="U181" s="73"/>
      <c r="V181" s="73"/>
      <c r="W181" s="73"/>
      <c r="X181" s="73"/>
      <c r="Y181" s="73"/>
      <c r="Z181" s="73"/>
      <c r="AA181" s="73"/>
      <c r="AB181" s="74"/>
      <c r="AC181" s="73"/>
      <c r="AD181" s="76"/>
      <c r="AE181" s="73"/>
      <c r="AF181" s="73"/>
      <c r="AG181" s="73"/>
      <c r="AH181" s="73"/>
      <c r="AI181" s="73"/>
    </row>
    <row r="182" customFormat="false" ht="15" hidden="false" customHeight="false" outlineLevel="0" collapsed="false">
      <c r="A182" s="71" t="str">
        <f aca="false">IF(D182="","",ROW()-1)</f>
        <v/>
      </c>
      <c r="B182" s="72"/>
      <c r="C182" s="72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4"/>
      <c r="O182" s="73"/>
      <c r="P182" s="74"/>
      <c r="Q182" s="73"/>
      <c r="R182" s="74"/>
      <c r="S182" s="75"/>
      <c r="T182" s="73"/>
      <c r="U182" s="73"/>
      <c r="V182" s="73"/>
      <c r="W182" s="73"/>
      <c r="X182" s="73"/>
      <c r="Y182" s="73"/>
      <c r="Z182" s="73"/>
      <c r="AA182" s="73"/>
      <c r="AB182" s="74"/>
      <c r="AC182" s="73"/>
      <c r="AD182" s="76"/>
      <c r="AE182" s="73"/>
      <c r="AF182" s="73"/>
      <c r="AG182" s="73"/>
      <c r="AH182" s="73"/>
      <c r="AI182" s="73"/>
    </row>
    <row r="183" customFormat="false" ht="15" hidden="false" customHeight="false" outlineLevel="0" collapsed="false">
      <c r="A183" s="71" t="str">
        <f aca="false">IF(D183="","",ROW()-1)</f>
        <v/>
      </c>
      <c r="B183" s="72"/>
      <c r="C183" s="72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4"/>
      <c r="O183" s="73"/>
      <c r="P183" s="74"/>
      <c r="Q183" s="73"/>
      <c r="R183" s="74"/>
      <c r="S183" s="75"/>
      <c r="T183" s="73"/>
      <c r="U183" s="73"/>
      <c r="V183" s="73"/>
      <c r="W183" s="73"/>
      <c r="X183" s="73"/>
      <c r="Y183" s="73"/>
      <c r="Z183" s="73"/>
      <c r="AA183" s="73"/>
      <c r="AB183" s="74"/>
      <c r="AC183" s="73"/>
      <c r="AD183" s="76"/>
      <c r="AE183" s="73"/>
      <c r="AF183" s="73"/>
      <c r="AG183" s="73"/>
      <c r="AH183" s="73"/>
      <c r="AI183" s="73"/>
    </row>
    <row r="184" customFormat="false" ht="15" hidden="false" customHeight="false" outlineLevel="0" collapsed="false">
      <c r="A184" s="71" t="str">
        <f aca="false">IF(D184="","",ROW()-1)</f>
        <v/>
      </c>
      <c r="B184" s="72"/>
      <c r="C184" s="72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4"/>
      <c r="O184" s="73"/>
      <c r="P184" s="74"/>
      <c r="Q184" s="73"/>
      <c r="R184" s="74"/>
      <c r="S184" s="75"/>
      <c r="T184" s="73"/>
      <c r="U184" s="73"/>
      <c r="V184" s="73"/>
      <c r="W184" s="73"/>
      <c r="X184" s="73"/>
      <c r="Y184" s="73"/>
      <c r="Z184" s="73"/>
      <c r="AA184" s="73"/>
      <c r="AB184" s="74"/>
      <c r="AC184" s="73"/>
      <c r="AD184" s="76"/>
      <c r="AE184" s="73"/>
      <c r="AF184" s="73"/>
      <c r="AG184" s="73"/>
      <c r="AH184" s="73"/>
      <c r="AI184" s="73"/>
    </row>
    <row r="185" customFormat="false" ht="15" hidden="false" customHeight="false" outlineLevel="0" collapsed="false">
      <c r="A185" s="71" t="str">
        <f aca="false">IF(D185="","",ROW()-1)</f>
        <v/>
      </c>
      <c r="B185" s="72"/>
      <c r="C185" s="72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4"/>
      <c r="O185" s="73"/>
      <c r="P185" s="74"/>
      <c r="Q185" s="73"/>
      <c r="R185" s="74"/>
      <c r="S185" s="75"/>
      <c r="T185" s="73"/>
      <c r="U185" s="73"/>
      <c r="V185" s="73"/>
      <c r="W185" s="73"/>
      <c r="X185" s="73"/>
      <c r="Y185" s="73"/>
      <c r="Z185" s="73"/>
      <c r="AA185" s="73"/>
      <c r="AB185" s="74"/>
      <c r="AC185" s="73"/>
      <c r="AD185" s="76"/>
      <c r="AE185" s="73"/>
      <c r="AF185" s="73"/>
      <c r="AG185" s="73"/>
      <c r="AH185" s="73"/>
      <c r="AI185" s="73"/>
    </row>
    <row r="186" customFormat="false" ht="15" hidden="false" customHeight="false" outlineLevel="0" collapsed="false">
      <c r="A186" s="71" t="str">
        <f aca="false">IF(D186="","",ROW()-1)</f>
        <v/>
      </c>
      <c r="B186" s="72"/>
      <c r="C186" s="72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4"/>
      <c r="O186" s="73"/>
      <c r="P186" s="74"/>
      <c r="Q186" s="73"/>
      <c r="R186" s="74"/>
      <c r="S186" s="75"/>
      <c r="T186" s="73"/>
      <c r="U186" s="73"/>
      <c r="V186" s="73"/>
      <c r="W186" s="73"/>
      <c r="X186" s="73"/>
      <c r="Y186" s="73"/>
      <c r="Z186" s="73"/>
      <c r="AA186" s="73"/>
      <c r="AB186" s="74"/>
      <c r="AC186" s="73"/>
      <c r="AD186" s="76"/>
      <c r="AE186" s="73"/>
      <c r="AF186" s="73"/>
      <c r="AG186" s="73"/>
      <c r="AH186" s="73"/>
      <c r="AI186" s="73"/>
    </row>
    <row r="187" customFormat="false" ht="15" hidden="false" customHeight="false" outlineLevel="0" collapsed="false">
      <c r="A187" s="71" t="str">
        <f aca="false">IF(D187="","",ROW()-1)</f>
        <v/>
      </c>
      <c r="B187" s="72"/>
      <c r="C187" s="72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4"/>
      <c r="O187" s="73"/>
      <c r="P187" s="74"/>
      <c r="Q187" s="73"/>
      <c r="R187" s="74"/>
      <c r="S187" s="75"/>
      <c r="T187" s="73"/>
      <c r="U187" s="73"/>
      <c r="V187" s="73"/>
      <c r="W187" s="73"/>
      <c r="X187" s="73"/>
      <c r="Y187" s="73"/>
      <c r="Z187" s="73"/>
      <c r="AA187" s="73"/>
      <c r="AB187" s="74"/>
      <c r="AC187" s="73"/>
      <c r="AD187" s="76"/>
      <c r="AE187" s="73"/>
      <c r="AF187" s="73"/>
      <c r="AG187" s="73"/>
      <c r="AH187" s="73"/>
      <c r="AI187" s="73"/>
    </row>
    <row r="188" customFormat="false" ht="15" hidden="false" customHeight="false" outlineLevel="0" collapsed="false">
      <c r="A188" s="71" t="str">
        <f aca="false">IF(D188="","",ROW()-1)</f>
        <v/>
      </c>
      <c r="B188" s="72"/>
      <c r="C188" s="72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4"/>
      <c r="O188" s="73"/>
      <c r="P188" s="74"/>
      <c r="Q188" s="73"/>
      <c r="R188" s="74"/>
      <c r="S188" s="75"/>
      <c r="T188" s="73"/>
      <c r="U188" s="73"/>
      <c r="V188" s="73"/>
      <c r="W188" s="73"/>
      <c r="X188" s="73"/>
      <c r="Y188" s="73"/>
      <c r="Z188" s="73"/>
      <c r="AA188" s="73"/>
      <c r="AB188" s="74"/>
      <c r="AC188" s="73"/>
      <c r="AD188" s="76"/>
      <c r="AE188" s="73"/>
      <c r="AF188" s="73"/>
      <c r="AG188" s="73"/>
      <c r="AH188" s="73"/>
      <c r="AI188" s="73"/>
    </row>
    <row r="189" customFormat="false" ht="15" hidden="false" customHeight="false" outlineLevel="0" collapsed="false">
      <c r="A189" s="71" t="str">
        <f aca="false">IF(D189="","",ROW()-1)</f>
        <v/>
      </c>
      <c r="B189" s="72"/>
      <c r="C189" s="72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4"/>
      <c r="O189" s="73"/>
      <c r="P189" s="74"/>
      <c r="Q189" s="73"/>
      <c r="R189" s="74"/>
      <c r="S189" s="75"/>
      <c r="T189" s="73"/>
      <c r="U189" s="73"/>
      <c r="V189" s="73"/>
      <c r="W189" s="73"/>
      <c r="X189" s="73"/>
      <c r="Y189" s="73"/>
      <c r="Z189" s="73"/>
      <c r="AA189" s="73"/>
      <c r="AB189" s="74"/>
      <c r="AC189" s="73"/>
      <c r="AD189" s="76"/>
      <c r="AE189" s="73"/>
      <c r="AF189" s="73"/>
      <c r="AG189" s="73"/>
      <c r="AH189" s="73"/>
      <c r="AI189" s="73"/>
    </row>
    <row r="190" customFormat="false" ht="15" hidden="false" customHeight="false" outlineLevel="0" collapsed="false">
      <c r="A190" s="71" t="str">
        <f aca="false">IF(D190="","",ROW()-1)</f>
        <v/>
      </c>
      <c r="B190" s="72"/>
      <c r="C190" s="72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4"/>
      <c r="O190" s="73"/>
      <c r="P190" s="74"/>
      <c r="Q190" s="73"/>
      <c r="R190" s="74"/>
      <c r="S190" s="75"/>
      <c r="T190" s="73"/>
      <c r="U190" s="73"/>
      <c r="V190" s="73"/>
      <c r="W190" s="73"/>
      <c r="X190" s="73"/>
      <c r="Y190" s="73"/>
      <c r="Z190" s="73"/>
      <c r="AA190" s="73"/>
      <c r="AB190" s="74"/>
      <c r="AC190" s="73"/>
      <c r="AD190" s="76"/>
      <c r="AE190" s="73"/>
      <c r="AF190" s="73"/>
      <c r="AG190" s="73"/>
      <c r="AH190" s="73"/>
      <c r="AI190" s="73"/>
    </row>
    <row r="191" customFormat="false" ht="15" hidden="false" customHeight="false" outlineLevel="0" collapsed="false">
      <c r="A191" s="71" t="str">
        <f aca="false">IF(D191="","",ROW()-1)</f>
        <v/>
      </c>
      <c r="B191" s="72"/>
      <c r="C191" s="72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4"/>
      <c r="O191" s="73"/>
      <c r="P191" s="74"/>
      <c r="Q191" s="73"/>
      <c r="R191" s="74"/>
      <c r="S191" s="75"/>
      <c r="T191" s="73"/>
      <c r="U191" s="73"/>
      <c r="V191" s="73"/>
      <c r="W191" s="73"/>
      <c r="X191" s="73"/>
      <c r="Y191" s="73"/>
      <c r="Z191" s="73"/>
      <c r="AA191" s="73"/>
      <c r="AB191" s="74"/>
      <c r="AC191" s="73"/>
      <c r="AD191" s="76"/>
      <c r="AE191" s="73"/>
      <c r="AF191" s="73"/>
      <c r="AG191" s="73"/>
      <c r="AH191" s="73"/>
      <c r="AI191" s="73"/>
    </row>
    <row r="192" customFormat="false" ht="15" hidden="false" customHeight="false" outlineLevel="0" collapsed="false">
      <c r="A192" s="71" t="str">
        <f aca="false">IF(D192="","",ROW()-1)</f>
        <v/>
      </c>
      <c r="B192" s="72"/>
      <c r="C192" s="72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4"/>
      <c r="O192" s="73"/>
      <c r="P192" s="74"/>
      <c r="Q192" s="73"/>
      <c r="R192" s="74"/>
      <c r="S192" s="75"/>
      <c r="T192" s="73"/>
      <c r="U192" s="73"/>
      <c r="V192" s="73"/>
      <c r="W192" s="73"/>
      <c r="X192" s="73"/>
      <c r="Y192" s="73"/>
      <c r="Z192" s="73"/>
      <c r="AA192" s="73"/>
      <c r="AB192" s="74"/>
      <c r="AC192" s="73"/>
      <c r="AD192" s="76"/>
      <c r="AE192" s="73"/>
      <c r="AF192" s="73"/>
      <c r="AG192" s="73"/>
      <c r="AH192" s="73"/>
      <c r="AI192" s="73"/>
    </row>
    <row r="193" customFormat="false" ht="15" hidden="false" customHeight="false" outlineLevel="0" collapsed="false">
      <c r="A193" s="71" t="str">
        <f aca="false">IF(D193="","",ROW()-1)</f>
        <v/>
      </c>
      <c r="B193" s="72"/>
      <c r="C193" s="72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4"/>
      <c r="O193" s="73"/>
      <c r="P193" s="74"/>
      <c r="Q193" s="73"/>
      <c r="R193" s="74"/>
      <c r="S193" s="75"/>
      <c r="T193" s="73"/>
      <c r="U193" s="73"/>
      <c r="V193" s="73"/>
      <c r="W193" s="73"/>
      <c r="X193" s="73"/>
      <c r="Y193" s="73"/>
      <c r="Z193" s="73"/>
      <c r="AA193" s="73"/>
      <c r="AB193" s="74"/>
      <c r="AC193" s="73"/>
      <c r="AD193" s="76"/>
      <c r="AE193" s="73"/>
      <c r="AF193" s="73"/>
      <c r="AG193" s="73"/>
      <c r="AH193" s="73"/>
      <c r="AI193" s="73"/>
    </row>
    <row r="194" customFormat="false" ht="15" hidden="false" customHeight="false" outlineLevel="0" collapsed="false">
      <c r="A194" s="71" t="str">
        <f aca="false">IF(D194="","",ROW()-1)</f>
        <v/>
      </c>
      <c r="B194" s="72"/>
      <c r="C194" s="72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4"/>
      <c r="O194" s="73"/>
      <c r="P194" s="74"/>
      <c r="Q194" s="73"/>
      <c r="R194" s="74"/>
      <c r="S194" s="75"/>
      <c r="T194" s="73"/>
      <c r="U194" s="73"/>
      <c r="V194" s="73"/>
      <c r="W194" s="73"/>
      <c r="X194" s="73"/>
      <c r="Y194" s="73"/>
      <c r="Z194" s="73"/>
      <c r="AA194" s="73"/>
      <c r="AB194" s="74"/>
      <c r="AC194" s="73"/>
      <c r="AD194" s="76"/>
      <c r="AE194" s="73"/>
      <c r="AF194" s="73"/>
      <c r="AG194" s="73"/>
      <c r="AH194" s="73"/>
      <c r="AI194" s="73"/>
    </row>
    <row r="195" customFormat="false" ht="15" hidden="false" customHeight="false" outlineLevel="0" collapsed="false">
      <c r="A195" s="71" t="str">
        <f aca="false">IF(D195="","",ROW()-1)</f>
        <v/>
      </c>
      <c r="B195" s="72"/>
      <c r="C195" s="72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4"/>
      <c r="O195" s="73"/>
      <c r="P195" s="74"/>
      <c r="Q195" s="73"/>
      <c r="R195" s="74"/>
      <c r="S195" s="75"/>
      <c r="T195" s="73"/>
      <c r="U195" s="73"/>
      <c r="V195" s="73"/>
      <c r="W195" s="73"/>
      <c r="X195" s="73"/>
      <c r="Y195" s="73"/>
      <c r="Z195" s="73"/>
      <c r="AA195" s="73"/>
      <c r="AB195" s="74"/>
      <c r="AC195" s="73"/>
      <c r="AD195" s="76"/>
      <c r="AE195" s="73"/>
      <c r="AF195" s="73"/>
      <c r="AG195" s="73"/>
      <c r="AH195" s="73"/>
      <c r="AI195" s="73"/>
    </row>
    <row r="196" customFormat="false" ht="15" hidden="false" customHeight="false" outlineLevel="0" collapsed="false">
      <c r="A196" s="71" t="str">
        <f aca="false">IF(D196="","",ROW()-1)</f>
        <v/>
      </c>
      <c r="B196" s="72"/>
      <c r="C196" s="72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4"/>
      <c r="O196" s="73"/>
      <c r="P196" s="74"/>
      <c r="Q196" s="73"/>
      <c r="R196" s="74"/>
      <c r="S196" s="75"/>
      <c r="T196" s="73"/>
      <c r="U196" s="73"/>
      <c r="V196" s="73"/>
      <c r="W196" s="73"/>
      <c r="X196" s="73"/>
      <c r="Y196" s="73"/>
      <c r="Z196" s="73"/>
      <c r="AA196" s="73"/>
      <c r="AB196" s="74"/>
      <c r="AC196" s="73"/>
      <c r="AD196" s="76"/>
      <c r="AE196" s="73"/>
      <c r="AF196" s="73"/>
      <c r="AG196" s="73"/>
      <c r="AH196" s="73"/>
      <c r="AI196" s="73"/>
    </row>
    <row r="197" customFormat="false" ht="15" hidden="false" customHeight="false" outlineLevel="0" collapsed="false">
      <c r="A197" s="71" t="str">
        <f aca="false">IF(D197="","",ROW()-1)</f>
        <v/>
      </c>
      <c r="B197" s="72"/>
      <c r="C197" s="72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4"/>
      <c r="O197" s="73"/>
      <c r="P197" s="74"/>
      <c r="Q197" s="73"/>
      <c r="R197" s="74"/>
      <c r="S197" s="75"/>
      <c r="T197" s="73"/>
      <c r="U197" s="73"/>
      <c r="V197" s="73"/>
      <c r="W197" s="73"/>
      <c r="X197" s="73"/>
      <c r="Y197" s="73"/>
      <c r="Z197" s="73"/>
      <c r="AA197" s="73"/>
      <c r="AB197" s="74"/>
      <c r="AC197" s="73"/>
      <c r="AD197" s="76"/>
      <c r="AE197" s="73"/>
      <c r="AF197" s="73"/>
      <c r="AG197" s="73"/>
      <c r="AH197" s="73"/>
      <c r="AI197" s="73"/>
    </row>
    <row r="198" customFormat="false" ht="15" hidden="false" customHeight="false" outlineLevel="0" collapsed="false">
      <c r="A198" s="71" t="str">
        <f aca="false">IF(D198="","",ROW()-1)</f>
        <v/>
      </c>
      <c r="B198" s="72"/>
      <c r="C198" s="72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4"/>
      <c r="O198" s="73"/>
      <c r="P198" s="74"/>
      <c r="Q198" s="73"/>
      <c r="R198" s="74"/>
      <c r="S198" s="75"/>
      <c r="T198" s="73"/>
      <c r="U198" s="73"/>
      <c r="V198" s="73"/>
      <c r="W198" s="73"/>
      <c r="X198" s="73"/>
      <c r="Y198" s="73"/>
      <c r="Z198" s="73"/>
      <c r="AA198" s="73"/>
      <c r="AB198" s="74"/>
      <c r="AC198" s="73"/>
      <c r="AD198" s="76"/>
      <c r="AE198" s="73"/>
      <c r="AF198" s="73"/>
      <c r="AG198" s="73"/>
      <c r="AH198" s="73"/>
      <c r="AI198" s="73"/>
    </row>
    <row r="199" customFormat="false" ht="15" hidden="false" customHeight="false" outlineLevel="0" collapsed="false">
      <c r="A199" s="71" t="str">
        <f aca="false">IF(D199="","",ROW()-1)</f>
        <v/>
      </c>
      <c r="B199" s="72"/>
      <c r="C199" s="72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4"/>
      <c r="O199" s="73"/>
      <c r="P199" s="74"/>
      <c r="Q199" s="73"/>
      <c r="R199" s="74"/>
      <c r="S199" s="75"/>
      <c r="T199" s="73"/>
      <c r="U199" s="73"/>
      <c r="V199" s="73"/>
      <c r="W199" s="73"/>
      <c r="X199" s="73"/>
      <c r="Y199" s="73"/>
      <c r="Z199" s="73"/>
      <c r="AA199" s="73"/>
      <c r="AB199" s="74"/>
      <c r="AC199" s="73"/>
      <c r="AD199" s="76"/>
      <c r="AE199" s="73"/>
      <c r="AF199" s="73"/>
      <c r="AG199" s="73"/>
      <c r="AH199" s="73"/>
      <c r="AI199" s="73"/>
    </row>
    <row r="200" customFormat="false" ht="15" hidden="false" customHeight="false" outlineLevel="0" collapsed="false">
      <c r="A200" s="71" t="str">
        <f aca="false">IF(D200="","",ROW()-1)</f>
        <v/>
      </c>
      <c r="B200" s="72"/>
      <c r="C200" s="72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4"/>
      <c r="O200" s="73"/>
      <c r="P200" s="74"/>
      <c r="Q200" s="73"/>
      <c r="R200" s="74"/>
      <c r="S200" s="75"/>
      <c r="T200" s="73"/>
      <c r="U200" s="73"/>
      <c r="V200" s="73"/>
      <c r="W200" s="73"/>
      <c r="X200" s="73"/>
      <c r="Y200" s="73"/>
      <c r="Z200" s="73"/>
      <c r="AA200" s="73"/>
      <c r="AB200" s="74"/>
      <c r="AC200" s="73"/>
      <c r="AD200" s="76"/>
      <c r="AE200" s="73"/>
      <c r="AF200" s="73"/>
      <c r="AG200" s="73"/>
      <c r="AH200" s="73"/>
      <c r="AI200" s="73"/>
    </row>
    <row r="201" customFormat="false" ht="15" hidden="false" customHeight="false" outlineLevel="0" collapsed="false">
      <c r="A201" s="71" t="str">
        <f aca="false">IF(D201="","",ROW()-1)</f>
        <v/>
      </c>
      <c r="B201" s="72"/>
      <c r="C201" s="72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4"/>
      <c r="O201" s="73"/>
      <c r="P201" s="74"/>
      <c r="Q201" s="73"/>
      <c r="R201" s="74"/>
      <c r="S201" s="75"/>
      <c r="T201" s="73"/>
      <c r="U201" s="73"/>
      <c r="V201" s="73"/>
      <c r="W201" s="73"/>
      <c r="X201" s="73"/>
      <c r="Y201" s="73"/>
      <c r="Z201" s="73"/>
      <c r="AA201" s="73"/>
      <c r="AB201" s="74"/>
      <c r="AC201" s="73"/>
      <c r="AD201" s="76"/>
      <c r="AE201" s="73"/>
      <c r="AF201" s="73"/>
      <c r="AG201" s="73"/>
      <c r="AH201" s="73"/>
      <c r="AI201" s="73"/>
    </row>
    <row r="202" customFormat="false" ht="15" hidden="false" customHeight="false" outlineLevel="0" collapsed="false">
      <c r="A202" s="71" t="str">
        <f aca="false">IF(D202="","",ROW()-1)</f>
        <v/>
      </c>
      <c r="B202" s="72"/>
      <c r="C202" s="72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4"/>
      <c r="O202" s="73"/>
      <c r="P202" s="74"/>
      <c r="Q202" s="73"/>
      <c r="R202" s="74"/>
      <c r="S202" s="75"/>
      <c r="T202" s="73"/>
      <c r="U202" s="73"/>
      <c r="V202" s="73"/>
      <c r="W202" s="73"/>
      <c r="X202" s="73"/>
      <c r="Y202" s="73"/>
      <c r="Z202" s="73"/>
      <c r="AA202" s="73"/>
      <c r="AB202" s="74"/>
      <c r="AC202" s="73"/>
      <c r="AD202" s="76"/>
      <c r="AE202" s="73"/>
      <c r="AF202" s="73"/>
      <c r="AG202" s="73"/>
      <c r="AH202" s="73"/>
      <c r="AI202" s="73"/>
    </row>
    <row r="203" customFormat="false" ht="15" hidden="false" customHeight="false" outlineLevel="0" collapsed="false">
      <c r="A203" s="71" t="str">
        <f aca="false">IF(D203="","",ROW()-1)</f>
        <v/>
      </c>
      <c r="B203" s="72"/>
      <c r="C203" s="72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4"/>
      <c r="O203" s="73"/>
      <c r="P203" s="74"/>
      <c r="Q203" s="73"/>
      <c r="R203" s="74"/>
      <c r="S203" s="75"/>
      <c r="T203" s="73"/>
      <c r="U203" s="73"/>
      <c r="V203" s="73"/>
      <c r="W203" s="73"/>
      <c r="X203" s="73"/>
      <c r="Y203" s="73"/>
      <c r="Z203" s="73"/>
      <c r="AA203" s="73"/>
      <c r="AB203" s="74"/>
      <c r="AC203" s="73"/>
      <c r="AD203" s="76"/>
      <c r="AE203" s="73"/>
      <c r="AF203" s="73"/>
      <c r="AG203" s="73"/>
      <c r="AH203" s="73"/>
      <c r="AI203" s="73"/>
    </row>
    <row r="204" customFormat="false" ht="15" hidden="false" customHeight="false" outlineLevel="0" collapsed="false">
      <c r="A204" s="71" t="str">
        <f aca="false">IF(D204="","",ROW()-1)</f>
        <v/>
      </c>
      <c r="B204" s="72"/>
      <c r="C204" s="72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4"/>
      <c r="O204" s="73"/>
      <c r="P204" s="74"/>
      <c r="Q204" s="73"/>
      <c r="R204" s="74"/>
      <c r="S204" s="75"/>
      <c r="T204" s="73"/>
      <c r="U204" s="73"/>
      <c r="V204" s="73"/>
      <c r="W204" s="73"/>
      <c r="X204" s="73"/>
      <c r="Y204" s="73"/>
      <c r="Z204" s="73"/>
      <c r="AA204" s="73"/>
      <c r="AB204" s="74"/>
      <c r="AC204" s="73"/>
      <c r="AD204" s="76"/>
      <c r="AE204" s="73"/>
      <c r="AF204" s="73"/>
      <c r="AG204" s="73"/>
      <c r="AH204" s="73"/>
      <c r="AI204" s="73"/>
    </row>
    <row r="205" customFormat="false" ht="15" hidden="false" customHeight="false" outlineLevel="0" collapsed="false">
      <c r="A205" s="71" t="str">
        <f aca="false">IF(D205="","",ROW()-1)</f>
        <v/>
      </c>
      <c r="B205" s="72"/>
      <c r="C205" s="72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4"/>
      <c r="O205" s="73"/>
      <c r="P205" s="74"/>
      <c r="Q205" s="73"/>
      <c r="R205" s="74"/>
      <c r="S205" s="75"/>
      <c r="T205" s="73"/>
      <c r="U205" s="73"/>
      <c r="V205" s="73"/>
      <c r="W205" s="73"/>
      <c r="X205" s="73"/>
      <c r="Y205" s="73"/>
      <c r="Z205" s="73"/>
      <c r="AA205" s="73"/>
      <c r="AB205" s="74"/>
      <c r="AC205" s="73"/>
      <c r="AD205" s="76"/>
      <c r="AE205" s="73"/>
      <c r="AF205" s="73"/>
      <c r="AG205" s="73"/>
      <c r="AH205" s="73"/>
      <c r="AI205" s="73"/>
    </row>
    <row r="206" customFormat="false" ht="15" hidden="false" customHeight="false" outlineLevel="0" collapsed="false">
      <c r="A206" s="71" t="str">
        <f aca="false">IF(D206="","",ROW()-1)</f>
        <v/>
      </c>
      <c r="B206" s="72"/>
      <c r="C206" s="72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4"/>
      <c r="O206" s="73"/>
      <c r="P206" s="74"/>
      <c r="Q206" s="73"/>
      <c r="R206" s="74"/>
      <c r="S206" s="75"/>
      <c r="T206" s="73"/>
      <c r="U206" s="73"/>
      <c r="V206" s="73"/>
      <c r="W206" s="73"/>
      <c r="X206" s="73"/>
      <c r="Y206" s="73"/>
      <c r="Z206" s="73"/>
      <c r="AA206" s="73"/>
      <c r="AB206" s="74"/>
      <c r="AC206" s="73"/>
      <c r="AD206" s="76"/>
      <c r="AE206" s="73"/>
      <c r="AF206" s="73"/>
      <c r="AG206" s="73"/>
      <c r="AH206" s="73"/>
      <c r="AI206" s="73"/>
    </row>
    <row r="207" customFormat="false" ht="15" hidden="false" customHeight="false" outlineLevel="0" collapsed="false">
      <c r="A207" s="71" t="str">
        <f aca="false">IF(D207="","",ROW()-1)</f>
        <v/>
      </c>
      <c r="B207" s="72"/>
      <c r="C207" s="72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4"/>
      <c r="O207" s="73"/>
      <c r="P207" s="74"/>
      <c r="Q207" s="73"/>
      <c r="R207" s="74"/>
      <c r="S207" s="75"/>
      <c r="T207" s="73"/>
      <c r="U207" s="73"/>
      <c r="V207" s="73"/>
      <c r="W207" s="73"/>
      <c r="X207" s="73"/>
      <c r="Y207" s="73"/>
      <c r="Z207" s="73"/>
      <c r="AA207" s="73"/>
      <c r="AB207" s="74"/>
      <c r="AC207" s="73"/>
      <c r="AD207" s="76"/>
      <c r="AE207" s="73"/>
      <c r="AF207" s="73"/>
      <c r="AG207" s="73"/>
      <c r="AH207" s="73"/>
      <c r="AI207" s="73"/>
    </row>
    <row r="208" customFormat="false" ht="15" hidden="false" customHeight="false" outlineLevel="0" collapsed="false">
      <c r="A208" s="71" t="str">
        <f aca="false">IF(D208="","",ROW()-1)</f>
        <v/>
      </c>
      <c r="B208" s="72"/>
      <c r="C208" s="72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4"/>
      <c r="O208" s="73"/>
      <c r="P208" s="74"/>
      <c r="Q208" s="73"/>
      <c r="R208" s="74"/>
      <c r="S208" s="75"/>
      <c r="T208" s="73"/>
      <c r="U208" s="73"/>
      <c r="V208" s="73"/>
      <c r="W208" s="73"/>
      <c r="X208" s="73"/>
      <c r="Y208" s="73"/>
      <c r="Z208" s="73"/>
      <c r="AA208" s="73"/>
      <c r="AB208" s="74"/>
      <c r="AC208" s="73"/>
      <c r="AD208" s="76"/>
      <c r="AE208" s="73"/>
      <c r="AF208" s="73"/>
      <c r="AG208" s="73"/>
      <c r="AH208" s="73"/>
      <c r="AI208" s="73"/>
    </row>
    <row r="209" customFormat="false" ht="15" hidden="false" customHeight="false" outlineLevel="0" collapsed="false">
      <c r="A209" s="71" t="str">
        <f aca="false">IF(D209="","",ROW()-1)</f>
        <v/>
      </c>
      <c r="B209" s="72"/>
      <c r="C209" s="72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4"/>
      <c r="O209" s="73"/>
      <c r="P209" s="74"/>
      <c r="Q209" s="73"/>
      <c r="R209" s="74"/>
      <c r="S209" s="75"/>
      <c r="T209" s="73"/>
      <c r="U209" s="73"/>
      <c r="V209" s="73"/>
      <c r="W209" s="73"/>
      <c r="X209" s="73"/>
      <c r="Y209" s="73"/>
      <c r="Z209" s="73"/>
      <c r="AA209" s="73"/>
      <c r="AB209" s="74"/>
      <c r="AC209" s="73"/>
      <c r="AD209" s="76"/>
      <c r="AE209" s="73"/>
      <c r="AF209" s="73"/>
      <c r="AG209" s="73"/>
      <c r="AH209" s="73"/>
      <c r="AI209" s="73"/>
    </row>
    <row r="210" customFormat="false" ht="15" hidden="false" customHeight="false" outlineLevel="0" collapsed="false">
      <c r="A210" s="71" t="str">
        <f aca="false">IF(D210="","",ROW()-1)</f>
        <v/>
      </c>
      <c r="B210" s="72"/>
      <c r="C210" s="72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4"/>
      <c r="O210" s="73"/>
      <c r="P210" s="74"/>
      <c r="Q210" s="73"/>
      <c r="R210" s="74"/>
      <c r="S210" s="75"/>
      <c r="T210" s="73"/>
      <c r="U210" s="73"/>
      <c r="V210" s="73"/>
      <c r="W210" s="73"/>
      <c r="X210" s="73"/>
      <c r="Y210" s="73"/>
      <c r="Z210" s="73"/>
      <c r="AA210" s="73"/>
      <c r="AB210" s="74"/>
      <c r="AC210" s="73"/>
      <c r="AD210" s="76"/>
      <c r="AE210" s="73"/>
      <c r="AF210" s="73"/>
      <c r="AG210" s="73"/>
      <c r="AH210" s="73"/>
      <c r="AI210" s="73"/>
    </row>
    <row r="211" customFormat="false" ht="15" hidden="false" customHeight="false" outlineLevel="0" collapsed="false">
      <c r="A211" s="71" t="str">
        <f aca="false">IF(D211="","",ROW()-1)</f>
        <v/>
      </c>
      <c r="B211" s="72"/>
      <c r="C211" s="72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4"/>
      <c r="O211" s="73"/>
      <c r="P211" s="74"/>
      <c r="Q211" s="73"/>
      <c r="R211" s="74"/>
      <c r="S211" s="75"/>
      <c r="T211" s="73"/>
      <c r="U211" s="73"/>
      <c r="V211" s="73"/>
      <c r="W211" s="73"/>
      <c r="X211" s="73"/>
      <c r="Y211" s="73"/>
      <c r="Z211" s="73"/>
      <c r="AA211" s="73"/>
      <c r="AB211" s="74"/>
      <c r="AC211" s="73"/>
      <c r="AD211" s="76"/>
      <c r="AE211" s="73"/>
      <c r="AF211" s="73"/>
      <c r="AG211" s="73"/>
      <c r="AH211" s="73"/>
      <c r="AI211" s="73"/>
    </row>
    <row r="212" customFormat="false" ht="15" hidden="false" customHeight="false" outlineLevel="0" collapsed="false">
      <c r="A212" s="71" t="str">
        <f aca="false">IF(D212="","",ROW()-1)</f>
        <v/>
      </c>
      <c r="B212" s="72"/>
      <c r="C212" s="72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4"/>
      <c r="O212" s="73"/>
      <c r="P212" s="74"/>
      <c r="Q212" s="73"/>
      <c r="R212" s="74"/>
      <c r="S212" s="75"/>
      <c r="T212" s="73"/>
      <c r="U212" s="73"/>
      <c r="V212" s="73"/>
      <c r="W212" s="73"/>
      <c r="X212" s="73"/>
      <c r="Y212" s="73"/>
      <c r="Z212" s="73"/>
      <c r="AA212" s="73"/>
      <c r="AB212" s="74"/>
      <c r="AC212" s="73"/>
      <c r="AD212" s="76"/>
      <c r="AE212" s="73"/>
      <c r="AF212" s="73"/>
      <c r="AG212" s="73"/>
      <c r="AH212" s="73"/>
      <c r="AI212" s="73"/>
    </row>
    <row r="213" customFormat="false" ht="15" hidden="false" customHeight="false" outlineLevel="0" collapsed="false">
      <c r="A213" s="71" t="str">
        <f aca="false">IF(D213="","",ROW()-1)</f>
        <v/>
      </c>
      <c r="B213" s="72"/>
      <c r="C213" s="72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4"/>
      <c r="O213" s="73"/>
      <c r="P213" s="74"/>
      <c r="Q213" s="73"/>
      <c r="R213" s="74"/>
      <c r="S213" s="75"/>
      <c r="T213" s="73"/>
      <c r="U213" s="73"/>
      <c r="V213" s="73"/>
      <c r="W213" s="73"/>
      <c r="X213" s="73"/>
      <c r="Y213" s="73"/>
      <c r="Z213" s="73"/>
      <c r="AA213" s="73"/>
      <c r="AB213" s="74"/>
      <c r="AC213" s="73"/>
      <c r="AD213" s="76"/>
      <c r="AE213" s="73"/>
      <c r="AF213" s="73"/>
      <c r="AG213" s="73"/>
      <c r="AH213" s="73"/>
      <c r="AI213" s="73"/>
    </row>
    <row r="214" customFormat="false" ht="15" hidden="false" customHeight="false" outlineLevel="0" collapsed="false">
      <c r="A214" s="71" t="str">
        <f aca="false">IF(D214="","",ROW()-1)</f>
        <v/>
      </c>
      <c r="B214" s="72"/>
      <c r="C214" s="72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4"/>
      <c r="O214" s="73"/>
      <c r="P214" s="74"/>
      <c r="Q214" s="73"/>
      <c r="R214" s="74"/>
      <c r="S214" s="75"/>
      <c r="T214" s="73"/>
      <c r="U214" s="73"/>
      <c r="V214" s="73"/>
      <c r="W214" s="73"/>
      <c r="X214" s="73"/>
      <c r="Y214" s="73"/>
      <c r="Z214" s="73"/>
      <c r="AA214" s="73"/>
      <c r="AB214" s="74"/>
      <c r="AC214" s="73"/>
      <c r="AD214" s="76"/>
      <c r="AE214" s="73"/>
      <c r="AF214" s="73"/>
      <c r="AG214" s="73"/>
      <c r="AH214" s="73"/>
      <c r="AI214" s="73"/>
    </row>
    <row r="215" customFormat="false" ht="15" hidden="false" customHeight="false" outlineLevel="0" collapsed="false">
      <c r="A215" s="71" t="str">
        <f aca="false">IF(D215="","",ROW()-1)</f>
        <v/>
      </c>
      <c r="B215" s="72"/>
      <c r="C215" s="72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4"/>
      <c r="O215" s="73"/>
      <c r="P215" s="74"/>
      <c r="Q215" s="73"/>
      <c r="R215" s="74"/>
      <c r="S215" s="75"/>
      <c r="T215" s="73"/>
      <c r="U215" s="73"/>
      <c r="V215" s="73"/>
      <c r="W215" s="73"/>
      <c r="X215" s="73"/>
      <c r="Y215" s="73"/>
      <c r="Z215" s="73"/>
      <c r="AA215" s="73"/>
      <c r="AB215" s="74"/>
      <c r="AC215" s="73"/>
      <c r="AD215" s="76"/>
      <c r="AE215" s="73"/>
      <c r="AF215" s="73"/>
      <c r="AG215" s="73"/>
      <c r="AH215" s="73"/>
      <c r="AI215" s="73"/>
    </row>
    <row r="216" customFormat="false" ht="15" hidden="false" customHeight="false" outlineLevel="0" collapsed="false">
      <c r="A216" s="71" t="str">
        <f aca="false">IF(D216="","",ROW()-1)</f>
        <v/>
      </c>
      <c r="B216" s="72"/>
      <c r="C216" s="72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4"/>
      <c r="O216" s="73"/>
      <c r="P216" s="74"/>
      <c r="Q216" s="73"/>
      <c r="R216" s="74"/>
      <c r="S216" s="75"/>
      <c r="T216" s="73"/>
      <c r="U216" s="73"/>
      <c r="V216" s="73"/>
      <c r="W216" s="73"/>
      <c r="X216" s="73"/>
      <c r="Y216" s="73"/>
      <c r="Z216" s="73"/>
      <c r="AA216" s="73"/>
      <c r="AB216" s="74"/>
      <c r="AC216" s="73"/>
      <c r="AD216" s="76"/>
      <c r="AE216" s="73"/>
      <c r="AF216" s="73"/>
      <c r="AG216" s="73"/>
      <c r="AH216" s="73"/>
      <c r="AI216" s="73"/>
    </row>
    <row r="217" customFormat="false" ht="15" hidden="false" customHeight="false" outlineLevel="0" collapsed="false">
      <c r="A217" s="71" t="str">
        <f aca="false">IF(D217="","",ROW()-1)</f>
        <v/>
      </c>
      <c r="B217" s="72"/>
      <c r="C217" s="72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4"/>
      <c r="O217" s="73"/>
      <c r="P217" s="74"/>
      <c r="Q217" s="73"/>
      <c r="R217" s="74"/>
      <c r="S217" s="75"/>
      <c r="T217" s="73"/>
      <c r="U217" s="73"/>
      <c r="V217" s="73"/>
      <c r="W217" s="73"/>
      <c r="X217" s="73"/>
      <c r="Y217" s="73"/>
      <c r="Z217" s="73"/>
      <c r="AA217" s="73"/>
      <c r="AB217" s="74"/>
      <c r="AC217" s="73"/>
      <c r="AD217" s="76"/>
      <c r="AE217" s="73"/>
      <c r="AF217" s="73"/>
      <c r="AG217" s="73"/>
      <c r="AH217" s="73"/>
      <c r="AI217" s="73"/>
    </row>
    <row r="218" customFormat="false" ht="15" hidden="false" customHeight="false" outlineLevel="0" collapsed="false">
      <c r="A218" s="71" t="str">
        <f aca="false">IF(D218="","",ROW()-1)</f>
        <v/>
      </c>
      <c r="B218" s="72"/>
      <c r="C218" s="72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4"/>
      <c r="O218" s="73"/>
      <c r="P218" s="74"/>
      <c r="Q218" s="73"/>
      <c r="R218" s="74"/>
      <c r="S218" s="75"/>
      <c r="T218" s="73"/>
      <c r="U218" s="73"/>
      <c r="V218" s="73"/>
      <c r="W218" s="73"/>
      <c r="X218" s="73"/>
      <c r="Y218" s="73"/>
      <c r="Z218" s="73"/>
      <c r="AA218" s="73"/>
      <c r="AB218" s="74"/>
      <c r="AC218" s="73"/>
      <c r="AD218" s="76"/>
      <c r="AE218" s="73"/>
      <c r="AF218" s="73"/>
      <c r="AG218" s="73"/>
      <c r="AH218" s="73"/>
      <c r="AI218" s="73"/>
    </row>
    <row r="219" customFormat="false" ht="15" hidden="false" customHeight="false" outlineLevel="0" collapsed="false">
      <c r="A219" s="71" t="str">
        <f aca="false">IF(D219="","",ROW()-1)</f>
        <v/>
      </c>
      <c r="B219" s="72"/>
      <c r="C219" s="72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4"/>
      <c r="O219" s="73"/>
      <c r="P219" s="74"/>
      <c r="Q219" s="73"/>
      <c r="R219" s="74"/>
      <c r="S219" s="75"/>
      <c r="T219" s="73"/>
      <c r="U219" s="73"/>
      <c r="V219" s="73"/>
      <c r="W219" s="73"/>
      <c r="X219" s="73"/>
      <c r="Y219" s="73"/>
      <c r="Z219" s="73"/>
      <c r="AA219" s="73"/>
      <c r="AB219" s="74"/>
      <c r="AC219" s="73"/>
      <c r="AD219" s="76"/>
      <c r="AE219" s="73"/>
      <c r="AF219" s="73"/>
      <c r="AG219" s="73"/>
      <c r="AH219" s="73"/>
      <c r="AI219" s="73"/>
    </row>
    <row r="220" customFormat="false" ht="15" hidden="false" customHeight="false" outlineLevel="0" collapsed="false">
      <c r="A220" s="71" t="str">
        <f aca="false">IF(D220="","",ROW()-1)</f>
        <v/>
      </c>
      <c r="B220" s="72"/>
      <c r="C220" s="72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4"/>
      <c r="O220" s="73"/>
      <c r="P220" s="74"/>
      <c r="Q220" s="73"/>
      <c r="R220" s="74"/>
      <c r="S220" s="75"/>
      <c r="T220" s="73"/>
      <c r="U220" s="73"/>
      <c r="V220" s="73"/>
      <c r="W220" s="73"/>
      <c r="X220" s="73"/>
      <c r="Y220" s="73"/>
      <c r="Z220" s="73"/>
      <c r="AA220" s="73"/>
      <c r="AB220" s="74"/>
      <c r="AC220" s="73"/>
      <c r="AD220" s="76"/>
      <c r="AE220" s="73"/>
      <c r="AF220" s="73"/>
      <c r="AG220" s="73"/>
      <c r="AH220" s="73"/>
      <c r="AI220" s="73"/>
    </row>
    <row r="221" customFormat="false" ht="15" hidden="false" customHeight="false" outlineLevel="0" collapsed="false">
      <c r="A221" s="71" t="str">
        <f aca="false">IF(D221="","",ROW()-1)</f>
        <v/>
      </c>
      <c r="B221" s="72"/>
      <c r="C221" s="72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4"/>
      <c r="O221" s="73"/>
      <c r="P221" s="74"/>
      <c r="Q221" s="73"/>
      <c r="R221" s="74"/>
      <c r="S221" s="75"/>
      <c r="T221" s="73"/>
      <c r="U221" s="73"/>
      <c r="V221" s="73"/>
      <c r="W221" s="73"/>
      <c r="X221" s="73"/>
      <c r="Y221" s="73"/>
      <c r="Z221" s="73"/>
      <c r="AA221" s="73"/>
      <c r="AB221" s="74"/>
      <c r="AC221" s="73"/>
      <c r="AD221" s="76"/>
      <c r="AE221" s="73"/>
      <c r="AF221" s="73"/>
      <c r="AG221" s="73"/>
      <c r="AH221" s="73"/>
      <c r="AI221" s="73"/>
    </row>
    <row r="222" customFormat="false" ht="15" hidden="false" customHeight="false" outlineLevel="0" collapsed="false">
      <c r="A222" s="71" t="str">
        <f aca="false">IF(D222="","",ROW()-1)</f>
        <v/>
      </c>
      <c r="B222" s="72"/>
      <c r="C222" s="72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4"/>
      <c r="O222" s="73"/>
      <c r="P222" s="74"/>
      <c r="Q222" s="73"/>
      <c r="R222" s="74"/>
      <c r="S222" s="75"/>
      <c r="T222" s="73"/>
      <c r="U222" s="73"/>
      <c r="V222" s="73"/>
      <c r="W222" s="73"/>
      <c r="X222" s="73"/>
      <c r="Y222" s="73"/>
      <c r="Z222" s="73"/>
      <c r="AA222" s="73"/>
      <c r="AB222" s="74"/>
      <c r="AC222" s="73"/>
      <c r="AD222" s="76"/>
      <c r="AE222" s="73"/>
      <c r="AF222" s="73"/>
      <c r="AG222" s="73"/>
      <c r="AH222" s="73"/>
      <c r="AI222" s="73"/>
    </row>
    <row r="223" customFormat="false" ht="15" hidden="false" customHeight="false" outlineLevel="0" collapsed="false">
      <c r="A223" s="71" t="str">
        <f aca="false">IF(D223="","",ROW()-1)</f>
        <v/>
      </c>
      <c r="B223" s="72"/>
      <c r="C223" s="72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4"/>
      <c r="O223" s="73"/>
      <c r="P223" s="74"/>
      <c r="Q223" s="73"/>
      <c r="R223" s="74"/>
      <c r="S223" s="75"/>
      <c r="T223" s="73"/>
      <c r="U223" s="73"/>
      <c r="V223" s="73"/>
      <c r="W223" s="73"/>
      <c r="X223" s="73"/>
      <c r="Y223" s="73"/>
      <c r="Z223" s="73"/>
      <c r="AA223" s="73"/>
      <c r="AB223" s="74"/>
      <c r="AC223" s="73"/>
      <c r="AD223" s="76"/>
      <c r="AE223" s="73"/>
      <c r="AF223" s="73"/>
      <c r="AG223" s="73"/>
      <c r="AH223" s="73"/>
      <c r="AI223" s="73"/>
    </row>
    <row r="224" customFormat="false" ht="15" hidden="false" customHeight="false" outlineLevel="0" collapsed="false">
      <c r="A224" s="71" t="str">
        <f aca="false">IF(D224="","",ROW()-1)</f>
        <v/>
      </c>
      <c r="B224" s="72"/>
      <c r="C224" s="72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4"/>
      <c r="O224" s="73"/>
      <c r="P224" s="74"/>
      <c r="Q224" s="73"/>
      <c r="R224" s="74"/>
      <c r="S224" s="75"/>
      <c r="T224" s="73"/>
      <c r="U224" s="73"/>
      <c r="V224" s="73"/>
      <c r="W224" s="73"/>
      <c r="X224" s="73"/>
      <c r="Y224" s="73"/>
      <c r="Z224" s="73"/>
      <c r="AA224" s="73"/>
      <c r="AB224" s="74"/>
      <c r="AC224" s="73"/>
      <c r="AD224" s="76"/>
      <c r="AE224" s="73"/>
      <c r="AF224" s="73"/>
      <c r="AG224" s="73"/>
      <c r="AH224" s="73"/>
      <c r="AI224" s="73"/>
    </row>
    <row r="225" customFormat="false" ht="15" hidden="false" customHeight="false" outlineLevel="0" collapsed="false">
      <c r="A225" s="71" t="str">
        <f aca="false">IF(D225="","",ROW()-1)</f>
        <v/>
      </c>
      <c r="B225" s="72"/>
      <c r="C225" s="72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4"/>
      <c r="O225" s="73"/>
      <c r="P225" s="74"/>
      <c r="Q225" s="73"/>
      <c r="R225" s="74"/>
      <c r="S225" s="75"/>
      <c r="T225" s="73"/>
      <c r="U225" s="73"/>
      <c r="V225" s="73"/>
      <c r="W225" s="73"/>
      <c r="X225" s="73"/>
      <c r="Y225" s="73"/>
      <c r="Z225" s="73"/>
      <c r="AA225" s="73"/>
      <c r="AB225" s="74"/>
      <c r="AC225" s="73"/>
      <c r="AD225" s="76"/>
      <c r="AE225" s="73"/>
      <c r="AF225" s="73"/>
      <c r="AG225" s="73"/>
      <c r="AH225" s="73"/>
      <c r="AI225" s="73"/>
    </row>
    <row r="226" customFormat="false" ht="15" hidden="false" customHeight="false" outlineLevel="0" collapsed="false">
      <c r="A226" s="71" t="str">
        <f aca="false">IF(D226="","",ROW()-1)</f>
        <v/>
      </c>
      <c r="B226" s="72"/>
      <c r="C226" s="72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4"/>
      <c r="O226" s="73"/>
      <c r="P226" s="74"/>
      <c r="Q226" s="73"/>
      <c r="R226" s="74"/>
      <c r="S226" s="75"/>
      <c r="T226" s="73"/>
      <c r="U226" s="73"/>
      <c r="V226" s="73"/>
      <c r="W226" s="73"/>
      <c r="X226" s="73"/>
      <c r="Y226" s="73"/>
      <c r="Z226" s="73"/>
      <c r="AA226" s="73"/>
      <c r="AB226" s="74"/>
      <c r="AC226" s="73"/>
      <c r="AD226" s="76"/>
      <c r="AE226" s="73"/>
      <c r="AF226" s="73"/>
      <c r="AG226" s="73"/>
      <c r="AH226" s="73"/>
      <c r="AI226" s="73"/>
    </row>
    <row r="227" customFormat="false" ht="15" hidden="false" customHeight="false" outlineLevel="0" collapsed="false">
      <c r="A227" s="71" t="str">
        <f aca="false">IF(D227="","",ROW()-1)</f>
        <v/>
      </c>
      <c r="B227" s="72"/>
      <c r="C227" s="72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4"/>
      <c r="O227" s="73"/>
      <c r="P227" s="74"/>
      <c r="Q227" s="73"/>
      <c r="R227" s="74"/>
      <c r="S227" s="75"/>
      <c r="T227" s="73"/>
      <c r="U227" s="73"/>
      <c r="V227" s="73"/>
      <c r="W227" s="73"/>
      <c r="X227" s="73"/>
      <c r="Y227" s="73"/>
      <c r="Z227" s="73"/>
      <c r="AA227" s="73"/>
      <c r="AB227" s="74"/>
      <c r="AC227" s="73"/>
      <c r="AD227" s="76"/>
      <c r="AE227" s="73"/>
      <c r="AF227" s="73"/>
      <c r="AG227" s="73"/>
      <c r="AH227" s="73"/>
      <c r="AI227" s="73"/>
    </row>
    <row r="228" customFormat="false" ht="15" hidden="false" customHeight="false" outlineLevel="0" collapsed="false">
      <c r="A228" s="71" t="str">
        <f aca="false">IF(D228="","",ROW()-1)</f>
        <v/>
      </c>
      <c r="B228" s="72"/>
      <c r="C228" s="72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4"/>
      <c r="O228" s="73"/>
      <c r="P228" s="74"/>
      <c r="Q228" s="73"/>
      <c r="R228" s="74"/>
      <c r="S228" s="75"/>
      <c r="T228" s="73"/>
      <c r="U228" s="73"/>
      <c r="V228" s="73"/>
      <c r="W228" s="73"/>
      <c r="X228" s="73"/>
      <c r="Y228" s="73"/>
      <c r="Z228" s="73"/>
      <c r="AA228" s="73"/>
      <c r="AB228" s="74"/>
      <c r="AC228" s="73"/>
      <c r="AD228" s="76"/>
      <c r="AE228" s="73"/>
      <c r="AF228" s="73"/>
      <c r="AG228" s="73"/>
      <c r="AH228" s="73"/>
      <c r="AI228" s="73"/>
    </row>
    <row r="229" customFormat="false" ht="15" hidden="false" customHeight="false" outlineLevel="0" collapsed="false">
      <c r="A229" s="71" t="str">
        <f aca="false">IF(D229="","",ROW()-1)</f>
        <v/>
      </c>
      <c r="B229" s="72"/>
      <c r="C229" s="72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4"/>
      <c r="O229" s="73"/>
      <c r="P229" s="74"/>
      <c r="Q229" s="73"/>
      <c r="R229" s="74"/>
      <c r="S229" s="75"/>
      <c r="T229" s="73"/>
      <c r="U229" s="73"/>
      <c r="V229" s="73"/>
      <c r="W229" s="73"/>
      <c r="X229" s="73"/>
      <c r="Y229" s="73"/>
      <c r="Z229" s="73"/>
      <c r="AA229" s="73"/>
      <c r="AB229" s="74"/>
      <c r="AC229" s="73"/>
      <c r="AD229" s="76"/>
      <c r="AE229" s="73"/>
      <c r="AF229" s="73"/>
      <c r="AG229" s="73"/>
      <c r="AH229" s="73"/>
      <c r="AI229" s="73"/>
    </row>
    <row r="230" customFormat="false" ht="15" hidden="false" customHeight="false" outlineLevel="0" collapsed="false">
      <c r="A230" s="71" t="str">
        <f aca="false">IF(D230="","",ROW()-1)</f>
        <v/>
      </c>
      <c r="B230" s="72"/>
      <c r="C230" s="72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4"/>
      <c r="O230" s="73"/>
      <c r="P230" s="74"/>
      <c r="Q230" s="73"/>
      <c r="R230" s="74"/>
      <c r="S230" s="75"/>
      <c r="T230" s="73"/>
      <c r="U230" s="73"/>
      <c r="V230" s="73"/>
      <c r="W230" s="73"/>
      <c r="X230" s="73"/>
      <c r="Y230" s="73"/>
      <c r="Z230" s="73"/>
      <c r="AA230" s="73"/>
      <c r="AB230" s="74"/>
      <c r="AC230" s="73"/>
      <c r="AD230" s="76"/>
      <c r="AE230" s="73"/>
      <c r="AF230" s="73"/>
      <c r="AG230" s="73"/>
      <c r="AH230" s="73"/>
      <c r="AI230" s="73"/>
    </row>
    <row r="231" customFormat="false" ht="15" hidden="false" customHeight="false" outlineLevel="0" collapsed="false">
      <c r="A231" s="71" t="str">
        <f aca="false">IF(D231="","",ROW()-1)</f>
        <v/>
      </c>
      <c r="B231" s="72"/>
      <c r="C231" s="72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4"/>
      <c r="O231" s="73"/>
      <c r="P231" s="74"/>
      <c r="Q231" s="73"/>
      <c r="R231" s="74"/>
      <c r="S231" s="75"/>
      <c r="T231" s="73"/>
      <c r="U231" s="73"/>
      <c r="V231" s="73"/>
      <c r="W231" s="73"/>
      <c r="X231" s="73"/>
      <c r="Y231" s="73"/>
      <c r="Z231" s="73"/>
      <c r="AA231" s="73"/>
      <c r="AB231" s="74"/>
      <c r="AC231" s="73"/>
      <c r="AD231" s="76"/>
      <c r="AE231" s="73"/>
      <c r="AF231" s="73"/>
      <c r="AG231" s="73"/>
      <c r="AH231" s="73"/>
      <c r="AI231" s="73"/>
    </row>
    <row r="232" customFormat="false" ht="15" hidden="false" customHeight="false" outlineLevel="0" collapsed="false">
      <c r="A232" s="71" t="str">
        <f aca="false">IF(D232="","",ROW()-1)</f>
        <v/>
      </c>
      <c r="B232" s="72"/>
      <c r="C232" s="72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4"/>
      <c r="O232" s="73"/>
      <c r="P232" s="74"/>
      <c r="Q232" s="73"/>
      <c r="R232" s="74"/>
      <c r="S232" s="75"/>
      <c r="T232" s="73"/>
      <c r="U232" s="73"/>
      <c r="V232" s="73"/>
      <c r="W232" s="73"/>
      <c r="X232" s="73"/>
      <c r="Y232" s="73"/>
      <c r="Z232" s="73"/>
      <c r="AA232" s="73"/>
      <c r="AB232" s="74"/>
      <c r="AC232" s="73"/>
      <c r="AD232" s="76"/>
      <c r="AE232" s="73"/>
      <c r="AF232" s="73"/>
      <c r="AG232" s="73"/>
      <c r="AH232" s="73"/>
      <c r="AI232" s="73"/>
    </row>
    <row r="233" customFormat="false" ht="15" hidden="false" customHeight="false" outlineLevel="0" collapsed="false">
      <c r="A233" s="71" t="str">
        <f aca="false">IF(D233="","",ROW()-1)</f>
        <v/>
      </c>
      <c r="B233" s="72"/>
      <c r="C233" s="72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4"/>
      <c r="O233" s="73"/>
      <c r="P233" s="74"/>
      <c r="Q233" s="73"/>
      <c r="R233" s="74"/>
      <c r="S233" s="75"/>
      <c r="T233" s="73"/>
      <c r="U233" s="73"/>
      <c r="V233" s="73"/>
      <c r="W233" s="73"/>
      <c r="X233" s="73"/>
      <c r="Y233" s="73"/>
      <c r="Z233" s="73"/>
      <c r="AA233" s="73"/>
      <c r="AB233" s="74"/>
      <c r="AC233" s="73"/>
      <c r="AD233" s="76"/>
      <c r="AE233" s="73"/>
      <c r="AF233" s="73"/>
      <c r="AG233" s="73"/>
      <c r="AH233" s="73"/>
      <c r="AI233" s="73"/>
    </row>
    <row r="234" customFormat="false" ht="15" hidden="false" customHeight="false" outlineLevel="0" collapsed="false">
      <c r="A234" s="71" t="str">
        <f aca="false">IF(D234="","",ROW()-1)</f>
        <v/>
      </c>
      <c r="B234" s="72"/>
      <c r="C234" s="72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4"/>
      <c r="O234" s="73"/>
      <c r="P234" s="74"/>
      <c r="Q234" s="73"/>
      <c r="R234" s="74"/>
      <c r="S234" s="75"/>
      <c r="T234" s="73"/>
      <c r="U234" s="73"/>
      <c r="V234" s="73"/>
      <c r="W234" s="73"/>
      <c r="X234" s="73"/>
      <c r="Y234" s="73"/>
      <c r="Z234" s="73"/>
      <c r="AA234" s="73"/>
      <c r="AB234" s="74"/>
      <c r="AC234" s="73"/>
      <c r="AD234" s="76"/>
      <c r="AE234" s="73"/>
      <c r="AF234" s="73"/>
      <c r="AG234" s="73"/>
      <c r="AH234" s="73"/>
      <c r="AI234" s="73"/>
    </row>
    <row r="235" customFormat="false" ht="15" hidden="false" customHeight="false" outlineLevel="0" collapsed="false">
      <c r="A235" s="71" t="str">
        <f aca="false">IF(D235="","",ROW()-1)</f>
        <v/>
      </c>
      <c r="B235" s="72"/>
      <c r="C235" s="72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4"/>
      <c r="O235" s="73"/>
      <c r="P235" s="74"/>
      <c r="Q235" s="73"/>
      <c r="R235" s="74"/>
      <c r="S235" s="75"/>
      <c r="T235" s="73"/>
      <c r="U235" s="73"/>
      <c r="V235" s="73"/>
      <c r="W235" s="73"/>
      <c r="X235" s="73"/>
      <c r="Y235" s="73"/>
      <c r="Z235" s="73"/>
      <c r="AA235" s="73"/>
      <c r="AB235" s="74"/>
      <c r="AC235" s="73"/>
      <c r="AD235" s="76"/>
      <c r="AE235" s="73"/>
      <c r="AF235" s="73"/>
      <c r="AG235" s="73"/>
      <c r="AH235" s="73"/>
      <c r="AI235" s="73"/>
    </row>
    <row r="236" customFormat="false" ht="15" hidden="false" customHeight="false" outlineLevel="0" collapsed="false">
      <c r="A236" s="71" t="str">
        <f aca="false">IF(D236="","",ROW()-1)</f>
        <v/>
      </c>
      <c r="B236" s="72"/>
      <c r="C236" s="72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4"/>
      <c r="O236" s="73"/>
      <c r="P236" s="74"/>
      <c r="Q236" s="73"/>
      <c r="R236" s="74"/>
      <c r="S236" s="75"/>
      <c r="T236" s="73"/>
      <c r="U236" s="73"/>
      <c r="V236" s="73"/>
      <c r="W236" s="73"/>
      <c r="X236" s="73"/>
      <c r="Y236" s="73"/>
      <c r="Z236" s="73"/>
      <c r="AA236" s="73"/>
      <c r="AB236" s="74"/>
      <c r="AC236" s="73"/>
      <c r="AD236" s="76"/>
      <c r="AE236" s="73"/>
      <c r="AF236" s="73"/>
      <c r="AG236" s="73"/>
      <c r="AH236" s="73"/>
      <c r="AI236" s="73"/>
    </row>
    <row r="237" customFormat="false" ht="15" hidden="false" customHeight="false" outlineLevel="0" collapsed="false">
      <c r="A237" s="71" t="str">
        <f aca="false">IF(D237="","",ROW()-1)</f>
        <v/>
      </c>
      <c r="B237" s="72"/>
      <c r="C237" s="72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4"/>
      <c r="O237" s="73"/>
      <c r="P237" s="74"/>
      <c r="Q237" s="73"/>
      <c r="R237" s="74"/>
      <c r="S237" s="75"/>
      <c r="T237" s="73"/>
      <c r="U237" s="73"/>
      <c r="V237" s="73"/>
      <c r="W237" s="73"/>
      <c r="X237" s="73"/>
      <c r="Y237" s="73"/>
      <c r="Z237" s="73"/>
      <c r="AA237" s="73"/>
      <c r="AB237" s="74"/>
      <c r="AC237" s="73"/>
      <c r="AD237" s="76"/>
      <c r="AE237" s="73"/>
      <c r="AF237" s="73"/>
      <c r="AG237" s="73"/>
      <c r="AH237" s="73"/>
      <c r="AI237" s="73"/>
    </row>
    <row r="238" customFormat="false" ht="15" hidden="false" customHeight="false" outlineLevel="0" collapsed="false">
      <c r="A238" s="71" t="str">
        <f aca="false">IF(D238="","",ROW()-1)</f>
        <v/>
      </c>
      <c r="B238" s="72"/>
      <c r="C238" s="72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4"/>
      <c r="O238" s="73"/>
      <c r="P238" s="74"/>
      <c r="Q238" s="73"/>
      <c r="R238" s="74"/>
      <c r="S238" s="75"/>
      <c r="T238" s="73"/>
      <c r="U238" s="73"/>
      <c r="V238" s="73"/>
      <c r="W238" s="73"/>
      <c r="X238" s="73"/>
      <c r="Y238" s="73"/>
      <c r="Z238" s="73"/>
      <c r="AA238" s="73"/>
      <c r="AB238" s="74"/>
      <c r="AC238" s="73"/>
      <c r="AD238" s="76"/>
      <c r="AE238" s="73"/>
      <c r="AF238" s="73"/>
      <c r="AG238" s="73"/>
      <c r="AH238" s="73"/>
      <c r="AI238" s="73"/>
    </row>
    <row r="239" customFormat="false" ht="15" hidden="false" customHeight="false" outlineLevel="0" collapsed="false">
      <c r="A239" s="71" t="str">
        <f aca="false">IF(D239="","",ROW()-1)</f>
        <v/>
      </c>
      <c r="B239" s="72"/>
      <c r="C239" s="72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4"/>
      <c r="O239" s="73"/>
      <c r="P239" s="74"/>
      <c r="Q239" s="73"/>
      <c r="R239" s="74"/>
      <c r="S239" s="75"/>
      <c r="T239" s="73"/>
      <c r="U239" s="73"/>
      <c r="V239" s="73"/>
      <c r="W239" s="73"/>
      <c r="X239" s="73"/>
      <c r="Y239" s="73"/>
      <c r="Z239" s="73"/>
      <c r="AA239" s="73"/>
      <c r="AB239" s="74"/>
      <c r="AC239" s="73"/>
      <c r="AD239" s="76"/>
      <c r="AE239" s="73"/>
      <c r="AF239" s="73"/>
      <c r="AG239" s="73"/>
      <c r="AH239" s="73"/>
      <c r="AI239" s="73"/>
    </row>
    <row r="240" customFormat="false" ht="15" hidden="false" customHeight="false" outlineLevel="0" collapsed="false">
      <c r="A240" s="71" t="str">
        <f aca="false">IF(D240="","",ROW()-1)</f>
        <v/>
      </c>
      <c r="B240" s="72"/>
      <c r="C240" s="72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4"/>
      <c r="O240" s="73"/>
      <c r="P240" s="74"/>
      <c r="Q240" s="73"/>
      <c r="R240" s="74"/>
      <c r="S240" s="75"/>
      <c r="T240" s="73"/>
      <c r="U240" s="73"/>
      <c r="V240" s="73"/>
      <c r="W240" s="73"/>
      <c r="X240" s="73"/>
      <c r="Y240" s="73"/>
      <c r="Z240" s="73"/>
      <c r="AA240" s="73"/>
      <c r="AB240" s="74"/>
      <c r="AC240" s="73"/>
      <c r="AD240" s="76"/>
      <c r="AE240" s="73"/>
      <c r="AF240" s="73"/>
      <c r="AG240" s="73"/>
      <c r="AH240" s="73"/>
      <c r="AI240" s="73"/>
    </row>
    <row r="241" customFormat="false" ht="15" hidden="false" customHeight="false" outlineLevel="0" collapsed="false">
      <c r="A241" s="71" t="str">
        <f aca="false">IF(D241="","",ROW()-1)</f>
        <v/>
      </c>
      <c r="B241" s="72"/>
      <c r="C241" s="72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4"/>
      <c r="O241" s="73"/>
      <c r="P241" s="74"/>
      <c r="Q241" s="73"/>
      <c r="R241" s="74"/>
      <c r="S241" s="75"/>
      <c r="T241" s="73"/>
      <c r="U241" s="73"/>
      <c r="V241" s="73"/>
      <c r="W241" s="73"/>
      <c r="X241" s="73"/>
      <c r="Y241" s="73"/>
      <c r="Z241" s="73"/>
      <c r="AA241" s="73"/>
      <c r="AB241" s="74"/>
      <c r="AC241" s="73"/>
      <c r="AD241" s="76"/>
      <c r="AE241" s="73"/>
      <c r="AF241" s="73"/>
      <c r="AG241" s="73"/>
      <c r="AH241" s="73"/>
      <c r="AI241" s="73"/>
    </row>
    <row r="242" customFormat="false" ht="15" hidden="false" customHeight="false" outlineLevel="0" collapsed="false">
      <c r="A242" s="71" t="str">
        <f aca="false">IF(D242="","",ROW()-1)</f>
        <v/>
      </c>
      <c r="B242" s="72"/>
      <c r="C242" s="72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4"/>
      <c r="O242" s="73"/>
      <c r="P242" s="74"/>
      <c r="Q242" s="73"/>
      <c r="R242" s="74"/>
      <c r="S242" s="75"/>
      <c r="T242" s="73"/>
      <c r="U242" s="73"/>
      <c r="V242" s="73"/>
      <c r="W242" s="73"/>
      <c r="X242" s="73"/>
      <c r="Y242" s="73"/>
      <c r="Z242" s="73"/>
      <c r="AA242" s="73"/>
      <c r="AB242" s="74"/>
      <c r="AC242" s="73"/>
      <c r="AD242" s="76"/>
      <c r="AE242" s="73"/>
      <c r="AF242" s="73"/>
      <c r="AG242" s="73"/>
      <c r="AH242" s="73"/>
      <c r="AI242" s="73"/>
    </row>
    <row r="243" customFormat="false" ht="15" hidden="false" customHeight="false" outlineLevel="0" collapsed="false">
      <c r="A243" s="71" t="str">
        <f aca="false">IF(D243="","",ROW()-1)</f>
        <v/>
      </c>
      <c r="B243" s="72"/>
      <c r="C243" s="72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4"/>
      <c r="O243" s="73"/>
      <c r="P243" s="74"/>
      <c r="Q243" s="73"/>
      <c r="R243" s="74"/>
      <c r="S243" s="75"/>
      <c r="T243" s="73"/>
      <c r="U243" s="73"/>
      <c r="V243" s="73"/>
      <c r="W243" s="73"/>
      <c r="X243" s="73"/>
      <c r="Y243" s="73"/>
      <c r="Z243" s="73"/>
      <c r="AA243" s="73"/>
      <c r="AB243" s="74"/>
      <c r="AC243" s="73"/>
      <c r="AD243" s="76"/>
      <c r="AE243" s="73"/>
      <c r="AF243" s="73"/>
      <c r="AG243" s="73"/>
      <c r="AH243" s="73"/>
      <c r="AI243" s="73"/>
    </row>
    <row r="244" customFormat="false" ht="15" hidden="false" customHeight="false" outlineLevel="0" collapsed="false">
      <c r="A244" s="71" t="str">
        <f aca="false">IF(D244="","",ROW()-1)</f>
        <v/>
      </c>
      <c r="B244" s="72"/>
      <c r="C244" s="72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4"/>
      <c r="O244" s="73"/>
      <c r="P244" s="74"/>
      <c r="Q244" s="73"/>
      <c r="R244" s="74"/>
      <c r="S244" s="75"/>
      <c r="T244" s="73"/>
      <c r="U244" s="73"/>
      <c r="V244" s="73"/>
      <c r="W244" s="73"/>
      <c r="X244" s="73"/>
      <c r="Y244" s="73"/>
      <c r="Z244" s="73"/>
      <c r="AA244" s="73"/>
      <c r="AB244" s="74"/>
      <c r="AC244" s="73"/>
      <c r="AD244" s="76"/>
      <c r="AE244" s="73"/>
      <c r="AF244" s="73"/>
      <c r="AG244" s="73"/>
      <c r="AH244" s="73"/>
      <c r="AI244" s="73"/>
    </row>
    <row r="245" customFormat="false" ht="15" hidden="false" customHeight="false" outlineLevel="0" collapsed="false">
      <c r="A245" s="71" t="str">
        <f aca="false">IF(D245="","",ROW()-1)</f>
        <v/>
      </c>
      <c r="B245" s="72"/>
      <c r="C245" s="72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4"/>
      <c r="O245" s="73"/>
      <c r="P245" s="74"/>
      <c r="Q245" s="73"/>
      <c r="R245" s="74"/>
      <c r="S245" s="75"/>
      <c r="T245" s="73"/>
      <c r="U245" s="73"/>
      <c r="V245" s="73"/>
      <c r="W245" s="73"/>
      <c r="X245" s="73"/>
      <c r="Y245" s="73"/>
      <c r="Z245" s="73"/>
      <c r="AA245" s="73"/>
      <c r="AB245" s="74"/>
      <c r="AC245" s="73"/>
      <c r="AD245" s="76"/>
      <c r="AE245" s="73"/>
      <c r="AF245" s="73"/>
      <c r="AG245" s="73"/>
      <c r="AH245" s="73"/>
      <c r="AI245" s="73"/>
    </row>
    <row r="246" customFormat="false" ht="15" hidden="false" customHeight="false" outlineLevel="0" collapsed="false">
      <c r="A246" s="71" t="str">
        <f aca="false">IF(D246="","",ROW()-1)</f>
        <v/>
      </c>
      <c r="B246" s="72"/>
      <c r="C246" s="72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4"/>
      <c r="O246" s="73"/>
      <c r="P246" s="74"/>
      <c r="Q246" s="73"/>
      <c r="R246" s="74"/>
      <c r="S246" s="75"/>
      <c r="T246" s="73"/>
      <c r="U246" s="73"/>
      <c r="V246" s="73"/>
      <c r="W246" s="73"/>
      <c r="X246" s="73"/>
      <c r="Y246" s="73"/>
      <c r="Z246" s="73"/>
      <c r="AA246" s="73"/>
      <c r="AB246" s="74"/>
      <c r="AC246" s="73"/>
      <c r="AD246" s="76"/>
      <c r="AE246" s="73"/>
      <c r="AF246" s="73"/>
      <c r="AG246" s="73"/>
      <c r="AH246" s="73"/>
      <c r="AI246" s="73"/>
    </row>
    <row r="247" customFormat="false" ht="15" hidden="false" customHeight="false" outlineLevel="0" collapsed="false">
      <c r="A247" s="71" t="str">
        <f aca="false">IF(D247="","",ROW()-1)</f>
        <v/>
      </c>
      <c r="B247" s="72"/>
      <c r="C247" s="72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4"/>
      <c r="O247" s="73"/>
      <c r="P247" s="74"/>
      <c r="Q247" s="73"/>
      <c r="R247" s="74"/>
      <c r="S247" s="75"/>
      <c r="T247" s="73"/>
      <c r="U247" s="73"/>
      <c r="V247" s="73"/>
      <c r="W247" s="73"/>
      <c r="X247" s="73"/>
      <c r="Y247" s="73"/>
      <c r="Z247" s="73"/>
      <c r="AA247" s="73"/>
      <c r="AB247" s="74"/>
      <c r="AC247" s="73"/>
      <c r="AD247" s="76"/>
      <c r="AE247" s="73"/>
      <c r="AF247" s="73"/>
      <c r="AG247" s="73"/>
      <c r="AH247" s="73"/>
      <c r="AI247" s="73"/>
    </row>
    <row r="248" customFormat="false" ht="15" hidden="false" customHeight="false" outlineLevel="0" collapsed="false">
      <c r="A248" s="71" t="str">
        <f aca="false">IF(D248="","",ROW()-1)</f>
        <v/>
      </c>
      <c r="B248" s="72"/>
      <c r="C248" s="72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4"/>
      <c r="O248" s="73"/>
      <c r="P248" s="74"/>
      <c r="Q248" s="73"/>
      <c r="R248" s="74"/>
      <c r="S248" s="75"/>
      <c r="T248" s="73"/>
      <c r="U248" s="73"/>
      <c r="V248" s="73"/>
      <c r="W248" s="73"/>
      <c r="X248" s="73"/>
      <c r="Y248" s="73"/>
      <c r="Z248" s="73"/>
      <c r="AA248" s="73"/>
      <c r="AB248" s="74"/>
      <c r="AC248" s="73"/>
      <c r="AD248" s="76"/>
      <c r="AE248" s="73"/>
      <c r="AF248" s="73"/>
      <c r="AG248" s="73"/>
      <c r="AH248" s="73"/>
      <c r="AI248" s="73"/>
    </row>
    <row r="249" customFormat="false" ht="15" hidden="false" customHeight="false" outlineLevel="0" collapsed="false">
      <c r="A249" s="71" t="str">
        <f aca="false">IF(D249="","",ROW()-1)</f>
        <v/>
      </c>
      <c r="B249" s="72"/>
      <c r="C249" s="72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4"/>
      <c r="O249" s="73"/>
      <c r="P249" s="74"/>
      <c r="Q249" s="73"/>
      <c r="R249" s="74"/>
      <c r="S249" s="75"/>
      <c r="T249" s="73"/>
      <c r="U249" s="73"/>
      <c r="V249" s="73"/>
      <c r="W249" s="73"/>
      <c r="X249" s="73"/>
      <c r="Y249" s="73"/>
      <c r="Z249" s="73"/>
      <c r="AA249" s="73"/>
      <c r="AB249" s="74"/>
      <c r="AC249" s="73"/>
      <c r="AD249" s="76"/>
      <c r="AE249" s="73"/>
      <c r="AF249" s="73"/>
      <c r="AG249" s="73"/>
      <c r="AH249" s="73"/>
      <c r="AI249" s="73"/>
    </row>
    <row r="250" customFormat="false" ht="15" hidden="false" customHeight="false" outlineLevel="0" collapsed="false">
      <c r="A250" s="71" t="str">
        <f aca="false">IF(D250="","",ROW()-1)</f>
        <v/>
      </c>
      <c r="B250" s="72"/>
      <c r="C250" s="72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4"/>
      <c r="O250" s="73"/>
      <c r="P250" s="74"/>
      <c r="Q250" s="73"/>
      <c r="R250" s="74"/>
      <c r="S250" s="75"/>
      <c r="T250" s="73"/>
      <c r="U250" s="73"/>
      <c r="V250" s="73"/>
      <c r="W250" s="73"/>
      <c r="X250" s="73"/>
      <c r="Y250" s="73"/>
      <c r="Z250" s="73"/>
      <c r="AA250" s="73"/>
      <c r="AB250" s="74"/>
      <c r="AC250" s="73"/>
      <c r="AD250" s="76"/>
      <c r="AE250" s="73"/>
      <c r="AF250" s="73"/>
      <c r="AG250" s="73"/>
      <c r="AH250" s="73"/>
      <c r="AI250" s="73"/>
    </row>
    <row r="251" customFormat="false" ht="15" hidden="false" customHeight="false" outlineLevel="0" collapsed="false">
      <c r="A251" s="71" t="str">
        <f aca="false">IF(D251="","",ROW()-1)</f>
        <v/>
      </c>
      <c r="B251" s="72"/>
      <c r="C251" s="72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4"/>
      <c r="O251" s="73"/>
      <c r="P251" s="74"/>
      <c r="Q251" s="73"/>
      <c r="R251" s="74"/>
      <c r="S251" s="75"/>
      <c r="T251" s="73"/>
      <c r="U251" s="73"/>
      <c r="V251" s="73"/>
      <c r="W251" s="73"/>
      <c r="X251" s="73"/>
      <c r="Y251" s="73"/>
      <c r="Z251" s="73"/>
      <c r="AA251" s="73"/>
      <c r="AB251" s="74"/>
      <c r="AC251" s="73"/>
      <c r="AD251" s="76"/>
      <c r="AE251" s="73"/>
      <c r="AF251" s="73"/>
      <c r="AG251" s="73"/>
      <c r="AH251" s="73"/>
      <c r="AI251" s="73"/>
    </row>
    <row r="252" customFormat="false" ht="15" hidden="false" customHeight="false" outlineLevel="0" collapsed="false">
      <c r="A252" s="71" t="str">
        <f aca="false">IF(D252="","",ROW()-1)</f>
        <v/>
      </c>
      <c r="B252" s="72"/>
      <c r="C252" s="72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4"/>
      <c r="O252" s="73"/>
      <c r="P252" s="74"/>
      <c r="Q252" s="73"/>
      <c r="R252" s="74"/>
      <c r="S252" s="75"/>
      <c r="T252" s="73"/>
      <c r="U252" s="73"/>
      <c r="V252" s="73"/>
      <c r="W252" s="73"/>
      <c r="X252" s="73"/>
      <c r="Y252" s="73"/>
      <c r="Z252" s="73"/>
      <c r="AA252" s="73"/>
      <c r="AB252" s="74"/>
      <c r="AC252" s="73"/>
      <c r="AD252" s="76"/>
      <c r="AE252" s="73"/>
      <c r="AF252" s="73"/>
      <c r="AG252" s="73"/>
      <c r="AH252" s="73"/>
      <c r="AI252" s="73"/>
    </row>
    <row r="253" customFormat="false" ht="15" hidden="false" customHeight="false" outlineLevel="0" collapsed="false">
      <c r="A253" s="71" t="str">
        <f aca="false">IF(D253="","",ROW()-1)</f>
        <v/>
      </c>
      <c r="B253" s="72"/>
      <c r="C253" s="72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4"/>
      <c r="O253" s="73"/>
      <c r="P253" s="74"/>
      <c r="Q253" s="73"/>
      <c r="R253" s="74"/>
      <c r="S253" s="75"/>
      <c r="T253" s="73"/>
      <c r="U253" s="73"/>
      <c r="V253" s="73"/>
      <c r="W253" s="73"/>
      <c r="X253" s="73"/>
      <c r="Y253" s="73"/>
      <c r="Z253" s="73"/>
      <c r="AA253" s="73"/>
      <c r="AB253" s="74"/>
      <c r="AC253" s="73"/>
      <c r="AD253" s="76"/>
      <c r="AE253" s="73"/>
      <c r="AF253" s="73"/>
      <c r="AG253" s="73"/>
      <c r="AH253" s="73"/>
      <c r="AI253" s="73"/>
    </row>
    <row r="254" customFormat="false" ht="15" hidden="false" customHeight="false" outlineLevel="0" collapsed="false">
      <c r="A254" s="71" t="str">
        <f aca="false">IF(D254="","",ROW()-1)</f>
        <v/>
      </c>
      <c r="B254" s="72"/>
      <c r="C254" s="72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4"/>
      <c r="O254" s="73"/>
      <c r="P254" s="74"/>
      <c r="Q254" s="73"/>
      <c r="R254" s="74"/>
      <c r="S254" s="75"/>
      <c r="T254" s="73"/>
      <c r="U254" s="73"/>
      <c r="V254" s="73"/>
      <c r="W254" s="73"/>
      <c r="X254" s="73"/>
      <c r="Y254" s="73"/>
      <c r="Z254" s="73"/>
      <c r="AA254" s="73"/>
      <c r="AB254" s="74"/>
      <c r="AC254" s="73"/>
      <c r="AD254" s="76"/>
      <c r="AE254" s="73"/>
      <c r="AF254" s="73"/>
      <c r="AG254" s="73"/>
      <c r="AH254" s="73"/>
      <c r="AI254" s="73"/>
    </row>
    <row r="255" customFormat="false" ht="15" hidden="false" customHeight="false" outlineLevel="0" collapsed="false">
      <c r="A255" s="71" t="str">
        <f aca="false">IF(D255="","",ROW()-1)</f>
        <v/>
      </c>
      <c r="B255" s="72"/>
      <c r="C255" s="72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4"/>
      <c r="O255" s="73"/>
      <c r="P255" s="74"/>
      <c r="Q255" s="73"/>
      <c r="R255" s="74"/>
      <c r="S255" s="75"/>
      <c r="T255" s="73"/>
      <c r="U255" s="73"/>
      <c r="V255" s="73"/>
      <c r="W255" s="73"/>
      <c r="X255" s="73"/>
      <c r="Y255" s="73"/>
      <c r="Z255" s="73"/>
      <c r="AA255" s="73"/>
      <c r="AB255" s="74"/>
      <c r="AC255" s="73"/>
      <c r="AD255" s="76"/>
      <c r="AE255" s="73"/>
      <c r="AF255" s="73"/>
      <c r="AG255" s="73"/>
      <c r="AH255" s="73"/>
      <c r="AI255" s="73"/>
    </row>
    <row r="256" customFormat="false" ht="15" hidden="false" customHeight="false" outlineLevel="0" collapsed="false">
      <c r="A256" s="71" t="str">
        <f aca="false">IF(D256="","",ROW()-1)</f>
        <v/>
      </c>
      <c r="B256" s="72"/>
      <c r="C256" s="72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4"/>
      <c r="O256" s="73"/>
      <c r="P256" s="74"/>
      <c r="Q256" s="73"/>
      <c r="R256" s="74"/>
      <c r="S256" s="75"/>
      <c r="T256" s="73"/>
      <c r="U256" s="73"/>
      <c r="V256" s="73"/>
      <c r="W256" s="73"/>
      <c r="X256" s="73"/>
      <c r="Y256" s="73"/>
      <c r="Z256" s="73"/>
      <c r="AA256" s="73"/>
      <c r="AB256" s="74"/>
      <c r="AC256" s="73"/>
      <c r="AD256" s="76"/>
      <c r="AE256" s="73"/>
      <c r="AF256" s="73"/>
      <c r="AG256" s="73"/>
      <c r="AH256" s="73"/>
      <c r="AI256" s="73"/>
    </row>
    <row r="257" customFormat="false" ht="15" hidden="false" customHeight="false" outlineLevel="0" collapsed="false">
      <c r="A257" s="71" t="str">
        <f aca="false">IF(D257="","",ROW()-1)</f>
        <v/>
      </c>
      <c r="B257" s="72"/>
      <c r="C257" s="72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4"/>
      <c r="O257" s="73"/>
      <c r="P257" s="74"/>
      <c r="Q257" s="73"/>
      <c r="R257" s="74"/>
      <c r="S257" s="75"/>
      <c r="T257" s="73"/>
      <c r="U257" s="73"/>
      <c r="V257" s="73"/>
      <c r="W257" s="73"/>
      <c r="X257" s="73"/>
      <c r="Y257" s="73"/>
      <c r="Z257" s="73"/>
      <c r="AA257" s="73"/>
      <c r="AB257" s="74"/>
      <c r="AC257" s="73"/>
      <c r="AD257" s="76"/>
      <c r="AE257" s="73"/>
      <c r="AF257" s="73"/>
      <c r="AG257" s="73"/>
      <c r="AH257" s="73"/>
      <c r="AI257" s="73"/>
    </row>
    <row r="258" customFormat="false" ht="15" hidden="false" customHeight="false" outlineLevel="0" collapsed="false">
      <c r="A258" s="71" t="str">
        <f aca="false">IF(D258="","",ROW()-1)</f>
        <v/>
      </c>
      <c r="B258" s="72"/>
      <c r="C258" s="72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4"/>
      <c r="O258" s="73"/>
      <c r="P258" s="74"/>
      <c r="Q258" s="73"/>
      <c r="R258" s="74"/>
      <c r="S258" s="75"/>
      <c r="T258" s="73"/>
      <c r="U258" s="73"/>
      <c r="V258" s="73"/>
      <c r="W258" s="73"/>
      <c r="X258" s="73"/>
      <c r="Y258" s="73"/>
      <c r="Z258" s="73"/>
      <c r="AA258" s="73"/>
      <c r="AB258" s="74"/>
      <c r="AC258" s="73"/>
      <c r="AD258" s="76"/>
      <c r="AE258" s="73"/>
      <c r="AF258" s="73"/>
      <c r="AG258" s="73"/>
      <c r="AH258" s="73"/>
      <c r="AI258" s="73"/>
    </row>
    <row r="259" customFormat="false" ht="15" hidden="false" customHeight="false" outlineLevel="0" collapsed="false">
      <c r="A259" s="71" t="str">
        <f aca="false">IF(D259="","",ROW()-1)</f>
        <v/>
      </c>
      <c r="B259" s="72"/>
      <c r="C259" s="72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4"/>
      <c r="O259" s="73"/>
      <c r="P259" s="74"/>
      <c r="Q259" s="73"/>
      <c r="R259" s="74"/>
      <c r="S259" s="75"/>
      <c r="T259" s="73"/>
      <c r="U259" s="73"/>
      <c r="V259" s="73"/>
      <c r="W259" s="73"/>
      <c r="X259" s="73"/>
      <c r="Y259" s="73"/>
      <c r="Z259" s="73"/>
      <c r="AA259" s="73"/>
      <c r="AB259" s="74"/>
      <c r="AC259" s="73"/>
      <c r="AD259" s="76"/>
      <c r="AE259" s="73"/>
      <c r="AF259" s="73"/>
      <c r="AG259" s="73"/>
      <c r="AH259" s="73"/>
      <c r="AI259" s="73"/>
    </row>
    <row r="260" customFormat="false" ht="15" hidden="false" customHeight="false" outlineLevel="0" collapsed="false">
      <c r="A260" s="71" t="str">
        <f aca="false">IF(D260="","",ROW()-1)</f>
        <v/>
      </c>
      <c r="B260" s="72"/>
      <c r="C260" s="72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4"/>
      <c r="O260" s="73"/>
      <c r="P260" s="74"/>
      <c r="Q260" s="73"/>
      <c r="R260" s="74"/>
      <c r="S260" s="75"/>
      <c r="T260" s="73"/>
      <c r="U260" s="73"/>
      <c r="V260" s="73"/>
      <c r="W260" s="73"/>
      <c r="X260" s="73"/>
      <c r="Y260" s="73"/>
      <c r="Z260" s="73"/>
      <c r="AA260" s="73"/>
      <c r="AB260" s="74"/>
      <c r="AC260" s="73"/>
      <c r="AD260" s="76"/>
      <c r="AE260" s="73"/>
      <c r="AF260" s="73"/>
      <c r="AG260" s="73"/>
      <c r="AH260" s="73"/>
      <c r="AI260" s="73"/>
    </row>
    <row r="261" customFormat="false" ht="15" hidden="false" customHeight="false" outlineLevel="0" collapsed="false">
      <c r="A261" s="71" t="str">
        <f aca="false">IF(D261="","",ROW()-1)</f>
        <v/>
      </c>
      <c r="B261" s="72"/>
      <c r="C261" s="72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4"/>
      <c r="O261" s="73"/>
      <c r="P261" s="74"/>
      <c r="Q261" s="73"/>
      <c r="R261" s="74"/>
      <c r="S261" s="75"/>
      <c r="T261" s="73"/>
      <c r="U261" s="73"/>
      <c r="V261" s="73"/>
      <c r="W261" s="73"/>
      <c r="X261" s="73"/>
      <c r="Y261" s="73"/>
      <c r="Z261" s="73"/>
      <c r="AA261" s="73"/>
      <c r="AB261" s="74"/>
      <c r="AC261" s="73"/>
      <c r="AD261" s="76"/>
      <c r="AE261" s="73"/>
      <c r="AF261" s="73"/>
      <c r="AG261" s="73"/>
      <c r="AH261" s="73"/>
      <c r="AI261" s="73"/>
    </row>
    <row r="262" customFormat="false" ht="15" hidden="false" customHeight="false" outlineLevel="0" collapsed="false">
      <c r="A262" s="71" t="str">
        <f aca="false">IF(D262="","",ROW()-1)</f>
        <v/>
      </c>
      <c r="B262" s="72"/>
      <c r="C262" s="72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4"/>
      <c r="O262" s="73"/>
      <c r="P262" s="74"/>
      <c r="Q262" s="73"/>
      <c r="R262" s="74"/>
      <c r="S262" s="75"/>
      <c r="T262" s="73"/>
      <c r="U262" s="73"/>
      <c r="V262" s="73"/>
      <c r="W262" s="73"/>
      <c r="X262" s="73"/>
      <c r="Y262" s="73"/>
      <c r="Z262" s="73"/>
      <c r="AA262" s="73"/>
      <c r="AB262" s="74"/>
      <c r="AC262" s="73"/>
      <c r="AD262" s="76"/>
      <c r="AE262" s="73"/>
      <c r="AF262" s="73"/>
      <c r="AG262" s="73"/>
      <c r="AH262" s="73"/>
      <c r="AI262" s="73"/>
    </row>
    <row r="263" customFormat="false" ht="15" hidden="false" customHeight="false" outlineLevel="0" collapsed="false">
      <c r="A263" s="71" t="str">
        <f aca="false">IF(D263="","",ROW()-1)</f>
        <v/>
      </c>
      <c r="B263" s="72"/>
      <c r="C263" s="72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4"/>
      <c r="O263" s="73"/>
      <c r="P263" s="74"/>
      <c r="Q263" s="73"/>
      <c r="R263" s="74"/>
      <c r="S263" s="75"/>
      <c r="T263" s="73"/>
      <c r="U263" s="73"/>
      <c r="V263" s="73"/>
      <c r="W263" s="73"/>
      <c r="X263" s="73"/>
      <c r="Y263" s="73"/>
      <c r="Z263" s="73"/>
      <c r="AA263" s="73"/>
      <c r="AB263" s="74"/>
      <c r="AC263" s="73"/>
      <c r="AD263" s="76"/>
      <c r="AE263" s="73"/>
      <c r="AF263" s="73"/>
      <c r="AG263" s="73"/>
      <c r="AH263" s="73"/>
      <c r="AI263" s="73"/>
    </row>
    <row r="264" customFormat="false" ht="15" hidden="false" customHeight="false" outlineLevel="0" collapsed="false">
      <c r="A264" s="71" t="str">
        <f aca="false">IF(D264="","",ROW()-1)</f>
        <v/>
      </c>
      <c r="B264" s="72"/>
      <c r="C264" s="72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4"/>
      <c r="O264" s="73"/>
      <c r="P264" s="74"/>
      <c r="Q264" s="73"/>
      <c r="R264" s="74"/>
      <c r="S264" s="75"/>
      <c r="T264" s="73"/>
      <c r="U264" s="73"/>
      <c r="V264" s="73"/>
      <c r="W264" s="73"/>
      <c r="X264" s="73"/>
      <c r="Y264" s="73"/>
      <c r="Z264" s="73"/>
      <c r="AA264" s="73"/>
      <c r="AB264" s="74"/>
      <c r="AC264" s="73"/>
      <c r="AD264" s="76"/>
      <c r="AE264" s="73"/>
      <c r="AF264" s="73"/>
      <c r="AG264" s="73"/>
      <c r="AH264" s="73"/>
      <c r="AI264" s="73"/>
    </row>
    <row r="265" customFormat="false" ht="15" hidden="false" customHeight="false" outlineLevel="0" collapsed="false">
      <c r="A265" s="71" t="str">
        <f aca="false">IF(D265="","",ROW()-1)</f>
        <v/>
      </c>
      <c r="B265" s="72"/>
      <c r="C265" s="72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4"/>
      <c r="O265" s="73"/>
      <c r="P265" s="74"/>
      <c r="Q265" s="73"/>
      <c r="R265" s="74"/>
      <c r="S265" s="75"/>
      <c r="T265" s="73"/>
      <c r="U265" s="73"/>
      <c r="V265" s="73"/>
      <c r="W265" s="73"/>
      <c r="X265" s="73"/>
      <c r="Y265" s="73"/>
      <c r="Z265" s="73"/>
      <c r="AA265" s="73"/>
      <c r="AB265" s="74"/>
      <c r="AC265" s="73"/>
      <c r="AD265" s="76"/>
      <c r="AE265" s="73"/>
      <c r="AF265" s="73"/>
      <c r="AG265" s="73"/>
      <c r="AH265" s="73"/>
      <c r="AI265" s="73"/>
    </row>
    <row r="266" customFormat="false" ht="15" hidden="false" customHeight="false" outlineLevel="0" collapsed="false">
      <c r="A266" s="71" t="str">
        <f aca="false">IF(D266="","",ROW()-1)</f>
        <v/>
      </c>
      <c r="B266" s="72"/>
      <c r="C266" s="72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4"/>
      <c r="O266" s="73"/>
      <c r="P266" s="74"/>
      <c r="Q266" s="73"/>
      <c r="R266" s="74"/>
      <c r="S266" s="75"/>
      <c r="T266" s="73"/>
      <c r="U266" s="73"/>
      <c r="V266" s="73"/>
      <c r="W266" s="73"/>
      <c r="X266" s="73"/>
      <c r="Y266" s="73"/>
      <c r="Z266" s="73"/>
      <c r="AA266" s="73"/>
      <c r="AB266" s="74"/>
      <c r="AC266" s="73"/>
      <c r="AD266" s="76"/>
      <c r="AE266" s="73"/>
      <c r="AF266" s="73"/>
      <c r="AG266" s="73"/>
      <c r="AH266" s="73"/>
      <c r="AI266" s="73"/>
    </row>
    <row r="267" customFormat="false" ht="15" hidden="false" customHeight="false" outlineLevel="0" collapsed="false">
      <c r="A267" s="71" t="str">
        <f aca="false">IF(D267="","",ROW()-1)</f>
        <v/>
      </c>
      <c r="B267" s="72"/>
      <c r="C267" s="72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4"/>
      <c r="O267" s="73"/>
      <c r="P267" s="74"/>
      <c r="Q267" s="73"/>
      <c r="R267" s="74"/>
      <c r="S267" s="75"/>
      <c r="T267" s="73"/>
      <c r="U267" s="73"/>
      <c r="V267" s="73"/>
      <c r="W267" s="73"/>
      <c r="X267" s="73"/>
      <c r="Y267" s="73"/>
      <c r="Z267" s="73"/>
      <c r="AA267" s="73"/>
      <c r="AB267" s="74"/>
      <c r="AC267" s="73"/>
      <c r="AD267" s="76"/>
      <c r="AE267" s="73"/>
      <c r="AF267" s="73"/>
      <c r="AG267" s="73"/>
      <c r="AH267" s="73"/>
      <c r="AI267" s="73"/>
    </row>
    <row r="268" customFormat="false" ht="15" hidden="false" customHeight="false" outlineLevel="0" collapsed="false">
      <c r="A268" s="71" t="str">
        <f aca="false">IF(D268="","",ROW()-1)</f>
        <v/>
      </c>
      <c r="B268" s="72"/>
      <c r="C268" s="72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4"/>
      <c r="O268" s="73"/>
      <c r="P268" s="74"/>
      <c r="Q268" s="73"/>
      <c r="R268" s="74"/>
      <c r="S268" s="75"/>
      <c r="T268" s="73"/>
      <c r="U268" s="73"/>
      <c r="V268" s="73"/>
      <c r="W268" s="73"/>
      <c r="X268" s="73"/>
      <c r="Y268" s="73"/>
      <c r="Z268" s="73"/>
      <c r="AA268" s="73"/>
      <c r="AB268" s="74"/>
      <c r="AC268" s="73"/>
      <c r="AD268" s="76"/>
      <c r="AE268" s="73"/>
      <c r="AF268" s="73"/>
      <c r="AG268" s="73"/>
      <c r="AH268" s="73"/>
      <c r="AI268" s="73"/>
    </row>
    <row r="269" customFormat="false" ht="15" hidden="false" customHeight="false" outlineLevel="0" collapsed="false">
      <c r="A269" s="71" t="str">
        <f aca="false">IF(D269="","",ROW()-1)</f>
        <v/>
      </c>
      <c r="B269" s="72"/>
      <c r="C269" s="72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4"/>
      <c r="O269" s="73"/>
      <c r="P269" s="74"/>
      <c r="Q269" s="73"/>
      <c r="R269" s="74"/>
      <c r="S269" s="75"/>
      <c r="T269" s="73"/>
      <c r="U269" s="73"/>
      <c r="V269" s="73"/>
      <c r="W269" s="73"/>
      <c r="X269" s="73"/>
      <c r="Y269" s="73"/>
      <c r="Z269" s="73"/>
      <c r="AA269" s="73"/>
      <c r="AB269" s="74"/>
      <c r="AC269" s="73"/>
      <c r="AD269" s="76"/>
      <c r="AE269" s="73"/>
      <c r="AF269" s="73"/>
      <c r="AG269" s="73"/>
      <c r="AH269" s="73"/>
      <c r="AI269" s="73"/>
    </row>
    <row r="270" customFormat="false" ht="15" hidden="false" customHeight="false" outlineLevel="0" collapsed="false">
      <c r="A270" s="71" t="str">
        <f aca="false">IF(D270="","",ROW()-1)</f>
        <v/>
      </c>
      <c r="B270" s="72"/>
      <c r="C270" s="72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4"/>
      <c r="O270" s="73"/>
      <c r="P270" s="74"/>
      <c r="Q270" s="73"/>
      <c r="R270" s="74"/>
      <c r="S270" s="75"/>
      <c r="T270" s="73"/>
      <c r="U270" s="73"/>
      <c r="V270" s="73"/>
      <c r="W270" s="73"/>
      <c r="X270" s="73"/>
      <c r="Y270" s="73"/>
      <c r="Z270" s="73"/>
      <c r="AA270" s="73"/>
      <c r="AB270" s="74"/>
      <c r="AC270" s="73"/>
      <c r="AD270" s="76"/>
      <c r="AE270" s="73"/>
      <c r="AF270" s="73"/>
      <c r="AG270" s="73"/>
      <c r="AH270" s="73"/>
      <c r="AI270" s="73"/>
    </row>
    <row r="271" customFormat="false" ht="15" hidden="false" customHeight="false" outlineLevel="0" collapsed="false">
      <c r="A271" s="71" t="str">
        <f aca="false">IF(D271="","",ROW()-1)</f>
        <v/>
      </c>
      <c r="B271" s="72"/>
      <c r="C271" s="72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4"/>
      <c r="O271" s="73"/>
      <c r="P271" s="74"/>
      <c r="Q271" s="73"/>
      <c r="R271" s="74"/>
      <c r="S271" s="75"/>
      <c r="T271" s="73"/>
      <c r="U271" s="73"/>
      <c r="V271" s="73"/>
      <c r="W271" s="73"/>
      <c r="X271" s="73"/>
      <c r="Y271" s="73"/>
      <c r="Z271" s="73"/>
      <c r="AA271" s="73"/>
      <c r="AB271" s="74"/>
      <c r="AC271" s="73"/>
      <c r="AD271" s="76"/>
      <c r="AE271" s="73"/>
      <c r="AF271" s="73"/>
      <c r="AG271" s="73"/>
      <c r="AH271" s="73"/>
      <c r="AI271" s="73"/>
    </row>
    <row r="272" customFormat="false" ht="15" hidden="false" customHeight="false" outlineLevel="0" collapsed="false">
      <c r="A272" s="71" t="str">
        <f aca="false">IF(D272="","",ROW()-1)</f>
        <v/>
      </c>
      <c r="B272" s="72"/>
      <c r="C272" s="72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4"/>
      <c r="O272" s="73"/>
      <c r="P272" s="74"/>
      <c r="Q272" s="73"/>
      <c r="R272" s="74"/>
      <c r="S272" s="75"/>
      <c r="T272" s="73"/>
      <c r="U272" s="73"/>
      <c r="V272" s="73"/>
      <c r="W272" s="73"/>
      <c r="X272" s="73"/>
      <c r="Y272" s="73"/>
      <c r="Z272" s="73"/>
      <c r="AA272" s="73"/>
      <c r="AB272" s="74"/>
      <c r="AC272" s="73"/>
      <c r="AD272" s="76"/>
      <c r="AE272" s="73"/>
      <c r="AF272" s="73"/>
      <c r="AG272" s="73"/>
      <c r="AH272" s="73"/>
      <c r="AI272" s="73"/>
    </row>
    <row r="273" customFormat="false" ht="15" hidden="false" customHeight="false" outlineLevel="0" collapsed="false">
      <c r="A273" s="71" t="str">
        <f aca="false">IF(D273="","",ROW()-1)</f>
        <v/>
      </c>
      <c r="B273" s="72"/>
      <c r="C273" s="72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4"/>
      <c r="O273" s="73"/>
      <c r="P273" s="74"/>
      <c r="Q273" s="73"/>
      <c r="R273" s="74"/>
      <c r="S273" s="75"/>
      <c r="T273" s="73"/>
      <c r="U273" s="73"/>
      <c r="V273" s="73"/>
      <c r="W273" s="73"/>
      <c r="X273" s="73"/>
      <c r="Y273" s="73"/>
      <c r="Z273" s="73"/>
      <c r="AA273" s="73"/>
      <c r="AB273" s="74"/>
      <c r="AC273" s="73"/>
      <c r="AD273" s="76"/>
      <c r="AE273" s="73"/>
      <c r="AF273" s="73"/>
      <c r="AG273" s="73"/>
      <c r="AH273" s="73"/>
      <c r="AI273" s="73"/>
    </row>
    <row r="274" customFormat="false" ht="15" hidden="false" customHeight="false" outlineLevel="0" collapsed="false">
      <c r="A274" s="71" t="str">
        <f aca="false">IF(D274="","",ROW()-1)</f>
        <v/>
      </c>
      <c r="B274" s="72"/>
      <c r="C274" s="72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4"/>
      <c r="O274" s="73"/>
      <c r="P274" s="74"/>
      <c r="Q274" s="73"/>
      <c r="R274" s="74"/>
      <c r="S274" s="75"/>
      <c r="T274" s="73"/>
      <c r="U274" s="73"/>
      <c r="V274" s="73"/>
      <c r="W274" s="73"/>
      <c r="X274" s="73"/>
      <c r="Y274" s="73"/>
      <c r="Z274" s="73"/>
      <c r="AA274" s="73"/>
      <c r="AB274" s="74"/>
      <c r="AC274" s="73"/>
      <c r="AD274" s="76"/>
      <c r="AE274" s="73"/>
      <c r="AF274" s="73"/>
      <c r="AG274" s="73"/>
      <c r="AH274" s="73"/>
      <c r="AI274" s="73"/>
    </row>
    <row r="275" customFormat="false" ht="15" hidden="false" customHeight="false" outlineLevel="0" collapsed="false">
      <c r="A275" s="71" t="str">
        <f aca="false">IF(D275="","",ROW()-1)</f>
        <v/>
      </c>
      <c r="B275" s="72"/>
      <c r="C275" s="72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4"/>
      <c r="O275" s="73"/>
      <c r="P275" s="74"/>
      <c r="Q275" s="73"/>
      <c r="R275" s="74"/>
      <c r="S275" s="75"/>
      <c r="T275" s="73"/>
      <c r="U275" s="73"/>
      <c r="V275" s="73"/>
      <c r="W275" s="73"/>
      <c r="X275" s="73"/>
      <c r="Y275" s="73"/>
      <c r="Z275" s="73"/>
      <c r="AA275" s="73"/>
      <c r="AB275" s="74"/>
      <c r="AC275" s="73"/>
      <c r="AD275" s="76"/>
      <c r="AE275" s="73"/>
      <c r="AF275" s="73"/>
      <c r="AG275" s="73"/>
      <c r="AH275" s="73"/>
      <c r="AI275" s="73"/>
    </row>
    <row r="276" customFormat="false" ht="15" hidden="false" customHeight="false" outlineLevel="0" collapsed="false">
      <c r="A276" s="71" t="str">
        <f aca="false">IF(D276="","",ROW()-1)</f>
        <v/>
      </c>
      <c r="B276" s="72"/>
      <c r="C276" s="72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4"/>
      <c r="O276" s="73"/>
      <c r="P276" s="74"/>
      <c r="Q276" s="73"/>
      <c r="R276" s="74"/>
      <c r="S276" s="75"/>
      <c r="T276" s="73"/>
      <c r="U276" s="73"/>
      <c r="V276" s="73"/>
      <c r="W276" s="73"/>
      <c r="X276" s="73"/>
      <c r="Y276" s="73"/>
      <c r="Z276" s="73"/>
      <c r="AA276" s="73"/>
      <c r="AB276" s="74"/>
      <c r="AC276" s="73"/>
      <c r="AD276" s="76"/>
      <c r="AE276" s="73"/>
      <c r="AF276" s="73"/>
      <c r="AG276" s="73"/>
      <c r="AH276" s="73"/>
      <c r="AI276" s="73"/>
    </row>
    <row r="277" customFormat="false" ht="15" hidden="false" customHeight="false" outlineLevel="0" collapsed="false">
      <c r="A277" s="71" t="str">
        <f aca="false">IF(D277="","",ROW()-1)</f>
        <v/>
      </c>
      <c r="B277" s="72"/>
      <c r="C277" s="72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4"/>
      <c r="O277" s="73"/>
      <c r="P277" s="74"/>
      <c r="Q277" s="73"/>
      <c r="R277" s="74"/>
      <c r="S277" s="75"/>
      <c r="T277" s="73"/>
      <c r="U277" s="73"/>
      <c r="V277" s="73"/>
      <c r="W277" s="73"/>
      <c r="X277" s="73"/>
      <c r="Y277" s="73"/>
      <c r="Z277" s="73"/>
      <c r="AA277" s="73"/>
      <c r="AB277" s="74"/>
      <c r="AC277" s="73"/>
      <c r="AD277" s="76"/>
      <c r="AE277" s="73"/>
      <c r="AF277" s="73"/>
      <c r="AG277" s="73"/>
      <c r="AH277" s="73"/>
      <c r="AI277" s="73"/>
    </row>
    <row r="278" customFormat="false" ht="15" hidden="false" customHeight="false" outlineLevel="0" collapsed="false">
      <c r="A278" s="71" t="str">
        <f aca="false">IF(D278="","",ROW()-1)</f>
        <v/>
      </c>
      <c r="B278" s="72"/>
      <c r="C278" s="72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4"/>
      <c r="O278" s="73"/>
      <c r="P278" s="74"/>
      <c r="Q278" s="73"/>
      <c r="R278" s="74"/>
      <c r="S278" s="75"/>
      <c r="T278" s="73"/>
      <c r="U278" s="73"/>
      <c r="V278" s="73"/>
      <c r="W278" s="73"/>
      <c r="X278" s="73"/>
      <c r="Y278" s="73"/>
      <c r="Z278" s="73"/>
      <c r="AA278" s="73"/>
      <c r="AB278" s="74"/>
      <c r="AC278" s="73"/>
      <c r="AD278" s="76"/>
      <c r="AE278" s="73"/>
      <c r="AF278" s="73"/>
      <c r="AG278" s="73"/>
      <c r="AH278" s="73"/>
      <c r="AI278" s="73"/>
    </row>
    <row r="279" customFormat="false" ht="15" hidden="false" customHeight="false" outlineLevel="0" collapsed="false">
      <c r="A279" s="71" t="str">
        <f aca="false">IF(D279="","",ROW()-1)</f>
        <v/>
      </c>
      <c r="B279" s="72"/>
      <c r="C279" s="72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4"/>
      <c r="O279" s="73"/>
      <c r="P279" s="74"/>
      <c r="Q279" s="73"/>
      <c r="R279" s="74"/>
      <c r="S279" s="75"/>
      <c r="T279" s="73"/>
      <c r="U279" s="73"/>
      <c r="V279" s="73"/>
      <c r="W279" s="73"/>
      <c r="X279" s="73"/>
      <c r="Y279" s="73"/>
      <c r="Z279" s="73"/>
      <c r="AA279" s="73"/>
      <c r="AB279" s="74"/>
      <c r="AC279" s="73"/>
      <c r="AD279" s="76"/>
      <c r="AE279" s="73"/>
      <c r="AF279" s="73"/>
      <c r="AG279" s="73"/>
      <c r="AH279" s="73"/>
      <c r="AI279" s="73"/>
    </row>
    <row r="280" customFormat="false" ht="15" hidden="false" customHeight="false" outlineLevel="0" collapsed="false">
      <c r="A280" s="71" t="str">
        <f aca="false">IF(D280="","",ROW()-1)</f>
        <v/>
      </c>
      <c r="B280" s="72"/>
      <c r="C280" s="72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4"/>
      <c r="O280" s="73"/>
      <c r="P280" s="74"/>
      <c r="Q280" s="73"/>
      <c r="R280" s="74"/>
      <c r="S280" s="75"/>
      <c r="T280" s="73"/>
      <c r="U280" s="73"/>
      <c r="V280" s="73"/>
      <c r="W280" s="73"/>
      <c r="X280" s="73"/>
      <c r="Y280" s="73"/>
      <c r="Z280" s="73"/>
      <c r="AA280" s="73"/>
      <c r="AB280" s="74"/>
      <c r="AC280" s="73"/>
      <c r="AD280" s="76"/>
      <c r="AE280" s="73"/>
      <c r="AF280" s="73"/>
      <c r="AG280" s="73"/>
      <c r="AH280" s="73"/>
      <c r="AI280" s="73"/>
    </row>
    <row r="281" customFormat="false" ht="15" hidden="false" customHeight="false" outlineLevel="0" collapsed="false">
      <c r="A281" s="71" t="str">
        <f aca="false">IF(D281="","",ROW()-1)</f>
        <v/>
      </c>
      <c r="B281" s="72"/>
      <c r="C281" s="72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4"/>
      <c r="O281" s="73"/>
      <c r="P281" s="74"/>
      <c r="Q281" s="73"/>
      <c r="R281" s="74"/>
      <c r="S281" s="75"/>
      <c r="T281" s="73"/>
      <c r="U281" s="73"/>
      <c r="V281" s="73"/>
      <c r="W281" s="73"/>
      <c r="X281" s="73"/>
      <c r="Y281" s="73"/>
      <c r="Z281" s="73"/>
      <c r="AA281" s="73"/>
      <c r="AB281" s="74"/>
      <c r="AC281" s="73"/>
      <c r="AD281" s="76"/>
      <c r="AE281" s="73"/>
      <c r="AF281" s="73"/>
      <c r="AG281" s="73"/>
      <c r="AH281" s="73"/>
      <c r="AI281" s="73"/>
    </row>
    <row r="282" customFormat="false" ht="15" hidden="false" customHeight="false" outlineLevel="0" collapsed="false">
      <c r="A282" s="71" t="str">
        <f aca="false">IF(D282="","",ROW()-1)</f>
        <v/>
      </c>
      <c r="B282" s="72"/>
      <c r="C282" s="72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4"/>
      <c r="O282" s="73"/>
      <c r="P282" s="74"/>
      <c r="Q282" s="73"/>
      <c r="R282" s="74"/>
      <c r="S282" s="75"/>
      <c r="T282" s="73"/>
      <c r="U282" s="73"/>
      <c r="V282" s="73"/>
      <c r="W282" s="73"/>
      <c r="X282" s="73"/>
      <c r="Y282" s="73"/>
      <c r="Z282" s="73"/>
      <c r="AA282" s="73"/>
      <c r="AB282" s="74"/>
      <c r="AC282" s="73"/>
      <c r="AD282" s="76"/>
      <c r="AE282" s="73"/>
      <c r="AF282" s="73"/>
      <c r="AG282" s="73"/>
      <c r="AH282" s="73"/>
      <c r="AI282" s="73"/>
    </row>
    <row r="283" customFormat="false" ht="15" hidden="false" customHeight="false" outlineLevel="0" collapsed="false">
      <c r="A283" s="71" t="str">
        <f aca="false">IF(D283="","",ROW()-1)</f>
        <v/>
      </c>
      <c r="B283" s="72"/>
      <c r="C283" s="72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4"/>
      <c r="O283" s="73"/>
      <c r="P283" s="74"/>
      <c r="Q283" s="73"/>
      <c r="R283" s="74"/>
      <c r="S283" s="75"/>
      <c r="T283" s="73"/>
      <c r="U283" s="73"/>
      <c r="V283" s="73"/>
      <c r="W283" s="73"/>
      <c r="X283" s="73"/>
      <c r="Y283" s="73"/>
      <c r="Z283" s="73"/>
      <c r="AA283" s="73"/>
      <c r="AB283" s="74"/>
      <c r="AC283" s="73"/>
      <c r="AD283" s="76"/>
      <c r="AE283" s="73"/>
      <c r="AF283" s="73"/>
      <c r="AG283" s="73"/>
      <c r="AH283" s="73"/>
      <c r="AI283" s="73"/>
    </row>
    <row r="284" customFormat="false" ht="15" hidden="false" customHeight="false" outlineLevel="0" collapsed="false">
      <c r="A284" s="71" t="str">
        <f aca="false">IF(D284="","",ROW()-1)</f>
        <v/>
      </c>
      <c r="B284" s="72"/>
      <c r="C284" s="72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4"/>
      <c r="O284" s="73"/>
      <c r="P284" s="74"/>
      <c r="Q284" s="73"/>
      <c r="R284" s="74"/>
      <c r="S284" s="75"/>
      <c r="T284" s="73"/>
      <c r="U284" s="73"/>
      <c r="V284" s="73"/>
      <c r="W284" s="73"/>
      <c r="X284" s="73"/>
      <c r="Y284" s="73"/>
      <c r="Z284" s="73"/>
      <c r="AA284" s="73"/>
      <c r="AB284" s="74"/>
      <c r="AC284" s="73"/>
      <c r="AD284" s="76"/>
      <c r="AE284" s="73"/>
      <c r="AF284" s="73"/>
      <c r="AG284" s="73"/>
      <c r="AH284" s="73"/>
      <c r="AI284" s="73"/>
    </row>
    <row r="285" customFormat="false" ht="15" hidden="false" customHeight="false" outlineLevel="0" collapsed="false">
      <c r="A285" s="71" t="str">
        <f aca="false">IF(D285="","",ROW()-1)</f>
        <v/>
      </c>
      <c r="B285" s="72"/>
      <c r="C285" s="72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4"/>
      <c r="O285" s="73"/>
      <c r="P285" s="74"/>
      <c r="Q285" s="73"/>
      <c r="R285" s="74"/>
      <c r="S285" s="75"/>
      <c r="T285" s="73"/>
      <c r="U285" s="73"/>
      <c r="V285" s="73"/>
      <c r="W285" s="73"/>
      <c r="X285" s="73"/>
      <c r="Y285" s="73"/>
      <c r="Z285" s="73"/>
      <c r="AA285" s="73"/>
      <c r="AB285" s="74"/>
      <c r="AC285" s="73"/>
      <c r="AD285" s="76"/>
      <c r="AE285" s="73"/>
      <c r="AF285" s="73"/>
      <c r="AG285" s="73"/>
      <c r="AH285" s="73"/>
      <c r="AI285" s="73"/>
    </row>
    <row r="286" customFormat="false" ht="15" hidden="false" customHeight="false" outlineLevel="0" collapsed="false">
      <c r="A286" s="71" t="str">
        <f aca="false">IF(D286="","",ROW()-1)</f>
        <v/>
      </c>
      <c r="B286" s="72"/>
      <c r="C286" s="72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4"/>
      <c r="O286" s="73"/>
      <c r="P286" s="74"/>
      <c r="Q286" s="73"/>
      <c r="R286" s="74"/>
      <c r="S286" s="75"/>
      <c r="T286" s="73"/>
      <c r="U286" s="73"/>
      <c r="V286" s="73"/>
      <c r="W286" s="73"/>
      <c r="X286" s="73"/>
      <c r="Y286" s="73"/>
      <c r="Z286" s="73"/>
      <c r="AA286" s="73"/>
      <c r="AB286" s="74"/>
      <c r="AC286" s="73"/>
      <c r="AD286" s="76"/>
      <c r="AE286" s="73"/>
      <c r="AF286" s="73"/>
      <c r="AG286" s="73"/>
      <c r="AH286" s="73"/>
      <c r="AI286" s="73"/>
    </row>
    <row r="287" customFormat="false" ht="15" hidden="false" customHeight="false" outlineLevel="0" collapsed="false">
      <c r="A287" s="71" t="str">
        <f aca="false">IF(D287="","",ROW()-1)</f>
        <v/>
      </c>
      <c r="B287" s="72"/>
      <c r="C287" s="72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4"/>
      <c r="O287" s="73"/>
      <c r="P287" s="74"/>
      <c r="Q287" s="73"/>
      <c r="R287" s="74"/>
      <c r="S287" s="75"/>
      <c r="T287" s="73"/>
      <c r="U287" s="73"/>
      <c r="V287" s="73"/>
      <c r="W287" s="73"/>
      <c r="X287" s="73"/>
      <c r="Y287" s="73"/>
      <c r="Z287" s="73"/>
      <c r="AA287" s="73"/>
      <c r="AB287" s="74"/>
      <c r="AC287" s="73"/>
      <c r="AD287" s="76"/>
      <c r="AE287" s="73"/>
      <c r="AF287" s="73"/>
      <c r="AG287" s="73"/>
      <c r="AH287" s="73"/>
      <c r="AI287" s="73"/>
    </row>
    <row r="288" customFormat="false" ht="15" hidden="false" customHeight="false" outlineLevel="0" collapsed="false">
      <c r="A288" s="71" t="str">
        <f aca="false">IF(D288="","",ROW()-1)</f>
        <v/>
      </c>
      <c r="B288" s="72"/>
      <c r="C288" s="72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4"/>
      <c r="O288" s="73"/>
      <c r="P288" s="74"/>
      <c r="Q288" s="73"/>
      <c r="R288" s="74"/>
      <c r="S288" s="75"/>
      <c r="T288" s="73"/>
      <c r="U288" s="73"/>
      <c r="V288" s="73"/>
      <c r="W288" s="73"/>
      <c r="X288" s="73"/>
      <c r="Y288" s="73"/>
      <c r="Z288" s="73"/>
      <c r="AA288" s="73"/>
      <c r="AB288" s="74"/>
      <c r="AC288" s="73"/>
      <c r="AD288" s="76"/>
      <c r="AE288" s="73"/>
      <c r="AF288" s="73"/>
      <c r="AG288" s="73"/>
      <c r="AH288" s="73"/>
      <c r="AI288" s="73"/>
    </row>
    <row r="289" customFormat="false" ht="15" hidden="false" customHeight="false" outlineLevel="0" collapsed="false">
      <c r="A289" s="71" t="str">
        <f aca="false">IF(D289="","",ROW()-1)</f>
        <v/>
      </c>
      <c r="B289" s="72"/>
      <c r="C289" s="72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4"/>
      <c r="O289" s="73"/>
      <c r="P289" s="74"/>
      <c r="Q289" s="73"/>
      <c r="R289" s="74"/>
      <c r="S289" s="75"/>
      <c r="T289" s="73"/>
      <c r="U289" s="73"/>
      <c r="V289" s="73"/>
      <c r="W289" s="73"/>
      <c r="X289" s="73"/>
      <c r="Y289" s="73"/>
      <c r="Z289" s="73"/>
      <c r="AA289" s="73"/>
      <c r="AB289" s="74"/>
      <c r="AC289" s="73"/>
      <c r="AD289" s="76"/>
      <c r="AE289" s="73"/>
      <c r="AF289" s="73"/>
      <c r="AG289" s="73"/>
      <c r="AH289" s="73"/>
      <c r="AI289" s="73"/>
    </row>
    <row r="290" customFormat="false" ht="15" hidden="false" customHeight="false" outlineLevel="0" collapsed="false">
      <c r="A290" s="71" t="str">
        <f aca="false">IF(D290="","",ROW()-1)</f>
        <v/>
      </c>
      <c r="B290" s="72"/>
      <c r="C290" s="72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4"/>
      <c r="O290" s="73"/>
      <c r="P290" s="74"/>
      <c r="Q290" s="73"/>
      <c r="R290" s="74"/>
      <c r="S290" s="75"/>
      <c r="T290" s="73"/>
      <c r="U290" s="73"/>
      <c r="V290" s="73"/>
      <c r="W290" s="73"/>
      <c r="X290" s="73"/>
      <c r="Y290" s="73"/>
      <c r="Z290" s="73"/>
      <c r="AA290" s="73"/>
      <c r="AB290" s="74"/>
      <c r="AC290" s="73"/>
      <c r="AD290" s="76"/>
      <c r="AE290" s="73"/>
      <c r="AF290" s="73"/>
      <c r="AG290" s="73"/>
      <c r="AH290" s="73"/>
      <c r="AI290" s="73"/>
    </row>
    <row r="291" customFormat="false" ht="15" hidden="false" customHeight="false" outlineLevel="0" collapsed="false">
      <c r="A291" s="71" t="str">
        <f aca="false">IF(D291="","",ROW()-1)</f>
        <v/>
      </c>
      <c r="B291" s="72"/>
      <c r="C291" s="72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4"/>
      <c r="O291" s="73"/>
      <c r="P291" s="74"/>
      <c r="Q291" s="73"/>
      <c r="R291" s="74"/>
      <c r="S291" s="75"/>
      <c r="T291" s="73"/>
      <c r="U291" s="73"/>
      <c r="V291" s="73"/>
      <c r="W291" s="73"/>
      <c r="X291" s="73"/>
      <c r="Y291" s="73"/>
      <c r="Z291" s="73"/>
      <c r="AA291" s="73"/>
      <c r="AB291" s="74"/>
      <c r="AC291" s="73"/>
      <c r="AD291" s="76"/>
      <c r="AE291" s="73"/>
      <c r="AF291" s="73"/>
      <c r="AG291" s="73"/>
      <c r="AH291" s="73"/>
      <c r="AI291" s="73"/>
    </row>
    <row r="292" customFormat="false" ht="15" hidden="false" customHeight="false" outlineLevel="0" collapsed="false">
      <c r="A292" s="71" t="str">
        <f aca="false">IF(D292="","",ROW()-1)</f>
        <v/>
      </c>
      <c r="B292" s="72"/>
      <c r="C292" s="72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4"/>
      <c r="O292" s="73"/>
      <c r="P292" s="74"/>
      <c r="Q292" s="73"/>
      <c r="R292" s="74"/>
      <c r="S292" s="75"/>
      <c r="T292" s="73"/>
      <c r="U292" s="73"/>
      <c r="V292" s="73"/>
      <c r="W292" s="73"/>
      <c r="X292" s="73"/>
      <c r="Y292" s="73"/>
      <c r="Z292" s="73"/>
      <c r="AA292" s="73"/>
      <c r="AB292" s="74"/>
      <c r="AC292" s="73"/>
      <c r="AD292" s="76"/>
      <c r="AE292" s="73"/>
      <c r="AF292" s="73"/>
      <c r="AG292" s="73"/>
      <c r="AH292" s="73"/>
      <c r="AI292" s="73"/>
    </row>
    <row r="293" customFormat="false" ht="15" hidden="false" customHeight="false" outlineLevel="0" collapsed="false">
      <c r="A293" s="71" t="str">
        <f aca="false">IF(D293="","",ROW()-1)</f>
        <v/>
      </c>
      <c r="B293" s="72"/>
      <c r="C293" s="72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4"/>
      <c r="O293" s="73"/>
      <c r="P293" s="74"/>
      <c r="Q293" s="73"/>
      <c r="R293" s="74"/>
      <c r="S293" s="75"/>
      <c r="T293" s="73"/>
      <c r="U293" s="73"/>
      <c r="V293" s="73"/>
      <c r="W293" s="73"/>
      <c r="X293" s="73"/>
      <c r="Y293" s="73"/>
      <c r="Z293" s="73"/>
      <c r="AA293" s="73"/>
      <c r="AB293" s="74"/>
      <c r="AC293" s="73"/>
      <c r="AD293" s="76"/>
      <c r="AE293" s="73"/>
      <c r="AF293" s="73"/>
      <c r="AG293" s="73"/>
      <c r="AH293" s="73"/>
      <c r="AI293" s="73"/>
    </row>
    <row r="294" customFormat="false" ht="15" hidden="false" customHeight="false" outlineLevel="0" collapsed="false">
      <c r="A294" s="71" t="str">
        <f aca="false">IF(D294="","",ROW()-1)</f>
        <v/>
      </c>
      <c r="B294" s="72"/>
      <c r="C294" s="72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4"/>
      <c r="O294" s="73"/>
      <c r="P294" s="74"/>
      <c r="Q294" s="73"/>
      <c r="R294" s="74"/>
      <c r="S294" s="75"/>
      <c r="T294" s="73"/>
      <c r="U294" s="73"/>
      <c r="V294" s="73"/>
      <c r="W294" s="73"/>
      <c r="X294" s="73"/>
      <c r="Y294" s="73"/>
      <c r="Z294" s="73"/>
      <c r="AA294" s="73"/>
      <c r="AB294" s="74"/>
      <c r="AC294" s="73"/>
      <c r="AD294" s="76"/>
      <c r="AE294" s="73"/>
      <c r="AF294" s="73"/>
      <c r="AG294" s="73"/>
      <c r="AH294" s="73"/>
      <c r="AI294" s="73"/>
    </row>
    <row r="295" customFormat="false" ht="15" hidden="false" customHeight="false" outlineLevel="0" collapsed="false">
      <c r="A295" s="71" t="str">
        <f aca="false">IF(D295="","",ROW()-1)</f>
        <v/>
      </c>
      <c r="B295" s="72"/>
      <c r="C295" s="72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4"/>
      <c r="O295" s="73"/>
      <c r="P295" s="74"/>
      <c r="Q295" s="73"/>
      <c r="R295" s="74"/>
      <c r="S295" s="75"/>
      <c r="T295" s="73"/>
      <c r="U295" s="73"/>
      <c r="V295" s="73"/>
      <c r="W295" s="73"/>
      <c r="X295" s="73"/>
      <c r="Y295" s="73"/>
      <c r="Z295" s="73"/>
      <c r="AA295" s="73"/>
      <c r="AB295" s="74"/>
      <c r="AC295" s="73"/>
      <c r="AD295" s="76"/>
      <c r="AE295" s="73"/>
      <c r="AF295" s="73"/>
      <c r="AG295" s="73"/>
      <c r="AH295" s="73"/>
      <c r="AI295" s="73"/>
    </row>
    <row r="296" customFormat="false" ht="15" hidden="false" customHeight="false" outlineLevel="0" collapsed="false">
      <c r="A296" s="71" t="str">
        <f aca="false">IF(D296="","",ROW()-1)</f>
        <v/>
      </c>
      <c r="B296" s="72"/>
      <c r="C296" s="72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4"/>
      <c r="O296" s="73"/>
      <c r="P296" s="74"/>
      <c r="Q296" s="73"/>
      <c r="R296" s="74"/>
      <c r="S296" s="75"/>
      <c r="T296" s="73"/>
      <c r="U296" s="73"/>
      <c r="V296" s="73"/>
      <c r="W296" s="73"/>
      <c r="X296" s="73"/>
      <c r="Y296" s="73"/>
      <c r="Z296" s="73"/>
      <c r="AA296" s="73"/>
      <c r="AB296" s="74"/>
      <c r="AC296" s="73"/>
      <c r="AD296" s="76"/>
      <c r="AE296" s="73"/>
      <c r="AF296" s="73"/>
      <c r="AG296" s="73"/>
      <c r="AH296" s="73"/>
      <c r="AI296" s="73"/>
    </row>
    <row r="297" customFormat="false" ht="15" hidden="false" customHeight="false" outlineLevel="0" collapsed="false">
      <c r="A297" s="71" t="str">
        <f aca="false">IF(D297="","",ROW()-1)</f>
        <v/>
      </c>
      <c r="B297" s="72"/>
      <c r="C297" s="72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4"/>
      <c r="O297" s="73"/>
      <c r="P297" s="74"/>
      <c r="Q297" s="73"/>
      <c r="R297" s="74"/>
      <c r="S297" s="75"/>
      <c r="T297" s="73"/>
      <c r="U297" s="73"/>
      <c r="V297" s="73"/>
      <c r="W297" s="73"/>
      <c r="X297" s="73"/>
      <c r="Y297" s="73"/>
      <c r="Z297" s="73"/>
      <c r="AA297" s="73"/>
      <c r="AB297" s="74"/>
      <c r="AC297" s="73"/>
      <c r="AD297" s="76"/>
      <c r="AE297" s="73"/>
      <c r="AF297" s="73"/>
      <c r="AG297" s="73"/>
      <c r="AH297" s="73"/>
      <c r="AI297" s="73"/>
    </row>
    <row r="298" customFormat="false" ht="15" hidden="false" customHeight="false" outlineLevel="0" collapsed="false">
      <c r="A298" s="71" t="str">
        <f aca="false">IF(D298="","",ROW()-1)</f>
        <v/>
      </c>
      <c r="B298" s="72"/>
      <c r="C298" s="72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4"/>
      <c r="O298" s="73"/>
      <c r="P298" s="74"/>
      <c r="Q298" s="73"/>
      <c r="R298" s="74"/>
      <c r="S298" s="75"/>
      <c r="T298" s="73"/>
      <c r="U298" s="73"/>
      <c r="V298" s="73"/>
      <c r="W298" s="73"/>
      <c r="X298" s="73"/>
      <c r="Y298" s="73"/>
      <c r="Z298" s="73"/>
      <c r="AA298" s="73"/>
      <c r="AB298" s="74"/>
      <c r="AC298" s="73"/>
      <c r="AD298" s="76"/>
      <c r="AE298" s="73"/>
      <c r="AF298" s="73"/>
      <c r="AG298" s="73"/>
      <c r="AH298" s="73"/>
      <c r="AI298" s="73"/>
    </row>
    <row r="299" customFormat="false" ht="15" hidden="false" customHeight="false" outlineLevel="0" collapsed="false">
      <c r="A299" s="71" t="str">
        <f aca="false">IF(D299="","",ROW()-1)</f>
        <v/>
      </c>
      <c r="B299" s="72"/>
      <c r="C299" s="72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4"/>
      <c r="O299" s="73"/>
      <c r="P299" s="74"/>
      <c r="Q299" s="73"/>
      <c r="R299" s="74"/>
      <c r="S299" s="75"/>
      <c r="T299" s="73"/>
      <c r="U299" s="73"/>
      <c r="V299" s="73"/>
      <c r="W299" s="73"/>
      <c r="X299" s="73"/>
      <c r="Y299" s="73"/>
      <c r="Z299" s="73"/>
      <c r="AA299" s="73"/>
      <c r="AB299" s="74"/>
      <c r="AC299" s="73"/>
      <c r="AD299" s="76"/>
      <c r="AE299" s="73"/>
      <c r="AF299" s="73"/>
      <c r="AG299" s="73"/>
      <c r="AH299" s="73"/>
      <c r="AI299" s="73"/>
    </row>
    <row r="300" customFormat="false" ht="15" hidden="false" customHeight="false" outlineLevel="0" collapsed="false">
      <c r="A300" s="71" t="str">
        <f aca="false">IF(D300="","",ROW()-1)</f>
        <v/>
      </c>
      <c r="B300" s="72"/>
      <c r="C300" s="72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4"/>
      <c r="O300" s="73"/>
      <c r="P300" s="74"/>
      <c r="Q300" s="73"/>
      <c r="R300" s="74"/>
      <c r="S300" s="75"/>
      <c r="T300" s="73"/>
      <c r="U300" s="73"/>
      <c r="V300" s="73"/>
      <c r="W300" s="73"/>
      <c r="X300" s="73"/>
      <c r="Y300" s="73"/>
      <c r="Z300" s="73"/>
      <c r="AA300" s="73"/>
      <c r="AB300" s="74"/>
      <c r="AC300" s="73"/>
      <c r="AD300" s="76"/>
      <c r="AE300" s="73"/>
      <c r="AF300" s="73"/>
      <c r="AG300" s="73"/>
      <c r="AH300" s="73"/>
      <c r="AI300" s="73"/>
    </row>
    <row r="301" customFormat="false" ht="15" hidden="false" customHeight="false" outlineLevel="0" collapsed="false">
      <c r="A301" s="71" t="str">
        <f aca="false">IF(D301="","",ROW()-1)</f>
        <v/>
      </c>
      <c r="B301" s="72"/>
      <c r="C301" s="72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4"/>
      <c r="O301" s="73"/>
      <c r="P301" s="74"/>
      <c r="Q301" s="73"/>
      <c r="R301" s="74"/>
      <c r="S301" s="75"/>
      <c r="T301" s="73"/>
      <c r="U301" s="73"/>
      <c r="V301" s="73"/>
      <c r="W301" s="73"/>
      <c r="X301" s="73"/>
      <c r="Y301" s="73"/>
      <c r="Z301" s="73"/>
      <c r="AA301" s="73"/>
      <c r="AB301" s="74"/>
      <c r="AC301" s="73"/>
      <c r="AD301" s="76"/>
      <c r="AE301" s="73"/>
      <c r="AF301" s="73"/>
      <c r="AG301" s="73"/>
      <c r="AH301" s="73"/>
      <c r="AI301" s="73"/>
    </row>
    <row r="302" customFormat="false" ht="15" hidden="false" customHeight="false" outlineLevel="0" collapsed="false">
      <c r="A302" s="71" t="str">
        <f aca="false">IF(D302="","",ROW()-1)</f>
        <v/>
      </c>
      <c r="B302" s="72"/>
      <c r="C302" s="72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4"/>
      <c r="O302" s="73"/>
      <c r="P302" s="74"/>
      <c r="Q302" s="73"/>
      <c r="R302" s="74"/>
      <c r="S302" s="75"/>
      <c r="T302" s="73"/>
      <c r="U302" s="73"/>
      <c r="V302" s="73"/>
      <c r="W302" s="73"/>
      <c r="X302" s="73"/>
      <c r="Y302" s="73"/>
      <c r="Z302" s="73"/>
      <c r="AA302" s="73"/>
      <c r="AB302" s="74"/>
      <c r="AC302" s="73"/>
      <c r="AD302" s="76"/>
      <c r="AE302" s="73"/>
      <c r="AF302" s="73"/>
      <c r="AG302" s="73"/>
      <c r="AH302" s="73"/>
      <c r="AI302" s="73"/>
    </row>
    <row r="303" customFormat="false" ht="15" hidden="false" customHeight="false" outlineLevel="0" collapsed="false">
      <c r="A303" s="71" t="str">
        <f aca="false">IF(D303="","",ROW()-1)</f>
        <v/>
      </c>
      <c r="B303" s="72"/>
      <c r="C303" s="72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4"/>
      <c r="O303" s="73"/>
      <c r="P303" s="74"/>
      <c r="Q303" s="73"/>
      <c r="R303" s="74"/>
      <c r="S303" s="75"/>
      <c r="T303" s="73"/>
      <c r="U303" s="73"/>
      <c r="V303" s="73"/>
      <c r="W303" s="73"/>
      <c r="X303" s="73"/>
      <c r="Y303" s="73"/>
      <c r="Z303" s="73"/>
      <c r="AA303" s="73"/>
      <c r="AB303" s="74"/>
      <c r="AC303" s="73"/>
      <c r="AD303" s="76"/>
      <c r="AE303" s="73"/>
      <c r="AF303" s="73"/>
      <c r="AG303" s="73"/>
      <c r="AH303" s="73"/>
      <c r="AI303" s="73"/>
    </row>
    <row r="304" customFormat="false" ht="15" hidden="false" customHeight="false" outlineLevel="0" collapsed="false">
      <c r="A304" s="71" t="str">
        <f aca="false">IF(D304="","",ROW()-1)</f>
        <v/>
      </c>
      <c r="B304" s="72"/>
      <c r="C304" s="72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4"/>
      <c r="O304" s="73"/>
      <c r="P304" s="74"/>
      <c r="Q304" s="73"/>
      <c r="R304" s="74"/>
      <c r="S304" s="75"/>
      <c r="T304" s="73"/>
      <c r="U304" s="73"/>
      <c r="V304" s="73"/>
      <c r="W304" s="73"/>
      <c r="X304" s="73"/>
      <c r="Y304" s="73"/>
      <c r="Z304" s="73"/>
      <c r="AA304" s="73"/>
      <c r="AB304" s="74"/>
      <c r="AC304" s="73"/>
      <c r="AD304" s="76"/>
      <c r="AE304" s="73"/>
      <c r="AF304" s="73"/>
      <c r="AG304" s="73"/>
      <c r="AH304" s="73"/>
      <c r="AI304" s="73"/>
    </row>
    <row r="305" customFormat="false" ht="15" hidden="false" customHeight="false" outlineLevel="0" collapsed="false">
      <c r="A305" s="71" t="str">
        <f aca="false">IF(D305="","",ROW()-1)</f>
        <v/>
      </c>
      <c r="B305" s="72"/>
      <c r="C305" s="72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4"/>
      <c r="O305" s="73"/>
      <c r="P305" s="74"/>
      <c r="Q305" s="73"/>
      <c r="R305" s="74"/>
      <c r="S305" s="75"/>
      <c r="T305" s="73"/>
      <c r="U305" s="73"/>
      <c r="V305" s="73"/>
      <c r="W305" s="73"/>
      <c r="X305" s="73"/>
      <c r="Y305" s="73"/>
      <c r="Z305" s="73"/>
      <c r="AA305" s="73"/>
      <c r="AB305" s="74"/>
      <c r="AC305" s="73"/>
      <c r="AD305" s="76"/>
      <c r="AE305" s="73"/>
      <c r="AF305" s="73"/>
      <c r="AG305" s="73"/>
      <c r="AH305" s="73"/>
      <c r="AI305" s="73"/>
    </row>
    <row r="306" customFormat="false" ht="15" hidden="false" customHeight="false" outlineLevel="0" collapsed="false">
      <c r="A306" s="71" t="str">
        <f aca="false">IF(D306="","",ROW()-1)</f>
        <v/>
      </c>
      <c r="B306" s="72"/>
      <c r="C306" s="72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4"/>
      <c r="O306" s="73"/>
      <c r="P306" s="74"/>
      <c r="Q306" s="73"/>
      <c r="R306" s="74"/>
      <c r="S306" s="75"/>
      <c r="T306" s="73"/>
      <c r="U306" s="73"/>
      <c r="V306" s="73"/>
      <c r="W306" s="73"/>
      <c r="X306" s="73"/>
      <c r="Y306" s="73"/>
      <c r="Z306" s="73"/>
      <c r="AA306" s="73"/>
      <c r="AB306" s="74"/>
      <c r="AC306" s="73"/>
      <c r="AD306" s="76"/>
      <c r="AE306" s="73"/>
      <c r="AF306" s="73"/>
      <c r="AG306" s="73"/>
      <c r="AH306" s="73"/>
      <c r="AI306" s="73"/>
    </row>
    <row r="307" customFormat="false" ht="15" hidden="false" customHeight="false" outlineLevel="0" collapsed="false">
      <c r="A307" s="71" t="str">
        <f aca="false">IF(D307="","",ROW()-1)</f>
        <v/>
      </c>
      <c r="B307" s="72"/>
      <c r="C307" s="72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4"/>
      <c r="O307" s="73"/>
      <c r="P307" s="74"/>
      <c r="Q307" s="73"/>
      <c r="R307" s="74"/>
      <c r="S307" s="75"/>
      <c r="T307" s="73"/>
      <c r="U307" s="73"/>
      <c r="V307" s="73"/>
      <c r="W307" s="73"/>
      <c r="X307" s="73"/>
      <c r="Y307" s="73"/>
      <c r="Z307" s="73"/>
      <c r="AA307" s="73"/>
      <c r="AB307" s="74"/>
      <c r="AC307" s="73"/>
      <c r="AD307" s="76"/>
      <c r="AE307" s="73"/>
      <c r="AF307" s="73"/>
      <c r="AG307" s="73"/>
      <c r="AH307" s="73"/>
      <c r="AI307" s="73"/>
    </row>
    <row r="308" customFormat="false" ht="15" hidden="false" customHeight="false" outlineLevel="0" collapsed="false">
      <c r="A308" s="71" t="str">
        <f aca="false">IF(D308="","",ROW()-1)</f>
        <v/>
      </c>
      <c r="B308" s="72"/>
      <c r="C308" s="72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4"/>
      <c r="O308" s="73"/>
      <c r="P308" s="74"/>
      <c r="Q308" s="73"/>
      <c r="R308" s="74"/>
      <c r="S308" s="75"/>
      <c r="T308" s="73"/>
      <c r="U308" s="73"/>
      <c r="V308" s="73"/>
      <c r="W308" s="73"/>
      <c r="X308" s="73"/>
      <c r="Y308" s="73"/>
      <c r="Z308" s="73"/>
      <c r="AA308" s="73"/>
      <c r="AB308" s="74"/>
      <c r="AC308" s="73"/>
      <c r="AD308" s="76"/>
      <c r="AE308" s="73"/>
      <c r="AF308" s="73"/>
      <c r="AG308" s="73"/>
      <c r="AH308" s="73"/>
      <c r="AI308" s="73"/>
    </row>
    <row r="309" customFormat="false" ht="15" hidden="false" customHeight="false" outlineLevel="0" collapsed="false">
      <c r="A309" s="71" t="str">
        <f aca="false">IF(D309="","",ROW()-1)</f>
        <v/>
      </c>
      <c r="B309" s="72"/>
      <c r="C309" s="72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4"/>
      <c r="O309" s="73"/>
      <c r="P309" s="74"/>
      <c r="Q309" s="73"/>
      <c r="R309" s="74"/>
      <c r="S309" s="75"/>
      <c r="T309" s="73"/>
      <c r="U309" s="73"/>
      <c r="V309" s="73"/>
      <c r="W309" s="73"/>
      <c r="X309" s="73"/>
      <c r="Y309" s="73"/>
      <c r="Z309" s="73"/>
      <c r="AA309" s="73"/>
      <c r="AB309" s="74"/>
      <c r="AC309" s="73"/>
      <c r="AD309" s="76"/>
      <c r="AE309" s="73"/>
      <c r="AF309" s="73"/>
      <c r="AG309" s="73"/>
      <c r="AH309" s="73"/>
      <c r="AI309" s="73"/>
    </row>
    <row r="310" customFormat="false" ht="15" hidden="false" customHeight="false" outlineLevel="0" collapsed="false">
      <c r="A310" s="71" t="str">
        <f aca="false">IF(D310="","",ROW()-1)</f>
        <v/>
      </c>
      <c r="B310" s="72"/>
      <c r="C310" s="72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4"/>
      <c r="O310" s="73"/>
      <c r="P310" s="74"/>
      <c r="Q310" s="73"/>
      <c r="R310" s="74"/>
      <c r="S310" s="75"/>
      <c r="T310" s="73"/>
      <c r="U310" s="73"/>
      <c r="V310" s="73"/>
      <c r="W310" s="73"/>
      <c r="X310" s="73"/>
      <c r="Y310" s="73"/>
      <c r="Z310" s="73"/>
      <c r="AA310" s="73"/>
      <c r="AB310" s="74"/>
      <c r="AC310" s="73"/>
      <c r="AD310" s="76"/>
      <c r="AE310" s="73"/>
      <c r="AF310" s="73"/>
      <c r="AG310" s="73"/>
      <c r="AH310" s="73"/>
      <c r="AI310" s="73"/>
    </row>
    <row r="311" customFormat="false" ht="15" hidden="false" customHeight="false" outlineLevel="0" collapsed="false">
      <c r="A311" s="71" t="str">
        <f aca="false">IF(D311="","",ROW()-1)</f>
        <v/>
      </c>
      <c r="B311" s="72"/>
      <c r="C311" s="72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4"/>
      <c r="O311" s="73"/>
      <c r="P311" s="74"/>
      <c r="Q311" s="73"/>
      <c r="R311" s="74"/>
      <c r="S311" s="75"/>
      <c r="T311" s="73"/>
      <c r="U311" s="73"/>
      <c r="V311" s="73"/>
      <c r="W311" s="73"/>
      <c r="X311" s="73"/>
      <c r="Y311" s="73"/>
      <c r="Z311" s="73"/>
      <c r="AA311" s="73"/>
      <c r="AB311" s="74"/>
      <c r="AC311" s="73"/>
      <c r="AD311" s="76"/>
      <c r="AE311" s="73"/>
      <c r="AF311" s="73"/>
      <c r="AG311" s="73"/>
      <c r="AH311" s="73"/>
      <c r="AI311" s="73"/>
    </row>
    <row r="312" customFormat="false" ht="15" hidden="false" customHeight="false" outlineLevel="0" collapsed="false">
      <c r="A312" s="71" t="str">
        <f aca="false">IF(D312="","",ROW()-1)</f>
        <v/>
      </c>
      <c r="B312" s="72"/>
      <c r="C312" s="72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4"/>
      <c r="O312" s="73"/>
      <c r="P312" s="74"/>
      <c r="Q312" s="73"/>
      <c r="R312" s="74"/>
      <c r="S312" s="75"/>
      <c r="T312" s="73"/>
      <c r="U312" s="73"/>
      <c r="V312" s="73"/>
      <c r="W312" s="73"/>
      <c r="X312" s="73"/>
      <c r="Y312" s="73"/>
      <c r="Z312" s="73"/>
      <c r="AA312" s="73"/>
      <c r="AB312" s="74"/>
      <c r="AC312" s="73"/>
      <c r="AD312" s="76"/>
      <c r="AE312" s="73"/>
      <c r="AF312" s="73"/>
      <c r="AG312" s="73"/>
      <c r="AH312" s="73"/>
      <c r="AI312" s="73"/>
    </row>
    <row r="313" customFormat="false" ht="15" hidden="false" customHeight="false" outlineLevel="0" collapsed="false">
      <c r="A313" s="71" t="str">
        <f aca="false">IF(D313="","",ROW()-1)</f>
        <v/>
      </c>
      <c r="B313" s="72"/>
      <c r="C313" s="72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4"/>
      <c r="O313" s="73"/>
      <c r="P313" s="74"/>
      <c r="Q313" s="73"/>
      <c r="R313" s="74"/>
      <c r="S313" s="75"/>
      <c r="T313" s="73"/>
      <c r="U313" s="73"/>
      <c r="V313" s="73"/>
      <c r="W313" s="73"/>
      <c r="X313" s="73"/>
      <c r="Y313" s="73"/>
      <c r="Z313" s="73"/>
      <c r="AA313" s="73"/>
      <c r="AB313" s="74"/>
      <c r="AC313" s="73"/>
      <c r="AD313" s="76"/>
      <c r="AE313" s="73"/>
      <c r="AF313" s="73"/>
      <c r="AG313" s="73"/>
      <c r="AH313" s="73"/>
      <c r="AI313" s="73"/>
    </row>
    <row r="314" customFormat="false" ht="15" hidden="false" customHeight="false" outlineLevel="0" collapsed="false">
      <c r="A314" s="71" t="str">
        <f aca="false">IF(D314="","",ROW()-1)</f>
        <v/>
      </c>
      <c r="B314" s="72"/>
      <c r="C314" s="72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4"/>
      <c r="O314" s="73"/>
      <c r="P314" s="74"/>
      <c r="Q314" s="73"/>
      <c r="R314" s="74"/>
      <c r="S314" s="75"/>
      <c r="T314" s="73"/>
      <c r="U314" s="73"/>
      <c r="V314" s="73"/>
      <c r="W314" s="73"/>
      <c r="X314" s="73"/>
      <c r="Y314" s="73"/>
      <c r="Z314" s="73"/>
      <c r="AA314" s="73"/>
      <c r="AB314" s="74"/>
      <c r="AC314" s="73"/>
      <c r="AD314" s="76"/>
      <c r="AE314" s="73"/>
      <c r="AF314" s="73"/>
      <c r="AG314" s="73"/>
      <c r="AH314" s="73"/>
      <c r="AI314" s="73"/>
    </row>
    <row r="315" customFormat="false" ht="15" hidden="false" customHeight="false" outlineLevel="0" collapsed="false">
      <c r="A315" s="71" t="str">
        <f aca="false">IF(D315="","",ROW()-1)</f>
        <v/>
      </c>
      <c r="B315" s="72"/>
      <c r="C315" s="72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4"/>
      <c r="O315" s="73"/>
      <c r="P315" s="74"/>
      <c r="Q315" s="73"/>
      <c r="R315" s="74"/>
      <c r="S315" s="75"/>
      <c r="T315" s="73"/>
      <c r="U315" s="73"/>
      <c r="V315" s="73"/>
      <c r="W315" s="73"/>
      <c r="X315" s="73"/>
      <c r="Y315" s="73"/>
      <c r="Z315" s="73"/>
      <c r="AA315" s="73"/>
      <c r="AB315" s="74"/>
      <c r="AC315" s="73"/>
      <c r="AD315" s="76"/>
      <c r="AE315" s="73"/>
      <c r="AF315" s="73"/>
      <c r="AG315" s="73"/>
      <c r="AH315" s="73"/>
      <c r="AI315" s="73"/>
    </row>
    <row r="316" customFormat="false" ht="15" hidden="false" customHeight="false" outlineLevel="0" collapsed="false">
      <c r="A316" s="71" t="str">
        <f aca="false">IF(D316="","",ROW()-1)</f>
        <v/>
      </c>
      <c r="B316" s="72"/>
      <c r="C316" s="72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4"/>
      <c r="O316" s="73"/>
      <c r="P316" s="74"/>
      <c r="Q316" s="73"/>
      <c r="R316" s="74"/>
      <c r="S316" s="75"/>
      <c r="T316" s="73"/>
      <c r="U316" s="73"/>
      <c r="V316" s="73"/>
      <c r="W316" s="73"/>
      <c r="X316" s="73"/>
      <c r="Y316" s="73"/>
      <c r="Z316" s="73"/>
      <c r="AA316" s="73"/>
      <c r="AB316" s="74"/>
      <c r="AC316" s="73"/>
      <c r="AD316" s="76"/>
      <c r="AE316" s="73"/>
      <c r="AF316" s="73"/>
      <c r="AG316" s="73"/>
      <c r="AH316" s="73"/>
      <c r="AI316" s="73"/>
    </row>
    <row r="317" customFormat="false" ht="15" hidden="false" customHeight="false" outlineLevel="0" collapsed="false">
      <c r="A317" s="71" t="str">
        <f aca="false">IF(D317="","",ROW()-1)</f>
        <v/>
      </c>
      <c r="B317" s="72"/>
      <c r="C317" s="72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4"/>
      <c r="O317" s="73"/>
      <c r="P317" s="74"/>
      <c r="Q317" s="73"/>
      <c r="R317" s="74"/>
      <c r="S317" s="75"/>
      <c r="T317" s="73"/>
      <c r="U317" s="73"/>
      <c r="V317" s="73"/>
      <c r="W317" s="73"/>
      <c r="X317" s="73"/>
      <c r="Y317" s="73"/>
      <c r="Z317" s="73"/>
      <c r="AA317" s="73"/>
      <c r="AB317" s="74"/>
      <c r="AC317" s="73"/>
      <c r="AD317" s="76"/>
      <c r="AE317" s="73"/>
      <c r="AF317" s="73"/>
      <c r="AG317" s="73"/>
      <c r="AH317" s="73"/>
      <c r="AI317" s="73"/>
    </row>
    <row r="318" customFormat="false" ht="15" hidden="false" customHeight="false" outlineLevel="0" collapsed="false">
      <c r="A318" s="71" t="str">
        <f aca="false">IF(D318="","",ROW()-1)</f>
        <v/>
      </c>
      <c r="B318" s="72"/>
      <c r="C318" s="72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4"/>
      <c r="O318" s="73"/>
      <c r="P318" s="74"/>
      <c r="Q318" s="73"/>
      <c r="R318" s="74"/>
      <c r="S318" s="75"/>
      <c r="T318" s="73"/>
      <c r="U318" s="73"/>
      <c r="V318" s="73"/>
      <c r="W318" s="73"/>
      <c r="X318" s="73"/>
      <c r="Y318" s="73"/>
      <c r="Z318" s="73"/>
      <c r="AA318" s="73"/>
      <c r="AB318" s="74"/>
      <c r="AC318" s="73"/>
      <c r="AD318" s="76"/>
      <c r="AE318" s="73"/>
      <c r="AF318" s="73"/>
      <c r="AG318" s="73"/>
      <c r="AH318" s="73"/>
      <c r="AI318" s="73"/>
    </row>
    <row r="319" customFormat="false" ht="15" hidden="false" customHeight="false" outlineLevel="0" collapsed="false">
      <c r="A319" s="71" t="str">
        <f aca="false">IF(D319="","",ROW()-1)</f>
        <v/>
      </c>
      <c r="B319" s="72"/>
      <c r="C319" s="72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4"/>
      <c r="O319" s="73"/>
      <c r="P319" s="74"/>
      <c r="Q319" s="73"/>
      <c r="R319" s="74"/>
      <c r="S319" s="75"/>
      <c r="T319" s="73"/>
      <c r="U319" s="73"/>
      <c r="V319" s="73"/>
      <c r="W319" s="73"/>
      <c r="X319" s="73"/>
      <c r="Y319" s="73"/>
      <c r="Z319" s="73"/>
      <c r="AA319" s="73"/>
      <c r="AB319" s="74"/>
      <c r="AC319" s="73"/>
      <c r="AD319" s="76"/>
      <c r="AE319" s="73"/>
      <c r="AF319" s="73"/>
      <c r="AG319" s="73"/>
      <c r="AH319" s="73"/>
      <c r="AI319" s="73"/>
    </row>
    <row r="320" customFormat="false" ht="15" hidden="false" customHeight="false" outlineLevel="0" collapsed="false">
      <c r="A320" s="71" t="str">
        <f aca="false">IF(D320="","",ROW()-1)</f>
        <v/>
      </c>
      <c r="B320" s="72"/>
      <c r="C320" s="72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4"/>
      <c r="O320" s="73"/>
      <c r="P320" s="74"/>
      <c r="Q320" s="73"/>
      <c r="R320" s="74"/>
      <c r="S320" s="75"/>
      <c r="T320" s="73"/>
      <c r="U320" s="73"/>
      <c r="V320" s="73"/>
      <c r="W320" s="73"/>
      <c r="X320" s="73"/>
      <c r="Y320" s="73"/>
      <c r="Z320" s="73"/>
      <c r="AA320" s="73"/>
      <c r="AB320" s="74"/>
      <c r="AC320" s="73"/>
      <c r="AD320" s="76"/>
      <c r="AE320" s="73"/>
      <c r="AF320" s="73"/>
      <c r="AG320" s="73"/>
      <c r="AH320" s="73"/>
      <c r="AI320" s="73"/>
    </row>
    <row r="321" customFormat="false" ht="15" hidden="false" customHeight="false" outlineLevel="0" collapsed="false">
      <c r="A321" s="71" t="str">
        <f aca="false">IF(D321="","",ROW()-1)</f>
        <v/>
      </c>
      <c r="B321" s="72"/>
      <c r="C321" s="72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4"/>
      <c r="O321" s="73"/>
      <c r="P321" s="74"/>
      <c r="Q321" s="73"/>
      <c r="R321" s="74"/>
      <c r="S321" s="75"/>
      <c r="T321" s="73"/>
      <c r="U321" s="73"/>
      <c r="V321" s="73"/>
      <c r="W321" s="73"/>
      <c r="X321" s="73"/>
      <c r="Y321" s="73"/>
      <c r="Z321" s="73"/>
      <c r="AA321" s="73"/>
      <c r="AB321" s="74"/>
      <c r="AC321" s="73"/>
      <c r="AD321" s="76"/>
      <c r="AE321" s="73"/>
      <c r="AF321" s="73"/>
      <c r="AG321" s="73"/>
      <c r="AH321" s="73"/>
      <c r="AI321" s="73"/>
    </row>
    <row r="322" customFormat="false" ht="15" hidden="false" customHeight="false" outlineLevel="0" collapsed="false">
      <c r="A322" s="71" t="str">
        <f aca="false">IF(D322="","",ROW()-1)</f>
        <v/>
      </c>
      <c r="B322" s="72"/>
      <c r="C322" s="72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4"/>
      <c r="O322" s="73"/>
      <c r="P322" s="74"/>
      <c r="Q322" s="73"/>
      <c r="R322" s="74"/>
      <c r="S322" s="75"/>
      <c r="T322" s="73"/>
      <c r="U322" s="73"/>
      <c r="V322" s="73"/>
      <c r="W322" s="73"/>
      <c r="X322" s="73"/>
      <c r="Y322" s="73"/>
      <c r="Z322" s="73"/>
      <c r="AA322" s="73"/>
      <c r="AB322" s="74"/>
      <c r="AC322" s="73"/>
      <c r="AD322" s="76"/>
      <c r="AE322" s="73"/>
      <c r="AF322" s="73"/>
      <c r="AG322" s="73"/>
      <c r="AH322" s="73"/>
      <c r="AI322" s="73"/>
    </row>
    <row r="323" customFormat="false" ht="15" hidden="false" customHeight="false" outlineLevel="0" collapsed="false">
      <c r="A323" s="71" t="str">
        <f aca="false">IF(D323="","",ROW()-1)</f>
        <v/>
      </c>
      <c r="B323" s="72"/>
      <c r="C323" s="72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4"/>
      <c r="O323" s="73"/>
      <c r="P323" s="74"/>
      <c r="Q323" s="73"/>
      <c r="R323" s="74"/>
      <c r="S323" s="75"/>
      <c r="T323" s="73"/>
      <c r="U323" s="73"/>
      <c r="V323" s="73"/>
      <c r="W323" s="73"/>
      <c r="X323" s="73"/>
      <c r="Y323" s="73"/>
      <c r="Z323" s="73"/>
      <c r="AA323" s="73"/>
      <c r="AB323" s="74"/>
      <c r="AC323" s="73"/>
      <c r="AD323" s="76"/>
      <c r="AE323" s="73"/>
      <c r="AF323" s="73"/>
      <c r="AG323" s="73"/>
      <c r="AH323" s="73"/>
      <c r="AI323" s="73"/>
    </row>
    <row r="324" customFormat="false" ht="15" hidden="false" customHeight="false" outlineLevel="0" collapsed="false">
      <c r="A324" s="71" t="str">
        <f aca="false">IF(D324="","",ROW()-1)</f>
        <v/>
      </c>
      <c r="B324" s="72"/>
      <c r="C324" s="72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4"/>
      <c r="O324" s="73"/>
      <c r="P324" s="74"/>
      <c r="Q324" s="73"/>
      <c r="R324" s="74"/>
      <c r="S324" s="75"/>
      <c r="T324" s="73"/>
      <c r="U324" s="73"/>
      <c r="V324" s="73"/>
      <c r="W324" s="73"/>
      <c r="X324" s="73"/>
      <c r="Y324" s="73"/>
      <c r="Z324" s="73"/>
      <c r="AA324" s="73"/>
      <c r="AB324" s="74"/>
      <c r="AC324" s="73"/>
      <c r="AD324" s="76"/>
      <c r="AE324" s="73"/>
      <c r="AF324" s="73"/>
      <c r="AG324" s="73"/>
      <c r="AH324" s="73"/>
      <c r="AI324" s="73"/>
    </row>
    <row r="325" customFormat="false" ht="15" hidden="false" customHeight="false" outlineLevel="0" collapsed="false">
      <c r="A325" s="71" t="str">
        <f aca="false">IF(D325="","",ROW()-1)</f>
        <v/>
      </c>
      <c r="B325" s="72"/>
      <c r="C325" s="72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4"/>
      <c r="O325" s="73"/>
      <c r="P325" s="74"/>
      <c r="Q325" s="73"/>
      <c r="R325" s="74"/>
      <c r="S325" s="75"/>
      <c r="T325" s="73"/>
      <c r="U325" s="73"/>
      <c r="V325" s="73"/>
      <c r="W325" s="73"/>
      <c r="X325" s="73"/>
      <c r="Y325" s="73"/>
      <c r="Z325" s="73"/>
      <c r="AA325" s="73"/>
      <c r="AB325" s="74"/>
      <c r="AC325" s="73"/>
      <c r="AD325" s="76"/>
      <c r="AE325" s="73"/>
      <c r="AF325" s="73"/>
      <c r="AG325" s="73"/>
      <c r="AH325" s="73"/>
      <c r="AI325" s="73"/>
    </row>
    <row r="326" customFormat="false" ht="15" hidden="false" customHeight="false" outlineLevel="0" collapsed="false">
      <c r="A326" s="71" t="str">
        <f aca="false">IF(D326="","",ROW()-1)</f>
        <v/>
      </c>
      <c r="B326" s="72"/>
      <c r="C326" s="72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4"/>
      <c r="O326" s="73"/>
      <c r="P326" s="74"/>
      <c r="Q326" s="73"/>
      <c r="R326" s="74"/>
      <c r="S326" s="75"/>
      <c r="T326" s="73"/>
      <c r="U326" s="73"/>
      <c r="V326" s="73"/>
      <c r="W326" s="73"/>
      <c r="X326" s="73"/>
      <c r="Y326" s="73"/>
      <c r="Z326" s="73"/>
      <c r="AA326" s="73"/>
      <c r="AB326" s="74"/>
      <c r="AC326" s="73"/>
      <c r="AD326" s="76"/>
      <c r="AE326" s="73"/>
      <c r="AF326" s="73"/>
      <c r="AG326" s="73"/>
      <c r="AH326" s="73"/>
      <c r="AI326" s="73"/>
    </row>
    <row r="327" customFormat="false" ht="15" hidden="false" customHeight="false" outlineLevel="0" collapsed="false">
      <c r="A327" s="71" t="str">
        <f aca="false">IF(D327="","",ROW()-1)</f>
        <v/>
      </c>
      <c r="B327" s="72"/>
      <c r="C327" s="72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4"/>
      <c r="O327" s="73"/>
      <c r="P327" s="74"/>
      <c r="Q327" s="73"/>
      <c r="R327" s="74"/>
      <c r="S327" s="75"/>
      <c r="T327" s="73"/>
      <c r="U327" s="73"/>
      <c r="V327" s="73"/>
      <c r="W327" s="73"/>
      <c r="X327" s="73"/>
      <c r="Y327" s="73"/>
      <c r="Z327" s="73"/>
      <c r="AA327" s="73"/>
      <c r="AB327" s="74"/>
      <c r="AC327" s="73"/>
      <c r="AD327" s="76"/>
      <c r="AE327" s="73"/>
      <c r="AF327" s="73"/>
      <c r="AG327" s="73"/>
      <c r="AH327" s="73"/>
      <c r="AI327" s="73"/>
    </row>
    <row r="328" customFormat="false" ht="15" hidden="false" customHeight="false" outlineLevel="0" collapsed="false">
      <c r="A328" s="71" t="str">
        <f aca="false">IF(D328="","",ROW()-1)</f>
        <v/>
      </c>
      <c r="B328" s="72"/>
      <c r="C328" s="72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4"/>
      <c r="O328" s="73"/>
      <c r="P328" s="74"/>
      <c r="Q328" s="73"/>
      <c r="R328" s="74"/>
      <c r="S328" s="75"/>
      <c r="T328" s="73"/>
      <c r="U328" s="73"/>
      <c r="V328" s="73"/>
      <c r="W328" s="73"/>
      <c r="X328" s="73"/>
      <c r="Y328" s="73"/>
      <c r="Z328" s="73"/>
      <c r="AA328" s="73"/>
      <c r="AB328" s="74"/>
      <c r="AC328" s="73"/>
      <c r="AD328" s="76"/>
      <c r="AE328" s="73"/>
      <c r="AF328" s="73"/>
      <c r="AG328" s="73"/>
      <c r="AH328" s="73"/>
      <c r="AI328" s="73"/>
    </row>
    <row r="329" customFormat="false" ht="15" hidden="false" customHeight="false" outlineLevel="0" collapsed="false">
      <c r="A329" s="71" t="str">
        <f aca="false">IF(D329="","",ROW()-1)</f>
        <v/>
      </c>
      <c r="B329" s="72"/>
      <c r="C329" s="72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4"/>
      <c r="O329" s="73"/>
      <c r="P329" s="74"/>
      <c r="Q329" s="73"/>
      <c r="R329" s="74"/>
      <c r="S329" s="75"/>
      <c r="T329" s="73"/>
      <c r="U329" s="73"/>
      <c r="V329" s="73"/>
      <c r="W329" s="73"/>
      <c r="X329" s="73"/>
      <c r="Y329" s="73"/>
      <c r="Z329" s="73"/>
      <c r="AA329" s="73"/>
      <c r="AB329" s="74"/>
      <c r="AC329" s="73"/>
      <c r="AD329" s="76"/>
      <c r="AE329" s="73"/>
      <c r="AF329" s="73"/>
      <c r="AG329" s="73"/>
      <c r="AH329" s="73"/>
      <c r="AI329" s="73"/>
    </row>
    <row r="330" customFormat="false" ht="15" hidden="false" customHeight="false" outlineLevel="0" collapsed="false">
      <c r="A330" s="71" t="str">
        <f aca="false">IF(D330="","",ROW()-1)</f>
        <v/>
      </c>
      <c r="B330" s="72"/>
      <c r="C330" s="72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4"/>
      <c r="O330" s="73"/>
      <c r="P330" s="74"/>
      <c r="Q330" s="73"/>
      <c r="R330" s="74"/>
      <c r="S330" s="75"/>
      <c r="T330" s="73"/>
      <c r="U330" s="73"/>
      <c r="V330" s="73"/>
      <c r="W330" s="73"/>
      <c r="X330" s="73"/>
      <c r="Y330" s="73"/>
      <c r="Z330" s="73"/>
      <c r="AA330" s="73"/>
      <c r="AB330" s="74"/>
      <c r="AC330" s="73"/>
      <c r="AD330" s="76"/>
      <c r="AE330" s="73"/>
      <c r="AF330" s="73"/>
      <c r="AG330" s="73"/>
      <c r="AH330" s="73"/>
      <c r="AI330" s="73"/>
    </row>
    <row r="331" customFormat="false" ht="15" hidden="false" customHeight="false" outlineLevel="0" collapsed="false">
      <c r="A331" s="71" t="str">
        <f aca="false">IF(D331="","",ROW()-1)</f>
        <v/>
      </c>
      <c r="B331" s="72"/>
      <c r="C331" s="72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4"/>
      <c r="O331" s="73"/>
      <c r="P331" s="74"/>
      <c r="Q331" s="73"/>
      <c r="R331" s="74"/>
      <c r="S331" s="75"/>
      <c r="T331" s="73"/>
      <c r="U331" s="73"/>
      <c r="V331" s="73"/>
      <c r="W331" s="73"/>
      <c r="X331" s="73"/>
      <c r="Y331" s="73"/>
      <c r="Z331" s="73"/>
      <c r="AA331" s="73"/>
      <c r="AB331" s="74"/>
      <c r="AC331" s="73"/>
      <c r="AD331" s="76"/>
      <c r="AE331" s="73"/>
      <c r="AF331" s="73"/>
      <c r="AG331" s="73"/>
      <c r="AH331" s="73"/>
      <c r="AI331" s="73"/>
    </row>
    <row r="332" customFormat="false" ht="15" hidden="false" customHeight="false" outlineLevel="0" collapsed="false">
      <c r="A332" s="71" t="str">
        <f aca="false">IF(D332="","",ROW()-1)</f>
        <v/>
      </c>
      <c r="B332" s="72"/>
      <c r="C332" s="72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4"/>
      <c r="O332" s="73"/>
      <c r="P332" s="74"/>
      <c r="Q332" s="73"/>
      <c r="R332" s="74"/>
      <c r="S332" s="75"/>
      <c r="T332" s="73"/>
      <c r="U332" s="73"/>
      <c r="V332" s="73"/>
      <c r="W332" s="73"/>
      <c r="X332" s="73"/>
      <c r="Y332" s="73"/>
      <c r="Z332" s="73"/>
      <c r="AA332" s="73"/>
      <c r="AB332" s="74"/>
      <c r="AC332" s="73"/>
      <c r="AD332" s="76"/>
      <c r="AE332" s="73"/>
      <c r="AF332" s="73"/>
      <c r="AG332" s="73"/>
      <c r="AH332" s="73"/>
      <c r="AI332" s="73"/>
    </row>
    <row r="333" customFormat="false" ht="15" hidden="false" customHeight="false" outlineLevel="0" collapsed="false">
      <c r="A333" s="71" t="str">
        <f aca="false">IF(D333="","",ROW()-1)</f>
        <v/>
      </c>
      <c r="B333" s="72"/>
      <c r="C333" s="72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4"/>
      <c r="O333" s="73"/>
      <c r="P333" s="74"/>
      <c r="Q333" s="73"/>
      <c r="R333" s="74"/>
      <c r="S333" s="75"/>
      <c r="T333" s="73"/>
      <c r="U333" s="73"/>
      <c r="V333" s="73"/>
      <c r="W333" s="73"/>
      <c r="X333" s="73"/>
      <c r="Y333" s="73"/>
      <c r="Z333" s="73"/>
      <c r="AA333" s="73"/>
      <c r="AB333" s="74"/>
      <c r="AC333" s="73"/>
      <c r="AD333" s="76"/>
      <c r="AE333" s="73"/>
      <c r="AF333" s="73"/>
      <c r="AG333" s="73"/>
      <c r="AH333" s="73"/>
      <c r="AI333" s="73"/>
    </row>
    <row r="334" customFormat="false" ht="15" hidden="false" customHeight="false" outlineLevel="0" collapsed="false">
      <c r="A334" s="71" t="str">
        <f aca="false">IF(D334="","",ROW()-1)</f>
        <v/>
      </c>
      <c r="B334" s="72"/>
      <c r="C334" s="72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4"/>
      <c r="O334" s="73"/>
      <c r="P334" s="74"/>
      <c r="Q334" s="73"/>
      <c r="R334" s="74"/>
      <c r="S334" s="75"/>
      <c r="T334" s="73"/>
      <c r="U334" s="73"/>
      <c r="V334" s="73"/>
      <c r="W334" s="73"/>
      <c r="X334" s="73"/>
      <c r="Y334" s="73"/>
      <c r="Z334" s="73"/>
      <c r="AA334" s="73"/>
      <c r="AB334" s="74"/>
      <c r="AC334" s="73"/>
      <c r="AD334" s="76"/>
      <c r="AE334" s="73"/>
      <c r="AF334" s="73"/>
      <c r="AG334" s="73"/>
      <c r="AH334" s="73"/>
      <c r="AI334" s="73"/>
    </row>
    <row r="335" customFormat="false" ht="15" hidden="false" customHeight="false" outlineLevel="0" collapsed="false">
      <c r="A335" s="71" t="str">
        <f aca="false">IF(D335="","",ROW()-1)</f>
        <v/>
      </c>
      <c r="B335" s="72"/>
      <c r="C335" s="72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4"/>
      <c r="O335" s="73"/>
      <c r="P335" s="74"/>
      <c r="Q335" s="73"/>
      <c r="R335" s="74"/>
      <c r="S335" s="75"/>
      <c r="T335" s="73"/>
      <c r="U335" s="73"/>
      <c r="V335" s="73"/>
      <c r="W335" s="73"/>
      <c r="X335" s="73"/>
      <c r="Y335" s="73"/>
      <c r="Z335" s="73"/>
      <c r="AA335" s="73"/>
      <c r="AB335" s="74"/>
      <c r="AC335" s="73"/>
      <c r="AD335" s="76"/>
      <c r="AE335" s="73"/>
      <c r="AF335" s="73"/>
      <c r="AG335" s="73"/>
      <c r="AH335" s="73"/>
      <c r="AI335" s="73"/>
    </row>
    <row r="336" customFormat="false" ht="15" hidden="false" customHeight="false" outlineLevel="0" collapsed="false">
      <c r="A336" s="71" t="str">
        <f aca="false">IF(D336="","",ROW()-1)</f>
        <v/>
      </c>
      <c r="B336" s="72"/>
      <c r="C336" s="72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4"/>
      <c r="O336" s="73"/>
      <c r="P336" s="74"/>
      <c r="Q336" s="73"/>
      <c r="R336" s="74"/>
      <c r="S336" s="75"/>
      <c r="T336" s="73"/>
      <c r="U336" s="73"/>
      <c r="V336" s="73"/>
      <c r="W336" s="73"/>
      <c r="X336" s="73"/>
      <c r="Y336" s="73"/>
      <c r="Z336" s="73"/>
      <c r="AA336" s="73"/>
      <c r="AB336" s="74"/>
      <c r="AC336" s="73"/>
      <c r="AD336" s="76"/>
      <c r="AE336" s="73"/>
      <c r="AF336" s="73"/>
      <c r="AG336" s="73"/>
      <c r="AH336" s="73"/>
      <c r="AI336" s="73"/>
    </row>
    <row r="337" customFormat="false" ht="15" hidden="false" customHeight="false" outlineLevel="0" collapsed="false">
      <c r="A337" s="71" t="str">
        <f aca="false">IF(D337="","",ROW()-1)</f>
        <v/>
      </c>
      <c r="B337" s="72"/>
      <c r="C337" s="72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4"/>
      <c r="O337" s="73"/>
      <c r="P337" s="74"/>
      <c r="Q337" s="73"/>
      <c r="R337" s="74"/>
      <c r="S337" s="75"/>
      <c r="T337" s="73"/>
      <c r="U337" s="73"/>
      <c r="V337" s="73"/>
      <c r="W337" s="73"/>
      <c r="X337" s="73"/>
      <c r="Y337" s="73"/>
      <c r="Z337" s="73"/>
      <c r="AA337" s="73"/>
      <c r="AB337" s="74"/>
      <c r="AC337" s="73"/>
      <c r="AD337" s="76"/>
      <c r="AE337" s="73"/>
      <c r="AF337" s="73"/>
      <c r="AG337" s="73"/>
      <c r="AH337" s="73"/>
      <c r="AI337" s="73"/>
    </row>
    <row r="338" customFormat="false" ht="15" hidden="false" customHeight="false" outlineLevel="0" collapsed="false">
      <c r="A338" s="71" t="str">
        <f aca="false">IF(D338="","",ROW()-1)</f>
        <v/>
      </c>
      <c r="B338" s="72"/>
      <c r="C338" s="72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4"/>
      <c r="O338" s="73"/>
      <c r="P338" s="74"/>
      <c r="Q338" s="73"/>
      <c r="R338" s="74"/>
      <c r="S338" s="75"/>
      <c r="T338" s="73"/>
      <c r="U338" s="73"/>
      <c r="V338" s="73"/>
      <c r="W338" s="73"/>
      <c r="X338" s="73"/>
      <c r="Y338" s="73"/>
      <c r="Z338" s="73"/>
      <c r="AA338" s="73"/>
      <c r="AB338" s="74"/>
      <c r="AC338" s="73"/>
      <c r="AD338" s="76"/>
      <c r="AE338" s="73"/>
      <c r="AF338" s="73"/>
      <c r="AG338" s="73"/>
      <c r="AH338" s="73"/>
      <c r="AI338" s="73"/>
    </row>
    <row r="339" customFormat="false" ht="15" hidden="false" customHeight="false" outlineLevel="0" collapsed="false">
      <c r="A339" s="71" t="str">
        <f aca="false">IF(D339="","",ROW()-1)</f>
        <v/>
      </c>
      <c r="B339" s="72"/>
      <c r="C339" s="72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4"/>
      <c r="O339" s="73"/>
      <c r="P339" s="74"/>
      <c r="Q339" s="73"/>
      <c r="R339" s="74"/>
      <c r="S339" s="75"/>
      <c r="T339" s="73"/>
      <c r="U339" s="73"/>
      <c r="V339" s="73"/>
      <c r="W339" s="73"/>
      <c r="X339" s="73"/>
      <c r="Y339" s="73"/>
      <c r="Z339" s="73"/>
      <c r="AA339" s="73"/>
      <c r="AB339" s="74"/>
      <c r="AC339" s="73"/>
      <c r="AD339" s="76"/>
      <c r="AE339" s="73"/>
      <c r="AF339" s="73"/>
      <c r="AG339" s="73"/>
      <c r="AH339" s="73"/>
      <c r="AI339" s="73"/>
    </row>
    <row r="340" customFormat="false" ht="15" hidden="false" customHeight="false" outlineLevel="0" collapsed="false">
      <c r="A340" s="71" t="str">
        <f aca="false">IF(D340="","",ROW()-1)</f>
        <v/>
      </c>
      <c r="B340" s="72"/>
      <c r="C340" s="72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4"/>
      <c r="O340" s="73"/>
      <c r="P340" s="74"/>
      <c r="Q340" s="73"/>
      <c r="R340" s="74"/>
      <c r="S340" s="75"/>
      <c r="T340" s="73"/>
      <c r="U340" s="73"/>
      <c r="V340" s="73"/>
      <c r="W340" s="73"/>
      <c r="X340" s="73"/>
      <c r="Y340" s="73"/>
      <c r="Z340" s="73"/>
      <c r="AA340" s="73"/>
      <c r="AB340" s="74"/>
      <c r="AC340" s="73"/>
      <c r="AD340" s="76"/>
      <c r="AE340" s="73"/>
      <c r="AF340" s="73"/>
      <c r="AG340" s="73"/>
      <c r="AH340" s="73"/>
      <c r="AI340" s="73"/>
    </row>
    <row r="341" customFormat="false" ht="15" hidden="false" customHeight="false" outlineLevel="0" collapsed="false">
      <c r="A341" s="71" t="str">
        <f aca="false">IF(D341="","",ROW()-1)</f>
        <v/>
      </c>
      <c r="B341" s="72"/>
      <c r="C341" s="72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4"/>
      <c r="O341" s="73"/>
      <c r="P341" s="74"/>
      <c r="Q341" s="73"/>
      <c r="R341" s="74"/>
      <c r="S341" s="75"/>
      <c r="T341" s="73"/>
      <c r="U341" s="73"/>
      <c r="V341" s="73"/>
      <c r="W341" s="73"/>
      <c r="X341" s="73"/>
      <c r="Y341" s="73"/>
      <c r="Z341" s="73"/>
      <c r="AA341" s="73"/>
      <c r="AB341" s="74"/>
      <c r="AC341" s="73"/>
      <c r="AD341" s="76"/>
      <c r="AE341" s="73"/>
      <c r="AF341" s="73"/>
      <c r="AG341" s="73"/>
      <c r="AH341" s="73"/>
      <c r="AI341" s="73"/>
    </row>
    <row r="342" customFormat="false" ht="15" hidden="false" customHeight="false" outlineLevel="0" collapsed="false">
      <c r="A342" s="71" t="str">
        <f aca="false">IF(D342="","",ROW()-1)</f>
        <v/>
      </c>
      <c r="B342" s="72"/>
      <c r="C342" s="72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4"/>
      <c r="O342" s="73"/>
      <c r="P342" s="74"/>
      <c r="Q342" s="73"/>
      <c r="R342" s="74"/>
      <c r="S342" s="75"/>
      <c r="T342" s="73"/>
      <c r="U342" s="73"/>
      <c r="V342" s="73"/>
      <c r="W342" s="73"/>
      <c r="X342" s="73"/>
      <c r="Y342" s="73"/>
      <c r="Z342" s="73"/>
      <c r="AA342" s="73"/>
      <c r="AB342" s="74"/>
      <c r="AC342" s="73"/>
      <c r="AD342" s="76"/>
      <c r="AE342" s="73"/>
      <c r="AF342" s="73"/>
      <c r="AG342" s="73"/>
      <c r="AH342" s="73"/>
      <c r="AI342" s="73"/>
    </row>
    <row r="343" customFormat="false" ht="15" hidden="false" customHeight="false" outlineLevel="0" collapsed="false">
      <c r="A343" s="71" t="str">
        <f aca="false">IF(D343="","",ROW()-1)</f>
        <v/>
      </c>
      <c r="B343" s="72"/>
      <c r="C343" s="72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4"/>
      <c r="O343" s="73"/>
      <c r="P343" s="74"/>
      <c r="Q343" s="73"/>
      <c r="R343" s="74"/>
      <c r="S343" s="75"/>
      <c r="T343" s="73"/>
      <c r="U343" s="73"/>
      <c r="V343" s="73"/>
      <c r="W343" s="73"/>
      <c r="X343" s="73"/>
      <c r="Y343" s="73"/>
      <c r="Z343" s="73"/>
      <c r="AA343" s="73"/>
      <c r="AB343" s="74"/>
      <c r="AC343" s="73"/>
      <c r="AD343" s="76"/>
      <c r="AE343" s="73"/>
      <c r="AF343" s="73"/>
      <c r="AG343" s="73"/>
      <c r="AH343" s="73"/>
      <c r="AI343" s="73"/>
    </row>
    <row r="344" customFormat="false" ht="15" hidden="false" customHeight="false" outlineLevel="0" collapsed="false">
      <c r="A344" s="71" t="str">
        <f aca="false">IF(D344="","",ROW()-1)</f>
        <v/>
      </c>
      <c r="B344" s="72"/>
      <c r="C344" s="72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4"/>
      <c r="O344" s="73"/>
      <c r="P344" s="74"/>
      <c r="Q344" s="73"/>
      <c r="R344" s="74"/>
      <c r="S344" s="75"/>
      <c r="T344" s="73"/>
      <c r="U344" s="73"/>
      <c r="V344" s="73"/>
      <c r="W344" s="73"/>
      <c r="X344" s="73"/>
      <c r="Y344" s="73"/>
      <c r="Z344" s="73"/>
      <c r="AA344" s="73"/>
      <c r="AB344" s="74"/>
      <c r="AC344" s="73"/>
      <c r="AD344" s="76"/>
      <c r="AE344" s="73"/>
      <c r="AF344" s="73"/>
      <c r="AG344" s="73"/>
      <c r="AH344" s="73"/>
      <c r="AI344" s="73"/>
    </row>
    <row r="345" customFormat="false" ht="15" hidden="false" customHeight="false" outlineLevel="0" collapsed="false">
      <c r="A345" s="71" t="str">
        <f aca="false">IF(D345="","",ROW()-1)</f>
        <v/>
      </c>
      <c r="B345" s="72"/>
      <c r="C345" s="72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4"/>
      <c r="O345" s="73"/>
      <c r="P345" s="74"/>
      <c r="Q345" s="73"/>
      <c r="R345" s="74"/>
      <c r="S345" s="75"/>
      <c r="T345" s="73"/>
      <c r="U345" s="73"/>
      <c r="V345" s="73"/>
      <c r="W345" s="73"/>
      <c r="X345" s="73"/>
      <c r="Y345" s="73"/>
      <c r="Z345" s="73"/>
      <c r="AA345" s="73"/>
      <c r="AB345" s="74"/>
      <c r="AC345" s="73"/>
      <c r="AD345" s="76"/>
      <c r="AE345" s="73"/>
      <c r="AF345" s="73"/>
      <c r="AG345" s="73"/>
      <c r="AH345" s="73"/>
      <c r="AI345" s="73"/>
    </row>
    <row r="346" customFormat="false" ht="15" hidden="false" customHeight="false" outlineLevel="0" collapsed="false">
      <c r="A346" s="71" t="str">
        <f aca="false">IF(D346="","",ROW()-1)</f>
        <v/>
      </c>
      <c r="B346" s="72"/>
      <c r="C346" s="72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4"/>
      <c r="O346" s="73"/>
      <c r="P346" s="74"/>
      <c r="Q346" s="73"/>
      <c r="R346" s="74"/>
      <c r="S346" s="75"/>
      <c r="T346" s="73"/>
      <c r="U346" s="73"/>
      <c r="V346" s="73"/>
      <c r="W346" s="73"/>
      <c r="X346" s="73"/>
      <c r="Y346" s="73"/>
      <c r="Z346" s="73"/>
      <c r="AA346" s="73"/>
      <c r="AB346" s="74"/>
      <c r="AC346" s="73"/>
      <c r="AD346" s="76"/>
      <c r="AE346" s="73"/>
      <c r="AF346" s="73"/>
      <c r="AG346" s="73"/>
      <c r="AH346" s="73"/>
      <c r="AI346" s="73"/>
    </row>
    <row r="347" customFormat="false" ht="15" hidden="false" customHeight="false" outlineLevel="0" collapsed="false">
      <c r="A347" s="71" t="str">
        <f aca="false">IF(D347="","",ROW()-1)</f>
        <v/>
      </c>
      <c r="B347" s="72"/>
      <c r="C347" s="72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4"/>
      <c r="O347" s="73"/>
      <c r="P347" s="74"/>
      <c r="Q347" s="73"/>
      <c r="R347" s="74"/>
      <c r="S347" s="75"/>
      <c r="T347" s="73"/>
      <c r="U347" s="73"/>
      <c r="V347" s="73"/>
      <c r="W347" s="73"/>
      <c r="X347" s="73"/>
      <c r="Y347" s="73"/>
      <c r="Z347" s="73"/>
      <c r="AA347" s="73"/>
      <c r="AB347" s="74"/>
      <c r="AC347" s="73"/>
      <c r="AD347" s="76"/>
      <c r="AE347" s="73"/>
      <c r="AF347" s="73"/>
      <c r="AG347" s="73"/>
      <c r="AH347" s="73"/>
      <c r="AI347" s="73"/>
    </row>
    <row r="348" customFormat="false" ht="15" hidden="false" customHeight="false" outlineLevel="0" collapsed="false">
      <c r="A348" s="71" t="str">
        <f aca="false">IF(D348="","",ROW()-1)</f>
        <v/>
      </c>
      <c r="B348" s="72"/>
      <c r="C348" s="72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4"/>
      <c r="O348" s="73"/>
      <c r="P348" s="74"/>
      <c r="Q348" s="73"/>
      <c r="R348" s="74"/>
      <c r="S348" s="75"/>
      <c r="T348" s="73"/>
      <c r="U348" s="73"/>
      <c r="V348" s="73"/>
      <c r="W348" s="73"/>
      <c r="X348" s="73"/>
      <c r="Y348" s="73"/>
      <c r="Z348" s="73"/>
      <c r="AA348" s="73"/>
      <c r="AB348" s="74"/>
      <c r="AC348" s="73"/>
      <c r="AD348" s="76"/>
      <c r="AE348" s="73"/>
      <c r="AF348" s="73"/>
      <c r="AG348" s="73"/>
      <c r="AH348" s="73"/>
      <c r="AI348" s="73"/>
    </row>
    <row r="349" customFormat="false" ht="15" hidden="false" customHeight="false" outlineLevel="0" collapsed="false">
      <c r="A349" s="71" t="str">
        <f aca="false">IF(D349="","",ROW()-1)</f>
        <v/>
      </c>
      <c r="B349" s="72"/>
      <c r="C349" s="72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4"/>
      <c r="O349" s="73"/>
      <c r="P349" s="74"/>
      <c r="Q349" s="73"/>
      <c r="R349" s="74"/>
      <c r="S349" s="75"/>
      <c r="T349" s="73"/>
      <c r="U349" s="73"/>
      <c r="V349" s="73"/>
      <c r="W349" s="73"/>
      <c r="X349" s="73"/>
      <c r="Y349" s="73"/>
      <c r="Z349" s="73"/>
      <c r="AA349" s="73"/>
      <c r="AB349" s="74"/>
      <c r="AC349" s="73"/>
      <c r="AD349" s="76"/>
      <c r="AE349" s="73"/>
      <c r="AF349" s="73"/>
      <c r="AG349" s="73"/>
      <c r="AH349" s="73"/>
      <c r="AI349" s="73"/>
    </row>
    <row r="350" customFormat="false" ht="15" hidden="false" customHeight="false" outlineLevel="0" collapsed="false">
      <c r="A350" s="71" t="str">
        <f aca="false">IF(D350="","",ROW()-1)</f>
        <v/>
      </c>
      <c r="B350" s="72"/>
      <c r="C350" s="72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4"/>
      <c r="O350" s="73"/>
      <c r="P350" s="74"/>
      <c r="Q350" s="73"/>
      <c r="R350" s="74"/>
      <c r="S350" s="75"/>
      <c r="T350" s="73"/>
      <c r="U350" s="73"/>
      <c r="V350" s="73"/>
      <c r="W350" s="73"/>
      <c r="X350" s="73"/>
      <c r="Y350" s="73"/>
      <c r="Z350" s="73"/>
      <c r="AA350" s="73"/>
      <c r="AB350" s="74"/>
      <c r="AC350" s="73"/>
      <c r="AD350" s="76"/>
      <c r="AE350" s="73"/>
      <c r="AF350" s="73"/>
      <c r="AG350" s="73"/>
      <c r="AH350" s="73"/>
      <c r="AI350" s="73"/>
    </row>
    <row r="351" customFormat="false" ht="15" hidden="false" customHeight="false" outlineLevel="0" collapsed="false">
      <c r="A351" s="71" t="str">
        <f aca="false">IF(D351="","",ROW()-1)</f>
        <v/>
      </c>
      <c r="B351" s="72"/>
      <c r="C351" s="72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4"/>
      <c r="O351" s="73"/>
      <c r="P351" s="74"/>
      <c r="Q351" s="73"/>
      <c r="R351" s="74"/>
      <c r="S351" s="75"/>
      <c r="T351" s="73"/>
      <c r="U351" s="73"/>
      <c r="V351" s="73"/>
      <c r="W351" s="73"/>
      <c r="X351" s="73"/>
      <c r="Y351" s="73"/>
      <c r="Z351" s="73"/>
      <c r="AA351" s="73"/>
      <c r="AB351" s="74"/>
      <c r="AC351" s="73"/>
      <c r="AD351" s="76"/>
      <c r="AE351" s="73"/>
      <c r="AF351" s="73"/>
      <c r="AG351" s="73"/>
      <c r="AH351" s="73"/>
      <c r="AI351" s="73"/>
    </row>
    <row r="352" customFormat="false" ht="15" hidden="false" customHeight="false" outlineLevel="0" collapsed="false">
      <c r="A352" s="71" t="str">
        <f aca="false">IF(D352="","",ROW()-1)</f>
        <v/>
      </c>
      <c r="B352" s="72"/>
      <c r="C352" s="72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4"/>
      <c r="O352" s="73"/>
      <c r="P352" s="74"/>
      <c r="Q352" s="73"/>
      <c r="R352" s="74"/>
      <c r="S352" s="75"/>
      <c r="T352" s="73"/>
      <c r="U352" s="73"/>
      <c r="V352" s="73"/>
      <c r="W352" s="73"/>
      <c r="X352" s="73"/>
      <c r="Y352" s="73"/>
      <c r="Z352" s="73"/>
      <c r="AA352" s="73"/>
      <c r="AB352" s="74"/>
      <c r="AC352" s="73"/>
      <c r="AD352" s="76"/>
      <c r="AE352" s="73"/>
      <c r="AF352" s="73"/>
      <c r="AG352" s="73"/>
      <c r="AH352" s="73"/>
      <c r="AI352" s="73"/>
    </row>
    <row r="353" customFormat="false" ht="15" hidden="false" customHeight="false" outlineLevel="0" collapsed="false">
      <c r="A353" s="71" t="str">
        <f aca="false">IF(D353="","",ROW()-1)</f>
        <v/>
      </c>
      <c r="B353" s="72"/>
      <c r="C353" s="72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4"/>
      <c r="O353" s="73"/>
      <c r="P353" s="74"/>
      <c r="Q353" s="73"/>
      <c r="R353" s="74"/>
      <c r="S353" s="75"/>
      <c r="T353" s="73"/>
      <c r="U353" s="73"/>
      <c r="V353" s="73"/>
      <c r="W353" s="73"/>
      <c r="X353" s="73"/>
      <c r="Y353" s="73"/>
      <c r="Z353" s="73"/>
      <c r="AA353" s="73"/>
      <c r="AB353" s="74"/>
      <c r="AC353" s="73"/>
      <c r="AD353" s="76"/>
      <c r="AE353" s="73"/>
      <c r="AF353" s="73"/>
      <c r="AG353" s="73"/>
      <c r="AH353" s="73"/>
      <c r="AI353" s="73"/>
    </row>
    <row r="354" customFormat="false" ht="15" hidden="false" customHeight="false" outlineLevel="0" collapsed="false">
      <c r="A354" s="71" t="str">
        <f aca="false">IF(D354="","",ROW()-1)</f>
        <v/>
      </c>
      <c r="B354" s="72"/>
      <c r="C354" s="72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4"/>
      <c r="O354" s="73"/>
      <c r="P354" s="74"/>
      <c r="Q354" s="73"/>
      <c r="R354" s="74"/>
      <c r="S354" s="75"/>
      <c r="T354" s="73"/>
      <c r="U354" s="73"/>
      <c r="V354" s="73"/>
      <c r="W354" s="73"/>
      <c r="X354" s="73"/>
      <c r="Y354" s="73"/>
      <c r="Z354" s="73"/>
      <c r="AA354" s="73"/>
      <c r="AB354" s="74"/>
      <c r="AC354" s="73"/>
      <c r="AD354" s="76"/>
      <c r="AE354" s="73"/>
      <c r="AF354" s="73"/>
      <c r="AG354" s="73"/>
      <c r="AH354" s="73"/>
      <c r="AI354" s="73"/>
    </row>
    <row r="355" customFormat="false" ht="15" hidden="false" customHeight="false" outlineLevel="0" collapsed="false">
      <c r="A355" s="71" t="str">
        <f aca="false">IF(D355="","",ROW()-1)</f>
        <v/>
      </c>
      <c r="B355" s="72"/>
      <c r="C355" s="72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4"/>
      <c r="O355" s="73"/>
      <c r="P355" s="74"/>
      <c r="Q355" s="73"/>
      <c r="R355" s="74"/>
      <c r="S355" s="75"/>
      <c r="T355" s="73"/>
      <c r="U355" s="73"/>
      <c r="V355" s="73"/>
      <c r="W355" s="73"/>
      <c r="X355" s="73"/>
      <c r="Y355" s="73"/>
      <c r="Z355" s="73"/>
      <c r="AA355" s="73"/>
      <c r="AB355" s="74"/>
      <c r="AC355" s="73"/>
      <c r="AD355" s="76"/>
      <c r="AE355" s="73"/>
      <c r="AF355" s="73"/>
      <c r="AG355" s="73"/>
      <c r="AH355" s="73"/>
      <c r="AI355" s="73"/>
    </row>
    <row r="356" customFormat="false" ht="15" hidden="false" customHeight="false" outlineLevel="0" collapsed="false">
      <c r="A356" s="71" t="str">
        <f aca="false">IF(D356="","",ROW()-1)</f>
        <v/>
      </c>
      <c r="B356" s="72"/>
      <c r="C356" s="72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4"/>
      <c r="O356" s="73"/>
      <c r="P356" s="74"/>
      <c r="Q356" s="73"/>
      <c r="R356" s="74"/>
      <c r="S356" s="75"/>
      <c r="T356" s="73"/>
      <c r="U356" s="73"/>
      <c r="V356" s="73"/>
      <c r="W356" s="73"/>
      <c r="X356" s="73"/>
      <c r="Y356" s="73"/>
      <c r="Z356" s="73"/>
      <c r="AA356" s="73"/>
      <c r="AB356" s="74"/>
      <c r="AC356" s="73"/>
      <c r="AD356" s="76"/>
      <c r="AE356" s="73"/>
      <c r="AF356" s="73"/>
      <c r="AG356" s="73"/>
      <c r="AH356" s="73"/>
      <c r="AI356" s="73"/>
    </row>
    <row r="357" customFormat="false" ht="15" hidden="false" customHeight="false" outlineLevel="0" collapsed="false">
      <c r="A357" s="71" t="str">
        <f aca="false">IF(D357="","",ROW()-1)</f>
        <v/>
      </c>
      <c r="B357" s="72"/>
      <c r="C357" s="72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4"/>
      <c r="O357" s="73"/>
      <c r="P357" s="74"/>
      <c r="Q357" s="73"/>
      <c r="R357" s="74"/>
      <c r="S357" s="75"/>
      <c r="T357" s="73"/>
      <c r="U357" s="73"/>
      <c r="V357" s="73"/>
      <c r="W357" s="73"/>
      <c r="X357" s="73"/>
      <c r="Y357" s="73"/>
      <c r="Z357" s="73"/>
      <c r="AA357" s="73"/>
      <c r="AB357" s="74"/>
      <c r="AC357" s="73"/>
      <c r="AD357" s="76"/>
      <c r="AE357" s="73"/>
      <c r="AF357" s="73"/>
      <c r="AG357" s="73"/>
      <c r="AH357" s="73"/>
      <c r="AI357" s="73"/>
    </row>
    <row r="358" customFormat="false" ht="15" hidden="false" customHeight="false" outlineLevel="0" collapsed="false">
      <c r="A358" s="71" t="str">
        <f aca="false">IF(D358="","",ROW()-1)</f>
        <v/>
      </c>
      <c r="B358" s="72"/>
      <c r="C358" s="72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4"/>
      <c r="O358" s="73"/>
      <c r="P358" s="74"/>
      <c r="Q358" s="73"/>
      <c r="R358" s="74"/>
      <c r="S358" s="75"/>
      <c r="T358" s="73"/>
      <c r="U358" s="73"/>
      <c r="V358" s="73"/>
      <c r="W358" s="73"/>
      <c r="X358" s="73"/>
      <c r="Y358" s="73"/>
      <c r="Z358" s="73"/>
      <c r="AA358" s="73"/>
      <c r="AB358" s="74"/>
      <c r="AC358" s="73"/>
      <c r="AD358" s="76"/>
      <c r="AE358" s="73"/>
      <c r="AF358" s="73"/>
      <c r="AG358" s="73"/>
      <c r="AH358" s="73"/>
      <c r="AI358" s="73"/>
    </row>
    <row r="359" customFormat="false" ht="15" hidden="false" customHeight="false" outlineLevel="0" collapsed="false">
      <c r="A359" s="71" t="str">
        <f aca="false">IF(D359="","",ROW()-1)</f>
        <v/>
      </c>
      <c r="B359" s="72"/>
      <c r="C359" s="72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4"/>
      <c r="O359" s="73"/>
      <c r="P359" s="74"/>
      <c r="Q359" s="73"/>
      <c r="R359" s="74"/>
      <c r="S359" s="75"/>
      <c r="T359" s="73"/>
      <c r="U359" s="73"/>
      <c r="V359" s="73"/>
      <c r="W359" s="73"/>
      <c r="X359" s="73"/>
      <c r="Y359" s="73"/>
      <c r="Z359" s="73"/>
      <c r="AA359" s="73"/>
      <c r="AB359" s="74"/>
      <c r="AC359" s="73"/>
      <c r="AD359" s="76"/>
      <c r="AE359" s="73"/>
      <c r="AF359" s="73"/>
      <c r="AG359" s="73"/>
      <c r="AH359" s="73"/>
      <c r="AI359" s="73"/>
    </row>
    <row r="360" customFormat="false" ht="15" hidden="false" customHeight="false" outlineLevel="0" collapsed="false">
      <c r="A360" s="71" t="str">
        <f aca="false">IF(D360="","",ROW()-1)</f>
        <v/>
      </c>
      <c r="B360" s="72"/>
      <c r="C360" s="72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4"/>
      <c r="O360" s="73"/>
      <c r="P360" s="74"/>
      <c r="Q360" s="73"/>
      <c r="R360" s="74"/>
      <c r="S360" s="75"/>
      <c r="T360" s="73"/>
      <c r="U360" s="73"/>
      <c r="V360" s="73"/>
      <c r="W360" s="73"/>
      <c r="X360" s="73"/>
      <c r="Y360" s="73"/>
      <c r="Z360" s="73"/>
      <c r="AA360" s="73"/>
      <c r="AB360" s="74"/>
      <c r="AC360" s="73"/>
      <c r="AD360" s="76"/>
      <c r="AE360" s="73"/>
      <c r="AF360" s="73"/>
      <c r="AG360" s="73"/>
      <c r="AH360" s="73"/>
      <c r="AI360" s="73"/>
    </row>
    <row r="361" customFormat="false" ht="15" hidden="false" customHeight="false" outlineLevel="0" collapsed="false">
      <c r="A361" s="71" t="str">
        <f aca="false">IF(D361="","",ROW()-1)</f>
        <v/>
      </c>
      <c r="B361" s="72"/>
      <c r="C361" s="72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4"/>
      <c r="O361" s="73"/>
      <c r="P361" s="74"/>
      <c r="Q361" s="73"/>
      <c r="R361" s="74"/>
      <c r="S361" s="75"/>
      <c r="T361" s="73"/>
      <c r="U361" s="73"/>
      <c r="V361" s="73"/>
      <c r="W361" s="73"/>
      <c r="X361" s="73"/>
      <c r="Y361" s="73"/>
      <c r="Z361" s="73"/>
      <c r="AA361" s="73"/>
      <c r="AB361" s="74"/>
      <c r="AC361" s="73"/>
      <c r="AD361" s="76"/>
      <c r="AE361" s="73"/>
      <c r="AF361" s="73"/>
      <c r="AG361" s="73"/>
      <c r="AH361" s="73"/>
      <c r="AI361" s="73"/>
    </row>
    <row r="362" customFormat="false" ht="15" hidden="false" customHeight="false" outlineLevel="0" collapsed="false">
      <c r="A362" s="71" t="str">
        <f aca="false">IF(D362="","",ROW()-1)</f>
        <v/>
      </c>
      <c r="B362" s="72"/>
      <c r="C362" s="72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4"/>
      <c r="O362" s="73"/>
      <c r="P362" s="74"/>
      <c r="Q362" s="73"/>
      <c r="R362" s="74"/>
      <c r="S362" s="75"/>
      <c r="T362" s="73"/>
      <c r="U362" s="73"/>
      <c r="V362" s="73"/>
      <c r="W362" s="73"/>
      <c r="X362" s="73"/>
      <c r="Y362" s="73"/>
      <c r="Z362" s="73"/>
      <c r="AA362" s="73"/>
      <c r="AB362" s="74"/>
      <c r="AC362" s="73"/>
      <c r="AD362" s="76"/>
      <c r="AE362" s="73"/>
      <c r="AF362" s="73"/>
      <c r="AG362" s="73"/>
      <c r="AH362" s="73"/>
      <c r="AI362" s="73"/>
    </row>
    <row r="363" customFormat="false" ht="15" hidden="false" customHeight="false" outlineLevel="0" collapsed="false">
      <c r="A363" s="71" t="str">
        <f aca="false">IF(D363="","",ROW()-1)</f>
        <v/>
      </c>
      <c r="B363" s="72"/>
      <c r="C363" s="72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4"/>
      <c r="O363" s="73"/>
      <c r="P363" s="74"/>
      <c r="Q363" s="73"/>
      <c r="R363" s="74"/>
      <c r="S363" s="75"/>
      <c r="T363" s="73"/>
      <c r="U363" s="73"/>
      <c r="V363" s="73"/>
      <c r="W363" s="73"/>
      <c r="X363" s="73"/>
      <c r="Y363" s="73"/>
      <c r="Z363" s="73"/>
      <c r="AA363" s="73"/>
      <c r="AB363" s="74"/>
      <c r="AC363" s="73"/>
      <c r="AD363" s="76"/>
      <c r="AE363" s="73"/>
      <c r="AF363" s="73"/>
      <c r="AG363" s="73"/>
      <c r="AH363" s="73"/>
      <c r="AI363" s="73"/>
    </row>
    <row r="364" customFormat="false" ht="15" hidden="false" customHeight="false" outlineLevel="0" collapsed="false">
      <c r="A364" s="71" t="str">
        <f aca="false">IF(D364="","",ROW()-1)</f>
        <v/>
      </c>
      <c r="B364" s="72"/>
      <c r="C364" s="72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4"/>
      <c r="O364" s="73"/>
      <c r="P364" s="74"/>
      <c r="Q364" s="73"/>
      <c r="R364" s="74"/>
      <c r="S364" s="75"/>
      <c r="T364" s="73"/>
      <c r="U364" s="73"/>
      <c r="V364" s="73"/>
      <c r="W364" s="73"/>
      <c r="X364" s="73"/>
      <c r="Y364" s="73"/>
      <c r="Z364" s="73"/>
      <c r="AA364" s="73"/>
      <c r="AB364" s="74"/>
      <c r="AC364" s="73"/>
      <c r="AD364" s="76"/>
      <c r="AE364" s="73"/>
      <c r="AF364" s="73"/>
      <c r="AG364" s="73"/>
      <c r="AH364" s="73"/>
      <c r="AI364" s="73"/>
    </row>
    <row r="365" customFormat="false" ht="15" hidden="false" customHeight="false" outlineLevel="0" collapsed="false">
      <c r="A365" s="71" t="str">
        <f aca="false">IF(D365="","",ROW()-1)</f>
        <v/>
      </c>
      <c r="B365" s="72"/>
      <c r="C365" s="72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4"/>
      <c r="O365" s="73"/>
      <c r="P365" s="74"/>
      <c r="Q365" s="73"/>
      <c r="R365" s="74"/>
      <c r="S365" s="75"/>
      <c r="T365" s="73"/>
      <c r="U365" s="73"/>
      <c r="V365" s="73"/>
      <c r="W365" s="73"/>
      <c r="X365" s="73"/>
      <c r="Y365" s="73"/>
      <c r="Z365" s="73"/>
      <c r="AA365" s="73"/>
      <c r="AB365" s="74"/>
      <c r="AC365" s="73"/>
      <c r="AD365" s="76"/>
      <c r="AE365" s="73"/>
      <c r="AF365" s="73"/>
      <c r="AG365" s="73"/>
      <c r="AH365" s="73"/>
      <c r="AI365" s="73"/>
    </row>
    <row r="366" customFormat="false" ht="15" hidden="false" customHeight="false" outlineLevel="0" collapsed="false">
      <c r="A366" s="71" t="str">
        <f aca="false">IF(D366="","",ROW()-1)</f>
        <v/>
      </c>
      <c r="B366" s="72"/>
      <c r="C366" s="72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4"/>
      <c r="O366" s="73"/>
      <c r="P366" s="74"/>
      <c r="Q366" s="73"/>
      <c r="R366" s="74"/>
      <c r="S366" s="75"/>
      <c r="T366" s="73"/>
      <c r="U366" s="73"/>
      <c r="V366" s="73"/>
      <c r="W366" s="73"/>
      <c r="X366" s="73"/>
      <c r="Y366" s="73"/>
      <c r="Z366" s="73"/>
      <c r="AA366" s="73"/>
      <c r="AB366" s="74"/>
      <c r="AC366" s="73"/>
      <c r="AD366" s="76"/>
      <c r="AE366" s="73"/>
      <c r="AF366" s="73"/>
      <c r="AG366" s="73"/>
      <c r="AH366" s="73"/>
      <c r="AI366" s="73"/>
    </row>
    <row r="367" customFormat="false" ht="15" hidden="false" customHeight="false" outlineLevel="0" collapsed="false">
      <c r="A367" s="71" t="str">
        <f aca="false">IF(D367="","",ROW()-1)</f>
        <v/>
      </c>
      <c r="B367" s="72"/>
      <c r="C367" s="72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4"/>
      <c r="O367" s="73"/>
      <c r="P367" s="74"/>
      <c r="Q367" s="73"/>
      <c r="R367" s="74"/>
      <c r="S367" s="75"/>
      <c r="T367" s="73"/>
      <c r="U367" s="73"/>
      <c r="V367" s="73"/>
      <c r="W367" s="73"/>
      <c r="X367" s="73"/>
      <c r="Y367" s="73"/>
      <c r="Z367" s="73"/>
      <c r="AA367" s="73"/>
      <c r="AB367" s="74"/>
      <c r="AC367" s="73"/>
      <c r="AD367" s="76"/>
      <c r="AE367" s="73"/>
      <c r="AF367" s="73"/>
      <c r="AG367" s="73"/>
      <c r="AH367" s="73"/>
      <c r="AI367" s="73"/>
    </row>
    <row r="368" customFormat="false" ht="15" hidden="false" customHeight="false" outlineLevel="0" collapsed="false">
      <c r="A368" s="71" t="str">
        <f aca="false">IF(D368="","",ROW()-1)</f>
        <v/>
      </c>
      <c r="B368" s="72"/>
      <c r="C368" s="72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4"/>
      <c r="O368" s="73"/>
      <c r="P368" s="74"/>
      <c r="Q368" s="73"/>
      <c r="R368" s="74"/>
      <c r="S368" s="75"/>
      <c r="T368" s="73"/>
      <c r="U368" s="73"/>
      <c r="V368" s="73"/>
      <c r="W368" s="73"/>
      <c r="X368" s="73"/>
      <c r="Y368" s="73"/>
      <c r="Z368" s="73"/>
      <c r="AA368" s="73"/>
      <c r="AB368" s="74"/>
      <c r="AC368" s="73"/>
      <c r="AD368" s="76"/>
      <c r="AE368" s="73"/>
      <c r="AF368" s="73"/>
      <c r="AG368" s="73"/>
      <c r="AH368" s="73"/>
      <c r="AI368" s="73"/>
    </row>
    <row r="369" customFormat="false" ht="15" hidden="false" customHeight="false" outlineLevel="0" collapsed="false">
      <c r="A369" s="71" t="str">
        <f aca="false">IF(D369="","",ROW()-1)</f>
        <v/>
      </c>
      <c r="B369" s="72"/>
      <c r="C369" s="72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4"/>
      <c r="O369" s="73"/>
      <c r="P369" s="74"/>
      <c r="Q369" s="73"/>
      <c r="R369" s="74"/>
      <c r="S369" s="75"/>
      <c r="T369" s="73"/>
      <c r="U369" s="73"/>
      <c r="V369" s="73"/>
      <c r="W369" s="73"/>
      <c r="X369" s="73"/>
      <c r="Y369" s="73"/>
      <c r="Z369" s="73"/>
      <c r="AA369" s="73"/>
      <c r="AB369" s="74"/>
      <c r="AC369" s="73"/>
      <c r="AD369" s="76"/>
      <c r="AE369" s="73"/>
      <c r="AF369" s="73"/>
      <c r="AG369" s="73"/>
      <c r="AH369" s="73"/>
      <c r="AI369" s="73"/>
    </row>
    <row r="370" customFormat="false" ht="15" hidden="false" customHeight="false" outlineLevel="0" collapsed="false">
      <c r="A370" s="71" t="str">
        <f aca="false">IF(D370="","",ROW()-1)</f>
        <v/>
      </c>
      <c r="B370" s="72"/>
      <c r="C370" s="72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4"/>
      <c r="O370" s="73"/>
      <c r="P370" s="74"/>
      <c r="Q370" s="73"/>
      <c r="R370" s="74"/>
      <c r="S370" s="75"/>
      <c r="T370" s="73"/>
      <c r="U370" s="73"/>
      <c r="V370" s="73"/>
      <c r="W370" s="73"/>
      <c r="X370" s="73"/>
      <c r="Y370" s="73"/>
      <c r="Z370" s="73"/>
      <c r="AA370" s="73"/>
      <c r="AB370" s="74"/>
      <c r="AC370" s="73"/>
      <c r="AD370" s="76"/>
      <c r="AE370" s="73"/>
      <c r="AF370" s="73"/>
      <c r="AG370" s="73"/>
      <c r="AH370" s="73"/>
      <c r="AI370" s="73"/>
    </row>
    <row r="371" customFormat="false" ht="15" hidden="false" customHeight="false" outlineLevel="0" collapsed="false">
      <c r="A371" s="71" t="str">
        <f aca="false">IF(D371="","",ROW()-1)</f>
        <v/>
      </c>
      <c r="B371" s="72"/>
      <c r="C371" s="72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4"/>
      <c r="O371" s="73"/>
      <c r="P371" s="74"/>
      <c r="Q371" s="73"/>
      <c r="R371" s="74"/>
      <c r="S371" s="75"/>
      <c r="T371" s="73"/>
      <c r="U371" s="73"/>
      <c r="V371" s="73"/>
      <c r="W371" s="73"/>
      <c r="X371" s="73"/>
      <c r="Y371" s="73"/>
      <c r="Z371" s="73"/>
      <c r="AA371" s="73"/>
      <c r="AB371" s="74"/>
      <c r="AC371" s="73"/>
      <c r="AD371" s="76"/>
      <c r="AE371" s="73"/>
      <c r="AF371" s="73"/>
      <c r="AG371" s="73"/>
      <c r="AH371" s="73"/>
      <c r="AI371" s="73"/>
    </row>
    <row r="372" customFormat="false" ht="15" hidden="false" customHeight="false" outlineLevel="0" collapsed="false">
      <c r="A372" s="71" t="str">
        <f aca="false">IF(D372="","",ROW()-1)</f>
        <v/>
      </c>
      <c r="B372" s="72"/>
      <c r="C372" s="72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4"/>
      <c r="O372" s="73"/>
      <c r="P372" s="74"/>
      <c r="Q372" s="73"/>
      <c r="R372" s="74"/>
      <c r="S372" s="75"/>
      <c r="T372" s="73"/>
      <c r="U372" s="73"/>
      <c r="V372" s="73"/>
      <c r="W372" s="73"/>
      <c r="X372" s="73"/>
      <c r="Y372" s="73"/>
      <c r="Z372" s="73"/>
      <c r="AA372" s="73"/>
      <c r="AB372" s="74"/>
      <c r="AC372" s="73"/>
      <c r="AD372" s="76"/>
      <c r="AE372" s="73"/>
      <c r="AF372" s="73"/>
      <c r="AG372" s="73"/>
      <c r="AH372" s="73"/>
      <c r="AI372" s="73"/>
    </row>
    <row r="373" customFormat="false" ht="15" hidden="false" customHeight="false" outlineLevel="0" collapsed="false">
      <c r="A373" s="71" t="str">
        <f aca="false">IF(D373="","",ROW()-1)</f>
        <v/>
      </c>
      <c r="B373" s="72"/>
      <c r="C373" s="72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4"/>
      <c r="O373" s="73"/>
      <c r="P373" s="74"/>
      <c r="Q373" s="73"/>
      <c r="R373" s="74"/>
      <c r="S373" s="75"/>
      <c r="T373" s="73"/>
      <c r="U373" s="73"/>
      <c r="V373" s="73"/>
      <c r="W373" s="73"/>
      <c r="X373" s="73"/>
      <c r="Y373" s="73"/>
      <c r="Z373" s="73"/>
      <c r="AA373" s="73"/>
      <c r="AB373" s="74"/>
      <c r="AC373" s="73"/>
      <c r="AD373" s="76"/>
      <c r="AE373" s="73"/>
      <c r="AF373" s="73"/>
      <c r="AG373" s="73"/>
      <c r="AH373" s="73"/>
      <c r="AI373" s="73"/>
    </row>
    <row r="374" customFormat="false" ht="15" hidden="false" customHeight="false" outlineLevel="0" collapsed="false">
      <c r="A374" s="71" t="str">
        <f aca="false">IF(D374="","",ROW()-1)</f>
        <v/>
      </c>
      <c r="B374" s="72"/>
      <c r="C374" s="72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4"/>
      <c r="O374" s="73"/>
      <c r="P374" s="74"/>
      <c r="Q374" s="73"/>
      <c r="R374" s="74"/>
      <c r="S374" s="75"/>
      <c r="T374" s="73"/>
      <c r="U374" s="73"/>
      <c r="V374" s="73"/>
      <c r="W374" s="73"/>
      <c r="X374" s="73"/>
      <c r="Y374" s="73"/>
      <c r="Z374" s="73"/>
      <c r="AA374" s="73"/>
      <c r="AB374" s="74"/>
      <c r="AC374" s="73"/>
      <c r="AD374" s="76"/>
      <c r="AE374" s="73"/>
      <c r="AF374" s="73"/>
      <c r="AG374" s="73"/>
      <c r="AH374" s="73"/>
      <c r="AI374" s="73"/>
    </row>
    <row r="375" customFormat="false" ht="15" hidden="false" customHeight="false" outlineLevel="0" collapsed="false">
      <c r="A375" s="71" t="str">
        <f aca="false">IF(D375="","",ROW()-1)</f>
        <v/>
      </c>
      <c r="B375" s="72"/>
      <c r="C375" s="72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4"/>
      <c r="O375" s="73"/>
      <c r="P375" s="74"/>
      <c r="Q375" s="73"/>
      <c r="R375" s="74"/>
      <c r="S375" s="75"/>
      <c r="T375" s="73"/>
      <c r="U375" s="73"/>
      <c r="V375" s="73"/>
      <c r="W375" s="73"/>
      <c r="X375" s="73"/>
      <c r="Y375" s="73"/>
      <c r="Z375" s="73"/>
      <c r="AA375" s="73"/>
      <c r="AB375" s="74"/>
      <c r="AC375" s="73"/>
      <c r="AD375" s="76"/>
      <c r="AE375" s="73"/>
      <c r="AF375" s="73"/>
      <c r="AG375" s="73"/>
      <c r="AH375" s="73"/>
      <c r="AI375" s="73"/>
    </row>
    <row r="376" customFormat="false" ht="15" hidden="false" customHeight="false" outlineLevel="0" collapsed="false">
      <c r="A376" s="71" t="str">
        <f aca="false">IF(D376="","",ROW()-1)</f>
        <v/>
      </c>
      <c r="B376" s="72"/>
      <c r="C376" s="72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4"/>
      <c r="O376" s="73"/>
      <c r="P376" s="74"/>
      <c r="Q376" s="73"/>
      <c r="R376" s="74"/>
      <c r="S376" s="75"/>
      <c r="T376" s="73"/>
      <c r="U376" s="73"/>
      <c r="V376" s="73"/>
      <c r="W376" s="73"/>
      <c r="X376" s="73"/>
      <c r="Y376" s="73"/>
      <c r="Z376" s="73"/>
      <c r="AA376" s="73"/>
      <c r="AB376" s="74"/>
      <c r="AC376" s="73"/>
      <c r="AD376" s="76"/>
      <c r="AE376" s="73"/>
      <c r="AF376" s="73"/>
      <c r="AG376" s="73"/>
      <c r="AH376" s="73"/>
      <c r="AI376" s="73"/>
    </row>
    <row r="377" customFormat="false" ht="15" hidden="false" customHeight="false" outlineLevel="0" collapsed="false">
      <c r="A377" s="71" t="str">
        <f aca="false">IF(D377="","",ROW()-1)</f>
        <v/>
      </c>
      <c r="B377" s="72"/>
      <c r="C377" s="72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4"/>
      <c r="O377" s="73"/>
      <c r="P377" s="74"/>
      <c r="Q377" s="73"/>
      <c r="R377" s="74"/>
      <c r="S377" s="75"/>
      <c r="T377" s="73"/>
      <c r="U377" s="73"/>
      <c r="V377" s="73"/>
      <c r="W377" s="73"/>
      <c r="X377" s="73"/>
      <c r="Y377" s="73"/>
      <c r="Z377" s="73"/>
      <c r="AA377" s="73"/>
      <c r="AB377" s="74"/>
      <c r="AC377" s="73"/>
      <c r="AD377" s="76"/>
      <c r="AE377" s="73"/>
      <c r="AF377" s="73"/>
      <c r="AG377" s="73"/>
      <c r="AH377" s="73"/>
      <c r="AI377" s="73"/>
    </row>
    <row r="378" customFormat="false" ht="15" hidden="false" customHeight="false" outlineLevel="0" collapsed="false">
      <c r="A378" s="71" t="str">
        <f aca="false">IF(D378="","",ROW()-1)</f>
        <v/>
      </c>
      <c r="B378" s="72"/>
      <c r="C378" s="72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4"/>
      <c r="O378" s="73"/>
      <c r="P378" s="74"/>
      <c r="Q378" s="73"/>
      <c r="R378" s="74"/>
      <c r="S378" s="75"/>
      <c r="T378" s="73"/>
      <c r="U378" s="73"/>
      <c r="V378" s="73"/>
      <c r="W378" s="73"/>
      <c r="X378" s="73"/>
      <c r="Y378" s="73"/>
      <c r="Z378" s="73"/>
      <c r="AA378" s="73"/>
      <c r="AB378" s="74"/>
      <c r="AC378" s="73"/>
      <c r="AD378" s="76"/>
      <c r="AE378" s="73"/>
      <c r="AF378" s="73"/>
      <c r="AG378" s="73"/>
      <c r="AH378" s="73"/>
      <c r="AI378" s="73"/>
    </row>
    <row r="379" customFormat="false" ht="15" hidden="false" customHeight="false" outlineLevel="0" collapsed="false">
      <c r="A379" s="71" t="str">
        <f aca="false">IF(D379="","",ROW()-1)</f>
        <v/>
      </c>
      <c r="B379" s="72"/>
      <c r="C379" s="72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4"/>
      <c r="O379" s="73"/>
      <c r="P379" s="74"/>
      <c r="Q379" s="73"/>
      <c r="R379" s="74"/>
      <c r="S379" s="75"/>
      <c r="T379" s="73"/>
      <c r="U379" s="73"/>
      <c r="V379" s="73"/>
      <c r="W379" s="73"/>
      <c r="X379" s="73"/>
      <c r="Y379" s="73"/>
      <c r="Z379" s="73"/>
      <c r="AA379" s="73"/>
      <c r="AB379" s="74"/>
      <c r="AC379" s="73"/>
      <c r="AD379" s="76"/>
      <c r="AE379" s="73"/>
      <c r="AF379" s="73"/>
      <c r="AG379" s="73"/>
      <c r="AH379" s="73"/>
      <c r="AI379" s="73"/>
    </row>
    <row r="380" customFormat="false" ht="15" hidden="false" customHeight="false" outlineLevel="0" collapsed="false">
      <c r="A380" s="71" t="str">
        <f aca="false">IF(D380="","",ROW()-1)</f>
        <v/>
      </c>
      <c r="B380" s="72"/>
      <c r="C380" s="72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4"/>
      <c r="O380" s="73"/>
      <c r="P380" s="74"/>
      <c r="Q380" s="73"/>
      <c r="R380" s="74"/>
      <c r="S380" s="75"/>
      <c r="T380" s="73"/>
      <c r="U380" s="73"/>
      <c r="V380" s="73"/>
      <c r="W380" s="73"/>
      <c r="X380" s="73"/>
      <c r="Y380" s="73"/>
      <c r="Z380" s="73"/>
      <c r="AA380" s="73"/>
      <c r="AB380" s="74"/>
      <c r="AC380" s="73"/>
      <c r="AD380" s="76"/>
      <c r="AE380" s="73"/>
      <c r="AF380" s="73"/>
      <c r="AG380" s="73"/>
      <c r="AH380" s="73"/>
      <c r="AI380" s="73"/>
    </row>
    <row r="381" customFormat="false" ht="15" hidden="false" customHeight="false" outlineLevel="0" collapsed="false">
      <c r="A381" s="71" t="str">
        <f aca="false">IF(D381="","",ROW()-1)</f>
        <v/>
      </c>
      <c r="B381" s="72"/>
      <c r="C381" s="72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4"/>
      <c r="O381" s="73"/>
      <c r="P381" s="74"/>
      <c r="Q381" s="73"/>
      <c r="R381" s="74"/>
      <c r="S381" s="75"/>
      <c r="T381" s="73"/>
      <c r="U381" s="73"/>
      <c r="V381" s="73"/>
      <c r="W381" s="73"/>
      <c r="X381" s="73"/>
      <c r="Y381" s="73"/>
      <c r="Z381" s="73"/>
      <c r="AA381" s="73"/>
      <c r="AB381" s="74"/>
      <c r="AC381" s="73"/>
      <c r="AD381" s="76"/>
      <c r="AE381" s="73"/>
      <c r="AF381" s="73"/>
      <c r="AG381" s="73"/>
      <c r="AH381" s="73"/>
      <c r="AI381" s="73"/>
    </row>
    <row r="382" customFormat="false" ht="15" hidden="false" customHeight="false" outlineLevel="0" collapsed="false">
      <c r="A382" s="71" t="str">
        <f aca="false">IF(D382="","",ROW()-1)</f>
        <v/>
      </c>
      <c r="B382" s="72"/>
      <c r="C382" s="72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4"/>
      <c r="O382" s="73"/>
      <c r="P382" s="74"/>
      <c r="Q382" s="73"/>
      <c r="R382" s="74"/>
      <c r="S382" s="75"/>
      <c r="T382" s="73"/>
      <c r="U382" s="73"/>
      <c r="V382" s="73"/>
      <c r="W382" s="73"/>
      <c r="X382" s="73"/>
      <c r="Y382" s="73"/>
      <c r="Z382" s="73"/>
      <c r="AA382" s="73"/>
      <c r="AB382" s="74"/>
      <c r="AC382" s="73"/>
      <c r="AD382" s="76"/>
      <c r="AE382" s="73"/>
      <c r="AF382" s="73"/>
      <c r="AG382" s="73"/>
      <c r="AH382" s="73"/>
      <c r="AI382" s="73"/>
    </row>
    <row r="383" customFormat="false" ht="15" hidden="false" customHeight="false" outlineLevel="0" collapsed="false">
      <c r="A383" s="71" t="str">
        <f aca="false">IF(D383="","",ROW()-1)</f>
        <v/>
      </c>
      <c r="B383" s="72"/>
      <c r="C383" s="72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4"/>
      <c r="O383" s="73"/>
      <c r="P383" s="74"/>
      <c r="Q383" s="73"/>
      <c r="R383" s="74"/>
      <c r="S383" s="75"/>
      <c r="T383" s="73"/>
      <c r="U383" s="73"/>
      <c r="V383" s="73"/>
      <c r="W383" s="73"/>
      <c r="X383" s="73"/>
      <c r="Y383" s="73"/>
      <c r="Z383" s="73"/>
      <c r="AA383" s="73"/>
      <c r="AB383" s="74"/>
      <c r="AC383" s="73"/>
      <c r="AD383" s="76"/>
      <c r="AE383" s="73"/>
      <c r="AF383" s="73"/>
      <c r="AG383" s="73"/>
      <c r="AH383" s="73"/>
      <c r="AI383" s="73"/>
    </row>
    <row r="384" customFormat="false" ht="15" hidden="false" customHeight="false" outlineLevel="0" collapsed="false">
      <c r="A384" s="71" t="str">
        <f aca="false">IF(D384="","",ROW()-1)</f>
        <v/>
      </c>
      <c r="B384" s="72"/>
      <c r="C384" s="72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4"/>
      <c r="O384" s="73"/>
      <c r="P384" s="74"/>
      <c r="Q384" s="73"/>
      <c r="R384" s="74"/>
      <c r="S384" s="75"/>
      <c r="T384" s="73"/>
      <c r="U384" s="73"/>
      <c r="V384" s="73"/>
      <c r="W384" s="73"/>
      <c r="X384" s="73"/>
      <c r="Y384" s="73"/>
      <c r="Z384" s="73"/>
      <c r="AA384" s="73"/>
      <c r="AB384" s="74"/>
      <c r="AC384" s="73"/>
      <c r="AD384" s="76"/>
      <c r="AE384" s="73"/>
      <c r="AF384" s="73"/>
      <c r="AG384" s="73"/>
      <c r="AH384" s="73"/>
      <c r="AI384" s="73"/>
    </row>
    <row r="385" customFormat="false" ht="15" hidden="false" customHeight="false" outlineLevel="0" collapsed="false">
      <c r="A385" s="71" t="str">
        <f aca="false">IF(D385="","",ROW()-1)</f>
        <v/>
      </c>
      <c r="B385" s="72"/>
      <c r="C385" s="72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4"/>
      <c r="O385" s="73"/>
      <c r="P385" s="74"/>
      <c r="Q385" s="73"/>
      <c r="R385" s="74"/>
      <c r="S385" s="75"/>
      <c r="T385" s="73"/>
      <c r="U385" s="73"/>
      <c r="V385" s="73"/>
      <c r="W385" s="73"/>
      <c r="X385" s="73"/>
      <c r="Y385" s="73"/>
      <c r="Z385" s="73"/>
      <c r="AA385" s="73"/>
      <c r="AB385" s="74"/>
      <c r="AC385" s="73"/>
      <c r="AD385" s="76"/>
      <c r="AE385" s="73"/>
      <c r="AF385" s="73"/>
      <c r="AG385" s="73"/>
      <c r="AH385" s="73"/>
      <c r="AI385" s="73"/>
    </row>
    <row r="386" customFormat="false" ht="15" hidden="false" customHeight="false" outlineLevel="0" collapsed="false">
      <c r="A386" s="71" t="str">
        <f aca="false">IF(D386="","",ROW()-1)</f>
        <v/>
      </c>
      <c r="B386" s="72"/>
      <c r="C386" s="72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4"/>
      <c r="O386" s="73"/>
      <c r="P386" s="74"/>
      <c r="Q386" s="73"/>
      <c r="R386" s="74"/>
      <c r="S386" s="75"/>
      <c r="T386" s="73"/>
      <c r="U386" s="73"/>
      <c r="V386" s="73"/>
      <c r="W386" s="73"/>
      <c r="X386" s="73"/>
      <c r="Y386" s="73"/>
      <c r="Z386" s="73"/>
      <c r="AA386" s="73"/>
      <c r="AB386" s="74"/>
      <c r="AC386" s="73"/>
      <c r="AD386" s="76"/>
      <c r="AE386" s="73"/>
      <c r="AF386" s="73"/>
      <c r="AG386" s="73"/>
      <c r="AH386" s="73"/>
      <c r="AI386" s="73"/>
    </row>
    <row r="387" customFormat="false" ht="15" hidden="false" customHeight="false" outlineLevel="0" collapsed="false">
      <c r="A387" s="71" t="str">
        <f aca="false">IF(D387="","",ROW()-1)</f>
        <v/>
      </c>
      <c r="B387" s="72"/>
      <c r="C387" s="72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4"/>
      <c r="O387" s="73"/>
      <c r="P387" s="74"/>
      <c r="Q387" s="73"/>
      <c r="R387" s="74"/>
      <c r="S387" s="75"/>
      <c r="T387" s="73"/>
      <c r="U387" s="73"/>
      <c r="V387" s="73"/>
      <c r="W387" s="73"/>
      <c r="X387" s="73"/>
      <c r="Y387" s="73"/>
      <c r="Z387" s="73"/>
      <c r="AA387" s="73"/>
      <c r="AB387" s="74"/>
      <c r="AC387" s="73"/>
      <c r="AD387" s="76"/>
      <c r="AE387" s="73"/>
      <c r="AF387" s="73"/>
      <c r="AG387" s="73"/>
      <c r="AH387" s="73"/>
      <c r="AI387" s="73"/>
    </row>
    <row r="388" customFormat="false" ht="15" hidden="false" customHeight="false" outlineLevel="0" collapsed="false">
      <c r="A388" s="71" t="str">
        <f aca="false">IF(D388="","",ROW()-1)</f>
        <v/>
      </c>
      <c r="B388" s="72"/>
      <c r="C388" s="72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4"/>
      <c r="O388" s="73"/>
      <c r="P388" s="74"/>
      <c r="Q388" s="73"/>
      <c r="R388" s="74"/>
      <c r="S388" s="75"/>
      <c r="T388" s="73"/>
      <c r="U388" s="73"/>
      <c r="V388" s="73"/>
      <c r="W388" s="73"/>
      <c r="X388" s="73"/>
      <c r="Y388" s="73"/>
      <c r="Z388" s="73"/>
      <c r="AA388" s="73"/>
      <c r="AB388" s="74"/>
      <c r="AC388" s="73"/>
      <c r="AD388" s="76"/>
      <c r="AE388" s="73"/>
      <c r="AF388" s="73"/>
      <c r="AG388" s="73"/>
      <c r="AH388" s="73"/>
      <c r="AI388" s="73"/>
    </row>
    <row r="389" customFormat="false" ht="15" hidden="false" customHeight="false" outlineLevel="0" collapsed="false">
      <c r="A389" s="71" t="str">
        <f aca="false">IF(D389="","",ROW()-1)</f>
        <v/>
      </c>
      <c r="B389" s="72"/>
      <c r="C389" s="72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4"/>
      <c r="O389" s="73"/>
      <c r="P389" s="74"/>
      <c r="Q389" s="73"/>
      <c r="R389" s="74"/>
      <c r="S389" s="75"/>
      <c r="T389" s="73"/>
      <c r="U389" s="73"/>
      <c r="V389" s="73"/>
      <c r="W389" s="73"/>
      <c r="X389" s="73"/>
      <c r="Y389" s="73"/>
      <c r="Z389" s="73"/>
      <c r="AA389" s="73"/>
      <c r="AB389" s="74"/>
      <c r="AC389" s="73"/>
      <c r="AD389" s="76"/>
      <c r="AE389" s="73"/>
      <c r="AF389" s="73"/>
      <c r="AG389" s="73"/>
      <c r="AH389" s="73"/>
      <c r="AI389" s="73"/>
    </row>
    <row r="390" customFormat="false" ht="15" hidden="false" customHeight="false" outlineLevel="0" collapsed="false">
      <c r="A390" s="71" t="str">
        <f aca="false">IF(D390="","",ROW()-1)</f>
        <v/>
      </c>
      <c r="B390" s="72"/>
      <c r="C390" s="72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4"/>
      <c r="O390" s="73"/>
      <c r="P390" s="74"/>
      <c r="Q390" s="73"/>
      <c r="R390" s="74"/>
      <c r="S390" s="75"/>
      <c r="T390" s="73"/>
      <c r="U390" s="73"/>
      <c r="V390" s="73"/>
      <c r="W390" s="73"/>
      <c r="X390" s="73"/>
      <c r="Y390" s="73"/>
      <c r="Z390" s="73"/>
      <c r="AA390" s="73"/>
      <c r="AB390" s="74"/>
      <c r="AC390" s="73"/>
      <c r="AD390" s="76"/>
      <c r="AE390" s="73"/>
      <c r="AF390" s="73"/>
      <c r="AG390" s="73"/>
      <c r="AH390" s="73"/>
      <c r="AI390" s="73"/>
    </row>
    <row r="391" customFormat="false" ht="15" hidden="false" customHeight="false" outlineLevel="0" collapsed="false">
      <c r="A391" s="71" t="str">
        <f aca="false">IF(D391="","",ROW()-1)</f>
        <v/>
      </c>
      <c r="B391" s="72"/>
      <c r="C391" s="72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4"/>
      <c r="O391" s="73"/>
      <c r="P391" s="74"/>
      <c r="Q391" s="73"/>
      <c r="R391" s="74"/>
      <c r="S391" s="75"/>
      <c r="T391" s="73"/>
      <c r="U391" s="73"/>
      <c r="V391" s="73"/>
      <c r="W391" s="73"/>
      <c r="X391" s="73"/>
      <c r="Y391" s="73"/>
      <c r="Z391" s="73"/>
      <c r="AA391" s="73"/>
      <c r="AB391" s="74"/>
      <c r="AC391" s="73"/>
      <c r="AD391" s="76"/>
      <c r="AE391" s="73"/>
      <c r="AF391" s="73"/>
      <c r="AG391" s="73"/>
      <c r="AH391" s="73"/>
      <c r="AI391" s="73"/>
    </row>
    <row r="392" customFormat="false" ht="15" hidden="false" customHeight="false" outlineLevel="0" collapsed="false">
      <c r="A392" s="71" t="str">
        <f aca="false">IF(D392="","",ROW()-1)</f>
        <v/>
      </c>
      <c r="B392" s="72"/>
      <c r="C392" s="72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4"/>
      <c r="O392" s="73"/>
      <c r="P392" s="74"/>
      <c r="Q392" s="73"/>
      <c r="R392" s="74"/>
      <c r="S392" s="75"/>
      <c r="T392" s="73"/>
      <c r="U392" s="73"/>
      <c r="V392" s="73"/>
      <c r="W392" s="73"/>
      <c r="X392" s="73"/>
      <c r="Y392" s="73"/>
      <c r="Z392" s="73"/>
      <c r="AA392" s="73"/>
      <c r="AB392" s="74"/>
      <c r="AC392" s="73"/>
      <c r="AD392" s="76"/>
      <c r="AE392" s="73"/>
      <c r="AF392" s="73"/>
      <c r="AG392" s="73"/>
      <c r="AH392" s="73"/>
      <c r="AI392" s="73"/>
    </row>
    <row r="393" customFormat="false" ht="15" hidden="false" customHeight="false" outlineLevel="0" collapsed="false">
      <c r="A393" s="71" t="str">
        <f aca="false">IF(D393="","",ROW()-1)</f>
        <v/>
      </c>
      <c r="B393" s="72"/>
      <c r="C393" s="72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4"/>
      <c r="O393" s="73"/>
      <c r="P393" s="74"/>
      <c r="Q393" s="73"/>
      <c r="R393" s="74"/>
      <c r="S393" s="75"/>
      <c r="T393" s="73"/>
      <c r="U393" s="73"/>
      <c r="V393" s="73"/>
      <c r="W393" s="73"/>
      <c r="X393" s="73"/>
      <c r="Y393" s="73"/>
      <c r="Z393" s="73"/>
      <c r="AA393" s="73"/>
      <c r="AB393" s="74"/>
      <c r="AC393" s="73"/>
      <c r="AD393" s="76"/>
      <c r="AE393" s="73"/>
      <c r="AF393" s="73"/>
      <c r="AG393" s="73"/>
      <c r="AH393" s="73"/>
      <c r="AI393" s="73"/>
    </row>
    <row r="394" customFormat="false" ht="15" hidden="false" customHeight="false" outlineLevel="0" collapsed="false">
      <c r="A394" s="71" t="str">
        <f aca="false">IF(D394="","",ROW()-1)</f>
        <v/>
      </c>
      <c r="B394" s="72"/>
      <c r="C394" s="72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4"/>
      <c r="O394" s="73"/>
      <c r="P394" s="74"/>
      <c r="Q394" s="73"/>
      <c r="R394" s="74"/>
      <c r="S394" s="75"/>
      <c r="T394" s="73"/>
      <c r="U394" s="73"/>
      <c r="V394" s="73"/>
      <c r="W394" s="73"/>
      <c r="X394" s="73"/>
      <c r="Y394" s="73"/>
      <c r="Z394" s="73"/>
      <c r="AA394" s="73"/>
      <c r="AB394" s="74"/>
      <c r="AC394" s="73"/>
      <c r="AD394" s="76"/>
      <c r="AE394" s="73"/>
      <c r="AF394" s="73"/>
      <c r="AG394" s="73"/>
      <c r="AH394" s="73"/>
      <c r="AI394" s="73"/>
    </row>
    <row r="395" customFormat="false" ht="15" hidden="false" customHeight="false" outlineLevel="0" collapsed="false">
      <c r="A395" s="71" t="str">
        <f aca="false">IF(D395="","",ROW()-1)</f>
        <v/>
      </c>
      <c r="B395" s="72"/>
      <c r="C395" s="72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4"/>
      <c r="O395" s="73"/>
      <c r="P395" s="74"/>
      <c r="Q395" s="73"/>
      <c r="R395" s="74"/>
      <c r="S395" s="75"/>
      <c r="T395" s="73"/>
      <c r="U395" s="73"/>
      <c r="V395" s="73"/>
      <c r="W395" s="73"/>
      <c r="X395" s="73"/>
      <c r="Y395" s="73"/>
      <c r="Z395" s="73"/>
      <c r="AA395" s="73"/>
      <c r="AB395" s="74"/>
      <c r="AC395" s="73"/>
      <c r="AD395" s="76"/>
      <c r="AE395" s="73"/>
      <c r="AF395" s="73"/>
      <c r="AG395" s="73"/>
      <c r="AH395" s="73"/>
      <c r="AI395" s="73"/>
    </row>
    <row r="396" customFormat="false" ht="15" hidden="false" customHeight="false" outlineLevel="0" collapsed="false">
      <c r="A396" s="71" t="str">
        <f aca="false">IF(D396="","",ROW()-1)</f>
        <v/>
      </c>
      <c r="B396" s="72"/>
      <c r="C396" s="72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4"/>
      <c r="O396" s="73"/>
      <c r="P396" s="74"/>
      <c r="Q396" s="73"/>
      <c r="R396" s="74"/>
      <c r="S396" s="75"/>
      <c r="T396" s="73"/>
      <c r="U396" s="73"/>
      <c r="V396" s="73"/>
      <c r="W396" s="73"/>
      <c r="X396" s="73"/>
      <c r="Y396" s="73"/>
      <c r="Z396" s="73"/>
      <c r="AA396" s="73"/>
      <c r="AB396" s="74"/>
      <c r="AC396" s="73"/>
      <c r="AD396" s="76"/>
      <c r="AE396" s="73"/>
      <c r="AF396" s="73"/>
      <c r="AG396" s="73"/>
      <c r="AH396" s="73"/>
      <c r="AI396" s="73"/>
    </row>
    <row r="397" customFormat="false" ht="15" hidden="false" customHeight="false" outlineLevel="0" collapsed="false">
      <c r="A397" s="71" t="str">
        <f aca="false">IF(D397="","",ROW()-1)</f>
        <v/>
      </c>
      <c r="B397" s="72"/>
      <c r="C397" s="72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4"/>
      <c r="O397" s="73"/>
      <c r="P397" s="74"/>
      <c r="Q397" s="73"/>
      <c r="R397" s="74"/>
      <c r="S397" s="75"/>
      <c r="T397" s="73"/>
      <c r="U397" s="73"/>
      <c r="V397" s="73"/>
      <c r="W397" s="73"/>
      <c r="X397" s="73"/>
      <c r="Y397" s="73"/>
      <c r="Z397" s="73"/>
      <c r="AA397" s="73"/>
      <c r="AB397" s="74"/>
      <c r="AC397" s="73"/>
      <c r="AD397" s="76"/>
      <c r="AE397" s="73"/>
      <c r="AF397" s="73"/>
      <c r="AG397" s="73"/>
      <c r="AH397" s="73"/>
      <c r="AI397" s="73"/>
    </row>
    <row r="398" customFormat="false" ht="15" hidden="false" customHeight="false" outlineLevel="0" collapsed="false">
      <c r="A398" s="71" t="str">
        <f aca="false">IF(D398="","",ROW()-1)</f>
        <v/>
      </c>
      <c r="B398" s="72"/>
      <c r="C398" s="72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4"/>
      <c r="O398" s="73"/>
      <c r="P398" s="74"/>
      <c r="Q398" s="73"/>
      <c r="R398" s="74"/>
      <c r="S398" s="75"/>
      <c r="T398" s="73"/>
      <c r="U398" s="73"/>
      <c r="V398" s="73"/>
      <c r="W398" s="73"/>
      <c r="X398" s="73"/>
      <c r="Y398" s="73"/>
      <c r="Z398" s="73"/>
      <c r="AA398" s="73"/>
      <c r="AB398" s="74"/>
      <c r="AC398" s="73"/>
      <c r="AD398" s="76"/>
      <c r="AE398" s="73"/>
      <c r="AF398" s="73"/>
      <c r="AG398" s="73"/>
      <c r="AH398" s="73"/>
      <c r="AI398" s="73"/>
    </row>
    <row r="399" customFormat="false" ht="15" hidden="false" customHeight="false" outlineLevel="0" collapsed="false">
      <c r="A399" s="71" t="str">
        <f aca="false">IF(D399="","",ROW()-1)</f>
        <v/>
      </c>
      <c r="B399" s="72"/>
      <c r="C399" s="72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4"/>
      <c r="O399" s="73"/>
      <c r="P399" s="74"/>
      <c r="Q399" s="73"/>
      <c r="R399" s="74"/>
      <c r="S399" s="75"/>
      <c r="T399" s="73"/>
      <c r="U399" s="73"/>
      <c r="V399" s="73"/>
      <c r="W399" s="73"/>
      <c r="X399" s="73"/>
      <c r="Y399" s="73"/>
      <c r="Z399" s="73"/>
      <c r="AA399" s="73"/>
      <c r="AB399" s="74"/>
      <c r="AC399" s="73"/>
      <c r="AD399" s="76"/>
      <c r="AE399" s="73"/>
      <c r="AF399" s="73"/>
      <c r="AG399" s="73"/>
      <c r="AH399" s="73"/>
      <c r="AI399" s="73"/>
    </row>
    <row r="400" customFormat="false" ht="15" hidden="false" customHeight="false" outlineLevel="0" collapsed="false">
      <c r="A400" s="71" t="str">
        <f aca="false">IF(D400="","",ROW()-1)</f>
        <v/>
      </c>
      <c r="B400" s="72"/>
      <c r="C400" s="72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4"/>
      <c r="O400" s="73"/>
      <c r="P400" s="74"/>
      <c r="Q400" s="73"/>
      <c r="R400" s="74"/>
      <c r="S400" s="75"/>
      <c r="T400" s="73"/>
      <c r="U400" s="73"/>
      <c r="V400" s="73"/>
      <c r="W400" s="73"/>
      <c r="X400" s="73"/>
      <c r="Y400" s="73"/>
      <c r="Z400" s="73"/>
      <c r="AA400" s="73"/>
      <c r="AB400" s="74"/>
      <c r="AC400" s="73"/>
      <c r="AD400" s="76"/>
      <c r="AE400" s="73"/>
      <c r="AF400" s="73"/>
      <c r="AG400" s="73"/>
      <c r="AH400" s="73"/>
      <c r="AI400" s="73"/>
    </row>
    <row r="401" customFormat="false" ht="15" hidden="false" customHeight="false" outlineLevel="0" collapsed="false">
      <c r="A401" s="71" t="str">
        <f aca="false">IF(D401="","",ROW()-1)</f>
        <v/>
      </c>
      <c r="B401" s="72"/>
      <c r="C401" s="72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4"/>
      <c r="O401" s="73"/>
      <c r="P401" s="74"/>
      <c r="Q401" s="73"/>
      <c r="R401" s="74"/>
      <c r="S401" s="75"/>
      <c r="T401" s="73"/>
      <c r="U401" s="73"/>
      <c r="V401" s="73"/>
      <c r="W401" s="73"/>
      <c r="X401" s="73"/>
      <c r="Y401" s="73"/>
      <c r="Z401" s="73"/>
      <c r="AA401" s="73"/>
      <c r="AB401" s="74"/>
      <c r="AC401" s="73"/>
      <c r="AD401" s="76"/>
      <c r="AE401" s="73"/>
      <c r="AF401" s="73"/>
      <c r="AG401" s="73"/>
      <c r="AH401" s="73"/>
      <c r="AI401" s="73"/>
    </row>
    <row r="402" customFormat="false" ht="15" hidden="false" customHeight="false" outlineLevel="0" collapsed="false">
      <c r="A402" s="71" t="str">
        <f aca="false">IF(D402="","",ROW()-1)</f>
        <v/>
      </c>
      <c r="B402" s="72"/>
      <c r="C402" s="72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4"/>
      <c r="O402" s="73"/>
      <c r="P402" s="74"/>
      <c r="Q402" s="73"/>
      <c r="R402" s="74"/>
      <c r="S402" s="75"/>
      <c r="T402" s="73"/>
      <c r="U402" s="73"/>
      <c r="V402" s="73"/>
      <c r="W402" s="73"/>
      <c r="X402" s="73"/>
      <c r="Y402" s="73"/>
      <c r="Z402" s="73"/>
      <c r="AA402" s="73"/>
      <c r="AB402" s="74"/>
      <c r="AC402" s="73"/>
      <c r="AD402" s="76"/>
      <c r="AE402" s="73"/>
      <c r="AF402" s="73"/>
      <c r="AG402" s="73"/>
      <c r="AH402" s="73"/>
      <c r="AI402" s="73"/>
    </row>
    <row r="403" customFormat="false" ht="15" hidden="false" customHeight="false" outlineLevel="0" collapsed="false">
      <c r="A403" s="71" t="str">
        <f aca="false">IF(D403="","",ROW()-1)</f>
        <v/>
      </c>
      <c r="B403" s="72"/>
      <c r="C403" s="72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4"/>
      <c r="O403" s="73"/>
      <c r="P403" s="74"/>
      <c r="Q403" s="73"/>
      <c r="R403" s="74"/>
      <c r="S403" s="75"/>
      <c r="T403" s="73"/>
      <c r="U403" s="73"/>
      <c r="V403" s="73"/>
      <c r="W403" s="73"/>
      <c r="X403" s="73"/>
      <c r="Y403" s="73"/>
      <c r="Z403" s="73"/>
      <c r="AA403" s="73"/>
      <c r="AB403" s="74"/>
      <c r="AC403" s="73"/>
      <c r="AD403" s="76"/>
      <c r="AE403" s="73"/>
      <c r="AF403" s="73"/>
      <c r="AG403" s="73"/>
      <c r="AH403" s="73"/>
      <c r="AI403" s="73"/>
    </row>
    <row r="404" customFormat="false" ht="15" hidden="false" customHeight="false" outlineLevel="0" collapsed="false">
      <c r="A404" s="71" t="str">
        <f aca="false">IF(D404="","",ROW()-1)</f>
        <v/>
      </c>
      <c r="B404" s="72"/>
      <c r="C404" s="72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4"/>
      <c r="O404" s="73"/>
      <c r="P404" s="74"/>
      <c r="Q404" s="73"/>
      <c r="R404" s="74"/>
      <c r="S404" s="75"/>
      <c r="T404" s="73"/>
      <c r="U404" s="73"/>
      <c r="V404" s="73"/>
      <c r="W404" s="73"/>
      <c r="X404" s="73"/>
      <c r="Y404" s="73"/>
      <c r="Z404" s="73"/>
      <c r="AA404" s="73"/>
      <c r="AB404" s="74"/>
      <c r="AC404" s="73"/>
      <c r="AD404" s="76"/>
      <c r="AE404" s="73"/>
      <c r="AF404" s="73"/>
      <c r="AG404" s="73"/>
      <c r="AH404" s="73"/>
      <c r="AI404" s="73"/>
    </row>
    <row r="405" customFormat="false" ht="15" hidden="false" customHeight="false" outlineLevel="0" collapsed="false">
      <c r="A405" s="71" t="str">
        <f aca="false">IF(D405="","",ROW()-1)</f>
        <v/>
      </c>
      <c r="B405" s="72"/>
      <c r="C405" s="72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4"/>
      <c r="O405" s="73"/>
      <c r="P405" s="74"/>
      <c r="Q405" s="73"/>
      <c r="R405" s="74"/>
      <c r="S405" s="75"/>
      <c r="T405" s="73"/>
      <c r="U405" s="73"/>
      <c r="V405" s="73"/>
      <c r="W405" s="73"/>
      <c r="X405" s="73"/>
      <c r="Y405" s="73"/>
      <c r="Z405" s="73"/>
      <c r="AA405" s="73"/>
      <c r="AB405" s="74"/>
      <c r="AC405" s="73"/>
      <c r="AD405" s="76"/>
      <c r="AE405" s="73"/>
      <c r="AF405" s="73"/>
      <c r="AG405" s="73"/>
      <c r="AH405" s="73"/>
      <c r="AI405" s="73"/>
    </row>
    <row r="406" customFormat="false" ht="15" hidden="false" customHeight="false" outlineLevel="0" collapsed="false">
      <c r="A406" s="71" t="str">
        <f aca="false">IF(D406="","",ROW()-1)</f>
        <v/>
      </c>
      <c r="B406" s="72"/>
      <c r="C406" s="72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4"/>
      <c r="O406" s="73"/>
      <c r="P406" s="74"/>
      <c r="Q406" s="73"/>
      <c r="R406" s="74"/>
      <c r="S406" s="75"/>
      <c r="T406" s="73"/>
      <c r="U406" s="73"/>
      <c r="V406" s="73"/>
      <c r="W406" s="73"/>
      <c r="X406" s="73"/>
      <c r="Y406" s="73"/>
      <c r="Z406" s="73"/>
      <c r="AA406" s="73"/>
      <c r="AB406" s="74"/>
      <c r="AC406" s="73"/>
      <c r="AD406" s="76"/>
      <c r="AE406" s="73"/>
      <c r="AF406" s="73"/>
      <c r="AG406" s="73"/>
      <c r="AH406" s="73"/>
      <c r="AI406" s="73"/>
    </row>
    <row r="407" customFormat="false" ht="15" hidden="false" customHeight="false" outlineLevel="0" collapsed="false">
      <c r="A407" s="71" t="str">
        <f aca="false">IF(D407="","",ROW()-1)</f>
        <v/>
      </c>
      <c r="B407" s="72"/>
      <c r="C407" s="72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4"/>
      <c r="O407" s="73"/>
      <c r="P407" s="74"/>
      <c r="Q407" s="73"/>
      <c r="R407" s="74"/>
      <c r="S407" s="75"/>
      <c r="T407" s="73"/>
      <c r="U407" s="73"/>
      <c r="V407" s="73"/>
      <c r="W407" s="73"/>
      <c r="X407" s="73"/>
      <c r="Y407" s="73"/>
      <c r="Z407" s="73"/>
      <c r="AA407" s="73"/>
      <c r="AB407" s="74"/>
      <c r="AC407" s="73"/>
      <c r="AD407" s="76"/>
      <c r="AE407" s="73"/>
      <c r="AF407" s="73"/>
      <c r="AG407" s="73"/>
      <c r="AH407" s="73"/>
      <c r="AI407" s="73"/>
    </row>
    <row r="408" customFormat="false" ht="15" hidden="false" customHeight="false" outlineLevel="0" collapsed="false">
      <c r="A408" s="71" t="str">
        <f aca="false">IF(D408="","",ROW()-1)</f>
        <v/>
      </c>
      <c r="B408" s="72"/>
      <c r="C408" s="72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4"/>
      <c r="O408" s="73"/>
      <c r="P408" s="74"/>
      <c r="Q408" s="73"/>
      <c r="R408" s="74"/>
      <c r="S408" s="75"/>
      <c r="T408" s="73"/>
      <c r="U408" s="73"/>
      <c r="V408" s="73"/>
      <c r="W408" s="73"/>
      <c r="X408" s="73"/>
      <c r="Y408" s="73"/>
      <c r="Z408" s="73"/>
      <c r="AA408" s="73"/>
      <c r="AB408" s="74"/>
      <c r="AC408" s="73"/>
      <c r="AD408" s="76"/>
      <c r="AE408" s="73"/>
      <c r="AF408" s="73"/>
      <c r="AG408" s="73"/>
      <c r="AH408" s="73"/>
      <c r="AI408" s="73"/>
    </row>
    <row r="409" customFormat="false" ht="15" hidden="false" customHeight="false" outlineLevel="0" collapsed="false">
      <c r="A409" s="71" t="str">
        <f aca="false">IF(D409="","",ROW()-1)</f>
        <v/>
      </c>
      <c r="B409" s="72"/>
      <c r="C409" s="72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4"/>
      <c r="O409" s="73"/>
      <c r="P409" s="74"/>
      <c r="Q409" s="73"/>
      <c r="R409" s="74"/>
      <c r="S409" s="75"/>
      <c r="T409" s="73"/>
      <c r="U409" s="73"/>
      <c r="V409" s="73"/>
      <c r="W409" s="73"/>
      <c r="X409" s="73"/>
      <c r="Y409" s="73"/>
      <c r="Z409" s="73"/>
      <c r="AA409" s="73"/>
      <c r="AB409" s="74"/>
      <c r="AC409" s="73"/>
      <c r="AD409" s="76"/>
      <c r="AE409" s="73"/>
      <c r="AF409" s="73"/>
      <c r="AG409" s="73"/>
      <c r="AH409" s="73"/>
      <c r="AI409" s="73"/>
    </row>
    <row r="410" customFormat="false" ht="15" hidden="false" customHeight="false" outlineLevel="0" collapsed="false">
      <c r="A410" s="71" t="str">
        <f aca="false">IF(D410="","",ROW()-1)</f>
        <v/>
      </c>
      <c r="B410" s="72"/>
      <c r="C410" s="72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4"/>
      <c r="O410" s="73"/>
      <c r="P410" s="74"/>
      <c r="Q410" s="73"/>
      <c r="R410" s="74"/>
      <c r="S410" s="75"/>
      <c r="T410" s="73"/>
      <c r="U410" s="73"/>
      <c r="V410" s="73"/>
      <c r="W410" s="73"/>
      <c r="X410" s="73"/>
      <c r="Y410" s="73"/>
      <c r="Z410" s="73"/>
      <c r="AA410" s="73"/>
      <c r="AB410" s="74"/>
      <c r="AC410" s="73"/>
      <c r="AD410" s="76"/>
      <c r="AE410" s="73"/>
      <c r="AF410" s="73"/>
      <c r="AG410" s="73"/>
      <c r="AH410" s="73"/>
      <c r="AI410" s="73"/>
    </row>
    <row r="411" customFormat="false" ht="15" hidden="false" customHeight="false" outlineLevel="0" collapsed="false">
      <c r="A411" s="71" t="str">
        <f aca="false">IF(D411="","",ROW()-1)</f>
        <v/>
      </c>
      <c r="B411" s="72"/>
      <c r="C411" s="72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4"/>
      <c r="O411" s="73"/>
      <c r="P411" s="74"/>
      <c r="Q411" s="73"/>
      <c r="R411" s="74"/>
      <c r="S411" s="75"/>
      <c r="T411" s="73"/>
      <c r="U411" s="73"/>
      <c r="V411" s="73"/>
      <c r="W411" s="73"/>
      <c r="X411" s="73"/>
      <c r="Y411" s="73"/>
      <c r="Z411" s="73"/>
      <c r="AA411" s="73"/>
      <c r="AB411" s="74"/>
      <c r="AC411" s="73"/>
      <c r="AD411" s="76"/>
      <c r="AE411" s="73"/>
      <c r="AF411" s="73"/>
      <c r="AG411" s="73"/>
      <c r="AH411" s="73"/>
      <c r="AI411" s="73"/>
    </row>
    <row r="412" customFormat="false" ht="15" hidden="false" customHeight="false" outlineLevel="0" collapsed="false">
      <c r="A412" s="71" t="str">
        <f aca="false">IF(D412="","",ROW()-1)</f>
        <v/>
      </c>
      <c r="B412" s="72"/>
      <c r="C412" s="72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4"/>
      <c r="O412" s="73"/>
      <c r="P412" s="74"/>
      <c r="Q412" s="73"/>
      <c r="R412" s="74"/>
      <c r="S412" s="75"/>
      <c r="T412" s="73"/>
      <c r="U412" s="73"/>
      <c r="V412" s="73"/>
      <c r="W412" s="73"/>
      <c r="X412" s="73"/>
      <c r="Y412" s="73"/>
      <c r="Z412" s="73"/>
      <c r="AA412" s="73"/>
      <c r="AB412" s="74"/>
      <c r="AC412" s="73"/>
      <c r="AD412" s="76"/>
      <c r="AE412" s="73"/>
      <c r="AF412" s="73"/>
      <c r="AG412" s="73"/>
      <c r="AH412" s="73"/>
      <c r="AI412" s="73"/>
    </row>
    <row r="413" customFormat="false" ht="15" hidden="false" customHeight="false" outlineLevel="0" collapsed="false">
      <c r="A413" s="71" t="str">
        <f aca="false">IF(D413="","",ROW()-1)</f>
        <v/>
      </c>
      <c r="B413" s="72"/>
      <c r="C413" s="72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4"/>
      <c r="O413" s="73"/>
      <c r="P413" s="74"/>
      <c r="Q413" s="73"/>
      <c r="R413" s="74"/>
      <c r="S413" s="75"/>
      <c r="T413" s="73"/>
      <c r="U413" s="73"/>
      <c r="V413" s="73"/>
      <c r="W413" s="73"/>
      <c r="X413" s="73"/>
      <c r="Y413" s="73"/>
      <c r="Z413" s="73"/>
      <c r="AA413" s="73"/>
      <c r="AB413" s="74"/>
      <c r="AC413" s="73"/>
      <c r="AD413" s="76"/>
      <c r="AE413" s="73"/>
      <c r="AF413" s="73"/>
      <c r="AG413" s="73"/>
      <c r="AH413" s="73"/>
      <c r="AI413" s="73"/>
    </row>
    <row r="414" customFormat="false" ht="15" hidden="false" customHeight="false" outlineLevel="0" collapsed="false">
      <c r="A414" s="71" t="str">
        <f aca="false">IF(D414="","",ROW()-1)</f>
        <v/>
      </c>
      <c r="B414" s="72"/>
      <c r="C414" s="72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4"/>
      <c r="O414" s="73"/>
      <c r="P414" s="74"/>
      <c r="Q414" s="73"/>
      <c r="R414" s="74"/>
      <c r="S414" s="75"/>
      <c r="T414" s="73"/>
      <c r="U414" s="73"/>
      <c r="V414" s="73"/>
      <c r="W414" s="73"/>
      <c r="X414" s="73"/>
      <c r="Y414" s="73"/>
      <c r="Z414" s="73"/>
      <c r="AA414" s="73"/>
      <c r="AB414" s="74"/>
      <c r="AC414" s="73"/>
      <c r="AD414" s="76"/>
      <c r="AE414" s="73"/>
      <c r="AF414" s="73"/>
      <c r="AG414" s="73"/>
      <c r="AH414" s="73"/>
      <c r="AI414" s="73"/>
    </row>
    <row r="415" customFormat="false" ht="15" hidden="false" customHeight="false" outlineLevel="0" collapsed="false">
      <c r="A415" s="71" t="str">
        <f aca="false">IF(D415="","",ROW()-1)</f>
        <v/>
      </c>
      <c r="B415" s="72"/>
      <c r="C415" s="72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4"/>
      <c r="O415" s="73"/>
      <c r="P415" s="74"/>
      <c r="Q415" s="73"/>
      <c r="R415" s="74"/>
      <c r="S415" s="75"/>
      <c r="T415" s="73"/>
      <c r="U415" s="73"/>
      <c r="V415" s="73"/>
      <c r="W415" s="73"/>
      <c r="X415" s="73"/>
      <c r="Y415" s="73"/>
      <c r="Z415" s="73"/>
      <c r="AA415" s="73"/>
      <c r="AB415" s="74"/>
      <c r="AC415" s="73"/>
      <c r="AD415" s="76"/>
      <c r="AE415" s="73"/>
      <c r="AF415" s="73"/>
      <c r="AG415" s="73"/>
      <c r="AH415" s="73"/>
      <c r="AI415" s="73"/>
    </row>
    <row r="416" customFormat="false" ht="15" hidden="false" customHeight="false" outlineLevel="0" collapsed="false">
      <c r="A416" s="71" t="str">
        <f aca="false">IF(D416="","",ROW()-1)</f>
        <v/>
      </c>
      <c r="B416" s="72"/>
      <c r="C416" s="72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4"/>
      <c r="O416" s="73"/>
      <c r="P416" s="74"/>
      <c r="Q416" s="73"/>
      <c r="R416" s="74"/>
      <c r="S416" s="75"/>
      <c r="T416" s="73"/>
      <c r="U416" s="73"/>
      <c r="V416" s="73"/>
      <c r="W416" s="73"/>
      <c r="X416" s="73"/>
      <c r="Y416" s="73"/>
      <c r="Z416" s="73"/>
      <c r="AA416" s="73"/>
      <c r="AB416" s="74"/>
      <c r="AC416" s="73"/>
      <c r="AD416" s="76"/>
      <c r="AE416" s="73"/>
      <c r="AF416" s="73"/>
      <c r="AG416" s="73"/>
      <c r="AH416" s="73"/>
      <c r="AI416" s="73"/>
    </row>
    <row r="417" customFormat="false" ht="15" hidden="false" customHeight="false" outlineLevel="0" collapsed="false">
      <c r="A417" s="71" t="str">
        <f aca="false">IF(D417="","",ROW()-1)</f>
        <v/>
      </c>
      <c r="B417" s="72"/>
      <c r="C417" s="72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4"/>
      <c r="O417" s="73"/>
      <c r="P417" s="74"/>
      <c r="Q417" s="73"/>
      <c r="R417" s="74"/>
      <c r="S417" s="75"/>
      <c r="T417" s="73"/>
      <c r="U417" s="73"/>
      <c r="V417" s="73"/>
      <c r="W417" s="73"/>
      <c r="X417" s="73"/>
      <c r="Y417" s="73"/>
      <c r="Z417" s="73"/>
      <c r="AA417" s="73"/>
      <c r="AB417" s="74"/>
      <c r="AC417" s="73"/>
      <c r="AD417" s="76"/>
      <c r="AE417" s="73"/>
      <c r="AF417" s="73"/>
      <c r="AG417" s="73"/>
      <c r="AH417" s="73"/>
      <c r="AI417" s="73"/>
    </row>
    <row r="418" customFormat="false" ht="15" hidden="false" customHeight="false" outlineLevel="0" collapsed="false">
      <c r="A418" s="71" t="str">
        <f aca="false">IF(D418="","",ROW()-1)</f>
        <v/>
      </c>
      <c r="B418" s="72"/>
      <c r="C418" s="72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4"/>
      <c r="O418" s="73"/>
      <c r="P418" s="74"/>
      <c r="Q418" s="73"/>
      <c r="R418" s="74"/>
      <c r="S418" s="75"/>
      <c r="T418" s="73"/>
      <c r="U418" s="73"/>
      <c r="V418" s="73"/>
      <c r="W418" s="73"/>
      <c r="X418" s="73"/>
      <c r="Y418" s="73"/>
      <c r="Z418" s="73"/>
      <c r="AA418" s="73"/>
      <c r="AB418" s="74"/>
      <c r="AC418" s="73"/>
      <c r="AD418" s="76"/>
      <c r="AE418" s="73"/>
      <c r="AF418" s="73"/>
      <c r="AG418" s="73"/>
      <c r="AH418" s="73"/>
      <c r="AI418" s="73"/>
    </row>
    <row r="419" customFormat="false" ht="15" hidden="false" customHeight="false" outlineLevel="0" collapsed="false">
      <c r="A419" s="71" t="str">
        <f aca="false">IF(D419="","",ROW()-1)</f>
        <v/>
      </c>
      <c r="B419" s="72"/>
      <c r="C419" s="72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4"/>
      <c r="O419" s="73"/>
      <c r="P419" s="74"/>
      <c r="Q419" s="73"/>
      <c r="R419" s="74"/>
      <c r="S419" s="75"/>
      <c r="T419" s="73"/>
      <c r="U419" s="73"/>
      <c r="V419" s="73"/>
      <c r="W419" s="73"/>
      <c r="X419" s="73"/>
      <c r="Y419" s="73"/>
      <c r="Z419" s="73"/>
      <c r="AA419" s="73"/>
      <c r="AB419" s="74"/>
      <c r="AC419" s="73"/>
      <c r="AD419" s="76"/>
      <c r="AE419" s="73"/>
      <c r="AF419" s="73"/>
      <c r="AG419" s="73"/>
      <c r="AH419" s="73"/>
      <c r="AI419" s="73"/>
    </row>
    <row r="420" customFormat="false" ht="15" hidden="false" customHeight="false" outlineLevel="0" collapsed="false">
      <c r="A420" s="71" t="str">
        <f aca="false">IF(D420="","",ROW()-1)</f>
        <v/>
      </c>
      <c r="B420" s="72"/>
      <c r="C420" s="72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4"/>
      <c r="O420" s="73"/>
      <c r="P420" s="74"/>
      <c r="Q420" s="73"/>
      <c r="R420" s="74"/>
      <c r="S420" s="75"/>
      <c r="T420" s="73"/>
      <c r="U420" s="73"/>
      <c r="V420" s="73"/>
      <c r="W420" s="73"/>
      <c r="X420" s="73"/>
      <c r="Y420" s="73"/>
      <c r="Z420" s="73"/>
      <c r="AA420" s="73"/>
      <c r="AB420" s="74"/>
      <c r="AC420" s="73"/>
      <c r="AD420" s="76"/>
      <c r="AE420" s="73"/>
      <c r="AF420" s="73"/>
      <c r="AG420" s="73"/>
      <c r="AH420" s="73"/>
      <c r="AI420" s="73"/>
    </row>
    <row r="421" customFormat="false" ht="15" hidden="false" customHeight="false" outlineLevel="0" collapsed="false">
      <c r="A421" s="71" t="str">
        <f aca="false">IF(D421="","",ROW()-1)</f>
        <v/>
      </c>
      <c r="B421" s="72"/>
      <c r="C421" s="72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4"/>
      <c r="O421" s="73"/>
      <c r="P421" s="74"/>
      <c r="Q421" s="73"/>
      <c r="R421" s="74"/>
      <c r="S421" s="75"/>
      <c r="T421" s="73"/>
      <c r="U421" s="73"/>
      <c r="V421" s="73"/>
      <c r="W421" s="73"/>
      <c r="X421" s="73"/>
      <c r="Y421" s="73"/>
      <c r="Z421" s="73"/>
      <c r="AA421" s="73"/>
      <c r="AB421" s="74"/>
      <c r="AC421" s="73"/>
      <c r="AD421" s="76"/>
      <c r="AE421" s="73"/>
      <c r="AF421" s="73"/>
      <c r="AG421" s="73"/>
      <c r="AH421" s="73"/>
      <c r="AI421" s="73"/>
    </row>
    <row r="422" customFormat="false" ht="15" hidden="false" customHeight="false" outlineLevel="0" collapsed="false">
      <c r="A422" s="71" t="str">
        <f aca="false">IF(D422="","",ROW()-1)</f>
        <v/>
      </c>
      <c r="B422" s="72"/>
      <c r="C422" s="72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4"/>
      <c r="O422" s="73"/>
      <c r="P422" s="74"/>
      <c r="Q422" s="73"/>
      <c r="R422" s="74"/>
      <c r="S422" s="75"/>
      <c r="T422" s="73"/>
      <c r="U422" s="73"/>
      <c r="V422" s="73"/>
      <c r="W422" s="73"/>
      <c r="X422" s="73"/>
      <c r="Y422" s="73"/>
      <c r="Z422" s="73"/>
      <c r="AA422" s="73"/>
      <c r="AB422" s="74"/>
      <c r="AC422" s="73"/>
      <c r="AD422" s="76"/>
      <c r="AE422" s="73"/>
      <c r="AF422" s="73"/>
      <c r="AG422" s="73"/>
      <c r="AH422" s="73"/>
      <c r="AI422" s="73"/>
    </row>
    <row r="423" customFormat="false" ht="15" hidden="false" customHeight="false" outlineLevel="0" collapsed="false">
      <c r="A423" s="71" t="str">
        <f aca="false">IF(D423="","",ROW()-1)</f>
        <v/>
      </c>
      <c r="B423" s="72"/>
      <c r="C423" s="72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4"/>
      <c r="O423" s="73"/>
      <c r="P423" s="74"/>
      <c r="Q423" s="73"/>
      <c r="R423" s="74"/>
      <c r="S423" s="75"/>
      <c r="T423" s="73"/>
      <c r="U423" s="73"/>
      <c r="V423" s="73"/>
      <c r="W423" s="73"/>
      <c r="X423" s="73"/>
      <c r="Y423" s="73"/>
      <c r="Z423" s="73"/>
      <c r="AA423" s="73"/>
      <c r="AB423" s="74"/>
      <c r="AC423" s="73"/>
      <c r="AD423" s="76"/>
      <c r="AE423" s="73"/>
      <c r="AF423" s="73"/>
      <c r="AG423" s="73"/>
      <c r="AH423" s="73"/>
      <c r="AI423" s="73"/>
    </row>
    <row r="424" customFormat="false" ht="15" hidden="false" customHeight="false" outlineLevel="0" collapsed="false">
      <c r="A424" s="71" t="str">
        <f aca="false">IF(D424="","",ROW()-1)</f>
        <v/>
      </c>
      <c r="B424" s="72"/>
      <c r="C424" s="72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4"/>
      <c r="O424" s="73"/>
      <c r="P424" s="74"/>
      <c r="Q424" s="73"/>
      <c r="R424" s="74"/>
      <c r="S424" s="75"/>
      <c r="T424" s="73"/>
      <c r="U424" s="73"/>
      <c r="V424" s="73"/>
      <c r="W424" s="73"/>
      <c r="X424" s="73"/>
      <c r="Y424" s="73"/>
      <c r="Z424" s="73"/>
      <c r="AA424" s="73"/>
      <c r="AB424" s="74"/>
      <c r="AC424" s="73"/>
      <c r="AD424" s="76"/>
      <c r="AE424" s="73"/>
      <c r="AF424" s="73"/>
      <c r="AG424" s="73"/>
      <c r="AH424" s="73"/>
      <c r="AI424" s="73"/>
    </row>
    <row r="425" customFormat="false" ht="15" hidden="false" customHeight="false" outlineLevel="0" collapsed="false">
      <c r="A425" s="71" t="str">
        <f aca="false">IF(D425="","",ROW()-1)</f>
        <v/>
      </c>
      <c r="B425" s="72"/>
      <c r="C425" s="72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4"/>
      <c r="O425" s="73"/>
      <c r="P425" s="74"/>
      <c r="Q425" s="73"/>
      <c r="R425" s="74"/>
      <c r="S425" s="75"/>
      <c r="T425" s="73"/>
      <c r="U425" s="73"/>
      <c r="V425" s="73"/>
      <c r="W425" s="73"/>
      <c r="X425" s="73"/>
      <c r="Y425" s="73"/>
      <c r="Z425" s="73"/>
      <c r="AA425" s="73"/>
      <c r="AB425" s="74"/>
      <c r="AC425" s="73"/>
      <c r="AD425" s="76"/>
      <c r="AE425" s="73"/>
      <c r="AF425" s="73"/>
      <c r="AG425" s="73"/>
      <c r="AH425" s="73"/>
      <c r="AI425" s="73"/>
    </row>
    <row r="426" customFormat="false" ht="15" hidden="false" customHeight="false" outlineLevel="0" collapsed="false">
      <c r="A426" s="71" t="str">
        <f aca="false">IF(D426="","",ROW()-1)</f>
        <v/>
      </c>
      <c r="B426" s="72"/>
      <c r="C426" s="72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4"/>
      <c r="O426" s="73"/>
      <c r="P426" s="74"/>
      <c r="Q426" s="73"/>
      <c r="R426" s="74"/>
      <c r="S426" s="75"/>
      <c r="T426" s="73"/>
      <c r="U426" s="73"/>
      <c r="V426" s="73"/>
      <c r="W426" s="73"/>
      <c r="X426" s="73"/>
      <c r="Y426" s="73"/>
      <c r="Z426" s="73"/>
      <c r="AA426" s="73"/>
      <c r="AB426" s="74"/>
      <c r="AC426" s="73"/>
      <c r="AD426" s="76"/>
      <c r="AE426" s="73"/>
      <c r="AF426" s="73"/>
      <c r="AG426" s="73"/>
      <c r="AH426" s="73"/>
      <c r="AI426" s="73"/>
    </row>
    <row r="427" customFormat="false" ht="15" hidden="false" customHeight="false" outlineLevel="0" collapsed="false">
      <c r="A427" s="71" t="str">
        <f aca="false">IF(D427="","",ROW()-1)</f>
        <v/>
      </c>
      <c r="B427" s="72"/>
      <c r="C427" s="72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4"/>
      <c r="O427" s="73"/>
      <c r="P427" s="74"/>
      <c r="Q427" s="73"/>
      <c r="R427" s="74"/>
      <c r="S427" s="75"/>
      <c r="T427" s="73"/>
      <c r="U427" s="73"/>
      <c r="V427" s="73"/>
      <c r="W427" s="73"/>
      <c r="X427" s="73"/>
      <c r="Y427" s="73"/>
      <c r="Z427" s="73"/>
      <c r="AA427" s="73"/>
      <c r="AB427" s="74"/>
      <c r="AC427" s="73"/>
      <c r="AD427" s="76"/>
      <c r="AE427" s="73"/>
      <c r="AF427" s="73"/>
      <c r="AG427" s="73"/>
      <c r="AH427" s="73"/>
      <c r="AI427" s="73"/>
    </row>
    <row r="428" customFormat="false" ht="15" hidden="false" customHeight="false" outlineLevel="0" collapsed="false">
      <c r="A428" s="71" t="str">
        <f aca="false">IF(D428="","",ROW()-1)</f>
        <v/>
      </c>
      <c r="B428" s="72"/>
      <c r="C428" s="72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4"/>
      <c r="O428" s="73"/>
      <c r="P428" s="74"/>
      <c r="Q428" s="73"/>
      <c r="R428" s="74"/>
      <c r="S428" s="75"/>
      <c r="T428" s="73"/>
      <c r="U428" s="73"/>
      <c r="V428" s="73"/>
      <c r="W428" s="73"/>
      <c r="X428" s="73"/>
      <c r="Y428" s="73"/>
      <c r="Z428" s="73"/>
      <c r="AA428" s="73"/>
      <c r="AB428" s="74"/>
      <c r="AC428" s="73"/>
      <c r="AD428" s="76"/>
      <c r="AE428" s="73"/>
      <c r="AF428" s="73"/>
      <c r="AG428" s="73"/>
      <c r="AH428" s="73"/>
      <c r="AI428" s="73"/>
    </row>
    <row r="429" customFormat="false" ht="15" hidden="false" customHeight="false" outlineLevel="0" collapsed="false">
      <c r="A429" s="71" t="str">
        <f aca="false">IF(D429="","",ROW()-1)</f>
        <v/>
      </c>
      <c r="B429" s="72"/>
      <c r="C429" s="72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4"/>
      <c r="O429" s="73"/>
      <c r="P429" s="74"/>
      <c r="Q429" s="73"/>
      <c r="R429" s="74"/>
      <c r="S429" s="75"/>
      <c r="T429" s="73"/>
      <c r="U429" s="73"/>
      <c r="V429" s="73"/>
      <c r="W429" s="73"/>
      <c r="X429" s="73"/>
      <c r="Y429" s="73"/>
      <c r="Z429" s="73"/>
      <c r="AA429" s="73"/>
      <c r="AB429" s="74"/>
      <c r="AC429" s="73"/>
      <c r="AD429" s="76"/>
      <c r="AE429" s="73"/>
      <c r="AF429" s="73"/>
      <c r="AG429" s="73"/>
      <c r="AH429" s="73"/>
      <c r="AI429" s="73"/>
    </row>
    <row r="430" customFormat="false" ht="15" hidden="false" customHeight="false" outlineLevel="0" collapsed="false">
      <c r="A430" s="71" t="str">
        <f aca="false">IF(D430="","",ROW()-1)</f>
        <v/>
      </c>
      <c r="B430" s="72"/>
      <c r="C430" s="72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4"/>
      <c r="O430" s="73"/>
      <c r="P430" s="74"/>
      <c r="Q430" s="73"/>
      <c r="R430" s="74"/>
      <c r="S430" s="75"/>
      <c r="T430" s="73"/>
      <c r="U430" s="73"/>
      <c r="V430" s="73"/>
      <c r="W430" s="73"/>
      <c r="X430" s="73"/>
      <c r="Y430" s="73"/>
      <c r="Z430" s="73"/>
      <c r="AA430" s="73"/>
      <c r="AB430" s="74"/>
      <c r="AC430" s="73"/>
      <c r="AD430" s="76"/>
      <c r="AE430" s="73"/>
      <c r="AF430" s="73"/>
      <c r="AG430" s="73"/>
      <c r="AH430" s="73"/>
      <c r="AI430" s="73"/>
    </row>
    <row r="431" customFormat="false" ht="15" hidden="false" customHeight="false" outlineLevel="0" collapsed="false">
      <c r="A431" s="71" t="str">
        <f aca="false">IF(D431="","",ROW()-1)</f>
        <v/>
      </c>
      <c r="B431" s="72"/>
      <c r="C431" s="72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4"/>
      <c r="O431" s="73"/>
      <c r="P431" s="74"/>
      <c r="Q431" s="73"/>
      <c r="R431" s="74"/>
      <c r="S431" s="75"/>
      <c r="T431" s="73"/>
      <c r="U431" s="73"/>
      <c r="V431" s="73"/>
      <c r="W431" s="73"/>
      <c r="X431" s="73"/>
      <c r="Y431" s="73"/>
      <c r="Z431" s="73"/>
      <c r="AA431" s="73"/>
      <c r="AB431" s="74"/>
      <c r="AC431" s="73"/>
      <c r="AD431" s="76"/>
      <c r="AE431" s="73"/>
      <c r="AF431" s="73"/>
      <c r="AG431" s="73"/>
      <c r="AH431" s="73"/>
      <c r="AI431" s="73"/>
    </row>
    <row r="432" customFormat="false" ht="15" hidden="false" customHeight="false" outlineLevel="0" collapsed="false">
      <c r="A432" s="71" t="str">
        <f aca="false">IF(D432="","",ROW()-1)</f>
        <v/>
      </c>
      <c r="B432" s="72"/>
      <c r="C432" s="72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4"/>
      <c r="O432" s="73"/>
      <c r="P432" s="74"/>
      <c r="Q432" s="73"/>
      <c r="R432" s="74"/>
      <c r="S432" s="75"/>
      <c r="T432" s="73"/>
      <c r="U432" s="73"/>
      <c r="V432" s="73"/>
      <c r="W432" s="73"/>
      <c r="X432" s="73"/>
      <c r="Y432" s="73"/>
      <c r="Z432" s="73"/>
      <c r="AA432" s="73"/>
      <c r="AB432" s="74"/>
      <c r="AC432" s="73"/>
      <c r="AD432" s="76"/>
      <c r="AE432" s="73"/>
      <c r="AF432" s="73"/>
      <c r="AG432" s="73"/>
      <c r="AH432" s="73"/>
      <c r="AI432" s="73"/>
    </row>
    <row r="433" customFormat="false" ht="15" hidden="false" customHeight="false" outlineLevel="0" collapsed="false">
      <c r="A433" s="71" t="str">
        <f aca="false">IF(D433="","",ROW()-1)</f>
        <v/>
      </c>
      <c r="B433" s="72"/>
      <c r="C433" s="72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4"/>
      <c r="O433" s="73"/>
      <c r="P433" s="74"/>
      <c r="Q433" s="73"/>
      <c r="R433" s="74"/>
      <c r="S433" s="75"/>
      <c r="T433" s="73"/>
      <c r="U433" s="73"/>
      <c r="V433" s="73"/>
      <c r="W433" s="73"/>
      <c r="X433" s="73"/>
      <c r="Y433" s="73"/>
      <c r="Z433" s="73"/>
      <c r="AA433" s="73"/>
      <c r="AB433" s="74"/>
      <c r="AC433" s="73"/>
      <c r="AD433" s="76"/>
      <c r="AE433" s="73"/>
      <c r="AF433" s="73"/>
      <c r="AG433" s="73"/>
      <c r="AH433" s="73"/>
      <c r="AI433" s="73"/>
    </row>
    <row r="434" customFormat="false" ht="15" hidden="false" customHeight="false" outlineLevel="0" collapsed="false">
      <c r="A434" s="71" t="str">
        <f aca="false">IF(D434="","",ROW()-1)</f>
        <v/>
      </c>
      <c r="B434" s="72"/>
      <c r="C434" s="72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4"/>
      <c r="O434" s="73"/>
      <c r="P434" s="74"/>
      <c r="Q434" s="73"/>
      <c r="R434" s="74"/>
      <c r="S434" s="75"/>
      <c r="T434" s="73"/>
      <c r="U434" s="73"/>
      <c r="V434" s="73"/>
      <c r="W434" s="73"/>
      <c r="X434" s="73"/>
      <c r="Y434" s="73"/>
      <c r="Z434" s="73"/>
      <c r="AA434" s="73"/>
      <c r="AB434" s="74"/>
      <c r="AC434" s="73"/>
      <c r="AD434" s="76"/>
      <c r="AE434" s="73"/>
      <c r="AF434" s="73"/>
      <c r="AG434" s="73"/>
      <c r="AH434" s="73"/>
      <c r="AI434" s="73"/>
    </row>
    <row r="435" customFormat="false" ht="15" hidden="false" customHeight="false" outlineLevel="0" collapsed="false">
      <c r="A435" s="71" t="str">
        <f aca="false">IF(D435="","",ROW()-1)</f>
        <v/>
      </c>
      <c r="B435" s="72"/>
      <c r="C435" s="72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4"/>
      <c r="O435" s="73"/>
      <c r="P435" s="74"/>
      <c r="Q435" s="73"/>
      <c r="R435" s="74"/>
      <c r="S435" s="75"/>
      <c r="T435" s="73"/>
      <c r="U435" s="73"/>
      <c r="V435" s="73"/>
      <c r="W435" s="73"/>
      <c r="X435" s="73"/>
      <c r="Y435" s="73"/>
      <c r="Z435" s="73"/>
      <c r="AA435" s="73"/>
      <c r="AB435" s="74"/>
      <c r="AC435" s="73"/>
      <c r="AD435" s="76"/>
      <c r="AE435" s="73"/>
      <c r="AF435" s="73"/>
      <c r="AG435" s="73"/>
      <c r="AH435" s="73"/>
      <c r="AI435" s="73"/>
    </row>
    <row r="436" customFormat="false" ht="15" hidden="false" customHeight="false" outlineLevel="0" collapsed="false">
      <c r="A436" s="71" t="str">
        <f aca="false">IF(D436="","",ROW()-1)</f>
        <v/>
      </c>
      <c r="B436" s="72"/>
      <c r="C436" s="72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4"/>
      <c r="O436" s="73"/>
      <c r="P436" s="74"/>
      <c r="Q436" s="73"/>
      <c r="R436" s="74"/>
      <c r="S436" s="75"/>
      <c r="T436" s="73"/>
      <c r="U436" s="73"/>
      <c r="V436" s="73"/>
      <c r="W436" s="73"/>
      <c r="X436" s="73"/>
      <c r="Y436" s="73"/>
      <c r="Z436" s="73"/>
      <c r="AA436" s="73"/>
      <c r="AB436" s="74"/>
      <c r="AC436" s="73"/>
      <c r="AD436" s="76"/>
      <c r="AE436" s="73"/>
      <c r="AF436" s="73"/>
      <c r="AG436" s="73"/>
      <c r="AH436" s="73"/>
      <c r="AI436" s="73"/>
    </row>
    <row r="437" customFormat="false" ht="15" hidden="false" customHeight="false" outlineLevel="0" collapsed="false">
      <c r="A437" s="71" t="str">
        <f aca="false">IF(D437="","",ROW()-1)</f>
        <v/>
      </c>
      <c r="B437" s="72"/>
      <c r="C437" s="72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4"/>
      <c r="O437" s="73"/>
      <c r="P437" s="74"/>
      <c r="Q437" s="73"/>
      <c r="R437" s="74"/>
      <c r="S437" s="75"/>
      <c r="T437" s="73"/>
      <c r="U437" s="73"/>
      <c r="V437" s="73"/>
      <c r="W437" s="73"/>
      <c r="X437" s="73"/>
      <c r="Y437" s="73"/>
      <c r="Z437" s="73"/>
      <c r="AA437" s="73"/>
      <c r="AB437" s="74"/>
      <c r="AC437" s="73"/>
      <c r="AD437" s="76"/>
      <c r="AE437" s="73"/>
      <c r="AF437" s="73"/>
      <c r="AG437" s="73"/>
      <c r="AH437" s="73"/>
      <c r="AI437" s="73"/>
    </row>
    <row r="438" customFormat="false" ht="15" hidden="false" customHeight="false" outlineLevel="0" collapsed="false">
      <c r="A438" s="71" t="str">
        <f aca="false">IF(D438="","",ROW()-1)</f>
        <v/>
      </c>
      <c r="B438" s="72"/>
      <c r="C438" s="72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4"/>
      <c r="O438" s="73"/>
      <c r="P438" s="74"/>
      <c r="Q438" s="73"/>
      <c r="R438" s="74"/>
      <c r="S438" s="75"/>
      <c r="T438" s="73"/>
      <c r="U438" s="73"/>
      <c r="V438" s="73"/>
      <c r="W438" s="73"/>
      <c r="X438" s="73"/>
      <c r="Y438" s="73"/>
      <c r="Z438" s="73"/>
      <c r="AA438" s="73"/>
      <c r="AB438" s="74"/>
      <c r="AC438" s="73"/>
      <c r="AD438" s="76"/>
      <c r="AE438" s="73"/>
      <c r="AF438" s="73"/>
      <c r="AG438" s="73"/>
      <c r="AH438" s="73"/>
      <c r="AI438" s="73"/>
    </row>
    <row r="439" customFormat="false" ht="15" hidden="false" customHeight="false" outlineLevel="0" collapsed="false">
      <c r="A439" s="71" t="str">
        <f aca="false">IF(D439="","",ROW()-1)</f>
        <v/>
      </c>
      <c r="B439" s="72"/>
      <c r="C439" s="72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4"/>
      <c r="O439" s="73"/>
      <c r="P439" s="74"/>
      <c r="Q439" s="73"/>
      <c r="R439" s="74"/>
      <c r="S439" s="75"/>
      <c r="T439" s="73"/>
      <c r="U439" s="73"/>
      <c r="V439" s="73"/>
      <c r="W439" s="73"/>
      <c r="X439" s="73"/>
      <c r="Y439" s="73"/>
      <c r="Z439" s="73"/>
      <c r="AA439" s="73"/>
      <c r="AB439" s="74"/>
      <c r="AC439" s="73"/>
      <c r="AD439" s="76"/>
      <c r="AE439" s="73"/>
      <c r="AF439" s="73"/>
      <c r="AG439" s="73"/>
      <c r="AH439" s="73"/>
      <c r="AI439" s="73"/>
    </row>
    <row r="440" customFormat="false" ht="15" hidden="false" customHeight="false" outlineLevel="0" collapsed="false">
      <c r="A440" s="71" t="str">
        <f aca="false">IF(D440="","",ROW()-1)</f>
        <v/>
      </c>
      <c r="B440" s="72"/>
      <c r="C440" s="72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4"/>
      <c r="O440" s="73"/>
      <c r="P440" s="74"/>
      <c r="Q440" s="73"/>
      <c r="R440" s="74"/>
      <c r="S440" s="75"/>
      <c r="T440" s="73"/>
      <c r="U440" s="73"/>
      <c r="V440" s="73"/>
      <c r="W440" s="73"/>
      <c r="X440" s="73"/>
      <c r="Y440" s="73"/>
      <c r="Z440" s="73"/>
      <c r="AA440" s="73"/>
      <c r="AB440" s="74"/>
      <c r="AC440" s="73"/>
      <c r="AD440" s="76"/>
      <c r="AE440" s="73"/>
      <c r="AF440" s="73"/>
      <c r="AG440" s="73"/>
      <c r="AH440" s="73"/>
      <c r="AI440" s="73"/>
    </row>
    <row r="441" customFormat="false" ht="15" hidden="false" customHeight="false" outlineLevel="0" collapsed="false">
      <c r="A441" s="71" t="str">
        <f aca="false">IF(D441="","",ROW()-1)</f>
        <v/>
      </c>
      <c r="B441" s="72"/>
      <c r="C441" s="72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4"/>
      <c r="O441" s="73"/>
      <c r="P441" s="74"/>
      <c r="Q441" s="73"/>
      <c r="R441" s="74"/>
      <c r="S441" s="75"/>
      <c r="T441" s="73"/>
      <c r="U441" s="73"/>
      <c r="V441" s="73"/>
      <c r="W441" s="73"/>
      <c r="X441" s="73"/>
      <c r="Y441" s="73"/>
      <c r="Z441" s="73"/>
      <c r="AA441" s="73"/>
      <c r="AB441" s="74"/>
      <c r="AC441" s="73"/>
      <c r="AD441" s="76"/>
      <c r="AE441" s="73"/>
      <c r="AF441" s="73"/>
      <c r="AG441" s="73"/>
      <c r="AH441" s="73"/>
      <c r="AI441" s="73"/>
    </row>
    <row r="442" customFormat="false" ht="15" hidden="false" customHeight="false" outlineLevel="0" collapsed="false">
      <c r="A442" s="71" t="str">
        <f aca="false">IF(D442="","",ROW()-1)</f>
        <v/>
      </c>
      <c r="B442" s="72"/>
      <c r="C442" s="72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4"/>
      <c r="O442" s="73"/>
      <c r="P442" s="74"/>
      <c r="Q442" s="73"/>
      <c r="R442" s="74"/>
      <c r="S442" s="75"/>
      <c r="T442" s="73"/>
      <c r="U442" s="73"/>
      <c r="V442" s="73"/>
      <c r="W442" s="73"/>
      <c r="X442" s="73"/>
      <c r="Y442" s="73"/>
      <c r="Z442" s="73"/>
      <c r="AA442" s="73"/>
      <c r="AB442" s="74"/>
      <c r="AC442" s="73"/>
      <c r="AD442" s="76"/>
      <c r="AE442" s="73"/>
      <c r="AF442" s="73"/>
      <c r="AG442" s="73"/>
      <c r="AH442" s="73"/>
      <c r="AI442" s="73"/>
    </row>
    <row r="443" customFormat="false" ht="15" hidden="false" customHeight="false" outlineLevel="0" collapsed="false">
      <c r="A443" s="71" t="str">
        <f aca="false">IF(D443="","",ROW()-1)</f>
        <v/>
      </c>
      <c r="B443" s="72"/>
      <c r="C443" s="72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4"/>
      <c r="O443" s="73"/>
      <c r="P443" s="74"/>
      <c r="Q443" s="73"/>
      <c r="R443" s="74"/>
      <c r="S443" s="75"/>
      <c r="T443" s="73"/>
      <c r="U443" s="73"/>
      <c r="V443" s="73"/>
      <c r="W443" s="73"/>
      <c r="X443" s="73"/>
      <c r="Y443" s="73"/>
      <c r="Z443" s="73"/>
      <c r="AA443" s="73"/>
      <c r="AB443" s="74"/>
      <c r="AC443" s="73"/>
      <c r="AD443" s="76"/>
      <c r="AE443" s="73"/>
      <c r="AF443" s="73"/>
      <c r="AG443" s="73"/>
      <c r="AH443" s="73"/>
      <c r="AI443" s="73"/>
    </row>
    <row r="444" customFormat="false" ht="15" hidden="false" customHeight="false" outlineLevel="0" collapsed="false">
      <c r="A444" s="71" t="str">
        <f aca="false">IF(D444="","",ROW()-1)</f>
        <v/>
      </c>
      <c r="B444" s="72"/>
      <c r="C444" s="72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4"/>
      <c r="O444" s="73"/>
      <c r="P444" s="74"/>
      <c r="Q444" s="73"/>
      <c r="R444" s="74"/>
      <c r="S444" s="75"/>
      <c r="T444" s="73"/>
      <c r="U444" s="73"/>
      <c r="V444" s="73"/>
      <c r="W444" s="73"/>
      <c r="X444" s="73"/>
      <c r="Y444" s="73"/>
      <c r="Z444" s="73"/>
      <c r="AA444" s="73"/>
      <c r="AB444" s="74"/>
      <c r="AC444" s="73"/>
      <c r="AD444" s="76"/>
      <c r="AE444" s="73"/>
      <c r="AF444" s="73"/>
      <c r="AG444" s="73"/>
      <c r="AH444" s="73"/>
      <c r="AI444" s="73"/>
    </row>
    <row r="445" customFormat="false" ht="15" hidden="false" customHeight="false" outlineLevel="0" collapsed="false">
      <c r="A445" s="71" t="str">
        <f aca="false">IF(D445="","",ROW()-1)</f>
        <v/>
      </c>
      <c r="B445" s="72"/>
      <c r="C445" s="72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4"/>
      <c r="O445" s="73"/>
      <c r="P445" s="74"/>
      <c r="Q445" s="73"/>
      <c r="R445" s="74"/>
      <c r="S445" s="75"/>
      <c r="T445" s="73"/>
      <c r="U445" s="73"/>
      <c r="V445" s="73"/>
      <c r="W445" s="73"/>
      <c r="X445" s="73"/>
      <c r="Y445" s="73"/>
      <c r="Z445" s="73"/>
      <c r="AA445" s="73"/>
      <c r="AB445" s="74"/>
      <c r="AC445" s="73"/>
      <c r="AD445" s="76"/>
      <c r="AE445" s="73"/>
      <c r="AF445" s="73"/>
      <c r="AG445" s="73"/>
      <c r="AH445" s="73"/>
      <c r="AI445" s="73"/>
    </row>
    <row r="446" customFormat="false" ht="15" hidden="false" customHeight="false" outlineLevel="0" collapsed="false">
      <c r="A446" s="71" t="str">
        <f aca="false">IF(D446="","",ROW()-1)</f>
        <v/>
      </c>
      <c r="B446" s="72"/>
      <c r="C446" s="72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4"/>
      <c r="O446" s="73"/>
      <c r="P446" s="74"/>
      <c r="Q446" s="73"/>
      <c r="R446" s="74"/>
      <c r="S446" s="75"/>
      <c r="T446" s="73"/>
      <c r="U446" s="73"/>
      <c r="V446" s="73"/>
      <c r="W446" s="73"/>
      <c r="X446" s="73"/>
      <c r="Y446" s="73"/>
      <c r="Z446" s="73"/>
      <c r="AA446" s="73"/>
      <c r="AB446" s="74"/>
      <c r="AC446" s="73"/>
      <c r="AD446" s="76"/>
      <c r="AE446" s="73"/>
      <c r="AF446" s="73"/>
      <c r="AG446" s="73"/>
      <c r="AH446" s="73"/>
      <c r="AI446" s="73"/>
    </row>
    <row r="447" customFormat="false" ht="15" hidden="false" customHeight="false" outlineLevel="0" collapsed="false">
      <c r="A447" s="71" t="str">
        <f aca="false">IF(D447="","",ROW()-1)</f>
        <v/>
      </c>
      <c r="B447" s="72"/>
      <c r="C447" s="72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4"/>
      <c r="O447" s="73"/>
      <c r="P447" s="74"/>
      <c r="Q447" s="73"/>
      <c r="R447" s="74"/>
      <c r="S447" s="75"/>
      <c r="T447" s="73"/>
      <c r="U447" s="73"/>
      <c r="V447" s="73"/>
      <c r="W447" s="73"/>
      <c r="X447" s="73"/>
      <c r="Y447" s="73"/>
      <c r="Z447" s="73"/>
      <c r="AA447" s="73"/>
      <c r="AB447" s="74"/>
      <c r="AC447" s="73"/>
      <c r="AD447" s="76"/>
      <c r="AE447" s="73"/>
      <c r="AF447" s="73"/>
      <c r="AG447" s="73"/>
      <c r="AH447" s="73"/>
      <c r="AI447" s="73"/>
    </row>
    <row r="448" customFormat="false" ht="15" hidden="false" customHeight="false" outlineLevel="0" collapsed="false">
      <c r="A448" s="71" t="str">
        <f aca="false">IF(D448="","",ROW()-1)</f>
        <v/>
      </c>
      <c r="B448" s="72"/>
      <c r="C448" s="72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4"/>
      <c r="O448" s="73"/>
      <c r="P448" s="74"/>
      <c r="Q448" s="73"/>
      <c r="R448" s="74"/>
      <c r="S448" s="75"/>
      <c r="T448" s="73"/>
      <c r="U448" s="73"/>
      <c r="V448" s="73"/>
      <c r="W448" s="73"/>
      <c r="X448" s="73"/>
      <c r="Y448" s="73"/>
      <c r="Z448" s="73"/>
      <c r="AA448" s="73"/>
      <c r="AB448" s="74"/>
      <c r="AC448" s="73"/>
      <c r="AD448" s="76"/>
      <c r="AE448" s="73"/>
      <c r="AF448" s="73"/>
      <c r="AG448" s="73"/>
      <c r="AH448" s="73"/>
      <c r="AI448" s="73"/>
    </row>
    <row r="449" customFormat="false" ht="15" hidden="false" customHeight="false" outlineLevel="0" collapsed="false">
      <c r="A449" s="71" t="str">
        <f aca="false">IF(D449="","",ROW()-1)</f>
        <v/>
      </c>
      <c r="B449" s="72"/>
      <c r="C449" s="72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4"/>
      <c r="O449" s="73"/>
      <c r="P449" s="74"/>
      <c r="Q449" s="73"/>
      <c r="R449" s="74"/>
      <c r="S449" s="75"/>
      <c r="T449" s="73"/>
      <c r="U449" s="73"/>
      <c r="V449" s="73"/>
      <c r="W449" s="73"/>
      <c r="X449" s="73"/>
      <c r="Y449" s="73"/>
      <c r="Z449" s="73"/>
      <c r="AA449" s="73"/>
      <c r="AB449" s="74"/>
      <c r="AC449" s="73"/>
      <c r="AD449" s="76"/>
      <c r="AE449" s="73"/>
      <c r="AF449" s="73"/>
      <c r="AG449" s="73"/>
      <c r="AH449" s="73"/>
      <c r="AI449" s="73"/>
    </row>
    <row r="450" customFormat="false" ht="15" hidden="false" customHeight="false" outlineLevel="0" collapsed="false">
      <c r="A450" s="71" t="str">
        <f aca="false">IF(D450="","",ROW()-1)</f>
        <v/>
      </c>
      <c r="B450" s="72"/>
      <c r="C450" s="72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4"/>
      <c r="O450" s="73"/>
      <c r="P450" s="74"/>
      <c r="Q450" s="73"/>
      <c r="R450" s="74"/>
      <c r="S450" s="75"/>
      <c r="T450" s="73"/>
      <c r="U450" s="73"/>
      <c r="V450" s="73"/>
      <c r="W450" s="73"/>
      <c r="X450" s="73"/>
      <c r="Y450" s="73"/>
      <c r="Z450" s="73"/>
      <c r="AA450" s="73"/>
      <c r="AB450" s="74"/>
      <c r="AC450" s="73"/>
      <c r="AD450" s="76"/>
      <c r="AE450" s="73"/>
      <c r="AF450" s="73"/>
      <c r="AG450" s="73"/>
      <c r="AH450" s="73"/>
      <c r="AI450" s="73"/>
    </row>
    <row r="451" customFormat="false" ht="15" hidden="false" customHeight="false" outlineLevel="0" collapsed="false">
      <c r="A451" s="71" t="str">
        <f aca="false">IF(D451="","",ROW()-1)</f>
        <v/>
      </c>
      <c r="B451" s="72"/>
      <c r="C451" s="72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4"/>
      <c r="O451" s="73"/>
      <c r="P451" s="74"/>
      <c r="Q451" s="73"/>
      <c r="R451" s="74"/>
      <c r="S451" s="75"/>
      <c r="T451" s="73"/>
      <c r="U451" s="73"/>
      <c r="V451" s="73"/>
      <c r="W451" s="73"/>
      <c r="X451" s="73"/>
      <c r="Y451" s="73"/>
      <c r="Z451" s="73"/>
      <c r="AA451" s="73"/>
      <c r="AB451" s="74"/>
      <c r="AC451" s="73"/>
      <c r="AD451" s="76"/>
      <c r="AE451" s="73"/>
      <c r="AF451" s="73"/>
      <c r="AG451" s="73"/>
      <c r="AH451" s="73"/>
      <c r="AI451" s="73"/>
    </row>
    <row r="452" customFormat="false" ht="15" hidden="false" customHeight="false" outlineLevel="0" collapsed="false">
      <c r="A452" s="71" t="str">
        <f aca="false">IF(D452="","",ROW()-1)</f>
        <v/>
      </c>
      <c r="B452" s="72"/>
      <c r="C452" s="72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4"/>
      <c r="O452" s="73"/>
      <c r="P452" s="74"/>
      <c r="Q452" s="73"/>
      <c r="R452" s="74"/>
      <c r="S452" s="75"/>
      <c r="T452" s="73"/>
      <c r="U452" s="73"/>
      <c r="V452" s="73"/>
      <c r="W452" s="73"/>
      <c r="X452" s="73"/>
      <c r="Y452" s="73"/>
      <c r="Z452" s="73"/>
      <c r="AA452" s="73"/>
      <c r="AB452" s="74"/>
      <c r="AC452" s="73"/>
      <c r="AD452" s="76"/>
      <c r="AE452" s="73"/>
      <c r="AF452" s="73"/>
      <c r="AG452" s="73"/>
      <c r="AH452" s="73"/>
      <c r="AI452" s="73"/>
    </row>
    <row r="453" customFormat="false" ht="15" hidden="false" customHeight="false" outlineLevel="0" collapsed="false">
      <c r="A453" s="71" t="str">
        <f aca="false">IF(D453="","",ROW()-1)</f>
        <v/>
      </c>
      <c r="B453" s="72"/>
      <c r="C453" s="72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4"/>
      <c r="O453" s="73"/>
      <c r="P453" s="74"/>
      <c r="Q453" s="73"/>
      <c r="R453" s="74"/>
      <c r="S453" s="75"/>
      <c r="T453" s="73"/>
      <c r="U453" s="73"/>
      <c r="V453" s="73"/>
      <c r="W453" s="73"/>
      <c r="X453" s="73"/>
      <c r="Y453" s="73"/>
      <c r="Z453" s="73"/>
      <c r="AA453" s="73"/>
      <c r="AB453" s="74"/>
      <c r="AC453" s="73"/>
      <c r="AD453" s="76"/>
      <c r="AE453" s="73"/>
      <c r="AF453" s="73"/>
      <c r="AG453" s="73"/>
      <c r="AH453" s="73"/>
      <c r="AI453" s="73"/>
    </row>
    <row r="454" customFormat="false" ht="15" hidden="false" customHeight="false" outlineLevel="0" collapsed="false">
      <c r="A454" s="71" t="str">
        <f aca="false">IF(D454="","",ROW()-1)</f>
        <v/>
      </c>
      <c r="B454" s="72"/>
      <c r="C454" s="72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4"/>
      <c r="O454" s="73"/>
      <c r="P454" s="74"/>
      <c r="Q454" s="73"/>
      <c r="R454" s="74"/>
      <c r="S454" s="75"/>
      <c r="T454" s="73"/>
      <c r="U454" s="73"/>
      <c r="V454" s="73"/>
      <c r="W454" s="73"/>
      <c r="X454" s="73"/>
      <c r="Y454" s="73"/>
      <c r="Z454" s="73"/>
      <c r="AA454" s="73"/>
      <c r="AB454" s="74"/>
      <c r="AC454" s="73"/>
      <c r="AD454" s="76"/>
      <c r="AE454" s="73"/>
      <c r="AF454" s="73"/>
      <c r="AG454" s="73"/>
      <c r="AH454" s="73"/>
      <c r="AI454" s="73"/>
    </row>
    <row r="455" customFormat="false" ht="15" hidden="false" customHeight="false" outlineLevel="0" collapsed="false">
      <c r="A455" s="71" t="str">
        <f aca="false">IF(D455="","",ROW()-1)</f>
        <v/>
      </c>
      <c r="B455" s="72"/>
      <c r="C455" s="72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4"/>
      <c r="O455" s="73"/>
      <c r="P455" s="74"/>
      <c r="Q455" s="73"/>
      <c r="R455" s="74"/>
      <c r="S455" s="75"/>
      <c r="T455" s="73"/>
      <c r="U455" s="73"/>
      <c r="V455" s="73"/>
      <c r="W455" s="73"/>
      <c r="X455" s="73"/>
      <c r="Y455" s="73"/>
      <c r="Z455" s="73"/>
      <c r="AA455" s="73"/>
      <c r="AB455" s="74"/>
      <c r="AC455" s="73"/>
      <c r="AD455" s="76"/>
      <c r="AE455" s="73"/>
      <c r="AF455" s="73"/>
      <c r="AG455" s="73"/>
      <c r="AH455" s="73"/>
      <c r="AI455" s="73"/>
    </row>
    <row r="456" customFormat="false" ht="15" hidden="false" customHeight="false" outlineLevel="0" collapsed="false">
      <c r="A456" s="71" t="str">
        <f aca="false">IF(D456="","",ROW()-1)</f>
        <v/>
      </c>
      <c r="B456" s="72"/>
      <c r="C456" s="72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4"/>
      <c r="O456" s="73"/>
      <c r="P456" s="74"/>
      <c r="Q456" s="73"/>
      <c r="R456" s="74"/>
      <c r="S456" s="75"/>
      <c r="T456" s="73"/>
      <c r="U456" s="73"/>
      <c r="V456" s="73"/>
      <c r="W456" s="73"/>
      <c r="X456" s="73"/>
      <c r="Y456" s="73"/>
      <c r="Z456" s="73"/>
      <c r="AA456" s="73"/>
      <c r="AB456" s="74"/>
      <c r="AC456" s="73"/>
      <c r="AD456" s="76"/>
      <c r="AE456" s="73"/>
      <c r="AF456" s="73"/>
      <c r="AG456" s="73"/>
      <c r="AH456" s="73"/>
      <c r="AI456" s="73"/>
    </row>
    <row r="457" customFormat="false" ht="15" hidden="false" customHeight="false" outlineLevel="0" collapsed="false">
      <c r="A457" s="71" t="str">
        <f aca="false">IF(D457="","",ROW()-1)</f>
        <v/>
      </c>
      <c r="B457" s="72"/>
      <c r="C457" s="72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4"/>
      <c r="O457" s="73"/>
      <c r="P457" s="74"/>
      <c r="Q457" s="73"/>
      <c r="R457" s="74"/>
      <c r="S457" s="75"/>
      <c r="T457" s="73"/>
      <c r="U457" s="73"/>
      <c r="V457" s="73"/>
      <c r="W457" s="73"/>
      <c r="X457" s="73"/>
      <c r="Y457" s="73"/>
      <c r="Z457" s="73"/>
      <c r="AA457" s="73"/>
      <c r="AB457" s="74"/>
      <c r="AC457" s="73"/>
      <c r="AD457" s="76"/>
      <c r="AE457" s="73"/>
      <c r="AF457" s="73"/>
      <c r="AG457" s="73"/>
      <c r="AH457" s="73"/>
      <c r="AI457" s="73"/>
    </row>
    <row r="458" customFormat="false" ht="15" hidden="false" customHeight="false" outlineLevel="0" collapsed="false">
      <c r="A458" s="71" t="str">
        <f aca="false">IF(D458="","",ROW()-1)</f>
        <v/>
      </c>
      <c r="B458" s="72"/>
      <c r="C458" s="72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4"/>
      <c r="O458" s="73"/>
      <c r="P458" s="74"/>
      <c r="Q458" s="73"/>
      <c r="R458" s="74"/>
      <c r="S458" s="75"/>
      <c r="T458" s="73"/>
      <c r="U458" s="73"/>
      <c r="V458" s="73"/>
      <c r="W458" s="73"/>
      <c r="X458" s="73"/>
      <c r="Y458" s="73"/>
      <c r="Z458" s="73"/>
      <c r="AA458" s="73"/>
      <c r="AB458" s="74"/>
      <c r="AC458" s="73"/>
      <c r="AD458" s="76"/>
      <c r="AE458" s="73"/>
      <c r="AF458" s="73"/>
      <c r="AG458" s="73"/>
      <c r="AH458" s="73"/>
      <c r="AI458" s="73"/>
    </row>
    <row r="459" customFormat="false" ht="15" hidden="false" customHeight="false" outlineLevel="0" collapsed="false">
      <c r="A459" s="71" t="str">
        <f aca="false">IF(D459="","",ROW()-1)</f>
        <v/>
      </c>
      <c r="B459" s="72"/>
      <c r="C459" s="72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4"/>
      <c r="O459" s="73"/>
      <c r="P459" s="74"/>
      <c r="Q459" s="73"/>
      <c r="R459" s="74"/>
      <c r="S459" s="75"/>
      <c r="T459" s="73"/>
      <c r="U459" s="73"/>
      <c r="V459" s="73"/>
      <c r="W459" s="73"/>
      <c r="X459" s="73"/>
      <c r="Y459" s="73"/>
      <c r="Z459" s="73"/>
      <c r="AA459" s="73"/>
      <c r="AB459" s="74"/>
      <c r="AC459" s="73"/>
      <c r="AD459" s="76"/>
      <c r="AE459" s="73"/>
      <c r="AF459" s="73"/>
      <c r="AG459" s="73"/>
      <c r="AH459" s="73"/>
      <c r="AI459" s="73"/>
    </row>
    <row r="460" customFormat="false" ht="15" hidden="false" customHeight="false" outlineLevel="0" collapsed="false">
      <c r="A460" s="71" t="str">
        <f aca="false">IF(D460="","",ROW()-1)</f>
        <v/>
      </c>
      <c r="B460" s="72"/>
      <c r="C460" s="72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4"/>
      <c r="O460" s="73"/>
      <c r="P460" s="74"/>
      <c r="Q460" s="73"/>
      <c r="R460" s="74"/>
      <c r="S460" s="75"/>
      <c r="T460" s="73"/>
      <c r="U460" s="73"/>
      <c r="V460" s="73"/>
      <c r="W460" s="73"/>
      <c r="X460" s="73"/>
      <c r="Y460" s="73"/>
      <c r="Z460" s="73"/>
      <c r="AA460" s="73"/>
      <c r="AB460" s="74"/>
      <c r="AC460" s="73"/>
      <c r="AD460" s="76"/>
      <c r="AE460" s="73"/>
      <c r="AF460" s="73"/>
      <c r="AG460" s="73"/>
      <c r="AH460" s="73"/>
      <c r="AI460" s="73"/>
    </row>
    <row r="461" customFormat="false" ht="15" hidden="false" customHeight="false" outlineLevel="0" collapsed="false">
      <c r="A461" s="71" t="str">
        <f aca="false">IF(D461="","",ROW()-1)</f>
        <v/>
      </c>
      <c r="B461" s="72"/>
      <c r="C461" s="72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4"/>
      <c r="O461" s="73"/>
      <c r="P461" s="74"/>
      <c r="Q461" s="73"/>
      <c r="R461" s="74"/>
      <c r="S461" s="75"/>
      <c r="T461" s="73"/>
      <c r="U461" s="73"/>
      <c r="V461" s="73"/>
      <c r="W461" s="73"/>
      <c r="X461" s="73"/>
      <c r="Y461" s="73"/>
      <c r="Z461" s="73"/>
      <c r="AA461" s="73"/>
      <c r="AB461" s="74"/>
      <c r="AC461" s="73"/>
      <c r="AD461" s="76"/>
      <c r="AE461" s="73"/>
      <c r="AF461" s="73"/>
      <c r="AG461" s="73"/>
      <c r="AH461" s="73"/>
      <c r="AI461" s="73"/>
    </row>
    <row r="462" customFormat="false" ht="15" hidden="false" customHeight="false" outlineLevel="0" collapsed="false">
      <c r="A462" s="71" t="str">
        <f aca="false">IF(D462="","",ROW()-1)</f>
        <v/>
      </c>
      <c r="B462" s="72"/>
      <c r="C462" s="72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4"/>
      <c r="O462" s="73"/>
      <c r="P462" s="74"/>
      <c r="Q462" s="73"/>
      <c r="R462" s="74"/>
      <c r="S462" s="75"/>
      <c r="T462" s="73"/>
      <c r="U462" s="73"/>
      <c r="V462" s="73"/>
      <c r="W462" s="73"/>
      <c r="X462" s="73"/>
      <c r="Y462" s="73"/>
      <c r="Z462" s="73"/>
      <c r="AA462" s="73"/>
      <c r="AB462" s="74"/>
      <c r="AC462" s="73"/>
      <c r="AD462" s="76"/>
      <c r="AE462" s="73"/>
      <c r="AF462" s="73"/>
      <c r="AG462" s="73"/>
      <c r="AH462" s="73"/>
      <c r="AI462" s="73"/>
    </row>
    <row r="463" customFormat="false" ht="15" hidden="false" customHeight="false" outlineLevel="0" collapsed="false">
      <c r="A463" s="71" t="str">
        <f aca="false">IF(D463="","",ROW()-1)</f>
        <v/>
      </c>
      <c r="B463" s="72"/>
      <c r="C463" s="72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4"/>
      <c r="O463" s="73"/>
      <c r="P463" s="74"/>
      <c r="Q463" s="73"/>
      <c r="R463" s="74"/>
      <c r="S463" s="75"/>
      <c r="T463" s="73"/>
      <c r="U463" s="73"/>
      <c r="V463" s="73"/>
      <c r="W463" s="73"/>
      <c r="X463" s="73"/>
      <c r="Y463" s="73"/>
      <c r="Z463" s="73"/>
      <c r="AA463" s="73"/>
      <c r="AB463" s="74"/>
      <c r="AC463" s="73"/>
      <c r="AD463" s="76"/>
      <c r="AE463" s="73"/>
      <c r="AF463" s="73"/>
      <c r="AG463" s="73"/>
      <c r="AH463" s="73"/>
      <c r="AI463" s="73"/>
    </row>
    <row r="464" customFormat="false" ht="15" hidden="false" customHeight="false" outlineLevel="0" collapsed="false">
      <c r="A464" s="71" t="str">
        <f aca="false">IF(D464="","",ROW()-1)</f>
        <v/>
      </c>
      <c r="B464" s="72"/>
      <c r="C464" s="72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4"/>
      <c r="O464" s="73"/>
      <c r="P464" s="74"/>
      <c r="Q464" s="73"/>
      <c r="R464" s="74"/>
      <c r="S464" s="75"/>
      <c r="T464" s="73"/>
      <c r="U464" s="73"/>
      <c r="V464" s="73"/>
      <c r="W464" s="73"/>
      <c r="X464" s="73"/>
      <c r="Y464" s="73"/>
      <c r="Z464" s="73"/>
      <c r="AA464" s="73"/>
      <c r="AB464" s="74"/>
      <c r="AC464" s="73"/>
      <c r="AD464" s="76"/>
      <c r="AE464" s="73"/>
      <c r="AF464" s="73"/>
      <c r="AG464" s="73"/>
      <c r="AH464" s="73"/>
      <c r="AI464" s="73"/>
    </row>
    <row r="465" customFormat="false" ht="15" hidden="false" customHeight="false" outlineLevel="0" collapsed="false">
      <c r="A465" s="71" t="str">
        <f aca="false">IF(D465="","",ROW()-1)</f>
        <v/>
      </c>
      <c r="B465" s="72"/>
      <c r="C465" s="72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4"/>
      <c r="O465" s="73"/>
      <c r="P465" s="74"/>
      <c r="Q465" s="73"/>
      <c r="R465" s="74"/>
      <c r="S465" s="75"/>
      <c r="T465" s="73"/>
      <c r="U465" s="73"/>
      <c r="V465" s="73"/>
      <c r="W465" s="73"/>
      <c r="X465" s="73"/>
      <c r="Y465" s="73"/>
      <c r="Z465" s="73"/>
      <c r="AA465" s="73"/>
      <c r="AB465" s="74"/>
      <c r="AC465" s="73"/>
      <c r="AD465" s="76"/>
      <c r="AE465" s="73"/>
      <c r="AF465" s="73"/>
      <c r="AG465" s="73"/>
      <c r="AH465" s="73"/>
      <c r="AI465" s="73"/>
    </row>
    <row r="466" customFormat="false" ht="15" hidden="false" customHeight="false" outlineLevel="0" collapsed="false">
      <c r="A466" s="71" t="str">
        <f aca="false">IF(D466="","",ROW()-1)</f>
        <v/>
      </c>
      <c r="B466" s="72"/>
      <c r="C466" s="72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4"/>
      <c r="O466" s="73"/>
      <c r="P466" s="74"/>
      <c r="Q466" s="73"/>
      <c r="R466" s="74"/>
      <c r="S466" s="75"/>
      <c r="T466" s="73"/>
      <c r="U466" s="73"/>
      <c r="V466" s="73"/>
      <c r="W466" s="73"/>
      <c r="X466" s="73"/>
      <c r="Y466" s="73"/>
      <c r="Z466" s="73"/>
      <c r="AA466" s="73"/>
      <c r="AB466" s="74"/>
      <c r="AC466" s="73"/>
      <c r="AD466" s="76"/>
      <c r="AE466" s="73"/>
      <c r="AF466" s="73"/>
      <c r="AG466" s="73"/>
      <c r="AH466" s="73"/>
      <c r="AI466" s="73"/>
    </row>
    <row r="467" customFormat="false" ht="15" hidden="false" customHeight="false" outlineLevel="0" collapsed="false">
      <c r="A467" s="71" t="str">
        <f aca="false">IF(D467="","",ROW()-1)</f>
        <v/>
      </c>
      <c r="B467" s="72"/>
      <c r="C467" s="72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4"/>
      <c r="O467" s="73"/>
      <c r="P467" s="74"/>
      <c r="Q467" s="73"/>
      <c r="R467" s="74"/>
      <c r="S467" s="75"/>
      <c r="T467" s="73"/>
      <c r="U467" s="73"/>
      <c r="V467" s="73"/>
      <c r="W467" s="73"/>
      <c r="X467" s="73"/>
      <c r="Y467" s="73"/>
      <c r="Z467" s="73"/>
      <c r="AA467" s="73"/>
      <c r="AB467" s="74"/>
      <c r="AC467" s="73"/>
      <c r="AD467" s="76"/>
      <c r="AE467" s="73"/>
      <c r="AF467" s="73"/>
      <c r="AG467" s="73"/>
      <c r="AH467" s="73"/>
      <c r="AI467" s="73"/>
    </row>
    <row r="468" customFormat="false" ht="15" hidden="false" customHeight="false" outlineLevel="0" collapsed="false">
      <c r="A468" s="71" t="str">
        <f aca="false">IF(D468="","",ROW()-1)</f>
        <v/>
      </c>
      <c r="B468" s="72"/>
      <c r="C468" s="72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4"/>
      <c r="O468" s="73"/>
      <c r="P468" s="74"/>
      <c r="Q468" s="73"/>
      <c r="R468" s="74"/>
      <c r="S468" s="75"/>
      <c r="T468" s="73"/>
      <c r="U468" s="73"/>
      <c r="V468" s="73"/>
      <c r="W468" s="73"/>
      <c r="X468" s="73"/>
      <c r="Y468" s="73"/>
      <c r="Z468" s="73"/>
      <c r="AA468" s="73"/>
      <c r="AB468" s="74"/>
      <c r="AC468" s="73"/>
      <c r="AD468" s="76"/>
      <c r="AE468" s="73"/>
      <c r="AF468" s="73"/>
      <c r="AG468" s="73"/>
      <c r="AH468" s="73"/>
      <c r="AI468" s="73"/>
    </row>
    <row r="469" customFormat="false" ht="15" hidden="false" customHeight="false" outlineLevel="0" collapsed="false">
      <c r="A469" s="71" t="str">
        <f aca="false">IF(D469="","",ROW()-1)</f>
        <v/>
      </c>
      <c r="B469" s="72"/>
      <c r="C469" s="72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4"/>
      <c r="O469" s="73"/>
      <c r="P469" s="74"/>
      <c r="Q469" s="73"/>
      <c r="R469" s="74"/>
      <c r="S469" s="75"/>
      <c r="T469" s="73"/>
      <c r="U469" s="73"/>
      <c r="V469" s="73"/>
      <c r="W469" s="73"/>
      <c r="X469" s="73"/>
      <c r="Y469" s="73"/>
      <c r="Z469" s="73"/>
      <c r="AA469" s="73"/>
      <c r="AB469" s="74"/>
      <c r="AC469" s="73"/>
      <c r="AD469" s="76"/>
      <c r="AE469" s="73"/>
      <c r="AF469" s="73"/>
      <c r="AG469" s="73"/>
      <c r="AH469" s="73"/>
      <c r="AI469" s="73"/>
    </row>
    <row r="470" customFormat="false" ht="15" hidden="false" customHeight="false" outlineLevel="0" collapsed="false">
      <c r="A470" s="71" t="str">
        <f aca="false">IF(D470="","",ROW()-1)</f>
        <v/>
      </c>
      <c r="B470" s="72"/>
      <c r="C470" s="72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4"/>
      <c r="O470" s="73"/>
      <c r="P470" s="74"/>
      <c r="Q470" s="73"/>
      <c r="R470" s="74"/>
      <c r="S470" s="75"/>
      <c r="T470" s="73"/>
      <c r="U470" s="73"/>
      <c r="V470" s="73"/>
      <c r="W470" s="73"/>
      <c r="X470" s="73"/>
      <c r="Y470" s="73"/>
      <c r="Z470" s="73"/>
      <c r="AA470" s="73"/>
      <c r="AB470" s="74"/>
      <c r="AC470" s="73"/>
      <c r="AD470" s="76"/>
      <c r="AE470" s="73"/>
      <c r="AF470" s="73"/>
      <c r="AG470" s="73"/>
      <c r="AH470" s="73"/>
      <c r="AI470" s="73"/>
    </row>
    <row r="471" customFormat="false" ht="15" hidden="false" customHeight="false" outlineLevel="0" collapsed="false">
      <c r="A471" s="71" t="str">
        <f aca="false">IF(D471="","",ROW()-1)</f>
        <v/>
      </c>
      <c r="B471" s="72"/>
      <c r="C471" s="72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4"/>
      <c r="O471" s="73"/>
      <c r="P471" s="74"/>
      <c r="Q471" s="73"/>
      <c r="R471" s="74"/>
      <c r="S471" s="75"/>
      <c r="T471" s="73"/>
      <c r="U471" s="73"/>
      <c r="V471" s="73"/>
      <c r="W471" s="73"/>
      <c r="X471" s="73"/>
      <c r="Y471" s="73"/>
      <c r="Z471" s="73"/>
      <c r="AA471" s="73"/>
      <c r="AB471" s="74"/>
      <c r="AC471" s="73"/>
      <c r="AD471" s="76"/>
      <c r="AE471" s="73"/>
      <c r="AF471" s="73"/>
      <c r="AG471" s="73"/>
      <c r="AH471" s="73"/>
      <c r="AI471" s="73"/>
    </row>
    <row r="472" customFormat="false" ht="15" hidden="false" customHeight="false" outlineLevel="0" collapsed="false">
      <c r="A472" s="71" t="str">
        <f aca="false">IF(D472="","",ROW()-1)</f>
        <v/>
      </c>
      <c r="B472" s="72"/>
      <c r="C472" s="72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4"/>
      <c r="O472" s="73"/>
      <c r="P472" s="74"/>
      <c r="Q472" s="73"/>
      <c r="R472" s="74"/>
      <c r="S472" s="75"/>
      <c r="T472" s="73"/>
      <c r="U472" s="73"/>
      <c r="V472" s="73"/>
      <c r="W472" s="73"/>
      <c r="X472" s="73"/>
      <c r="Y472" s="73"/>
      <c r="Z472" s="73"/>
      <c r="AA472" s="73"/>
      <c r="AB472" s="74"/>
      <c r="AC472" s="73"/>
      <c r="AD472" s="76"/>
      <c r="AE472" s="73"/>
      <c r="AF472" s="73"/>
      <c r="AG472" s="73"/>
      <c r="AH472" s="73"/>
      <c r="AI472" s="73"/>
    </row>
    <row r="473" customFormat="false" ht="15" hidden="false" customHeight="false" outlineLevel="0" collapsed="false">
      <c r="A473" s="71" t="str">
        <f aca="false">IF(D473="","",ROW()-1)</f>
        <v/>
      </c>
      <c r="B473" s="72"/>
      <c r="C473" s="72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4"/>
      <c r="O473" s="73"/>
      <c r="P473" s="74"/>
      <c r="Q473" s="73"/>
      <c r="R473" s="74"/>
      <c r="S473" s="75"/>
      <c r="T473" s="73"/>
      <c r="U473" s="73"/>
      <c r="V473" s="73"/>
      <c r="W473" s="73"/>
      <c r="X473" s="73"/>
      <c r="Y473" s="73"/>
      <c r="Z473" s="73"/>
      <c r="AA473" s="73"/>
      <c r="AB473" s="74"/>
      <c r="AC473" s="73"/>
      <c r="AD473" s="76"/>
      <c r="AE473" s="73"/>
      <c r="AF473" s="73"/>
      <c r="AG473" s="73"/>
      <c r="AH473" s="73"/>
      <c r="AI473" s="73"/>
    </row>
    <row r="474" customFormat="false" ht="15" hidden="false" customHeight="false" outlineLevel="0" collapsed="false">
      <c r="A474" s="71" t="str">
        <f aca="false">IF(D474="","",ROW()-1)</f>
        <v/>
      </c>
      <c r="B474" s="72"/>
      <c r="C474" s="72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4"/>
      <c r="O474" s="73"/>
      <c r="P474" s="74"/>
      <c r="Q474" s="73"/>
      <c r="R474" s="74"/>
      <c r="S474" s="75"/>
      <c r="T474" s="73"/>
      <c r="U474" s="73"/>
      <c r="V474" s="73"/>
      <c r="W474" s="73"/>
      <c r="X474" s="73"/>
      <c r="Y474" s="73"/>
      <c r="Z474" s="73"/>
      <c r="AA474" s="73"/>
      <c r="AB474" s="74"/>
      <c r="AC474" s="73"/>
      <c r="AD474" s="76"/>
      <c r="AE474" s="73"/>
      <c r="AF474" s="73"/>
      <c r="AG474" s="73"/>
      <c r="AH474" s="73"/>
      <c r="AI474" s="73"/>
    </row>
    <row r="475" customFormat="false" ht="15" hidden="false" customHeight="false" outlineLevel="0" collapsed="false">
      <c r="A475" s="71" t="str">
        <f aca="false">IF(D475="","",ROW()-1)</f>
        <v/>
      </c>
      <c r="B475" s="72"/>
      <c r="C475" s="72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4"/>
      <c r="O475" s="73"/>
      <c r="P475" s="74"/>
      <c r="Q475" s="73"/>
      <c r="R475" s="74"/>
      <c r="S475" s="75"/>
      <c r="T475" s="73"/>
      <c r="U475" s="73"/>
      <c r="V475" s="73"/>
      <c r="W475" s="73"/>
      <c r="X475" s="73"/>
      <c r="Y475" s="73"/>
      <c r="Z475" s="73"/>
      <c r="AA475" s="73"/>
      <c r="AB475" s="74"/>
      <c r="AC475" s="73"/>
      <c r="AD475" s="76"/>
      <c r="AE475" s="73"/>
      <c r="AF475" s="73"/>
      <c r="AG475" s="73"/>
      <c r="AH475" s="73"/>
      <c r="AI475" s="73"/>
    </row>
    <row r="476" customFormat="false" ht="15" hidden="false" customHeight="false" outlineLevel="0" collapsed="false">
      <c r="A476" s="71" t="str">
        <f aca="false">IF(D476="","",ROW()-1)</f>
        <v/>
      </c>
      <c r="B476" s="72"/>
      <c r="C476" s="72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4"/>
      <c r="O476" s="73"/>
      <c r="P476" s="74"/>
      <c r="Q476" s="73"/>
      <c r="R476" s="74"/>
      <c r="S476" s="75"/>
      <c r="T476" s="73"/>
      <c r="U476" s="73"/>
      <c r="V476" s="73"/>
      <c r="W476" s="73"/>
      <c r="X476" s="73"/>
      <c r="Y476" s="73"/>
      <c r="Z476" s="73"/>
      <c r="AA476" s="73"/>
      <c r="AB476" s="74"/>
      <c r="AC476" s="73"/>
      <c r="AD476" s="76"/>
      <c r="AE476" s="73"/>
      <c r="AF476" s="73"/>
      <c r="AG476" s="73"/>
      <c r="AH476" s="73"/>
      <c r="AI476" s="73"/>
    </row>
    <row r="477" customFormat="false" ht="15" hidden="false" customHeight="false" outlineLevel="0" collapsed="false">
      <c r="A477" s="71" t="str">
        <f aca="false">IF(D477="","",ROW()-1)</f>
        <v/>
      </c>
      <c r="B477" s="72"/>
      <c r="C477" s="72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4"/>
      <c r="O477" s="73"/>
      <c r="P477" s="74"/>
      <c r="Q477" s="73"/>
      <c r="R477" s="74"/>
      <c r="S477" s="75"/>
      <c r="T477" s="73"/>
      <c r="U477" s="73"/>
      <c r="V477" s="73"/>
      <c r="W477" s="73"/>
      <c r="X477" s="73"/>
      <c r="Y477" s="73"/>
      <c r="Z477" s="73"/>
      <c r="AA477" s="73"/>
      <c r="AB477" s="74"/>
      <c r="AC477" s="73"/>
      <c r="AD477" s="76"/>
      <c r="AE477" s="73"/>
      <c r="AF477" s="73"/>
      <c r="AG477" s="73"/>
      <c r="AH477" s="73"/>
      <c r="AI477" s="73"/>
    </row>
    <row r="478" customFormat="false" ht="15" hidden="false" customHeight="false" outlineLevel="0" collapsed="false">
      <c r="A478" s="71" t="str">
        <f aca="false">IF(D478="","",ROW()-1)</f>
        <v/>
      </c>
      <c r="B478" s="72"/>
      <c r="C478" s="72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4"/>
      <c r="O478" s="73"/>
      <c r="P478" s="74"/>
      <c r="Q478" s="73"/>
      <c r="R478" s="74"/>
      <c r="S478" s="75"/>
      <c r="T478" s="73"/>
      <c r="U478" s="73"/>
      <c r="V478" s="73"/>
      <c r="W478" s="73"/>
      <c r="X478" s="73"/>
      <c r="Y478" s="73"/>
      <c r="Z478" s="73"/>
      <c r="AA478" s="73"/>
      <c r="AB478" s="74"/>
      <c r="AC478" s="73"/>
      <c r="AD478" s="76"/>
      <c r="AE478" s="73"/>
      <c r="AF478" s="73"/>
      <c r="AG478" s="73"/>
      <c r="AH478" s="73"/>
      <c r="AI478" s="73"/>
    </row>
    <row r="479" customFormat="false" ht="15" hidden="false" customHeight="false" outlineLevel="0" collapsed="false">
      <c r="A479" s="71" t="str">
        <f aca="false">IF(D479="","",ROW()-1)</f>
        <v/>
      </c>
      <c r="B479" s="72"/>
      <c r="C479" s="72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4"/>
      <c r="O479" s="73"/>
      <c r="P479" s="74"/>
      <c r="Q479" s="73"/>
      <c r="R479" s="74"/>
      <c r="S479" s="75"/>
      <c r="T479" s="73"/>
      <c r="U479" s="73"/>
      <c r="V479" s="73"/>
      <c r="W479" s="73"/>
      <c r="X479" s="73"/>
      <c r="Y479" s="73"/>
      <c r="Z479" s="73"/>
      <c r="AA479" s="73"/>
      <c r="AB479" s="74"/>
      <c r="AC479" s="73"/>
      <c r="AD479" s="76"/>
      <c r="AE479" s="73"/>
      <c r="AF479" s="73"/>
      <c r="AG479" s="73"/>
      <c r="AH479" s="73"/>
      <c r="AI479" s="73"/>
    </row>
    <row r="480" customFormat="false" ht="15" hidden="false" customHeight="false" outlineLevel="0" collapsed="false">
      <c r="A480" s="71" t="str">
        <f aca="false">IF(D480="","",ROW()-1)</f>
        <v/>
      </c>
      <c r="B480" s="72"/>
      <c r="C480" s="72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4"/>
      <c r="O480" s="73"/>
      <c r="P480" s="74"/>
      <c r="Q480" s="73"/>
      <c r="R480" s="74"/>
      <c r="S480" s="75"/>
      <c r="T480" s="73"/>
      <c r="U480" s="73"/>
      <c r="V480" s="73"/>
      <c r="W480" s="73"/>
      <c r="X480" s="73"/>
      <c r="Y480" s="73"/>
      <c r="Z480" s="73"/>
      <c r="AA480" s="73"/>
      <c r="AB480" s="74"/>
      <c r="AC480" s="73"/>
      <c r="AD480" s="76"/>
      <c r="AE480" s="73"/>
      <c r="AF480" s="73"/>
      <c r="AG480" s="73"/>
      <c r="AH480" s="73"/>
      <c r="AI480" s="73"/>
    </row>
    <row r="481" customFormat="false" ht="15" hidden="false" customHeight="false" outlineLevel="0" collapsed="false">
      <c r="A481" s="71" t="str">
        <f aca="false">IF(D481="","",ROW()-1)</f>
        <v/>
      </c>
      <c r="B481" s="72"/>
      <c r="C481" s="72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4"/>
      <c r="O481" s="73"/>
      <c r="P481" s="74"/>
      <c r="Q481" s="73"/>
      <c r="R481" s="74"/>
      <c r="S481" s="75"/>
      <c r="T481" s="73"/>
      <c r="U481" s="73"/>
      <c r="V481" s="73"/>
      <c r="W481" s="73"/>
      <c r="X481" s="73"/>
      <c r="Y481" s="73"/>
      <c r="Z481" s="73"/>
      <c r="AA481" s="73"/>
      <c r="AB481" s="74"/>
      <c r="AC481" s="73"/>
      <c r="AD481" s="76"/>
      <c r="AE481" s="73"/>
      <c r="AF481" s="73"/>
      <c r="AG481" s="73"/>
      <c r="AH481" s="73"/>
      <c r="AI481" s="73"/>
    </row>
    <row r="482" customFormat="false" ht="15" hidden="false" customHeight="false" outlineLevel="0" collapsed="false">
      <c r="A482" s="71" t="str">
        <f aca="false">IF(D482="","",ROW()-1)</f>
        <v/>
      </c>
      <c r="B482" s="72"/>
      <c r="C482" s="72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4"/>
      <c r="O482" s="73"/>
      <c r="P482" s="74"/>
      <c r="Q482" s="73"/>
      <c r="R482" s="74"/>
      <c r="S482" s="75"/>
      <c r="T482" s="73"/>
      <c r="U482" s="73"/>
      <c r="V482" s="73"/>
      <c r="W482" s="73"/>
      <c r="X482" s="73"/>
      <c r="Y482" s="73"/>
      <c r="Z482" s="73"/>
      <c r="AA482" s="73"/>
      <c r="AB482" s="74"/>
      <c r="AC482" s="73"/>
      <c r="AD482" s="76"/>
      <c r="AE482" s="73"/>
      <c r="AF482" s="73"/>
      <c r="AG482" s="73"/>
      <c r="AH482" s="73"/>
      <c r="AI482" s="73"/>
    </row>
    <row r="483" customFormat="false" ht="15" hidden="false" customHeight="false" outlineLevel="0" collapsed="false">
      <c r="A483" s="71" t="str">
        <f aca="false">IF(D483="","",ROW()-1)</f>
        <v/>
      </c>
      <c r="B483" s="72"/>
      <c r="C483" s="72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4"/>
      <c r="O483" s="73"/>
      <c r="P483" s="74"/>
      <c r="Q483" s="73"/>
      <c r="R483" s="74"/>
      <c r="S483" s="75"/>
      <c r="T483" s="73"/>
      <c r="U483" s="73"/>
      <c r="V483" s="73"/>
      <c r="W483" s="73"/>
      <c r="X483" s="73"/>
      <c r="Y483" s="73"/>
      <c r="Z483" s="73"/>
      <c r="AA483" s="73"/>
      <c r="AB483" s="74"/>
      <c r="AC483" s="73"/>
      <c r="AD483" s="76"/>
      <c r="AE483" s="73"/>
      <c r="AF483" s="73"/>
      <c r="AG483" s="73"/>
      <c r="AH483" s="73"/>
      <c r="AI483" s="73"/>
    </row>
    <row r="484" customFormat="false" ht="15" hidden="false" customHeight="false" outlineLevel="0" collapsed="false">
      <c r="A484" s="71" t="str">
        <f aca="false">IF(D484="","",ROW()-1)</f>
        <v/>
      </c>
      <c r="B484" s="72"/>
      <c r="C484" s="72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4"/>
      <c r="O484" s="73"/>
      <c r="P484" s="74"/>
      <c r="Q484" s="73"/>
      <c r="R484" s="74"/>
      <c r="S484" s="75"/>
      <c r="T484" s="73"/>
      <c r="U484" s="73"/>
      <c r="V484" s="73"/>
      <c r="W484" s="73"/>
      <c r="X484" s="73"/>
      <c r="Y484" s="73"/>
      <c r="Z484" s="73"/>
      <c r="AA484" s="73"/>
      <c r="AB484" s="74"/>
      <c r="AC484" s="73"/>
      <c r="AD484" s="76"/>
      <c r="AE484" s="73"/>
      <c r="AF484" s="73"/>
      <c r="AG484" s="73"/>
      <c r="AH484" s="73"/>
      <c r="AI484" s="73"/>
    </row>
    <row r="485" customFormat="false" ht="15" hidden="false" customHeight="false" outlineLevel="0" collapsed="false">
      <c r="A485" s="71" t="str">
        <f aca="false">IF(D485="","",ROW()-1)</f>
        <v/>
      </c>
      <c r="B485" s="72"/>
      <c r="C485" s="72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4"/>
      <c r="O485" s="73"/>
      <c r="P485" s="74"/>
      <c r="Q485" s="73"/>
      <c r="R485" s="74"/>
      <c r="S485" s="75"/>
      <c r="T485" s="73"/>
      <c r="U485" s="73"/>
      <c r="V485" s="73"/>
      <c r="W485" s="73"/>
      <c r="X485" s="73"/>
      <c r="Y485" s="73"/>
      <c r="Z485" s="73"/>
      <c r="AA485" s="73"/>
      <c r="AB485" s="74"/>
      <c r="AC485" s="73"/>
      <c r="AD485" s="76"/>
      <c r="AE485" s="73"/>
      <c r="AF485" s="73"/>
      <c r="AG485" s="73"/>
      <c r="AH485" s="73"/>
      <c r="AI485" s="73"/>
    </row>
    <row r="486" customFormat="false" ht="15" hidden="false" customHeight="false" outlineLevel="0" collapsed="false">
      <c r="A486" s="71" t="str">
        <f aca="false">IF(D486="","",ROW()-1)</f>
        <v/>
      </c>
      <c r="B486" s="72"/>
      <c r="C486" s="72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4"/>
      <c r="O486" s="73"/>
      <c r="P486" s="74"/>
      <c r="Q486" s="73"/>
      <c r="R486" s="74"/>
      <c r="S486" s="75"/>
      <c r="T486" s="73"/>
      <c r="U486" s="73"/>
      <c r="V486" s="73"/>
      <c r="W486" s="73"/>
      <c r="X486" s="73"/>
      <c r="Y486" s="73"/>
      <c r="Z486" s="73"/>
      <c r="AA486" s="73"/>
      <c r="AB486" s="74"/>
      <c r="AC486" s="73"/>
      <c r="AD486" s="76"/>
      <c r="AE486" s="73"/>
      <c r="AF486" s="73"/>
      <c r="AG486" s="73"/>
      <c r="AH486" s="73"/>
      <c r="AI486" s="73"/>
    </row>
    <row r="487" customFormat="false" ht="15" hidden="false" customHeight="false" outlineLevel="0" collapsed="false">
      <c r="A487" s="71" t="str">
        <f aca="false">IF(D487="","",ROW()-1)</f>
        <v/>
      </c>
      <c r="B487" s="72"/>
      <c r="C487" s="72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4"/>
      <c r="O487" s="73"/>
      <c r="P487" s="74"/>
      <c r="Q487" s="73"/>
      <c r="R487" s="74"/>
      <c r="S487" s="75"/>
      <c r="T487" s="73"/>
      <c r="U487" s="73"/>
      <c r="V487" s="73"/>
      <c r="W487" s="73"/>
      <c r="X487" s="73"/>
      <c r="Y487" s="73"/>
      <c r="Z487" s="73"/>
      <c r="AA487" s="73"/>
      <c r="AB487" s="74"/>
      <c r="AC487" s="73"/>
      <c r="AD487" s="76"/>
      <c r="AE487" s="73"/>
      <c r="AF487" s="73"/>
      <c r="AG487" s="73"/>
      <c r="AH487" s="73"/>
      <c r="AI487" s="73"/>
    </row>
    <row r="488" customFormat="false" ht="15" hidden="false" customHeight="false" outlineLevel="0" collapsed="false">
      <c r="A488" s="71" t="str">
        <f aca="false">IF(D488="","",ROW()-1)</f>
        <v/>
      </c>
      <c r="B488" s="72"/>
      <c r="C488" s="72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4"/>
      <c r="O488" s="73"/>
      <c r="P488" s="74"/>
      <c r="Q488" s="73"/>
      <c r="R488" s="74"/>
      <c r="S488" s="75"/>
      <c r="T488" s="73"/>
      <c r="U488" s="73"/>
      <c r="V488" s="73"/>
      <c r="W488" s="73"/>
      <c r="X488" s="73"/>
      <c r="Y488" s="73"/>
      <c r="Z488" s="73"/>
      <c r="AA488" s="73"/>
      <c r="AB488" s="74"/>
      <c r="AC488" s="73"/>
      <c r="AD488" s="76"/>
      <c r="AE488" s="73"/>
      <c r="AF488" s="73"/>
      <c r="AG488" s="73"/>
      <c r="AH488" s="73"/>
      <c r="AI488" s="73"/>
    </row>
    <row r="489" customFormat="false" ht="15" hidden="false" customHeight="false" outlineLevel="0" collapsed="false">
      <c r="A489" s="71" t="str">
        <f aca="false">IF(D489="","",ROW()-1)</f>
        <v/>
      </c>
      <c r="B489" s="72"/>
      <c r="C489" s="72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4"/>
      <c r="O489" s="73"/>
      <c r="P489" s="74"/>
      <c r="Q489" s="73"/>
      <c r="R489" s="74"/>
      <c r="S489" s="75"/>
      <c r="T489" s="73"/>
      <c r="U489" s="73"/>
      <c r="V489" s="73"/>
      <c r="W489" s="73"/>
      <c r="X489" s="73"/>
      <c r="Y489" s="73"/>
      <c r="Z489" s="73"/>
      <c r="AA489" s="73"/>
      <c r="AB489" s="74"/>
      <c r="AC489" s="73"/>
      <c r="AD489" s="76"/>
      <c r="AE489" s="73"/>
      <c r="AF489" s="73"/>
      <c r="AG489" s="73"/>
      <c r="AH489" s="73"/>
      <c r="AI489" s="73"/>
    </row>
    <row r="490" customFormat="false" ht="15" hidden="false" customHeight="false" outlineLevel="0" collapsed="false">
      <c r="A490" s="71" t="str">
        <f aca="false">IF(D490="","",ROW()-1)</f>
        <v/>
      </c>
      <c r="B490" s="72"/>
      <c r="C490" s="72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4"/>
      <c r="O490" s="73"/>
      <c r="P490" s="74"/>
      <c r="Q490" s="73"/>
      <c r="R490" s="74"/>
      <c r="S490" s="75"/>
      <c r="T490" s="73"/>
      <c r="U490" s="73"/>
      <c r="V490" s="73"/>
      <c r="W490" s="73"/>
      <c r="X490" s="73"/>
      <c r="Y490" s="73"/>
      <c r="Z490" s="73"/>
      <c r="AA490" s="73"/>
      <c r="AB490" s="74"/>
      <c r="AC490" s="73"/>
      <c r="AD490" s="76"/>
      <c r="AE490" s="73"/>
      <c r="AF490" s="73"/>
      <c r="AG490" s="73"/>
      <c r="AH490" s="73"/>
      <c r="AI490" s="73"/>
    </row>
    <row r="491" customFormat="false" ht="15" hidden="false" customHeight="false" outlineLevel="0" collapsed="false">
      <c r="A491" s="71" t="str">
        <f aca="false">IF(D491="","",ROW()-1)</f>
        <v/>
      </c>
      <c r="B491" s="72"/>
      <c r="C491" s="72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4"/>
      <c r="O491" s="73"/>
      <c r="P491" s="74"/>
      <c r="Q491" s="73"/>
      <c r="R491" s="74"/>
      <c r="S491" s="75"/>
      <c r="T491" s="73"/>
      <c r="U491" s="73"/>
      <c r="V491" s="73"/>
      <c r="W491" s="73"/>
      <c r="X491" s="73"/>
      <c r="Y491" s="73"/>
      <c r="Z491" s="73"/>
      <c r="AA491" s="73"/>
      <c r="AB491" s="74"/>
      <c r="AC491" s="73"/>
      <c r="AD491" s="76"/>
      <c r="AE491" s="73"/>
      <c r="AF491" s="73"/>
      <c r="AG491" s="73"/>
      <c r="AH491" s="73"/>
      <c r="AI491" s="73"/>
    </row>
    <row r="492" customFormat="false" ht="15" hidden="false" customHeight="false" outlineLevel="0" collapsed="false">
      <c r="A492" s="71" t="str">
        <f aca="false">IF(D492="","",ROW()-1)</f>
        <v/>
      </c>
      <c r="B492" s="72"/>
      <c r="C492" s="72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4"/>
      <c r="O492" s="73"/>
      <c r="P492" s="74"/>
      <c r="Q492" s="73"/>
      <c r="R492" s="74"/>
      <c r="S492" s="75"/>
      <c r="T492" s="73"/>
      <c r="U492" s="73"/>
      <c r="V492" s="73"/>
      <c r="W492" s="73"/>
      <c r="X492" s="73"/>
      <c r="Y492" s="73"/>
      <c r="Z492" s="73"/>
      <c r="AA492" s="73"/>
      <c r="AB492" s="74"/>
      <c r="AC492" s="73"/>
      <c r="AD492" s="76"/>
      <c r="AE492" s="73"/>
      <c r="AF492" s="73"/>
      <c r="AG492" s="73"/>
      <c r="AH492" s="73"/>
      <c r="AI492" s="73"/>
    </row>
    <row r="493" customFormat="false" ht="15" hidden="false" customHeight="false" outlineLevel="0" collapsed="false">
      <c r="A493" s="71" t="str">
        <f aca="false">IF(D493="","",ROW()-1)</f>
        <v/>
      </c>
      <c r="B493" s="72"/>
      <c r="C493" s="72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4"/>
      <c r="O493" s="73"/>
      <c r="P493" s="74"/>
      <c r="Q493" s="73"/>
      <c r="R493" s="74"/>
      <c r="S493" s="75"/>
      <c r="T493" s="73"/>
      <c r="U493" s="73"/>
      <c r="V493" s="73"/>
      <c r="W493" s="73"/>
      <c r="X493" s="73"/>
      <c r="Y493" s="73"/>
      <c r="Z493" s="73"/>
      <c r="AA493" s="73"/>
      <c r="AB493" s="74"/>
      <c r="AC493" s="73"/>
      <c r="AD493" s="76"/>
      <c r="AE493" s="73"/>
      <c r="AF493" s="73"/>
      <c r="AG493" s="73"/>
      <c r="AH493" s="73"/>
      <c r="AI493" s="73"/>
    </row>
    <row r="494" customFormat="false" ht="15" hidden="false" customHeight="false" outlineLevel="0" collapsed="false">
      <c r="A494" s="71" t="str">
        <f aca="false">IF(D494="","",ROW()-1)</f>
        <v/>
      </c>
      <c r="B494" s="72"/>
      <c r="C494" s="72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4"/>
      <c r="O494" s="73"/>
      <c r="P494" s="74"/>
      <c r="Q494" s="73"/>
      <c r="R494" s="74"/>
      <c r="S494" s="75"/>
      <c r="T494" s="73"/>
      <c r="U494" s="73"/>
      <c r="V494" s="73"/>
      <c r="W494" s="73"/>
      <c r="X494" s="73"/>
      <c r="Y494" s="73"/>
      <c r="Z494" s="73"/>
      <c r="AA494" s="73"/>
      <c r="AB494" s="74"/>
      <c r="AC494" s="73"/>
      <c r="AD494" s="76"/>
      <c r="AE494" s="73"/>
      <c r="AF494" s="73"/>
      <c r="AG494" s="73"/>
      <c r="AH494" s="73"/>
      <c r="AI494" s="73"/>
    </row>
    <row r="495" customFormat="false" ht="15" hidden="false" customHeight="false" outlineLevel="0" collapsed="false">
      <c r="A495" s="71" t="str">
        <f aca="false">IF(D495="","",ROW()-1)</f>
        <v/>
      </c>
      <c r="B495" s="72"/>
      <c r="C495" s="72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4"/>
      <c r="O495" s="73"/>
      <c r="P495" s="74"/>
      <c r="Q495" s="73"/>
      <c r="R495" s="74"/>
      <c r="S495" s="75"/>
      <c r="T495" s="73"/>
      <c r="U495" s="73"/>
      <c r="V495" s="73"/>
      <c r="W495" s="73"/>
      <c r="X495" s="73"/>
      <c r="Y495" s="73"/>
      <c r="Z495" s="73"/>
      <c r="AA495" s="73"/>
      <c r="AB495" s="74"/>
      <c r="AC495" s="73"/>
      <c r="AD495" s="76"/>
      <c r="AE495" s="73"/>
      <c r="AF495" s="73"/>
      <c r="AG495" s="73"/>
      <c r="AH495" s="73"/>
      <c r="AI495" s="73"/>
    </row>
    <row r="496" customFormat="false" ht="15" hidden="false" customHeight="false" outlineLevel="0" collapsed="false">
      <c r="A496" s="71" t="str">
        <f aca="false">IF(D496="","",ROW()-1)</f>
        <v/>
      </c>
      <c r="B496" s="72"/>
      <c r="C496" s="72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4"/>
      <c r="O496" s="73"/>
      <c r="P496" s="74"/>
      <c r="Q496" s="73"/>
      <c r="R496" s="74"/>
      <c r="S496" s="75"/>
      <c r="T496" s="73"/>
      <c r="U496" s="73"/>
      <c r="V496" s="73"/>
      <c r="W496" s="73"/>
      <c r="X496" s="73"/>
      <c r="Y496" s="73"/>
      <c r="Z496" s="73"/>
      <c r="AA496" s="73"/>
      <c r="AB496" s="74"/>
      <c r="AC496" s="73"/>
      <c r="AD496" s="76"/>
      <c r="AE496" s="73"/>
      <c r="AF496" s="73"/>
      <c r="AG496" s="73"/>
      <c r="AH496" s="73"/>
      <c r="AI496" s="73"/>
    </row>
    <row r="497" customFormat="false" ht="15" hidden="false" customHeight="false" outlineLevel="0" collapsed="false">
      <c r="A497" s="71" t="str">
        <f aca="false">IF(D497="","",ROW()-1)</f>
        <v/>
      </c>
      <c r="B497" s="72"/>
      <c r="C497" s="72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4"/>
      <c r="O497" s="73"/>
      <c r="P497" s="74"/>
      <c r="Q497" s="73"/>
      <c r="R497" s="74"/>
      <c r="S497" s="75"/>
      <c r="T497" s="73"/>
      <c r="U497" s="73"/>
      <c r="V497" s="73"/>
      <c r="W497" s="73"/>
      <c r="X497" s="73"/>
      <c r="Y497" s="73"/>
      <c r="Z497" s="73"/>
      <c r="AA497" s="73"/>
      <c r="AB497" s="74"/>
      <c r="AC497" s="73"/>
      <c r="AD497" s="76"/>
      <c r="AE497" s="73"/>
      <c r="AF497" s="73"/>
      <c r="AG497" s="73"/>
      <c r="AH497" s="73"/>
      <c r="AI497" s="73"/>
    </row>
    <row r="498" customFormat="false" ht="15" hidden="false" customHeight="false" outlineLevel="0" collapsed="false">
      <c r="A498" s="71" t="str">
        <f aca="false">IF(D498="","",ROW()-1)</f>
        <v/>
      </c>
      <c r="B498" s="72"/>
      <c r="C498" s="72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4"/>
      <c r="O498" s="73"/>
      <c r="P498" s="74"/>
      <c r="Q498" s="73"/>
      <c r="R498" s="74"/>
      <c r="S498" s="75"/>
      <c r="T498" s="73"/>
      <c r="U498" s="73"/>
      <c r="V498" s="73"/>
      <c r="W498" s="73"/>
      <c r="X498" s="73"/>
      <c r="Y498" s="73"/>
      <c r="Z498" s="73"/>
      <c r="AA498" s="73"/>
      <c r="AB498" s="74"/>
      <c r="AC498" s="73"/>
      <c r="AD498" s="76"/>
      <c r="AE498" s="73"/>
      <c r="AF498" s="73"/>
      <c r="AG498" s="73"/>
      <c r="AH498" s="73"/>
      <c r="AI498" s="73"/>
    </row>
    <row r="499" customFormat="false" ht="15" hidden="false" customHeight="false" outlineLevel="0" collapsed="false">
      <c r="A499" s="71" t="str">
        <f aca="false">IF(D499="","",ROW()-1)</f>
        <v/>
      </c>
      <c r="B499" s="72"/>
      <c r="C499" s="72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4"/>
      <c r="O499" s="73"/>
      <c r="P499" s="74"/>
      <c r="Q499" s="73"/>
      <c r="R499" s="74"/>
      <c r="S499" s="75"/>
      <c r="T499" s="73"/>
      <c r="U499" s="73"/>
      <c r="V499" s="73"/>
      <c r="W499" s="73"/>
      <c r="X499" s="73"/>
      <c r="Y499" s="73"/>
      <c r="Z499" s="73"/>
      <c r="AA499" s="73"/>
      <c r="AB499" s="74"/>
      <c r="AC499" s="73"/>
      <c r="AD499" s="76"/>
      <c r="AE499" s="73"/>
      <c r="AF499" s="73"/>
      <c r="AG499" s="73"/>
      <c r="AH499" s="73"/>
      <c r="AI499" s="73"/>
    </row>
    <row r="500" customFormat="false" ht="15" hidden="false" customHeight="false" outlineLevel="0" collapsed="false">
      <c r="A500" s="71" t="str">
        <f aca="false">IF(D500="","",ROW()-1)</f>
        <v/>
      </c>
      <c r="B500" s="72"/>
      <c r="C500" s="72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4"/>
      <c r="O500" s="73"/>
      <c r="P500" s="74"/>
      <c r="Q500" s="73"/>
      <c r="R500" s="74"/>
      <c r="S500" s="75"/>
      <c r="T500" s="73"/>
      <c r="U500" s="73"/>
      <c r="V500" s="73"/>
      <c r="W500" s="73"/>
      <c r="X500" s="73"/>
      <c r="Y500" s="73"/>
      <c r="Z500" s="73"/>
      <c r="AA500" s="73"/>
      <c r="AB500" s="74"/>
      <c r="AC500" s="73"/>
      <c r="AD500" s="76"/>
      <c r="AE500" s="73"/>
      <c r="AF500" s="73"/>
      <c r="AG500" s="73"/>
      <c r="AH500" s="73"/>
      <c r="AI500" s="73"/>
    </row>
    <row r="501" customFormat="false" ht="15" hidden="false" customHeight="false" outlineLevel="0" collapsed="false">
      <c r="A501" s="71" t="str">
        <f aca="false">IF(D501="","",ROW()-1)</f>
        <v/>
      </c>
      <c r="B501" s="72"/>
      <c r="C501" s="72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4"/>
      <c r="O501" s="73"/>
      <c r="P501" s="74"/>
      <c r="Q501" s="73"/>
      <c r="R501" s="74"/>
      <c r="S501" s="75"/>
      <c r="T501" s="73"/>
      <c r="U501" s="73"/>
      <c r="V501" s="73"/>
      <c r="W501" s="73"/>
      <c r="X501" s="73"/>
      <c r="Y501" s="73"/>
      <c r="Z501" s="73"/>
      <c r="AA501" s="73"/>
      <c r="AB501" s="74"/>
      <c r="AC501" s="73"/>
      <c r="AD501" s="76"/>
      <c r="AE501" s="73"/>
      <c r="AF501" s="73"/>
      <c r="AG501" s="73"/>
      <c r="AH501" s="73"/>
      <c r="AI501" s="73"/>
    </row>
  </sheetData>
  <autoFilter ref="A1:AI501"/>
  <dataValidations count="22">
    <dataValidation allowBlank="true" error="日付を入力してください（例：2026/11/05）" errorStyle="stop" errorTitle="入力エラー" operator="greaterThan" showDropDown="false" showErrorMessage="false" showInputMessage="false" sqref="N2:N501 P2:P501 R2:R501 AB2:AB501" type="date">
      <formula1>36526</formula1>
      <formula2>0</formula2>
    </dataValidation>
    <dataValidation allowBlank="true" errorStyle="stop" operator="between" showDropDown="false" showErrorMessage="false" showInputMessage="false" sqref="F2:F501" type="list">
      <formula1>マスタ!$H$2:$H$60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H2:H501" type="list">
      <formula1>マスタ!$S$2:$S$60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I2:I501" type="list">
      <formula1>マスタ!$S$2:$S$60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K2:K501" type="list">
      <formula1>マスタ!$T$2:$T$60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L2:L501" type="list">
      <formula1>マスタ!$I$2:$I$60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M2:M501" type="list">
      <formula1>マスタ!$A$2:$A$60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O2:O501" type="list">
      <formula1>マスタ!$C$2:$C$60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Q2:Q501" type="list">
      <formula1>マスタ!$J$2:$J$60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T2:T501" type="list">
      <formula1>マスタ!$K$2:$K$60</formula1>
      <formula2>0</formula2>
    </dataValidation>
    <dataValidation allowBlank="true" errorStyle="stop" operator="between" showDropDown="false" showErrorMessage="false" showInputMessage="false" sqref="U2:U501" type="list">
      <formula1>マスタ!$D$2:$D$60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V2:V501" type="list">
      <formula1>マスタ!$L$2:$L$60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W2:W501" type="list">
      <formula1>マスタ!$M$2:$M$60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X2:X501" type="list">
      <formula1>マスタ!$N$2:$N$60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Z2:Z501" type="list">
      <formula1>マスタ!$P$2:$P$60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A2:AA501" type="list">
      <formula1>マスタ!$Q$2:$Q$60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C2:AC501" type="list">
      <formula1>マスタ!$R$2:$R$60</formula1>
      <formula2>0</formula2>
    </dataValidation>
    <dataValidation allowBlank="true" errorStyle="stop" operator="between" showDropDown="false" showErrorMessage="false" showInputMessage="false" sqref="AD2:AD501" type="list">
      <formula1>マスタ!$Y$2:$Y$60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E2:AE501" type="list">
      <formula1>マスタ!$R$2:$R$60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F2:AF501" type="list">
      <formula1>マスタ!$N$2:$N$60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G2:AG501" type="list">
      <formula1>マスタ!$U$2:$U$60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H2:AH501" type="list">
      <formula1>マスタ!$V$2:$V$60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7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1" min="20" style="0" width="9"/>
    <col collapsed="false" customWidth="true" hidden="false" outlineLevel="0" max="23" min="22" style="0" width="11"/>
    <col collapsed="false" customWidth="true" hidden="false" outlineLevel="0" max="24" min="24" style="0" width="10"/>
    <col collapsed="false" customWidth="true" hidden="false" outlineLevel="0" max="25" min="25" style="0" width="22"/>
    <col collapsed="false" customWidth="true" hidden="false" outlineLevel="0" max="26" min="26" style="0" width="8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7"/>
    <col collapsed="false" customWidth="true" hidden="false" outlineLevel="0" max="30" min="30" style="0" width="10"/>
    <col collapsed="false" customWidth="true" hidden="false" outlineLevel="0" max="31" min="31" style="0" width="7"/>
    <col collapsed="false" customWidth="true" hidden="false" outlineLevel="0" max="32" min="32" style="0" width="10"/>
    <col collapsed="false" customWidth="true" hidden="false" outlineLevel="0" max="33" min="33" style="0" width="6"/>
    <col collapsed="false" customWidth="true" hidden="false" outlineLevel="0" max="34" min="34" style="0" width="9"/>
    <col collapsed="false" customWidth="true" hidden="false" outlineLevel="0" max="35" min="35" style="0" width="24"/>
  </cols>
  <sheetData>
    <row r="1" customFormat="false" ht="30" hidden="false" customHeight="true" outlineLevel="0" collapsed="false">
      <c r="A1" s="70" t="s">
        <v>223</v>
      </c>
      <c r="B1" s="8" t="s">
        <v>224</v>
      </c>
      <c r="C1" s="8" t="s">
        <v>225</v>
      </c>
      <c r="D1" s="8" t="s">
        <v>226</v>
      </c>
      <c r="E1" s="8" t="s">
        <v>227</v>
      </c>
      <c r="F1" s="8" t="s">
        <v>228</v>
      </c>
      <c r="G1" s="22" t="s">
        <v>229</v>
      </c>
      <c r="H1" s="22" t="s">
        <v>230</v>
      </c>
      <c r="I1" s="22" t="s">
        <v>231</v>
      </c>
      <c r="J1" s="8" t="s">
        <v>232</v>
      </c>
      <c r="K1" s="8" t="s">
        <v>233</v>
      </c>
      <c r="L1" s="8" t="s">
        <v>234</v>
      </c>
      <c r="M1" s="8" t="s">
        <v>235</v>
      </c>
      <c r="N1" s="8" t="s">
        <v>236</v>
      </c>
      <c r="O1" s="8" t="s">
        <v>237</v>
      </c>
      <c r="P1" s="8" t="s">
        <v>238</v>
      </c>
      <c r="Q1" s="8" t="s">
        <v>239</v>
      </c>
      <c r="R1" s="8" t="s">
        <v>240</v>
      </c>
      <c r="S1" s="8" t="s">
        <v>241</v>
      </c>
      <c r="T1" s="8" t="s">
        <v>242</v>
      </c>
      <c r="U1" s="8" t="s">
        <v>243</v>
      </c>
      <c r="V1" s="8" t="s">
        <v>244</v>
      </c>
      <c r="W1" s="8" t="s">
        <v>245</v>
      </c>
      <c r="X1" s="8" t="s">
        <v>246</v>
      </c>
      <c r="Y1" s="8" t="s">
        <v>247</v>
      </c>
      <c r="Z1" s="8" t="s">
        <v>248</v>
      </c>
      <c r="AA1" s="8" t="s">
        <v>249</v>
      </c>
      <c r="AB1" s="8" t="s">
        <v>250</v>
      </c>
      <c r="AC1" s="8" t="s">
        <v>107</v>
      </c>
      <c r="AD1" s="8" t="s">
        <v>251</v>
      </c>
      <c r="AE1" s="8" t="s">
        <v>252</v>
      </c>
      <c r="AF1" s="8" t="s">
        <v>253</v>
      </c>
      <c r="AG1" s="8" t="s">
        <v>254</v>
      </c>
      <c r="AH1" s="8" t="s">
        <v>255</v>
      </c>
      <c r="AI1" s="8" t="s">
        <v>256</v>
      </c>
    </row>
    <row r="2" customFormat="false" ht="15" hidden="false" customHeight="false" outlineLevel="0" collapsed="false">
      <c r="A2" s="71" t="str">
        <f aca="false">IF(D2="","",ROW()-1)</f>
        <v/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4"/>
      <c r="O2" s="73"/>
      <c r="P2" s="74"/>
      <c r="Q2" s="73"/>
      <c r="R2" s="74"/>
      <c r="S2" s="75"/>
      <c r="T2" s="73"/>
      <c r="U2" s="73"/>
      <c r="V2" s="73"/>
      <c r="W2" s="73"/>
      <c r="X2" s="73"/>
      <c r="Y2" s="73"/>
      <c r="Z2" s="73"/>
      <c r="AA2" s="73"/>
      <c r="AB2" s="74"/>
      <c r="AC2" s="73"/>
      <c r="AD2" s="76"/>
      <c r="AE2" s="73"/>
      <c r="AF2" s="73"/>
      <c r="AG2" s="73"/>
      <c r="AH2" s="73"/>
      <c r="AI2" s="73"/>
    </row>
    <row r="3" customFormat="false" ht="15" hidden="false" customHeight="false" outlineLevel="0" collapsed="false">
      <c r="A3" s="71" t="str">
        <f aca="false">IF(D3="","",ROW()-1)</f>
        <v/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  <c r="O3" s="73"/>
      <c r="P3" s="74"/>
      <c r="Q3" s="73"/>
      <c r="R3" s="74"/>
      <c r="S3" s="75"/>
      <c r="T3" s="73"/>
      <c r="U3" s="73"/>
      <c r="V3" s="73"/>
      <c r="W3" s="73"/>
      <c r="X3" s="73"/>
      <c r="Y3" s="73"/>
      <c r="Z3" s="73"/>
      <c r="AA3" s="73"/>
      <c r="AB3" s="74"/>
      <c r="AC3" s="73"/>
      <c r="AD3" s="76"/>
      <c r="AE3" s="73"/>
      <c r="AF3" s="73"/>
      <c r="AG3" s="73"/>
      <c r="AH3" s="73"/>
      <c r="AI3" s="73"/>
    </row>
    <row r="4" customFormat="false" ht="15" hidden="false" customHeight="false" outlineLevel="0" collapsed="false">
      <c r="A4" s="71" t="str">
        <f aca="false">IF(D4="","",ROW()-1)</f>
        <v/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4"/>
      <c r="O4" s="73"/>
      <c r="P4" s="74"/>
      <c r="Q4" s="73"/>
      <c r="R4" s="74"/>
      <c r="S4" s="75"/>
      <c r="T4" s="73"/>
      <c r="U4" s="73"/>
      <c r="V4" s="73"/>
      <c r="W4" s="73"/>
      <c r="X4" s="73"/>
      <c r="Y4" s="73"/>
      <c r="Z4" s="73"/>
      <c r="AA4" s="73"/>
      <c r="AB4" s="74"/>
      <c r="AC4" s="73"/>
      <c r="AD4" s="76"/>
      <c r="AE4" s="73"/>
      <c r="AF4" s="73"/>
      <c r="AG4" s="73"/>
      <c r="AH4" s="73"/>
      <c r="AI4" s="73"/>
    </row>
    <row r="5" customFormat="false" ht="15" hidden="false" customHeight="false" outlineLevel="0" collapsed="false">
      <c r="A5" s="71" t="str">
        <f aca="false">IF(D5="","",ROW()-1)</f>
        <v/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  <c r="O5" s="73"/>
      <c r="P5" s="74"/>
      <c r="Q5" s="73"/>
      <c r="R5" s="74"/>
      <c r="S5" s="75"/>
      <c r="T5" s="73"/>
      <c r="U5" s="73"/>
      <c r="V5" s="73"/>
      <c r="W5" s="73"/>
      <c r="X5" s="73"/>
      <c r="Y5" s="73"/>
      <c r="Z5" s="73"/>
      <c r="AA5" s="73"/>
      <c r="AB5" s="74"/>
      <c r="AC5" s="73"/>
      <c r="AD5" s="76"/>
      <c r="AE5" s="73"/>
      <c r="AF5" s="73"/>
      <c r="AG5" s="73"/>
      <c r="AH5" s="73"/>
      <c r="AI5" s="73"/>
    </row>
    <row r="6" customFormat="false" ht="15" hidden="false" customHeight="false" outlineLevel="0" collapsed="false">
      <c r="A6" s="71" t="str">
        <f aca="false">IF(D6="","",ROW()-1)</f>
        <v/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  <c r="O6" s="73"/>
      <c r="P6" s="74"/>
      <c r="Q6" s="73"/>
      <c r="R6" s="74"/>
      <c r="S6" s="75"/>
      <c r="T6" s="73"/>
      <c r="U6" s="73"/>
      <c r="V6" s="73"/>
      <c r="W6" s="73"/>
      <c r="X6" s="73"/>
      <c r="Y6" s="73"/>
      <c r="Z6" s="73"/>
      <c r="AA6" s="73"/>
      <c r="AB6" s="74"/>
      <c r="AC6" s="73"/>
      <c r="AD6" s="76"/>
      <c r="AE6" s="73"/>
      <c r="AF6" s="73"/>
      <c r="AG6" s="73"/>
      <c r="AH6" s="73"/>
      <c r="AI6" s="73"/>
    </row>
    <row r="7" customFormat="false" ht="15" hidden="false" customHeight="false" outlineLevel="0" collapsed="false">
      <c r="A7" s="71" t="str">
        <f aca="false">IF(D7="","",ROW()-1)</f>
        <v/>
      </c>
      <c r="B7" s="72"/>
      <c r="C7" s="72"/>
      <c r="D7" s="73"/>
      <c r="E7" s="73"/>
      <c r="F7" s="73"/>
      <c r="G7" s="73"/>
      <c r="H7" s="73"/>
      <c r="I7" s="73"/>
      <c r="J7" s="73"/>
      <c r="K7" s="73"/>
      <c r="L7" s="73"/>
      <c r="M7" s="73"/>
      <c r="N7" s="74"/>
      <c r="O7" s="73"/>
      <c r="P7" s="74"/>
      <c r="Q7" s="73"/>
      <c r="R7" s="74"/>
      <c r="S7" s="75"/>
      <c r="T7" s="73"/>
      <c r="U7" s="73"/>
      <c r="V7" s="73"/>
      <c r="W7" s="73"/>
      <c r="X7" s="73"/>
      <c r="Y7" s="73"/>
      <c r="Z7" s="73"/>
      <c r="AA7" s="73"/>
      <c r="AB7" s="74"/>
      <c r="AC7" s="73"/>
      <c r="AD7" s="76"/>
      <c r="AE7" s="73"/>
      <c r="AF7" s="73"/>
      <c r="AG7" s="73"/>
      <c r="AH7" s="73"/>
      <c r="AI7" s="73"/>
    </row>
    <row r="8" customFormat="false" ht="15" hidden="false" customHeight="false" outlineLevel="0" collapsed="false">
      <c r="A8" s="71" t="str">
        <f aca="false">IF(D8="","",ROW()-1)</f>
        <v/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4"/>
      <c r="O8" s="73"/>
      <c r="P8" s="74"/>
      <c r="Q8" s="73"/>
      <c r="R8" s="74"/>
      <c r="S8" s="75"/>
      <c r="T8" s="73"/>
      <c r="U8" s="73"/>
      <c r="V8" s="73"/>
      <c r="W8" s="73"/>
      <c r="X8" s="73"/>
      <c r="Y8" s="73"/>
      <c r="Z8" s="73"/>
      <c r="AA8" s="73"/>
      <c r="AB8" s="74"/>
      <c r="AC8" s="73"/>
      <c r="AD8" s="76"/>
      <c r="AE8" s="73"/>
      <c r="AF8" s="73"/>
      <c r="AG8" s="73"/>
      <c r="AH8" s="73"/>
      <c r="AI8" s="73"/>
    </row>
    <row r="9" customFormat="false" ht="15" hidden="false" customHeight="false" outlineLevel="0" collapsed="false">
      <c r="A9" s="71" t="str">
        <f aca="false">IF(D9="","",ROW()-1)</f>
        <v/>
      </c>
      <c r="B9" s="72"/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O9" s="73"/>
      <c r="P9" s="74"/>
      <c r="Q9" s="73"/>
      <c r="R9" s="74"/>
      <c r="S9" s="75"/>
      <c r="T9" s="73"/>
      <c r="U9" s="73"/>
      <c r="V9" s="73"/>
      <c r="W9" s="73"/>
      <c r="X9" s="73"/>
      <c r="Y9" s="73"/>
      <c r="Z9" s="73"/>
      <c r="AA9" s="73"/>
      <c r="AB9" s="74"/>
      <c r="AC9" s="73"/>
      <c r="AD9" s="76"/>
      <c r="AE9" s="73"/>
      <c r="AF9" s="73"/>
      <c r="AG9" s="73"/>
      <c r="AH9" s="73"/>
      <c r="AI9" s="73"/>
    </row>
    <row r="10" customFormat="false" ht="15" hidden="false" customHeight="false" outlineLevel="0" collapsed="false">
      <c r="A10" s="71" t="str">
        <f aca="false">IF(D10="","",ROW()-1)</f>
        <v/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4"/>
      <c r="O10" s="73"/>
      <c r="P10" s="74"/>
      <c r="Q10" s="73"/>
      <c r="R10" s="74"/>
      <c r="S10" s="75"/>
      <c r="T10" s="73"/>
      <c r="U10" s="73"/>
      <c r="V10" s="73"/>
      <c r="W10" s="73"/>
      <c r="X10" s="73"/>
      <c r="Y10" s="73"/>
      <c r="Z10" s="73"/>
      <c r="AA10" s="73"/>
      <c r="AB10" s="74"/>
      <c r="AC10" s="73"/>
      <c r="AD10" s="76"/>
      <c r="AE10" s="73"/>
      <c r="AF10" s="73"/>
      <c r="AG10" s="73"/>
      <c r="AH10" s="73"/>
      <c r="AI10" s="73"/>
    </row>
    <row r="11" customFormat="false" ht="15" hidden="false" customHeight="false" outlineLevel="0" collapsed="false">
      <c r="A11" s="71" t="str">
        <f aca="false">IF(D11="","",ROW()-1)</f>
        <v/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4"/>
      <c r="O11" s="73"/>
      <c r="P11" s="74"/>
      <c r="Q11" s="73"/>
      <c r="R11" s="74"/>
      <c r="S11" s="75"/>
      <c r="T11" s="73"/>
      <c r="U11" s="73"/>
      <c r="V11" s="73"/>
      <c r="W11" s="73"/>
      <c r="X11" s="73"/>
      <c r="Y11" s="73"/>
      <c r="Z11" s="73"/>
      <c r="AA11" s="73"/>
      <c r="AB11" s="74"/>
      <c r="AC11" s="73"/>
      <c r="AD11" s="76"/>
      <c r="AE11" s="73"/>
      <c r="AF11" s="73"/>
      <c r="AG11" s="73"/>
      <c r="AH11" s="73"/>
      <c r="AI11" s="73"/>
    </row>
    <row r="12" customFormat="false" ht="15" hidden="false" customHeight="false" outlineLevel="0" collapsed="false">
      <c r="A12" s="71" t="str">
        <f aca="false">IF(D12="","",ROW()-1)</f>
        <v/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4"/>
      <c r="O12" s="73"/>
      <c r="P12" s="74"/>
      <c r="Q12" s="73"/>
      <c r="R12" s="74"/>
      <c r="S12" s="75"/>
      <c r="T12" s="73"/>
      <c r="U12" s="73"/>
      <c r="V12" s="73"/>
      <c r="W12" s="73"/>
      <c r="X12" s="73"/>
      <c r="Y12" s="73"/>
      <c r="Z12" s="73"/>
      <c r="AA12" s="73"/>
      <c r="AB12" s="74"/>
      <c r="AC12" s="73"/>
      <c r="AD12" s="76"/>
      <c r="AE12" s="73"/>
      <c r="AF12" s="73"/>
      <c r="AG12" s="73"/>
      <c r="AH12" s="73"/>
      <c r="AI12" s="73"/>
    </row>
    <row r="13" customFormat="false" ht="15" hidden="false" customHeight="false" outlineLevel="0" collapsed="false">
      <c r="A13" s="71" t="str">
        <f aca="false">IF(D13="","",ROW()-1)</f>
        <v/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4"/>
      <c r="O13" s="73"/>
      <c r="P13" s="74"/>
      <c r="Q13" s="73"/>
      <c r="R13" s="74"/>
      <c r="S13" s="75"/>
      <c r="T13" s="73"/>
      <c r="U13" s="73"/>
      <c r="V13" s="73"/>
      <c r="W13" s="73"/>
      <c r="X13" s="73"/>
      <c r="Y13" s="73"/>
      <c r="Z13" s="73"/>
      <c r="AA13" s="73"/>
      <c r="AB13" s="74"/>
      <c r="AC13" s="73"/>
      <c r="AD13" s="76"/>
      <c r="AE13" s="73"/>
      <c r="AF13" s="73"/>
      <c r="AG13" s="73"/>
      <c r="AH13" s="73"/>
      <c r="AI13" s="73"/>
    </row>
    <row r="14" customFormat="false" ht="15" hidden="false" customHeight="false" outlineLevel="0" collapsed="false">
      <c r="A14" s="71" t="str">
        <f aca="false">IF(D14="","",ROW()-1)</f>
        <v/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4"/>
      <c r="O14" s="73"/>
      <c r="P14" s="74"/>
      <c r="Q14" s="73"/>
      <c r="R14" s="74"/>
      <c r="S14" s="75"/>
      <c r="T14" s="73"/>
      <c r="U14" s="73"/>
      <c r="V14" s="73"/>
      <c r="W14" s="73"/>
      <c r="X14" s="73"/>
      <c r="Y14" s="73"/>
      <c r="Z14" s="73"/>
      <c r="AA14" s="73"/>
      <c r="AB14" s="74"/>
      <c r="AC14" s="73"/>
      <c r="AD14" s="76"/>
      <c r="AE14" s="73"/>
      <c r="AF14" s="73"/>
      <c r="AG14" s="73"/>
      <c r="AH14" s="73"/>
      <c r="AI14" s="73"/>
    </row>
    <row r="15" customFormat="false" ht="15" hidden="false" customHeight="false" outlineLevel="0" collapsed="false">
      <c r="A15" s="71" t="str">
        <f aca="false">IF(D15="","",ROW()-1)</f>
        <v/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  <c r="O15" s="73"/>
      <c r="P15" s="74"/>
      <c r="Q15" s="73"/>
      <c r="R15" s="74"/>
      <c r="S15" s="75"/>
      <c r="T15" s="73"/>
      <c r="U15" s="73"/>
      <c r="V15" s="73"/>
      <c r="W15" s="73"/>
      <c r="X15" s="73"/>
      <c r="Y15" s="73"/>
      <c r="Z15" s="73"/>
      <c r="AA15" s="73"/>
      <c r="AB15" s="74"/>
      <c r="AC15" s="73"/>
      <c r="AD15" s="76"/>
      <c r="AE15" s="73"/>
      <c r="AF15" s="73"/>
      <c r="AG15" s="73"/>
      <c r="AH15" s="73"/>
      <c r="AI15" s="73"/>
    </row>
    <row r="16" customFormat="false" ht="15" hidden="false" customHeight="false" outlineLevel="0" collapsed="false">
      <c r="A16" s="71" t="str">
        <f aca="false">IF(D16="","",ROW()-1)</f>
        <v/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4"/>
      <c r="O16" s="73"/>
      <c r="P16" s="74"/>
      <c r="Q16" s="73"/>
      <c r="R16" s="74"/>
      <c r="S16" s="75"/>
      <c r="T16" s="73"/>
      <c r="U16" s="73"/>
      <c r="V16" s="73"/>
      <c r="W16" s="73"/>
      <c r="X16" s="73"/>
      <c r="Y16" s="73"/>
      <c r="Z16" s="73"/>
      <c r="AA16" s="73"/>
      <c r="AB16" s="74"/>
      <c r="AC16" s="73"/>
      <c r="AD16" s="76"/>
      <c r="AE16" s="73"/>
      <c r="AF16" s="73"/>
      <c r="AG16" s="73"/>
      <c r="AH16" s="73"/>
      <c r="AI16" s="73"/>
    </row>
    <row r="17" customFormat="false" ht="15" hidden="false" customHeight="false" outlineLevel="0" collapsed="false">
      <c r="A17" s="71" t="str">
        <f aca="false">IF(D17="","",ROW()-1)</f>
        <v/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4"/>
      <c r="O17" s="73"/>
      <c r="P17" s="74"/>
      <c r="Q17" s="73"/>
      <c r="R17" s="74"/>
      <c r="S17" s="75"/>
      <c r="T17" s="73"/>
      <c r="U17" s="73"/>
      <c r="V17" s="73"/>
      <c r="W17" s="73"/>
      <c r="X17" s="73"/>
      <c r="Y17" s="73"/>
      <c r="Z17" s="73"/>
      <c r="AA17" s="73"/>
      <c r="AB17" s="74"/>
      <c r="AC17" s="73"/>
      <c r="AD17" s="76"/>
      <c r="AE17" s="73"/>
      <c r="AF17" s="73"/>
      <c r="AG17" s="73"/>
      <c r="AH17" s="73"/>
      <c r="AI17" s="73"/>
    </row>
    <row r="18" customFormat="false" ht="15" hidden="false" customHeight="false" outlineLevel="0" collapsed="false">
      <c r="A18" s="71" t="str">
        <f aca="false">IF(D18="","",ROW()-1)</f>
        <v/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  <c r="O18" s="73"/>
      <c r="P18" s="74"/>
      <c r="Q18" s="73"/>
      <c r="R18" s="74"/>
      <c r="S18" s="75"/>
      <c r="T18" s="73"/>
      <c r="U18" s="73"/>
      <c r="V18" s="73"/>
      <c r="W18" s="73"/>
      <c r="X18" s="73"/>
      <c r="Y18" s="73"/>
      <c r="Z18" s="73"/>
      <c r="AA18" s="73"/>
      <c r="AB18" s="74"/>
      <c r="AC18" s="73"/>
      <c r="AD18" s="76"/>
      <c r="AE18" s="73"/>
      <c r="AF18" s="73"/>
      <c r="AG18" s="73"/>
      <c r="AH18" s="73"/>
      <c r="AI18" s="73"/>
    </row>
    <row r="19" customFormat="false" ht="15" hidden="false" customHeight="false" outlineLevel="0" collapsed="false">
      <c r="A19" s="71" t="str">
        <f aca="false">IF(D19="","",ROW()-1)</f>
        <v/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  <c r="O19" s="73"/>
      <c r="P19" s="74"/>
      <c r="Q19" s="73"/>
      <c r="R19" s="74"/>
      <c r="S19" s="75"/>
      <c r="T19" s="73"/>
      <c r="U19" s="73"/>
      <c r="V19" s="73"/>
      <c r="W19" s="73"/>
      <c r="X19" s="73"/>
      <c r="Y19" s="73"/>
      <c r="Z19" s="73"/>
      <c r="AA19" s="73"/>
      <c r="AB19" s="74"/>
      <c r="AC19" s="73"/>
      <c r="AD19" s="76"/>
      <c r="AE19" s="73"/>
      <c r="AF19" s="73"/>
      <c r="AG19" s="73"/>
      <c r="AH19" s="73"/>
      <c r="AI19" s="73"/>
    </row>
    <row r="20" customFormat="false" ht="15" hidden="false" customHeight="false" outlineLevel="0" collapsed="false">
      <c r="A20" s="71" t="str">
        <f aca="false">IF(D20="","",ROW()-1)</f>
        <v/>
      </c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  <c r="O20" s="73"/>
      <c r="P20" s="74"/>
      <c r="Q20" s="73"/>
      <c r="R20" s="74"/>
      <c r="S20" s="75"/>
      <c r="T20" s="73"/>
      <c r="U20" s="73"/>
      <c r="V20" s="73"/>
      <c r="W20" s="73"/>
      <c r="X20" s="73"/>
      <c r="Y20" s="73"/>
      <c r="Z20" s="73"/>
      <c r="AA20" s="73"/>
      <c r="AB20" s="74"/>
      <c r="AC20" s="73"/>
      <c r="AD20" s="76"/>
      <c r="AE20" s="73"/>
      <c r="AF20" s="73"/>
      <c r="AG20" s="73"/>
      <c r="AH20" s="73"/>
      <c r="AI20" s="73"/>
    </row>
    <row r="21" customFormat="false" ht="15" hidden="false" customHeight="false" outlineLevel="0" collapsed="false">
      <c r="A21" s="71" t="str">
        <f aca="false">IF(D21="","",ROW()-1)</f>
        <v/>
      </c>
      <c r="B21" s="72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4"/>
      <c r="O21" s="73"/>
      <c r="P21" s="74"/>
      <c r="Q21" s="73"/>
      <c r="R21" s="74"/>
      <c r="S21" s="75"/>
      <c r="T21" s="73"/>
      <c r="U21" s="73"/>
      <c r="V21" s="73"/>
      <c r="W21" s="73"/>
      <c r="X21" s="73"/>
      <c r="Y21" s="73"/>
      <c r="Z21" s="73"/>
      <c r="AA21" s="73"/>
      <c r="AB21" s="74"/>
      <c r="AC21" s="73"/>
      <c r="AD21" s="76"/>
      <c r="AE21" s="73"/>
      <c r="AF21" s="73"/>
      <c r="AG21" s="73"/>
      <c r="AH21" s="73"/>
      <c r="AI21" s="73"/>
    </row>
    <row r="22" customFormat="false" ht="15" hidden="false" customHeight="false" outlineLevel="0" collapsed="false">
      <c r="A22" s="71" t="str">
        <f aca="false">IF(D22="","",ROW()-1)</f>
        <v/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  <c r="O22" s="73"/>
      <c r="P22" s="74"/>
      <c r="Q22" s="73"/>
      <c r="R22" s="74"/>
      <c r="S22" s="75"/>
      <c r="T22" s="73"/>
      <c r="U22" s="73"/>
      <c r="V22" s="73"/>
      <c r="W22" s="73"/>
      <c r="X22" s="73"/>
      <c r="Y22" s="73"/>
      <c r="Z22" s="73"/>
      <c r="AA22" s="73"/>
      <c r="AB22" s="74"/>
      <c r="AC22" s="73"/>
      <c r="AD22" s="76"/>
      <c r="AE22" s="73"/>
      <c r="AF22" s="73"/>
      <c r="AG22" s="73"/>
      <c r="AH22" s="73"/>
      <c r="AI22" s="73"/>
    </row>
    <row r="23" customFormat="false" ht="15" hidden="false" customHeight="false" outlineLevel="0" collapsed="false">
      <c r="A23" s="71" t="str">
        <f aca="false">IF(D23="","",ROW()-1)</f>
        <v/>
      </c>
      <c r="B23" s="72"/>
      <c r="C23" s="72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4"/>
      <c r="O23" s="73"/>
      <c r="P23" s="74"/>
      <c r="Q23" s="73"/>
      <c r="R23" s="74"/>
      <c r="S23" s="75"/>
      <c r="T23" s="73"/>
      <c r="U23" s="73"/>
      <c r="V23" s="73"/>
      <c r="W23" s="73"/>
      <c r="X23" s="73"/>
      <c r="Y23" s="73"/>
      <c r="Z23" s="73"/>
      <c r="AA23" s="73"/>
      <c r="AB23" s="74"/>
      <c r="AC23" s="73"/>
      <c r="AD23" s="76"/>
      <c r="AE23" s="73"/>
      <c r="AF23" s="73"/>
      <c r="AG23" s="73"/>
      <c r="AH23" s="73"/>
      <c r="AI23" s="73"/>
    </row>
    <row r="24" customFormat="false" ht="15" hidden="false" customHeight="false" outlineLevel="0" collapsed="false">
      <c r="A24" s="71" t="str">
        <f aca="false">IF(D24="","",ROW()-1)</f>
        <v/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4"/>
      <c r="O24" s="73"/>
      <c r="P24" s="74"/>
      <c r="Q24" s="73"/>
      <c r="R24" s="74"/>
      <c r="S24" s="75"/>
      <c r="T24" s="73"/>
      <c r="U24" s="73"/>
      <c r="V24" s="73"/>
      <c r="W24" s="73"/>
      <c r="X24" s="73"/>
      <c r="Y24" s="73"/>
      <c r="Z24" s="73"/>
      <c r="AA24" s="73"/>
      <c r="AB24" s="74"/>
      <c r="AC24" s="73"/>
      <c r="AD24" s="76"/>
      <c r="AE24" s="73"/>
      <c r="AF24" s="73"/>
      <c r="AG24" s="73"/>
      <c r="AH24" s="73"/>
      <c r="AI24" s="73"/>
    </row>
    <row r="25" customFormat="false" ht="15" hidden="false" customHeight="false" outlineLevel="0" collapsed="false">
      <c r="A25" s="71" t="str">
        <f aca="false">IF(D25="","",ROW()-1)</f>
        <v/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4"/>
      <c r="O25" s="73"/>
      <c r="P25" s="74"/>
      <c r="Q25" s="73"/>
      <c r="R25" s="74"/>
      <c r="S25" s="75"/>
      <c r="T25" s="73"/>
      <c r="U25" s="73"/>
      <c r="V25" s="73"/>
      <c r="W25" s="73"/>
      <c r="X25" s="73"/>
      <c r="Y25" s="73"/>
      <c r="Z25" s="73"/>
      <c r="AA25" s="73"/>
      <c r="AB25" s="74"/>
      <c r="AC25" s="73"/>
      <c r="AD25" s="76"/>
      <c r="AE25" s="73"/>
      <c r="AF25" s="73"/>
      <c r="AG25" s="73"/>
      <c r="AH25" s="73"/>
      <c r="AI25" s="73"/>
    </row>
    <row r="26" customFormat="false" ht="15" hidden="false" customHeight="false" outlineLevel="0" collapsed="false">
      <c r="A26" s="71" t="str">
        <f aca="false">IF(D26="","",ROW()-1)</f>
        <v/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4"/>
      <c r="O26" s="73"/>
      <c r="P26" s="74"/>
      <c r="Q26" s="73"/>
      <c r="R26" s="74"/>
      <c r="S26" s="75"/>
      <c r="T26" s="73"/>
      <c r="U26" s="73"/>
      <c r="V26" s="73"/>
      <c r="W26" s="73"/>
      <c r="X26" s="73"/>
      <c r="Y26" s="73"/>
      <c r="Z26" s="73"/>
      <c r="AA26" s="73"/>
      <c r="AB26" s="74"/>
      <c r="AC26" s="73"/>
      <c r="AD26" s="76"/>
      <c r="AE26" s="73"/>
      <c r="AF26" s="73"/>
      <c r="AG26" s="73"/>
      <c r="AH26" s="73"/>
      <c r="AI26" s="73"/>
    </row>
    <row r="27" customFormat="false" ht="15" hidden="false" customHeight="false" outlineLevel="0" collapsed="false">
      <c r="A27" s="71" t="str">
        <f aca="false">IF(D27="","",ROW()-1)</f>
        <v/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4"/>
      <c r="O27" s="73"/>
      <c r="P27" s="74"/>
      <c r="Q27" s="73"/>
      <c r="R27" s="74"/>
      <c r="S27" s="75"/>
      <c r="T27" s="73"/>
      <c r="U27" s="73"/>
      <c r="V27" s="73"/>
      <c r="W27" s="73"/>
      <c r="X27" s="73"/>
      <c r="Y27" s="73"/>
      <c r="Z27" s="73"/>
      <c r="AA27" s="73"/>
      <c r="AB27" s="74"/>
      <c r="AC27" s="73"/>
      <c r="AD27" s="76"/>
      <c r="AE27" s="73"/>
      <c r="AF27" s="73"/>
      <c r="AG27" s="73"/>
      <c r="AH27" s="73"/>
      <c r="AI27" s="73"/>
    </row>
    <row r="28" customFormat="false" ht="15" hidden="false" customHeight="false" outlineLevel="0" collapsed="false">
      <c r="A28" s="71" t="str">
        <f aca="false">IF(D28="","",ROW()-1)</f>
        <v/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4"/>
      <c r="O28" s="73"/>
      <c r="P28" s="74"/>
      <c r="Q28" s="73"/>
      <c r="R28" s="74"/>
      <c r="S28" s="75"/>
      <c r="T28" s="73"/>
      <c r="U28" s="73"/>
      <c r="V28" s="73"/>
      <c r="W28" s="73"/>
      <c r="X28" s="73"/>
      <c r="Y28" s="73"/>
      <c r="Z28" s="73"/>
      <c r="AA28" s="73"/>
      <c r="AB28" s="74"/>
      <c r="AC28" s="73"/>
      <c r="AD28" s="76"/>
      <c r="AE28" s="73"/>
      <c r="AF28" s="73"/>
      <c r="AG28" s="73"/>
      <c r="AH28" s="73"/>
      <c r="AI28" s="73"/>
    </row>
    <row r="29" customFormat="false" ht="15" hidden="false" customHeight="false" outlineLevel="0" collapsed="false">
      <c r="A29" s="71" t="str">
        <f aca="false">IF(D29="","",ROW()-1)</f>
        <v/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4"/>
      <c r="O29" s="73"/>
      <c r="P29" s="74"/>
      <c r="Q29" s="73"/>
      <c r="R29" s="74"/>
      <c r="S29" s="75"/>
      <c r="T29" s="73"/>
      <c r="U29" s="73"/>
      <c r="V29" s="73"/>
      <c r="W29" s="73"/>
      <c r="X29" s="73"/>
      <c r="Y29" s="73"/>
      <c r="Z29" s="73"/>
      <c r="AA29" s="73"/>
      <c r="AB29" s="74"/>
      <c r="AC29" s="73"/>
      <c r="AD29" s="76"/>
      <c r="AE29" s="73"/>
      <c r="AF29" s="73"/>
      <c r="AG29" s="73"/>
      <c r="AH29" s="73"/>
      <c r="AI29" s="73"/>
    </row>
    <row r="30" customFormat="false" ht="15" hidden="false" customHeight="false" outlineLevel="0" collapsed="false">
      <c r="A30" s="71" t="str">
        <f aca="false">IF(D30="","",ROW()-1)</f>
        <v/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4"/>
      <c r="O30" s="73"/>
      <c r="P30" s="74"/>
      <c r="Q30" s="73"/>
      <c r="R30" s="74"/>
      <c r="S30" s="75"/>
      <c r="T30" s="73"/>
      <c r="U30" s="73"/>
      <c r="V30" s="73"/>
      <c r="W30" s="73"/>
      <c r="X30" s="73"/>
      <c r="Y30" s="73"/>
      <c r="Z30" s="73"/>
      <c r="AA30" s="73"/>
      <c r="AB30" s="74"/>
      <c r="AC30" s="73"/>
      <c r="AD30" s="76"/>
      <c r="AE30" s="73"/>
      <c r="AF30" s="73"/>
      <c r="AG30" s="73"/>
      <c r="AH30" s="73"/>
      <c r="AI30" s="73"/>
    </row>
    <row r="31" customFormat="false" ht="15" hidden="false" customHeight="false" outlineLevel="0" collapsed="false">
      <c r="A31" s="71" t="str">
        <f aca="false">IF(D31="","",ROW()-1)</f>
        <v/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4"/>
      <c r="O31" s="73"/>
      <c r="P31" s="74"/>
      <c r="Q31" s="73"/>
      <c r="R31" s="74"/>
      <c r="S31" s="75"/>
      <c r="T31" s="73"/>
      <c r="U31" s="73"/>
      <c r="V31" s="73"/>
      <c r="W31" s="73"/>
      <c r="X31" s="73"/>
      <c r="Y31" s="73"/>
      <c r="Z31" s="73"/>
      <c r="AA31" s="73"/>
      <c r="AB31" s="74"/>
      <c r="AC31" s="73"/>
      <c r="AD31" s="76"/>
      <c r="AE31" s="73"/>
      <c r="AF31" s="73"/>
      <c r="AG31" s="73"/>
      <c r="AH31" s="73"/>
      <c r="AI31" s="73"/>
    </row>
    <row r="32" customFormat="false" ht="15" hidden="false" customHeight="false" outlineLevel="0" collapsed="false">
      <c r="A32" s="71" t="str">
        <f aca="false">IF(D32="","",ROW()-1)</f>
        <v/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4"/>
      <c r="O32" s="73"/>
      <c r="P32" s="74"/>
      <c r="Q32" s="73"/>
      <c r="R32" s="74"/>
      <c r="S32" s="75"/>
      <c r="T32" s="73"/>
      <c r="U32" s="73"/>
      <c r="V32" s="73"/>
      <c r="W32" s="73"/>
      <c r="X32" s="73"/>
      <c r="Y32" s="73"/>
      <c r="Z32" s="73"/>
      <c r="AA32" s="73"/>
      <c r="AB32" s="74"/>
      <c r="AC32" s="73"/>
      <c r="AD32" s="76"/>
      <c r="AE32" s="73"/>
      <c r="AF32" s="73"/>
      <c r="AG32" s="73"/>
      <c r="AH32" s="73"/>
      <c r="AI32" s="73"/>
    </row>
    <row r="33" customFormat="false" ht="15" hidden="false" customHeight="false" outlineLevel="0" collapsed="false">
      <c r="A33" s="71" t="str">
        <f aca="false">IF(D33="","",ROW()-1)</f>
        <v/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4"/>
      <c r="O33" s="73"/>
      <c r="P33" s="74"/>
      <c r="Q33" s="73"/>
      <c r="R33" s="74"/>
      <c r="S33" s="75"/>
      <c r="T33" s="73"/>
      <c r="U33" s="73"/>
      <c r="V33" s="73"/>
      <c r="W33" s="73"/>
      <c r="X33" s="73"/>
      <c r="Y33" s="73"/>
      <c r="Z33" s="73"/>
      <c r="AA33" s="73"/>
      <c r="AB33" s="74"/>
      <c r="AC33" s="73"/>
      <c r="AD33" s="76"/>
      <c r="AE33" s="73"/>
      <c r="AF33" s="73"/>
      <c r="AG33" s="73"/>
      <c r="AH33" s="73"/>
      <c r="AI33" s="73"/>
    </row>
    <row r="34" customFormat="false" ht="15" hidden="false" customHeight="false" outlineLevel="0" collapsed="false">
      <c r="A34" s="71" t="str">
        <f aca="false">IF(D34="","",ROW()-1)</f>
        <v/>
      </c>
      <c r="B34" s="72"/>
      <c r="C34" s="72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  <c r="O34" s="73"/>
      <c r="P34" s="74"/>
      <c r="Q34" s="73"/>
      <c r="R34" s="74"/>
      <c r="S34" s="75"/>
      <c r="T34" s="73"/>
      <c r="U34" s="73"/>
      <c r="V34" s="73"/>
      <c r="W34" s="73"/>
      <c r="X34" s="73"/>
      <c r="Y34" s="73"/>
      <c r="Z34" s="73"/>
      <c r="AA34" s="73"/>
      <c r="AB34" s="74"/>
      <c r="AC34" s="73"/>
      <c r="AD34" s="76"/>
      <c r="AE34" s="73"/>
      <c r="AF34" s="73"/>
      <c r="AG34" s="73"/>
      <c r="AH34" s="73"/>
      <c r="AI34" s="73"/>
    </row>
    <row r="35" customFormat="false" ht="15" hidden="false" customHeight="false" outlineLevel="0" collapsed="false">
      <c r="A35" s="71" t="str">
        <f aca="false">IF(D35="","",ROW()-1)</f>
        <v/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/>
      <c r="O35" s="73"/>
      <c r="P35" s="74"/>
      <c r="Q35" s="73"/>
      <c r="R35" s="74"/>
      <c r="S35" s="75"/>
      <c r="T35" s="73"/>
      <c r="U35" s="73"/>
      <c r="V35" s="73"/>
      <c r="W35" s="73"/>
      <c r="X35" s="73"/>
      <c r="Y35" s="73"/>
      <c r="Z35" s="73"/>
      <c r="AA35" s="73"/>
      <c r="AB35" s="74"/>
      <c r="AC35" s="73"/>
      <c r="AD35" s="76"/>
      <c r="AE35" s="73"/>
      <c r="AF35" s="73"/>
      <c r="AG35" s="73"/>
      <c r="AH35" s="73"/>
      <c r="AI35" s="73"/>
    </row>
    <row r="36" customFormat="false" ht="15" hidden="false" customHeight="false" outlineLevel="0" collapsed="false">
      <c r="A36" s="71" t="str">
        <f aca="false">IF(D36="","",ROW()-1)</f>
        <v/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4"/>
      <c r="O36" s="73"/>
      <c r="P36" s="74"/>
      <c r="Q36" s="73"/>
      <c r="R36" s="74"/>
      <c r="S36" s="75"/>
      <c r="T36" s="73"/>
      <c r="U36" s="73"/>
      <c r="V36" s="73"/>
      <c r="W36" s="73"/>
      <c r="X36" s="73"/>
      <c r="Y36" s="73"/>
      <c r="Z36" s="73"/>
      <c r="AA36" s="73"/>
      <c r="AB36" s="74"/>
      <c r="AC36" s="73"/>
      <c r="AD36" s="76"/>
      <c r="AE36" s="73"/>
      <c r="AF36" s="73"/>
      <c r="AG36" s="73"/>
      <c r="AH36" s="73"/>
      <c r="AI36" s="73"/>
    </row>
    <row r="37" customFormat="false" ht="15" hidden="false" customHeight="false" outlineLevel="0" collapsed="false">
      <c r="A37" s="71" t="str">
        <f aca="false">IF(D37="","",ROW()-1)</f>
        <v/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4"/>
      <c r="O37" s="73"/>
      <c r="P37" s="74"/>
      <c r="Q37" s="73"/>
      <c r="R37" s="74"/>
      <c r="S37" s="75"/>
      <c r="T37" s="73"/>
      <c r="U37" s="73"/>
      <c r="V37" s="73"/>
      <c r="W37" s="73"/>
      <c r="X37" s="73"/>
      <c r="Y37" s="73"/>
      <c r="Z37" s="73"/>
      <c r="AA37" s="73"/>
      <c r="AB37" s="74"/>
      <c r="AC37" s="73"/>
      <c r="AD37" s="76"/>
      <c r="AE37" s="73"/>
      <c r="AF37" s="73"/>
      <c r="AG37" s="73"/>
      <c r="AH37" s="73"/>
      <c r="AI37" s="73"/>
    </row>
    <row r="38" customFormat="false" ht="15" hidden="false" customHeight="false" outlineLevel="0" collapsed="false">
      <c r="A38" s="71" t="str">
        <f aca="false">IF(D38="","",ROW()-1)</f>
        <v/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4"/>
      <c r="O38" s="73"/>
      <c r="P38" s="74"/>
      <c r="Q38" s="73"/>
      <c r="R38" s="74"/>
      <c r="S38" s="75"/>
      <c r="T38" s="73"/>
      <c r="U38" s="73"/>
      <c r="V38" s="73"/>
      <c r="W38" s="73"/>
      <c r="X38" s="73"/>
      <c r="Y38" s="73"/>
      <c r="Z38" s="73"/>
      <c r="AA38" s="73"/>
      <c r="AB38" s="74"/>
      <c r="AC38" s="73"/>
      <c r="AD38" s="76"/>
      <c r="AE38" s="73"/>
      <c r="AF38" s="73"/>
      <c r="AG38" s="73"/>
      <c r="AH38" s="73"/>
      <c r="AI38" s="73"/>
    </row>
    <row r="39" customFormat="false" ht="15" hidden="false" customHeight="false" outlineLevel="0" collapsed="false">
      <c r="A39" s="71" t="str">
        <f aca="false">IF(D39="","",ROW()-1)</f>
        <v/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4"/>
      <c r="O39" s="73"/>
      <c r="P39" s="74"/>
      <c r="Q39" s="73"/>
      <c r="R39" s="74"/>
      <c r="S39" s="75"/>
      <c r="T39" s="73"/>
      <c r="U39" s="73"/>
      <c r="V39" s="73"/>
      <c r="W39" s="73"/>
      <c r="X39" s="73"/>
      <c r="Y39" s="73"/>
      <c r="Z39" s="73"/>
      <c r="AA39" s="73"/>
      <c r="AB39" s="74"/>
      <c r="AC39" s="73"/>
      <c r="AD39" s="76"/>
      <c r="AE39" s="73"/>
      <c r="AF39" s="73"/>
      <c r="AG39" s="73"/>
      <c r="AH39" s="73"/>
      <c r="AI39" s="73"/>
    </row>
    <row r="40" customFormat="false" ht="15" hidden="false" customHeight="false" outlineLevel="0" collapsed="false">
      <c r="A40" s="71" t="str">
        <f aca="false">IF(D40="","",ROW()-1)</f>
        <v/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4"/>
      <c r="O40" s="73"/>
      <c r="P40" s="74"/>
      <c r="Q40" s="73"/>
      <c r="R40" s="74"/>
      <c r="S40" s="75"/>
      <c r="T40" s="73"/>
      <c r="U40" s="73"/>
      <c r="V40" s="73"/>
      <c r="W40" s="73"/>
      <c r="X40" s="73"/>
      <c r="Y40" s="73"/>
      <c r="Z40" s="73"/>
      <c r="AA40" s="73"/>
      <c r="AB40" s="74"/>
      <c r="AC40" s="73"/>
      <c r="AD40" s="76"/>
      <c r="AE40" s="73"/>
      <c r="AF40" s="73"/>
      <c r="AG40" s="73"/>
      <c r="AH40" s="73"/>
      <c r="AI40" s="73"/>
    </row>
    <row r="41" customFormat="false" ht="15" hidden="false" customHeight="false" outlineLevel="0" collapsed="false">
      <c r="A41" s="71" t="str">
        <f aca="false">IF(D41="","",ROW()-1)</f>
        <v/>
      </c>
      <c r="B41" s="72"/>
      <c r="C41" s="72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4"/>
      <c r="O41" s="73"/>
      <c r="P41" s="74"/>
      <c r="Q41" s="73"/>
      <c r="R41" s="74"/>
      <c r="S41" s="75"/>
      <c r="T41" s="73"/>
      <c r="U41" s="73"/>
      <c r="V41" s="73"/>
      <c r="W41" s="73"/>
      <c r="X41" s="73"/>
      <c r="Y41" s="73"/>
      <c r="Z41" s="73"/>
      <c r="AA41" s="73"/>
      <c r="AB41" s="74"/>
      <c r="AC41" s="73"/>
      <c r="AD41" s="76"/>
      <c r="AE41" s="73"/>
      <c r="AF41" s="73"/>
      <c r="AG41" s="73"/>
      <c r="AH41" s="73"/>
      <c r="AI41" s="73"/>
    </row>
    <row r="42" customFormat="false" ht="15" hidden="false" customHeight="false" outlineLevel="0" collapsed="false">
      <c r="A42" s="71" t="str">
        <f aca="false">IF(D42="","",ROW()-1)</f>
        <v/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4"/>
      <c r="O42" s="73"/>
      <c r="P42" s="74"/>
      <c r="Q42" s="73"/>
      <c r="R42" s="74"/>
      <c r="S42" s="75"/>
      <c r="T42" s="73"/>
      <c r="U42" s="73"/>
      <c r="V42" s="73"/>
      <c r="W42" s="73"/>
      <c r="X42" s="73"/>
      <c r="Y42" s="73"/>
      <c r="Z42" s="73"/>
      <c r="AA42" s="73"/>
      <c r="AB42" s="74"/>
      <c r="AC42" s="73"/>
      <c r="AD42" s="76"/>
      <c r="AE42" s="73"/>
      <c r="AF42" s="73"/>
      <c r="AG42" s="73"/>
      <c r="AH42" s="73"/>
      <c r="AI42" s="73"/>
    </row>
    <row r="43" customFormat="false" ht="15" hidden="false" customHeight="false" outlineLevel="0" collapsed="false">
      <c r="A43" s="71" t="str">
        <f aca="false">IF(D43="","",ROW()-1)</f>
        <v/>
      </c>
      <c r="B43" s="72"/>
      <c r="C43" s="72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4"/>
      <c r="O43" s="73"/>
      <c r="P43" s="74"/>
      <c r="Q43" s="73"/>
      <c r="R43" s="74"/>
      <c r="S43" s="75"/>
      <c r="T43" s="73"/>
      <c r="U43" s="73"/>
      <c r="V43" s="73"/>
      <c r="W43" s="73"/>
      <c r="X43" s="73"/>
      <c r="Y43" s="73"/>
      <c r="Z43" s="73"/>
      <c r="AA43" s="73"/>
      <c r="AB43" s="74"/>
      <c r="AC43" s="73"/>
      <c r="AD43" s="76"/>
      <c r="AE43" s="73"/>
      <c r="AF43" s="73"/>
      <c r="AG43" s="73"/>
      <c r="AH43" s="73"/>
      <c r="AI43" s="73"/>
    </row>
    <row r="44" customFormat="false" ht="15" hidden="false" customHeight="false" outlineLevel="0" collapsed="false">
      <c r="A44" s="71" t="str">
        <f aca="false">IF(D44="","",ROW()-1)</f>
        <v/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4"/>
      <c r="O44" s="73"/>
      <c r="P44" s="74"/>
      <c r="Q44" s="73"/>
      <c r="R44" s="74"/>
      <c r="S44" s="75"/>
      <c r="T44" s="73"/>
      <c r="U44" s="73"/>
      <c r="V44" s="73"/>
      <c r="W44" s="73"/>
      <c r="X44" s="73"/>
      <c r="Y44" s="73"/>
      <c r="Z44" s="73"/>
      <c r="AA44" s="73"/>
      <c r="AB44" s="74"/>
      <c r="AC44" s="73"/>
      <c r="AD44" s="76"/>
      <c r="AE44" s="73"/>
      <c r="AF44" s="73"/>
      <c r="AG44" s="73"/>
      <c r="AH44" s="73"/>
      <c r="AI44" s="73"/>
    </row>
    <row r="45" customFormat="false" ht="15" hidden="false" customHeight="false" outlineLevel="0" collapsed="false">
      <c r="A45" s="71" t="str">
        <f aca="false">IF(D45="","",ROW()-1)</f>
        <v/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4"/>
      <c r="O45" s="73"/>
      <c r="P45" s="74"/>
      <c r="Q45" s="73"/>
      <c r="R45" s="74"/>
      <c r="S45" s="75"/>
      <c r="T45" s="73"/>
      <c r="U45" s="73"/>
      <c r="V45" s="73"/>
      <c r="W45" s="73"/>
      <c r="X45" s="73"/>
      <c r="Y45" s="73"/>
      <c r="Z45" s="73"/>
      <c r="AA45" s="73"/>
      <c r="AB45" s="74"/>
      <c r="AC45" s="73"/>
      <c r="AD45" s="76"/>
      <c r="AE45" s="73"/>
      <c r="AF45" s="73"/>
      <c r="AG45" s="73"/>
      <c r="AH45" s="73"/>
      <c r="AI45" s="73"/>
    </row>
    <row r="46" customFormat="false" ht="15" hidden="false" customHeight="false" outlineLevel="0" collapsed="false">
      <c r="A46" s="71" t="str">
        <f aca="false">IF(D46="","",ROW()-1)</f>
        <v/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4"/>
      <c r="O46" s="73"/>
      <c r="P46" s="74"/>
      <c r="Q46" s="73"/>
      <c r="R46" s="74"/>
      <c r="S46" s="75"/>
      <c r="T46" s="73"/>
      <c r="U46" s="73"/>
      <c r="V46" s="73"/>
      <c r="W46" s="73"/>
      <c r="X46" s="73"/>
      <c r="Y46" s="73"/>
      <c r="Z46" s="73"/>
      <c r="AA46" s="73"/>
      <c r="AB46" s="74"/>
      <c r="AC46" s="73"/>
      <c r="AD46" s="76"/>
      <c r="AE46" s="73"/>
      <c r="AF46" s="73"/>
      <c r="AG46" s="73"/>
      <c r="AH46" s="73"/>
      <c r="AI46" s="73"/>
    </row>
    <row r="47" customFormat="false" ht="15" hidden="false" customHeight="false" outlineLevel="0" collapsed="false">
      <c r="A47" s="71" t="str">
        <f aca="false">IF(D47="","",ROW()-1)</f>
        <v/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4"/>
      <c r="O47" s="73"/>
      <c r="P47" s="74"/>
      <c r="Q47" s="73"/>
      <c r="R47" s="74"/>
      <c r="S47" s="75"/>
      <c r="T47" s="73"/>
      <c r="U47" s="73"/>
      <c r="V47" s="73"/>
      <c r="W47" s="73"/>
      <c r="X47" s="73"/>
      <c r="Y47" s="73"/>
      <c r="Z47" s="73"/>
      <c r="AA47" s="73"/>
      <c r="AB47" s="74"/>
      <c r="AC47" s="73"/>
      <c r="AD47" s="76"/>
      <c r="AE47" s="73"/>
      <c r="AF47" s="73"/>
      <c r="AG47" s="73"/>
      <c r="AH47" s="73"/>
      <c r="AI47" s="73"/>
    </row>
    <row r="48" customFormat="false" ht="15" hidden="false" customHeight="false" outlineLevel="0" collapsed="false">
      <c r="A48" s="71" t="str">
        <f aca="false">IF(D48="","",ROW()-1)</f>
        <v/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4"/>
      <c r="O48" s="73"/>
      <c r="P48" s="74"/>
      <c r="Q48" s="73"/>
      <c r="R48" s="74"/>
      <c r="S48" s="75"/>
      <c r="T48" s="73"/>
      <c r="U48" s="73"/>
      <c r="V48" s="73"/>
      <c r="W48" s="73"/>
      <c r="X48" s="73"/>
      <c r="Y48" s="73"/>
      <c r="Z48" s="73"/>
      <c r="AA48" s="73"/>
      <c r="AB48" s="74"/>
      <c r="AC48" s="73"/>
      <c r="AD48" s="76"/>
      <c r="AE48" s="73"/>
      <c r="AF48" s="73"/>
      <c r="AG48" s="73"/>
      <c r="AH48" s="73"/>
      <c r="AI48" s="73"/>
    </row>
    <row r="49" customFormat="false" ht="15" hidden="false" customHeight="false" outlineLevel="0" collapsed="false">
      <c r="A49" s="71" t="str">
        <f aca="false">IF(D49="","",ROW()-1)</f>
        <v/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4"/>
      <c r="O49" s="73"/>
      <c r="P49" s="74"/>
      <c r="Q49" s="73"/>
      <c r="R49" s="74"/>
      <c r="S49" s="75"/>
      <c r="T49" s="73"/>
      <c r="U49" s="73"/>
      <c r="V49" s="73"/>
      <c r="W49" s="73"/>
      <c r="X49" s="73"/>
      <c r="Y49" s="73"/>
      <c r="Z49" s="73"/>
      <c r="AA49" s="73"/>
      <c r="AB49" s="74"/>
      <c r="AC49" s="73"/>
      <c r="AD49" s="76"/>
      <c r="AE49" s="73"/>
      <c r="AF49" s="73"/>
      <c r="AG49" s="73"/>
      <c r="AH49" s="73"/>
      <c r="AI49" s="73"/>
    </row>
    <row r="50" customFormat="false" ht="15" hidden="false" customHeight="false" outlineLevel="0" collapsed="false">
      <c r="A50" s="71" t="str">
        <f aca="false">IF(D50="","",ROW()-1)</f>
        <v/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4"/>
      <c r="O50" s="73"/>
      <c r="P50" s="74"/>
      <c r="Q50" s="73"/>
      <c r="R50" s="74"/>
      <c r="S50" s="75"/>
      <c r="T50" s="73"/>
      <c r="U50" s="73"/>
      <c r="V50" s="73"/>
      <c r="W50" s="73"/>
      <c r="X50" s="73"/>
      <c r="Y50" s="73"/>
      <c r="Z50" s="73"/>
      <c r="AA50" s="73"/>
      <c r="AB50" s="74"/>
      <c r="AC50" s="73"/>
      <c r="AD50" s="76"/>
      <c r="AE50" s="73"/>
      <c r="AF50" s="73"/>
      <c r="AG50" s="73"/>
      <c r="AH50" s="73"/>
      <c r="AI50" s="73"/>
    </row>
    <row r="51" customFormat="false" ht="15" hidden="false" customHeight="false" outlineLevel="0" collapsed="false">
      <c r="A51" s="71" t="str">
        <f aca="false">IF(D51="","",ROW()-1)</f>
        <v/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4"/>
      <c r="O51" s="73"/>
      <c r="P51" s="74"/>
      <c r="Q51" s="73"/>
      <c r="R51" s="74"/>
      <c r="S51" s="75"/>
      <c r="T51" s="73"/>
      <c r="U51" s="73"/>
      <c r="V51" s="73"/>
      <c r="W51" s="73"/>
      <c r="X51" s="73"/>
      <c r="Y51" s="73"/>
      <c r="Z51" s="73"/>
      <c r="AA51" s="73"/>
      <c r="AB51" s="74"/>
      <c r="AC51" s="73"/>
      <c r="AD51" s="76"/>
      <c r="AE51" s="73"/>
      <c r="AF51" s="73"/>
      <c r="AG51" s="73"/>
      <c r="AH51" s="73"/>
      <c r="AI51" s="73"/>
    </row>
    <row r="52" customFormat="false" ht="15" hidden="false" customHeight="false" outlineLevel="0" collapsed="false">
      <c r="A52" s="71" t="str">
        <f aca="false">IF(D52="","",ROW()-1)</f>
        <v/>
      </c>
      <c r="B52" s="72"/>
      <c r="C52" s="72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4"/>
      <c r="O52" s="73"/>
      <c r="P52" s="74"/>
      <c r="Q52" s="73"/>
      <c r="R52" s="74"/>
      <c r="S52" s="75"/>
      <c r="T52" s="73"/>
      <c r="U52" s="73"/>
      <c r="V52" s="73"/>
      <c r="W52" s="73"/>
      <c r="X52" s="73"/>
      <c r="Y52" s="73"/>
      <c r="Z52" s="73"/>
      <c r="AA52" s="73"/>
      <c r="AB52" s="74"/>
      <c r="AC52" s="73"/>
      <c r="AD52" s="76"/>
      <c r="AE52" s="73"/>
      <c r="AF52" s="73"/>
      <c r="AG52" s="73"/>
      <c r="AH52" s="73"/>
      <c r="AI52" s="73"/>
    </row>
    <row r="53" customFormat="false" ht="15" hidden="false" customHeight="false" outlineLevel="0" collapsed="false">
      <c r="A53" s="71" t="str">
        <f aca="false">IF(D53="","",ROW()-1)</f>
        <v/>
      </c>
      <c r="B53" s="72"/>
      <c r="C53" s="72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4"/>
      <c r="O53" s="73"/>
      <c r="P53" s="74"/>
      <c r="Q53" s="73"/>
      <c r="R53" s="74"/>
      <c r="S53" s="75"/>
      <c r="T53" s="73"/>
      <c r="U53" s="73"/>
      <c r="V53" s="73"/>
      <c r="W53" s="73"/>
      <c r="X53" s="73"/>
      <c r="Y53" s="73"/>
      <c r="Z53" s="73"/>
      <c r="AA53" s="73"/>
      <c r="AB53" s="74"/>
      <c r="AC53" s="73"/>
      <c r="AD53" s="76"/>
      <c r="AE53" s="73"/>
      <c r="AF53" s="73"/>
      <c r="AG53" s="73"/>
      <c r="AH53" s="73"/>
      <c r="AI53" s="73"/>
    </row>
    <row r="54" customFormat="false" ht="15" hidden="false" customHeight="false" outlineLevel="0" collapsed="false">
      <c r="A54" s="71" t="str">
        <f aca="false">IF(D54="","",ROW()-1)</f>
        <v/>
      </c>
      <c r="B54" s="72"/>
      <c r="C54" s="72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  <c r="O54" s="73"/>
      <c r="P54" s="74"/>
      <c r="Q54" s="73"/>
      <c r="R54" s="74"/>
      <c r="S54" s="75"/>
      <c r="T54" s="73"/>
      <c r="U54" s="73"/>
      <c r="V54" s="73"/>
      <c r="W54" s="73"/>
      <c r="X54" s="73"/>
      <c r="Y54" s="73"/>
      <c r="Z54" s="73"/>
      <c r="AA54" s="73"/>
      <c r="AB54" s="74"/>
      <c r="AC54" s="73"/>
      <c r="AD54" s="76"/>
      <c r="AE54" s="73"/>
      <c r="AF54" s="73"/>
      <c r="AG54" s="73"/>
      <c r="AH54" s="73"/>
      <c r="AI54" s="73"/>
    </row>
    <row r="55" customFormat="false" ht="15" hidden="false" customHeight="false" outlineLevel="0" collapsed="false">
      <c r="A55" s="71" t="str">
        <f aca="false">IF(D55="","",ROW()-1)</f>
        <v/>
      </c>
      <c r="B55" s="72"/>
      <c r="C55" s="72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4"/>
      <c r="O55" s="73"/>
      <c r="P55" s="74"/>
      <c r="Q55" s="73"/>
      <c r="R55" s="74"/>
      <c r="S55" s="75"/>
      <c r="T55" s="73"/>
      <c r="U55" s="73"/>
      <c r="V55" s="73"/>
      <c r="W55" s="73"/>
      <c r="X55" s="73"/>
      <c r="Y55" s="73"/>
      <c r="Z55" s="73"/>
      <c r="AA55" s="73"/>
      <c r="AB55" s="74"/>
      <c r="AC55" s="73"/>
      <c r="AD55" s="76"/>
      <c r="AE55" s="73"/>
      <c r="AF55" s="73"/>
      <c r="AG55" s="73"/>
      <c r="AH55" s="73"/>
      <c r="AI55" s="73"/>
    </row>
    <row r="56" customFormat="false" ht="15" hidden="false" customHeight="false" outlineLevel="0" collapsed="false">
      <c r="A56" s="71" t="str">
        <f aca="false">IF(D56="","",ROW()-1)</f>
        <v/>
      </c>
      <c r="B56" s="72"/>
      <c r="C56" s="72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4"/>
      <c r="O56" s="73"/>
      <c r="P56" s="74"/>
      <c r="Q56" s="73"/>
      <c r="R56" s="74"/>
      <c r="S56" s="75"/>
      <c r="T56" s="73"/>
      <c r="U56" s="73"/>
      <c r="V56" s="73"/>
      <c r="W56" s="73"/>
      <c r="X56" s="73"/>
      <c r="Y56" s="73"/>
      <c r="Z56" s="73"/>
      <c r="AA56" s="73"/>
      <c r="AB56" s="74"/>
      <c r="AC56" s="73"/>
      <c r="AD56" s="76"/>
      <c r="AE56" s="73"/>
      <c r="AF56" s="73"/>
      <c r="AG56" s="73"/>
      <c r="AH56" s="73"/>
      <c r="AI56" s="73"/>
    </row>
    <row r="57" customFormat="false" ht="15" hidden="false" customHeight="false" outlineLevel="0" collapsed="false">
      <c r="A57" s="71" t="str">
        <f aca="false">IF(D57="","",ROW()-1)</f>
        <v/>
      </c>
      <c r="B57" s="72"/>
      <c r="C57" s="72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4"/>
      <c r="O57" s="73"/>
      <c r="P57" s="74"/>
      <c r="Q57" s="73"/>
      <c r="R57" s="74"/>
      <c r="S57" s="75"/>
      <c r="T57" s="73"/>
      <c r="U57" s="73"/>
      <c r="V57" s="73"/>
      <c r="W57" s="73"/>
      <c r="X57" s="73"/>
      <c r="Y57" s="73"/>
      <c r="Z57" s="73"/>
      <c r="AA57" s="73"/>
      <c r="AB57" s="74"/>
      <c r="AC57" s="73"/>
      <c r="AD57" s="76"/>
      <c r="AE57" s="73"/>
      <c r="AF57" s="73"/>
      <c r="AG57" s="73"/>
      <c r="AH57" s="73"/>
      <c r="AI57" s="73"/>
    </row>
    <row r="58" customFormat="false" ht="15" hidden="false" customHeight="false" outlineLevel="0" collapsed="false">
      <c r="A58" s="71" t="str">
        <f aca="false">IF(D58="","",ROW()-1)</f>
        <v/>
      </c>
      <c r="B58" s="72"/>
      <c r="C58" s="72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4"/>
      <c r="O58" s="73"/>
      <c r="P58" s="74"/>
      <c r="Q58" s="73"/>
      <c r="R58" s="74"/>
      <c r="S58" s="75"/>
      <c r="T58" s="73"/>
      <c r="U58" s="73"/>
      <c r="V58" s="73"/>
      <c r="W58" s="73"/>
      <c r="X58" s="73"/>
      <c r="Y58" s="73"/>
      <c r="Z58" s="73"/>
      <c r="AA58" s="73"/>
      <c r="AB58" s="74"/>
      <c r="AC58" s="73"/>
      <c r="AD58" s="76"/>
      <c r="AE58" s="73"/>
      <c r="AF58" s="73"/>
      <c r="AG58" s="73"/>
      <c r="AH58" s="73"/>
      <c r="AI58" s="73"/>
    </row>
    <row r="59" customFormat="false" ht="15" hidden="false" customHeight="false" outlineLevel="0" collapsed="false">
      <c r="A59" s="71" t="str">
        <f aca="false">IF(D59="","",ROW()-1)</f>
        <v/>
      </c>
      <c r="B59" s="72"/>
      <c r="C59" s="72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4"/>
      <c r="O59" s="73"/>
      <c r="P59" s="74"/>
      <c r="Q59" s="73"/>
      <c r="R59" s="74"/>
      <c r="S59" s="75"/>
      <c r="T59" s="73"/>
      <c r="U59" s="73"/>
      <c r="V59" s="73"/>
      <c r="W59" s="73"/>
      <c r="X59" s="73"/>
      <c r="Y59" s="73"/>
      <c r="Z59" s="73"/>
      <c r="AA59" s="73"/>
      <c r="AB59" s="74"/>
      <c r="AC59" s="73"/>
      <c r="AD59" s="76"/>
      <c r="AE59" s="73"/>
      <c r="AF59" s="73"/>
      <c r="AG59" s="73"/>
      <c r="AH59" s="73"/>
      <c r="AI59" s="73"/>
    </row>
    <row r="60" customFormat="false" ht="15" hidden="false" customHeight="false" outlineLevel="0" collapsed="false">
      <c r="A60" s="71" t="str">
        <f aca="false">IF(D60="","",ROW()-1)</f>
        <v/>
      </c>
      <c r="B60" s="72"/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4"/>
      <c r="O60" s="73"/>
      <c r="P60" s="74"/>
      <c r="Q60" s="73"/>
      <c r="R60" s="74"/>
      <c r="S60" s="75"/>
      <c r="T60" s="73"/>
      <c r="U60" s="73"/>
      <c r="V60" s="73"/>
      <c r="W60" s="73"/>
      <c r="X60" s="73"/>
      <c r="Y60" s="73"/>
      <c r="Z60" s="73"/>
      <c r="AA60" s="73"/>
      <c r="AB60" s="74"/>
      <c r="AC60" s="73"/>
      <c r="AD60" s="76"/>
      <c r="AE60" s="73"/>
      <c r="AF60" s="73"/>
      <c r="AG60" s="73"/>
      <c r="AH60" s="73"/>
      <c r="AI60" s="73"/>
    </row>
    <row r="61" customFormat="false" ht="15" hidden="false" customHeight="false" outlineLevel="0" collapsed="false">
      <c r="A61" s="71" t="str">
        <f aca="false">IF(D61="","",ROW()-1)</f>
        <v/>
      </c>
      <c r="B61" s="72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4"/>
      <c r="O61" s="73"/>
      <c r="P61" s="74"/>
      <c r="Q61" s="73"/>
      <c r="R61" s="74"/>
      <c r="S61" s="75"/>
      <c r="T61" s="73"/>
      <c r="U61" s="73"/>
      <c r="V61" s="73"/>
      <c r="W61" s="73"/>
      <c r="X61" s="73"/>
      <c r="Y61" s="73"/>
      <c r="Z61" s="73"/>
      <c r="AA61" s="73"/>
      <c r="AB61" s="74"/>
      <c r="AC61" s="73"/>
      <c r="AD61" s="76"/>
      <c r="AE61" s="73"/>
      <c r="AF61" s="73"/>
      <c r="AG61" s="73"/>
      <c r="AH61" s="73"/>
      <c r="AI61" s="73"/>
    </row>
    <row r="62" customFormat="false" ht="15" hidden="false" customHeight="false" outlineLevel="0" collapsed="false">
      <c r="A62" s="71" t="str">
        <f aca="false">IF(D62="","",ROW()-1)</f>
        <v/>
      </c>
      <c r="B62" s="72"/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4"/>
      <c r="O62" s="73"/>
      <c r="P62" s="74"/>
      <c r="Q62" s="73"/>
      <c r="R62" s="74"/>
      <c r="S62" s="75"/>
      <c r="T62" s="73"/>
      <c r="U62" s="73"/>
      <c r="V62" s="73"/>
      <c r="W62" s="73"/>
      <c r="X62" s="73"/>
      <c r="Y62" s="73"/>
      <c r="Z62" s="73"/>
      <c r="AA62" s="73"/>
      <c r="AB62" s="74"/>
      <c r="AC62" s="73"/>
      <c r="AD62" s="76"/>
      <c r="AE62" s="73"/>
      <c r="AF62" s="73"/>
      <c r="AG62" s="73"/>
      <c r="AH62" s="73"/>
      <c r="AI62" s="73"/>
    </row>
    <row r="63" customFormat="false" ht="15" hidden="false" customHeight="false" outlineLevel="0" collapsed="false">
      <c r="A63" s="71" t="str">
        <f aca="false">IF(D63="","",ROW()-1)</f>
        <v/>
      </c>
      <c r="B63" s="72"/>
      <c r="C63" s="72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4"/>
      <c r="O63" s="73"/>
      <c r="P63" s="74"/>
      <c r="Q63" s="73"/>
      <c r="R63" s="74"/>
      <c r="S63" s="75"/>
      <c r="T63" s="73"/>
      <c r="U63" s="73"/>
      <c r="V63" s="73"/>
      <c r="W63" s="73"/>
      <c r="X63" s="73"/>
      <c r="Y63" s="73"/>
      <c r="Z63" s="73"/>
      <c r="AA63" s="73"/>
      <c r="AB63" s="74"/>
      <c r="AC63" s="73"/>
      <c r="AD63" s="76"/>
      <c r="AE63" s="73"/>
      <c r="AF63" s="73"/>
      <c r="AG63" s="73"/>
      <c r="AH63" s="73"/>
      <c r="AI63" s="73"/>
    </row>
    <row r="64" customFormat="false" ht="15" hidden="false" customHeight="false" outlineLevel="0" collapsed="false">
      <c r="A64" s="71" t="str">
        <f aca="false">IF(D64="","",ROW()-1)</f>
        <v/>
      </c>
      <c r="B64" s="72"/>
      <c r="C64" s="72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4"/>
      <c r="O64" s="73"/>
      <c r="P64" s="74"/>
      <c r="Q64" s="73"/>
      <c r="R64" s="74"/>
      <c r="S64" s="75"/>
      <c r="T64" s="73"/>
      <c r="U64" s="73"/>
      <c r="V64" s="73"/>
      <c r="W64" s="73"/>
      <c r="X64" s="73"/>
      <c r="Y64" s="73"/>
      <c r="Z64" s="73"/>
      <c r="AA64" s="73"/>
      <c r="AB64" s="74"/>
      <c r="AC64" s="73"/>
      <c r="AD64" s="76"/>
      <c r="AE64" s="73"/>
      <c r="AF64" s="73"/>
      <c r="AG64" s="73"/>
      <c r="AH64" s="73"/>
      <c r="AI64" s="73"/>
    </row>
    <row r="65" customFormat="false" ht="15" hidden="false" customHeight="false" outlineLevel="0" collapsed="false">
      <c r="A65" s="71" t="str">
        <f aca="false">IF(D65="","",ROW()-1)</f>
        <v/>
      </c>
      <c r="B65" s="72"/>
      <c r="C65" s="72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4"/>
      <c r="O65" s="73"/>
      <c r="P65" s="74"/>
      <c r="Q65" s="73"/>
      <c r="R65" s="74"/>
      <c r="S65" s="75"/>
      <c r="T65" s="73"/>
      <c r="U65" s="73"/>
      <c r="V65" s="73"/>
      <c r="W65" s="73"/>
      <c r="X65" s="73"/>
      <c r="Y65" s="73"/>
      <c r="Z65" s="73"/>
      <c r="AA65" s="73"/>
      <c r="AB65" s="74"/>
      <c r="AC65" s="73"/>
      <c r="AD65" s="76"/>
      <c r="AE65" s="73"/>
      <c r="AF65" s="73"/>
      <c r="AG65" s="73"/>
      <c r="AH65" s="73"/>
      <c r="AI65" s="73"/>
    </row>
    <row r="66" customFormat="false" ht="15" hidden="false" customHeight="false" outlineLevel="0" collapsed="false">
      <c r="A66" s="71" t="str">
        <f aca="false">IF(D66="","",ROW()-1)</f>
        <v/>
      </c>
      <c r="B66" s="72"/>
      <c r="C66" s="72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4"/>
      <c r="O66" s="73"/>
      <c r="P66" s="74"/>
      <c r="Q66" s="73"/>
      <c r="R66" s="74"/>
      <c r="S66" s="75"/>
      <c r="T66" s="73"/>
      <c r="U66" s="73"/>
      <c r="V66" s="73"/>
      <c r="W66" s="73"/>
      <c r="X66" s="73"/>
      <c r="Y66" s="73"/>
      <c r="Z66" s="73"/>
      <c r="AA66" s="73"/>
      <c r="AB66" s="74"/>
      <c r="AC66" s="73"/>
      <c r="AD66" s="76"/>
      <c r="AE66" s="73"/>
      <c r="AF66" s="73"/>
      <c r="AG66" s="73"/>
      <c r="AH66" s="73"/>
      <c r="AI66" s="73"/>
    </row>
    <row r="67" customFormat="false" ht="15" hidden="false" customHeight="false" outlineLevel="0" collapsed="false">
      <c r="A67" s="71" t="str">
        <f aca="false">IF(D67="","",ROW()-1)</f>
        <v/>
      </c>
      <c r="B67" s="72"/>
      <c r="C67" s="72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4"/>
      <c r="O67" s="73"/>
      <c r="P67" s="74"/>
      <c r="Q67" s="73"/>
      <c r="R67" s="74"/>
      <c r="S67" s="75"/>
      <c r="T67" s="73"/>
      <c r="U67" s="73"/>
      <c r="V67" s="73"/>
      <c r="W67" s="73"/>
      <c r="X67" s="73"/>
      <c r="Y67" s="73"/>
      <c r="Z67" s="73"/>
      <c r="AA67" s="73"/>
      <c r="AB67" s="74"/>
      <c r="AC67" s="73"/>
      <c r="AD67" s="76"/>
      <c r="AE67" s="73"/>
      <c r="AF67" s="73"/>
      <c r="AG67" s="73"/>
      <c r="AH67" s="73"/>
      <c r="AI67" s="73"/>
    </row>
    <row r="68" customFormat="false" ht="15" hidden="false" customHeight="false" outlineLevel="0" collapsed="false">
      <c r="A68" s="71" t="str">
        <f aca="false">IF(D68="","",ROW()-1)</f>
        <v/>
      </c>
      <c r="B68" s="72"/>
      <c r="C68" s="72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4"/>
      <c r="O68" s="73"/>
      <c r="P68" s="74"/>
      <c r="Q68" s="73"/>
      <c r="R68" s="74"/>
      <c r="S68" s="75"/>
      <c r="T68" s="73"/>
      <c r="U68" s="73"/>
      <c r="V68" s="73"/>
      <c r="W68" s="73"/>
      <c r="X68" s="73"/>
      <c r="Y68" s="73"/>
      <c r="Z68" s="73"/>
      <c r="AA68" s="73"/>
      <c r="AB68" s="74"/>
      <c r="AC68" s="73"/>
      <c r="AD68" s="76"/>
      <c r="AE68" s="73"/>
      <c r="AF68" s="73"/>
      <c r="AG68" s="73"/>
      <c r="AH68" s="73"/>
      <c r="AI68" s="73"/>
    </row>
    <row r="69" customFormat="false" ht="15" hidden="false" customHeight="false" outlineLevel="0" collapsed="false">
      <c r="A69" s="71" t="str">
        <f aca="false">IF(D69="","",ROW()-1)</f>
        <v/>
      </c>
      <c r="B69" s="72"/>
      <c r="C69" s="72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4"/>
      <c r="O69" s="73"/>
      <c r="P69" s="74"/>
      <c r="Q69" s="73"/>
      <c r="R69" s="74"/>
      <c r="S69" s="75"/>
      <c r="T69" s="73"/>
      <c r="U69" s="73"/>
      <c r="V69" s="73"/>
      <c r="W69" s="73"/>
      <c r="X69" s="73"/>
      <c r="Y69" s="73"/>
      <c r="Z69" s="73"/>
      <c r="AA69" s="73"/>
      <c r="AB69" s="74"/>
      <c r="AC69" s="73"/>
      <c r="AD69" s="76"/>
      <c r="AE69" s="73"/>
      <c r="AF69" s="73"/>
      <c r="AG69" s="73"/>
      <c r="AH69" s="73"/>
      <c r="AI69" s="73"/>
    </row>
    <row r="70" customFormat="false" ht="15" hidden="false" customHeight="false" outlineLevel="0" collapsed="false">
      <c r="A70" s="71" t="str">
        <f aca="false">IF(D70="","",ROW()-1)</f>
        <v/>
      </c>
      <c r="B70" s="72"/>
      <c r="C70" s="72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4"/>
      <c r="O70" s="73"/>
      <c r="P70" s="74"/>
      <c r="Q70" s="73"/>
      <c r="R70" s="74"/>
      <c r="S70" s="75"/>
      <c r="T70" s="73"/>
      <c r="U70" s="73"/>
      <c r="V70" s="73"/>
      <c r="W70" s="73"/>
      <c r="X70" s="73"/>
      <c r="Y70" s="73"/>
      <c r="Z70" s="73"/>
      <c r="AA70" s="73"/>
      <c r="AB70" s="74"/>
      <c r="AC70" s="73"/>
      <c r="AD70" s="76"/>
      <c r="AE70" s="73"/>
      <c r="AF70" s="73"/>
      <c r="AG70" s="73"/>
      <c r="AH70" s="73"/>
      <c r="AI70" s="73"/>
    </row>
    <row r="71" customFormat="false" ht="15" hidden="false" customHeight="false" outlineLevel="0" collapsed="false">
      <c r="A71" s="71" t="str">
        <f aca="false">IF(D71="","",ROW()-1)</f>
        <v/>
      </c>
      <c r="B71" s="72"/>
      <c r="C71" s="72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4"/>
      <c r="O71" s="73"/>
      <c r="P71" s="74"/>
      <c r="Q71" s="73"/>
      <c r="R71" s="74"/>
      <c r="S71" s="75"/>
      <c r="T71" s="73"/>
      <c r="U71" s="73"/>
      <c r="V71" s="73"/>
      <c r="W71" s="73"/>
      <c r="X71" s="73"/>
      <c r="Y71" s="73"/>
      <c r="Z71" s="73"/>
      <c r="AA71" s="73"/>
      <c r="AB71" s="74"/>
      <c r="AC71" s="73"/>
      <c r="AD71" s="76"/>
      <c r="AE71" s="73"/>
      <c r="AF71" s="73"/>
      <c r="AG71" s="73"/>
      <c r="AH71" s="73"/>
      <c r="AI71" s="73"/>
    </row>
    <row r="72" customFormat="false" ht="15" hidden="false" customHeight="false" outlineLevel="0" collapsed="false">
      <c r="A72" s="71" t="str">
        <f aca="false">IF(D72="","",ROW()-1)</f>
        <v/>
      </c>
      <c r="B72" s="72"/>
      <c r="C72" s="72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4"/>
      <c r="O72" s="73"/>
      <c r="P72" s="74"/>
      <c r="Q72" s="73"/>
      <c r="R72" s="74"/>
      <c r="S72" s="75"/>
      <c r="T72" s="73"/>
      <c r="U72" s="73"/>
      <c r="V72" s="73"/>
      <c r="W72" s="73"/>
      <c r="X72" s="73"/>
      <c r="Y72" s="73"/>
      <c r="Z72" s="73"/>
      <c r="AA72" s="73"/>
      <c r="AB72" s="74"/>
      <c r="AC72" s="73"/>
      <c r="AD72" s="76"/>
      <c r="AE72" s="73"/>
      <c r="AF72" s="73"/>
      <c r="AG72" s="73"/>
      <c r="AH72" s="73"/>
      <c r="AI72" s="73"/>
    </row>
    <row r="73" customFormat="false" ht="15" hidden="false" customHeight="false" outlineLevel="0" collapsed="false">
      <c r="A73" s="71" t="str">
        <f aca="false">IF(D73="","",ROW()-1)</f>
        <v/>
      </c>
      <c r="B73" s="72"/>
      <c r="C73" s="72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4"/>
      <c r="O73" s="73"/>
      <c r="P73" s="74"/>
      <c r="Q73" s="73"/>
      <c r="R73" s="74"/>
      <c r="S73" s="75"/>
      <c r="T73" s="73"/>
      <c r="U73" s="73"/>
      <c r="V73" s="73"/>
      <c r="W73" s="73"/>
      <c r="X73" s="73"/>
      <c r="Y73" s="73"/>
      <c r="Z73" s="73"/>
      <c r="AA73" s="73"/>
      <c r="AB73" s="74"/>
      <c r="AC73" s="73"/>
      <c r="AD73" s="76"/>
      <c r="AE73" s="73"/>
      <c r="AF73" s="73"/>
      <c r="AG73" s="73"/>
      <c r="AH73" s="73"/>
      <c r="AI73" s="73"/>
    </row>
    <row r="74" customFormat="false" ht="15" hidden="false" customHeight="false" outlineLevel="0" collapsed="false">
      <c r="A74" s="71" t="str">
        <f aca="false">IF(D74="","",ROW()-1)</f>
        <v/>
      </c>
      <c r="B74" s="72"/>
      <c r="C74" s="72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4"/>
      <c r="O74" s="73"/>
      <c r="P74" s="74"/>
      <c r="Q74" s="73"/>
      <c r="R74" s="74"/>
      <c r="S74" s="75"/>
      <c r="T74" s="73"/>
      <c r="U74" s="73"/>
      <c r="V74" s="73"/>
      <c r="W74" s="73"/>
      <c r="X74" s="73"/>
      <c r="Y74" s="73"/>
      <c r="Z74" s="73"/>
      <c r="AA74" s="73"/>
      <c r="AB74" s="74"/>
      <c r="AC74" s="73"/>
      <c r="AD74" s="76"/>
      <c r="AE74" s="73"/>
      <c r="AF74" s="73"/>
      <c r="AG74" s="73"/>
      <c r="AH74" s="73"/>
      <c r="AI74" s="73"/>
    </row>
    <row r="75" customFormat="false" ht="15" hidden="false" customHeight="false" outlineLevel="0" collapsed="false">
      <c r="A75" s="71" t="str">
        <f aca="false">IF(D75="","",ROW()-1)</f>
        <v/>
      </c>
      <c r="B75" s="72"/>
      <c r="C75" s="72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4"/>
      <c r="O75" s="73"/>
      <c r="P75" s="74"/>
      <c r="Q75" s="73"/>
      <c r="R75" s="74"/>
      <c r="S75" s="75"/>
      <c r="T75" s="73"/>
      <c r="U75" s="73"/>
      <c r="V75" s="73"/>
      <c r="W75" s="73"/>
      <c r="X75" s="73"/>
      <c r="Y75" s="73"/>
      <c r="Z75" s="73"/>
      <c r="AA75" s="73"/>
      <c r="AB75" s="74"/>
      <c r="AC75" s="73"/>
      <c r="AD75" s="76"/>
      <c r="AE75" s="73"/>
      <c r="AF75" s="73"/>
      <c r="AG75" s="73"/>
      <c r="AH75" s="73"/>
      <c r="AI75" s="73"/>
    </row>
    <row r="76" customFormat="false" ht="15" hidden="false" customHeight="false" outlineLevel="0" collapsed="false">
      <c r="A76" s="71" t="str">
        <f aca="false">IF(D76="","",ROW()-1)</f>
        <v/>
      </c>
      <c r="B76" s="72"/>
      <c r="C76" s="72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4"/>
      <c r="O76" s="73"/>
      <c r="P76" s="74"/>
      <c r="Q76" s="73"/>
      <c r="R76" s="74"/>
      <c r="S76" s="75"/>
      <c r="T76" s="73"/>
      <c r="U76" s="73"/>
      <c r="V76" s="73"/>
      <c r="W76" s="73"/>
      <c r="X76" s="73"/>
      <c r="Y76" s="73"/>
      <c r="Z76" s="73"/>
      <c r="AA76" s="73"/>
      <c r="AB76" s="74"/>
      <c r="AC76" s="73"/>
      <c r="AD76" s="76"/>
      <c r="AE76" s="73"/>
      <c r="AF76" s="73"/>
      <c r="AG76" s="73"/>
      <c r="AH76" s="73"/>
      <c r="AI76" s="73"/>
    </row>
    <row r="77" customFormat="false" ht="15" hidden="false" customHeight="false" outlineLevel="0" collapsed="false">
      <c r="A77" s="71" t="str">
        <f aca="false">IF(D77="","",ROW()-1)</f>
        <v/>
      </c>
      <c r="B77" s="72"/>
      <c r="C77" s="72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4"/>
      <c r="O77" s="73"/>
      <c r="P77" s="74"/>
      <c r="Q77" s="73"/>
      <c r="R77" s="74"/>
      <c r="S77" s="75"/>
      <c r="T77" s="73"/>
      <c r="U77" s="73"/>
      <c r="V77" s="73"/>
      <c r="W77" s="73"/>
      <c r="X77" s="73"/>
      <c r="Y77" s="73"/>
      <c r="Z77" s="73"/>
      <c r="AA77" s="73"/>
      <c r="AB77" s="74"/>
      <c r="AC77" s="73"/>
      <c r="AD77" s="76"/>
      <c r="AE77" s="73"/>
      <c r="AF77" s="73"/>
      <c r="AG77" s="73"/>
      <c r="AH77" s="73"/>
      <c r="AI77" s="73"/>
    </row>
    <row r="78" customFormat="false" ht="15" hidden="false" customHeight="false" outlineLevel="0" collapsed="false">
      <c r="A78" s="71" t="str">
        <f aca="false">IF(D78="","",ROW()-1)</f>
        <v/>
      </c>
      <c r="B78" s="72"/>
      <c r="C78" s="72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4"/>
      <c r="O78" s="73"/>
      <c r="P78" s="74"/>
      <c r="Q78" s="73"/>
      <c r="R78" s="74"/>
      <c r="S78" s="75"/>
      <c r="T78" s="73"/>
      <c r="U78" s="73"/>
      <c r="V78" s="73"/>
      <c r="W78" s="73"/>
      <c r="X78" s="73"/>
      <c r="Y78" s="73"/>
      <c r="Z78" s="73"/>
      <c r="AA78" s="73"/>
      <c r="AB78" s="74"/>
      <c r="AC78" s="73"/>
      <c r="AD78" s="76"/>
      <c r="AE78" s="73"/>
      <c r="AF78" s="73"/>
      <c r="AG78" s="73"/>
      <c r="AH78" s="73"/>
      <c r="AI78" s="73"/>
    </row>
    <row r="79" customFormat="false" ht="15" hidden="false" customHeight="false" outlineLevel="0" collapsed="false">
      <c r="A79" s="71" t="str">
        <f aca="false">IF(D79="","",ROW()-1)</f>
        <v/>
      </c>
      <c r="B79" s="72"/>
      <c r="C79" s="72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4"/>
      <c r="O79" s="73"/>
      <c r="P79" s="74"/>
      <c r="Q79" s="73"/>
      <c r="R79" s="74"/>
      <c r="S79" s="75"/>
      <c r="T79" s="73"/>
      <c r="U79" s="73"/>
      <c r="V79" s="73"/>
      <c r="W79" s="73"/>
      <c r="X79" s="73"/>
      <c r="Y79" s="73"/>
      <c r="Z79" s="73"/>
      <c r="AA79" s="73"/>
      <c r="AB79" s="74"/>
      <c r="AC79" s="73"/>
      <c r="AD79" s="76"/>
      <c r="AE79" s="73"/>
      <c r="AF79" s="73"/>
      <c r="AG79" s="73"/>
      <c r="AH79" s="73"/>
      <c r="AI79" s="73"/>
    </row>
    <row r="80" customFormat="false" ht="15" hidden="false" customHeight="false" outlineLevel="0" collapsed="false">
      <c r="A80" s="71" t="str">
        <f aca="false">IF(D80="","",ROW()-1)</f>
        <v/>
      </c>
      <c r="B80" s="72"/>
      <c r="C80" s="72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4"/>
      <c r="O80" s="73"/>
      <c r="P80" s="74"/>
      <c r="Q80" s="73"/>
      <c r="R80" s="74"/>
      <c r="S80" s="75"/>
      <c r="T80" s="73"/>
      <c r="U80" s="73"/>
      <c r="V80" s="73"/>
      <c r="W80" s="73"/>
      <c r="X80" s="73"/>
      <c r="Y80" s="73"/>
      <c r="Z80" s="73"/>
      <c r="AA80" s="73"/>
      <c r="AB80" s="74"/>
      <c r="AC80" s="73"/>
      <c r="AD80" s="76"/>
      <c r="AE80" s="73"/>
      <c r="AF80" s="73"/>
      <c r="AG80" s="73"/>
      <c r="AH80" s="73"/>
      <c r="AI80" s="73"/>
    </row>
    <row r="81" customFormat="false" ht="15" hidden="false" customHeight="false" outlineLevel="0" collapsed="false">
      <c r="A81" s="71" t="str">
        <f aca="false">IF(D81="","",ROW()-1)</f>
        <v/>
      </c>
      <c r="B81" s="72"/>
      <c r="C81" s="72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4"/>
      <c r="O81" s="73"/>
      <c r="P81" s="74"/>
      <c r="Q81" s="73"/>
      <c r="R81" s="74"/>
      <c r="S81" s="75"/>
      <c r="T81" s="73"/>
      <c r="U81" s="73"/>
      <c r="V81" s="73"/>
      <c r="W81" s="73"/>
      <c r="X81" s="73"/>
      <c r="Y81" s="73"/>
      <c r="Z81" s="73"/>
      <c r="AA81" s="73"/>
      <c r="AB81" s="74"/>
      <c r="AC81" s="73"/>
      <c r="AD81" s="76"/>
      <c r="AE81" s="73"/>
      <c r="AF81" s="73"/>
      <c r="AG81" s="73"/>
      <c r="AH81" s="73"/>
      <c r="AI81" s="73"/>
    </row>
    <row r="82" customFormat="false" ht="15" hidden="false" customHeight="false" outlineLevel="0" collapsed="false">
      <c r="A82" s="71" t="str">
        <f aca="false">IF(D82="","",ROW()-1)</f>
        <v/>
      </c>
      <c r="B82" s="72"/>
      <c r="C82" s="72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4"/>
      <c r="O82" s="73"/>
      <c r="P82" s="74"/>
      <c r="Q82" s="73"/>
      <c r="R82" s="74"/>
      <c r="S82" s="75"/>
      <c r="T82" s="73"/>
      <c r="U82" s="73"/>
      <c r="V82" s="73"/>
      <c r="W82" s="73"/>
      <c r="X82" s="73"/>
      <c r="Y82" s="73"/>
      <c r="Z82" s="73"/>
      <c r="AA82" s="73"/>
      <c r="AB82" s="74"/>
      <c r="AC82" s="73"/>
      <c r="AD82" s="76"/>
      <c r="AE82" s="73"/>
      <c r="AF82" s="73"/>
      <c r="AG82" s="73"/>
      <c r="AH82" s="73"/>
      <c r="AI82" s="73"/>
    </row>
    <row r="83" customFormat="false" ht="15" hidden="false" customHeight="false" outlineLevel="0" collapsed="false">
      <c r="A83" s="71" t="str">
        <f aca="false">IF(D83="","",ROW()-1)</f>
        <v/>
      </c>
      <c r="B83" s="72"/>
      <c r="C83" s="72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4"/>
      <c r="O83" s="73"/>
      <c r="P83" s="74"/>
      <c r="Q83" s="73"/>
      <c r="R83" s="74"/>
      <c r="S83" s="75"/>
      <c r="T83" s="73"/>
      <c r="U83" s="73"/>
      <c r="V83" s="73"/>
      <c r="W83" s="73"/>
      <c r="X83" s="73"/>
      <c r="Y83" s="73"/>
      <c r="Z83" s="73"/>
      <c r="AA83" s="73"/>
      <c r="AB83" s="74"/>
      <c r="AC83" s="73"/>
      <c r="AD83" s="76"/>
      <c r="AE83" s="73"/>
      <c r="AF83" s="73"/>
      <c r="AG83" s="73"/>
      <c r="AH83" s="73"/>
      <c r="AI83" s="73"/>
    </row>
    <row r="84" customFormat="false" ht="15" hidden="false" customHeight="false" outlineLevel="0" collapsed="false">
      <c r="A84" s="71" t="str">
        <f aca="false">IF(D84="","",ROW()-1)</f>
        <v/>
      </c>
      <c r="B84" s="72"/>
      <c r="C84" s="72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4"/>
      <c r="O84" s="73"/>
      <c r="P84" s="74"/>
      <c r="Q84" s="73"/>
      <c r="R84" s="74"/>
      <c r="S84" s="75"/>
      <c r="T84" s="73"/>
      <c r="U84" s="73"/>
      <c r="V84" s="73"/>
      <c r="W84" s="73"/>
      <c r="X84" s="73"/>
      <c r="Y84" s="73"/>
      <c r="Z84" s="73"/>
      <c r="AA84" s="73"/>
      <c r="AB84" s="74"/>
      <c r="AC84" s="73"/>
      <c r="AD84" s="76"/>
      <c r="AE84" s="73"/>
      <c r="AF84" s="73"/>
      <c r="AG84" s="73"/>
      <c r="AH84" s="73"/>
      <c r="AI84" s="73"/>
    </row>
    <row r="85" customFormat="false" ht="15" hidden="false" customHeight="false" outlineLevel="0" collapsed="false">
      <c r="A85" s="71" t="str">
        <f aca="false">IF(D85="","",ROW()-1)</f>
        <v/>
      </c>
      <c r="B85" s="72"/>
      <c r="C85" s="72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4"/>
      <c r="O85" s="73"/>
      <c r="P85" s="74"/>
      <c r="Q85" s="73"/>
      <c r="R85" s="74"/>
      <c r="S85" s="75"/>
      <c r="T85" s="73"/>
      <c r="U85" s="73"/>
      <c r="V85" s="73"/>
      <c r="W85" s="73"/>
      <c r="X85" s="73"/>
      <c r="Y85" s="73"/>
      <c r="Z85" s="73"/>
      <c r="AA85" s="73"/>
      <c r="AB85" s="74"/>
      <c r="AC85" s="73"/>
      <c r="AD85" s="76"/>
      <c r="AE85" s="73"/>
      <c r="AF85" s="73"/>
      <c r="AG85" s="73"/>
      <c r="AH85" s="73"/>
      <c r="AI85" s="73"/>
    </row>
    <row r="86" customFormat="false" ht="15" hidden="false" customHeight="false" outlineLevel="0" collapsed="false">
      <c r="A86" s="71" t="str">
        <f aca="false">IF(D86="","",ROW()-1)</f>
        <v/>
      </c>
      <c r="B86" s="72"/>
      <c r="C86" s="72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4"/>
      <c r="O86" s="73"/>
      <c r="P86" s="74"/>
      <c r="Q86" s="73"/>
      <c r="R86" s="74"/>
      <c r="S86" s="75"/>
      <c r="T86" s="73"/>
      <c r="U86" s="73"/>
      <c r="V86" s="73"/>
      <c r="W86" s="73"/>
      <c r="X86" s="73"/>
      <c r="Y86" s="73"/>
      <c r="Z86" s="73"/>
      <c r="AA86" s="73"/>
      <c r="AB86" s="74"/>
      <c r="AC86" s="73"/>
      <c r="AD86" s="76"/>
      <c r="AE86" s="73"/>
      <c r="AF86" s="73"/>
      <c r="AG86" s="73"/>
      <c r="AH86" s="73"/>
      <c r="AI86" s="73"/>
    </row>
    <row r="87" customFormat="false" ht="15" hidden="false" customHeight="false" outlineLevel="0" collapsed="false">
      <c r="A87" s="71" t="str">
        <f aca="false">IF(D87="","",ROW()-1)</f>
        <v/>
      </c>
      <c r="B87" s="72"/>
      <c r="C87" s="72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4"/>
      <c r="O87" s="73"/>
      <c r="P87" s="74"/>
      <c r="Q87" s="73"/>
      <c r="R87" s="74"/>
      <c r="S87" s="75"/>
      <c r="T87" s="73"/>
      <c r="U87" s="73"/>
      <c r="V87" s="73"/>
      <c r="W87" s="73"/>
      <c r="X87" s="73"/>
      <c r="Y87" s="73"/>
      <c r="Z87" s="73"/>
      <c r="AA87" s="73"/>
      <c r="AB87" s="74"/>
      <c r="AC87" s="73"/>
      <c r="AD87" s="76"/>
      <c r="AE87" s="73"/>
      <c r="AF87" s="73"/>
      <c r="AG87" s="73"/>
      <c r="AH87" s="73"/>
      <c r="AI87" s="73"/>
    </row>
    <row r="88" customFormat="false" ht="15" hidden="false" customHeight="false" outlineLevel="0" collapsed="false">
      <c r="A88" s="71" t="str">
        <f aca="false">IF(D88="","",ROW()-1)</f>
        <v/>
      </c>
      <c r="B88" s="72"/>
      <c r="C88" s="72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4"/>
      <c r="O88" s="73"/>
      <c r="P88" s="74"/>
      <c r="Q88" s="73"/>
      <c r="R88" s="74"/>
      <c r="S88" s="75"/>
      <c r="T88" s="73"/>
      <c r="U88" s="73"/>
      <c r="V88" s="73"/>
      <c r="W88" s="73"/>
      <c r="X88" s="73"/>
      <c r="Y88" s="73"/>
      <c r="Z88" s="73"/>
      <c r="AA88" s="73"/>
      <c r="AB88" s="74"/>
      <c r="AC88" s="73"/>
      <c r="AD88" s="76"/>
      <c r="AE88" s="73"/>
      <c r="AF88" s="73"/>
      <c r="AG88" s="73"/>
      <c r="AH88" s="73"/>
      <c r="AI88" s="73"/>
    </row>
    <row r="89" customFormat="false" ht="15" hidden="false" customHeight="false" outlineLevel="0" collapsed="false">
      <c r="A89" s="71" t="str">
        <f aca="false">IF(D89="","",ROW()-1)</f>
        <v/>
      </c>
      <c r="B89" s="72"/>
      <c r="C89" s="72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4"/>
      <c r="O89" s="73"/>
      <c r="P89" s="74"/>
      <c r="Q89" s="73"/>
      <c r="R89" s="74"/>
      <c r="S89" s="75"/>
      <c r="T89" s="73"/>
      <c r="U89" s="73"/>
      <c r="V89" s="73"/>
      <c r="W89" s="73"/>
      <c r="X89" s="73"/>
      <c r="Y89" s="73"/>
      <c r="Z89" s="73"/>
      <c r="AA89" s="73"/>
      <c r="AB89" s="74"/>
      <c r="AC89" s="73"/>
      <c r="AD89" s="76"/>
      <c r="AE89" s="73"/>
      <c r="AF89" s="73"/>
      <c r="AG89" s="73"/>
      <c r="AH89" s="73"/>
      <c r="AI89" s="73"/>
    </row>
    <row r="90" customFormat="false" ht="15" hidden="false" customHeight="false" outlineLevel="0" collapsed="false">
      <c r="A90" s="71" t="str">
        <f aca="false">IF(D90="","",ROW()-1)</f>
        <v/>
      </c>
      <c r="B90" s="72"/>
      <c r="C90" s="72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4"/>
      <c r="O90" s="73"/>
      <c r="P90" s="74"/>
      <c r="Q90" s="73"/>
      <c r="R90" s="74"/>
      <c r="S90" s="75"/>
      <c r="T90" s="73"/>
      <c r="U90" s="73"/>
      <c r="V90" s="73"/>
      <c r="W90" s="73"/>
      <c r="X90" s="73"/>
      <c r="Y90" s="73"/>
      <c r="Z90" s="73"/>
      <c r="AA90" s="73"/>
      <c r="AB90" s="74"/>
      <c r="AC90" s="73"/>
      <c r="AD90" s="76"/>
      <c r="AE90" s="73"/>
      <c r="AF90" s="73"/>
      <c r="AG90" s="73"/>
      <c r="AH90" s="73"/>
      <c r="AI90" s="73"/>
    </row>
    <row r="91" customFormat="false" ht="15" hidden="false" customHeight="false" outlineLevel="0" collapsed="false">
      <c r="A91" s="71" t="str">
        <f aca="false">IF(D91="","",ROW()-1)</f>
        <v/>
      </c>
      <c r="B91" s="72"/>
      <c r="C91" s="72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4"/>
      <c r="O91" s="73"/>
      <c r="P91" s="74"/>
      <c r="Q91" s="73"/>
      <c r="R91" s="74"/>
      <c r="S91" s="75"/>
      <c r="T91" s="73"/>
      <c r="U91" s="73"/>
      <c r="V91" s="73"/>
      <c r="W91" s="73"/>
      <c r="X91" s="73"/>
      <c r="Y91" s="73"/>
      <c r="Z91" s="73"/>
      <c r="AA91" s="73"/>
      <c r="AB91" s="74"/>
      <c r="AC91" s="73"/>
      <c r="AD91" s="76"/>
      <c r="AE91" s="73"/>
      <c r="AF91" s="73"/>
      <c r="AG91" s="73"/>
      <c r="AH91" s="73"/>
      <c r="AI91" s="73"/>
    </row>
    <row r="92" customFormat="false" ht="15" hidden="false" customHeight="false" outlineLevel="0" collapsed="false">
      <c r="A92" s="71" t="str">
        <f aca="false">IF(D92="","",ROW()-1)</f>
        <v/>
      </c>
      <c r="B92" s="72"/>
      <c r="C92" s="72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4"/>
      <c r="O92" s="73"/>
      <c r="P92" s="74"/>
      <c r="Q92" s="73"/>
      <c r="R92" s="74"/>
      <c r="S92" s="75"/>
      <c r="T92" s="73"/>
      <c r="U92" s="73"/>
      <c r="V92" s="73"/>
      <c r="W92" s="73"/>
      <c r="X92" s="73"/>
      <c r="Y92" s="73"/>
      <c r="Z92" s="73"/>
      <c r="AA92" s="73"/>
      <c r="AB92" s="74"/>
      <c r="AC92" s="73"/>
      <c r="AD92" s="76"/>
      <c r="AE92" s="73"/>
      <c r="AF92" s="73"/>
      <c r="AG92" s="73"/>
      <c r="AH92" s="73"/>
      <c r="AI92" s="73"/>
    </row>
    <row r="93" customFormat="false" ht="15" hidden="false" customHeight="false" outlineLevel="0" collapsed="false">
      <c r="A93" s="71" t="str">
        <f aca="false">IF(D93="","",ROW()-1)</f>
        <v/>
      </c>
      <c r="B93" s="72"/>
      <c r="C93" s="72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4"/>
      <c r="O93" s="73"/>
      <c r="P93" s="74"/>
      <c r="Q93" s="73"/>
      <c r="R93" s="74"/>
      <c r="S93" s="75"/>
      <c r="T93" s="73"/>
      <c r="U93" s="73"/>
      <c r="V93" s="73"/>
      <c r="W93" s="73"/>
      <c r="X93" s="73"/>
      <c r="Y93" s="73"/>
      <c r="Z93" s="73"/>
      <c r="AA93" s="73"/>
      <c r="AB93" s="74"/>
      <c r="AC93" s="73"/>
      <c r="AD93" s="76"/>
      <c r="AE93" s="73"/>
      <c r="AF93" s="73"/>
      <c r="AG93" s="73"/>
      <c r="AH93" s="73"/>
      <c r="AI93" s="73"/>
    </row>
    <row r="94" customFormat="false" ht="15" hidden="false" customHeight="false" outlineLevel="0" collapsed="false">
      <c r="A94" s="71" t="str">
        <f aca="false">IF(D94="","",ROW()-1)</f>
        <v/>
      </c>
      <c r="B94" s="72"/>
      <c r="C94" s="72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4"/>
      <c r="O94" s="73"/>
      <c r="P94" s="74"/>
      <c r="Q94" s="73"/>
      <c r="R94" s="74"/>
      <c r="S94" s="75"/>
      <c r="T94" s="73"/>
      <c r="U94" s="73"/>
      <c r="V94" s="73"/>
      <c r="W94" s="73"/>
      <c r="X94" s="73"/>
      <c r="Y94" s="73"/>
      <c r="Z94" s="73"/>
      <c r="AA94" s="73"/>
      <c r="AB94" s="74"/>
      <c r="AC94" s="73"/>
      <c r="AD94" s="76"/>
      <c r="AE94" s="73"/>
      <c r="AF94" s="73"/>
      <c r="AG94" s="73"/>
      <c r="AH94" s="73"/>
      <c r="AI94" s="73"/>
    </row>
    <row r="95" customFormat="false" ht="15" hidden="false" customHeight="false" outlineLevel="0" collapsed="false">
      <c r="A95" s="71" t="str">
        <f aca="false">IF(D95="","",ROW()-1)</f>
        <v/>
      </c>
      <c r="B95" s="72"/>
      <c r="C95" s="72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4"/>
      <c r="O95" s="73"/>
      <c r="P95" s="74"/>
      <c r="Q95" s="73"/>
      <c r="R95" s="74"/>
      <c r="S95" s="75"/>
      <c r="T95" s="73"/>
      <c r="U95" s="73"/>
      <c r="V95" s="73"/>
      <c r="W95" s="73"/>
      <c r="X95" s="73"/>
      <c r="Y95" s="73"/>
      <c r="Z95" s="73"/>
      <c r="AA95" s="73"/>
      <c r="AB95" s="74"/>
      <c r="AC95" s="73"/>
      <c r="AD95" s="76"/>
      <c r="AE95" s="73"/>
      <c r="AF95" s="73"/>
      <c r="AG95" s="73"/>
      <c r="AH95" s="73"/>
      <c r="AI95" s="73"/>
    </row>
    <row r="96" customFormat="false" ht="15" hidden="false" customHeight="false" outlineLevel="0" collapsed="false">
      <c r="A96" s="71" t="str">
        <f aca="false">IF(D96="","",ROW()-1)</f>
        <v/>
      </c>
      <c r="B96" s="72"/>
      <c r="C96" s="72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4"/>
      <c r="O96" s="73"/>
      <c r="P96" s="74"/>
      <c r="Q96" s="73"/>
      <c r="R96" s="74"/>
      <c r="S96" s="75"/>
      <c r="T96" s="73"/>
      <c r="U96" s="73"/>
      <c r="V96" s="73"/>
      <c r="W96" s="73"/>
      <c r="X96" s="73"/>
      <c r="Y96" s="73"/>
      <c r="Z96" s="73"/>
      <c r="AA96" s="73"/>
      <c r="AB96" s="74"/>
      <c r="AC96" s="73"/>
      <c r="AD96" s="76"/>
      <c r="AE96" s="73"/>
      <c r="AF96" s="73"/>
      <c r="AG96" s="73"/>
      <c r="AH96" s="73"/>
      <c r="AI96" s="73"/>
    </row>
    <row r="97" customFormat="false" ht="15" hidden="false" customHeight="false" outlineLevel="0" collapsed="false">
      <c r="A97" s="71" t="str">
        <f aca="false">IF(D97="","",ROW()-1)</f>
        <v/>
      </c>
      <c r="B97" s="72"/>
      <c r="C97" s="72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4"/>
      <c r="O97" s="73"/>
      <c r="P97" s="74"/>
      <c r="Q97" s="73"/>
      <c r="R97" s="74"/>
      <c r="S97" s="75"/>
      <c r="T97" s="73"/>
      <c r="U97" s="73"/>
      <c r="V97" s="73"/>
      <c r="W97" s="73"/>
      <c r="X97" s="73"/>
      <c r="Y97" s="73"/>
      <c r="Z97" s="73"/>
      <c r="AA97" s="73"/>
      <c r="AB97" s="74"/>
      <c r="AC97" s="73"/>
      <c r="AD97" s="76"/>
      <c r="AE97" s="73"/>
      <c r="AF97" s="73"/>
      <c r="AG97" s="73"/>
      <c r="AH97" s="73"/>
      <c r="AI97" s="73"/>
    </row>
    <row r="98" customFormat="false" ht="15" hidden="false" customHeight="false" outlineLevel="0" collapsed="false">
      <c r="A98" s="71" t="str">
        <f aca="false">IF(D98="","",ROW()-1)</f>
        <v/>
      </c>
      <c r="B98" s="72"/>
      <c r="C98" s="72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4"/>
      <c r="O98" s="73"/>
      <c r="P98" s="74"/>
      <c r="Q98" s="73"/>
      <c r="R98" s="74"/>
      <c r="S98" s="75"/>
      <c r="T98" s="73"/>
      <c r="U98" s="73"/>
      <c r="V98" s="73"/>
      <c r="W98" s="73"/>
      <c r="X98" s="73"/>
      <c r="Y98" s="73"/>
      <c r="Z98" s="73"/>
      <c r="AA98" s="73"/>
      <c r="AB98" s="74"/>
      <c r="AC98" s="73"/>
      <c r="AD98" s="76"/>
      <c r="AE98" s="73"/>
      <c r="AF98" s="73"/>
      <c r="AG98" s="73"/>
      <c r="AH98" s="73"/>
      <c r="AI98" s="73"/>
    </row>
    <row r="99" customFormat="false" ht="15" hidden="false" customHeight="false" outlineLevel="0" collapsed="false">
      <c r="A99" s="71" t="str">
        <f aca="false">IF(D99="","",ROW()-1)</f>
        <v/>
      </c>
      <c r="B99" s="72"/>
      <c r="C99" s="72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4"/>
      <c r="O99" s="73"/>
      <c r="P99" s="74"/>
      <c r="Q99" s="73"/>
      <c r="R99" s="74"/>
      <c r="S99" s="75"/>
      <c r="T99" s="73"/>
      <c r="U99" s="73"/>
      <c r="V99" s="73"/>
      <c r="W99" s="73"/>
      <c r="X99" s="73"/>
      <c r="Y99" s="73"/>
      <c r="Z99" s="73"/>
      <c r="AA99" s="73"/>
      <c r="AB99" s="74"/>
      <c r="AC99" s="73"/>
      <c r="AD99" s="76"/>
      <c r="AE99" s="73"/>
      <c r="AF99" s="73"/>
      <c r="AG99" s="73"/>
      <c r="AH99" s="73"/>
      <c r="AI99" s="73"/>
    </row>
    <row r="100" customFormat="false" ht="15" hidden="false" customHeight="false" outlineLevel="0" collapsed="false">
      <c r="A100" s="71" t="str">
        <f aca="false">IF(D100="","",ROW()-1)</f>
        <v/>
      </c>
      <c r="B100" s="72"/>
      <c r="C100" s="72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4"/>
      <c r="O100" s="73"/>
      <c r="P100" s="74"/>
      <c r="Q100" s="73"/>
      <c r="R100" s="74"/>
      <c r="S100" s="75"/>
      <c r="T100" s="73"/>
      <c r="U100" s="73"/>
      <c r="V100" s="73"/>
      <c r="W100" s="73"/>
      <c r="X100" s="73"/>
      <c r="Y100" s="73"/>
      <c r="Z100" s="73"/>
      <c r="AA100" s="73"/>
      <c r="AB100" s="74"/>
      <c r="AC100" s="73"/>
      <c r="AD100" s="76"/>
      <c r="AE100" s="73"/>
      <c r="AF100" s="73"/>
      <c r="AG100" s="73"/>
      <c r="AH100" s="73"/>
      <c r="AI100" s="73"/>
    </row>
    <row r="101" customFormat="false" ht="15" hidden="false" customHeight="false" outlineLevel="0" collapsed="false">
      <c r="A101" s="71" t="str">
        <f aca="false">IF(D101="","",ROW()-1)</f>
        <v/>
      </c>
      <c r="B101" s="72"/>
      <c r="C101" s="72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4"/>
      <c r="O101" s="73"/>
      <c r="P101" s="74"/>
      <c r="Q101" s="73"/>
      <c r="R101" s="74"/>
      <c r="S101" s="75"/>
      <c r="T101" s="73"/>
      <c r="U101" s="73"/>
      <c r="V101" s="73"/>
      <c r="W101" s="73"/>
      <c r="X101" s="73"/>
      <c r="Y101" s="73"/>
      <c r="Z101" s="73"/>
      <c r="AA101" s="73"/>
      <c r="AB101" s="74"/>
      <c r="AC101" s="73"/>
      <c r="AD101" s="76"/>
      <c r="AE101" s="73"/>
      <c r="AF101" s="73"/>
      <c r="AG101" s="73"/>
      <c r="AH101" s="73"/>
      <c r="AI101" s="73"/>
    </row>
    <row r="102" customFormat="false" ht="15" hidden="false" customHeight="false" outlineLevel="0" collapsed="false">
      <c r="A102" s="71" t="str">
        <f aca="false">IF(D102="","",ROW()-1)</f>
        <v/>
      </c>
      <c r="B102" s="72"/>
      <c r="C102" s="72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4"/>
      <c r="O102" s="73"/>
      <c r="P102" s="74"/>
      <c r="Q102" s="73"/>
      <c r="R102" s="74"/>
      <c r="S102" s="75"/>
      <c r="T102" s="73"/>
      <c r="U102" s="73"/>
      <c r="V102" s="73"/>
      <c r="W102" s="73"/>
      <c r="X102" s="73"/>
      <c r="Y102" s="73"/>
      <c r="Z102" s="73"/>
      <c r="AA102" s="73"/>
      <c r="AB102" s="74"/>
      <c r="AC102" s="73"/>
      <c r="AD102" s="76"/>
      <c r="AE102" s="73"/>
      <c r="AF102" s="73"/>
      <c r="AG102" s="73"/>
      <c r="AH102" s="73"/>
      <c r="AI102" s="73"/>
    </row>
    <row r="103" customFormat="false" ht="15" hidden="false" customHeight="false" outlineLevel="0" collapsed="false">
      <c r="A103" s="71" t="str">
        <f aca="false">IF(D103="","",ROW()-1)</f>
        <v/>
      </c>
      <c r="B103" s="72"/>
      <c r="C103" s="72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4"/>
      <c r="O103" s="73"/>
      <c r="P103" s="74"/>
      <c r="Q103" s="73"/>
      <c r="R103" s="74"/>
      <c r="S103" s="75"/>
      <c r="T103" s="73"/>
      <c r="U103" s="73"/>
      <c r="V103" s="73"/>
      <c r="W103" s="73"/>
      <c r="X103" s="73"/>
      <c r="Y103" s="73"/>
      <c r="Z103" s="73"/>
      <c r="AA103" s="73"/>
      <c r="AB103" s="74"/>
      <c r="AC103" s="73"/>
      <c r="AD103" s="76"/>
      <c r="AE103" s="73"/>
      <c r="AF103" s="73"/>
      <c r="AG103" s="73"/>
      <c r="AH103" s="73"/>
      <c r="AI103" s="73"/>
    </row>
    <row r="104" customFormat="false" ht="15" hidden="false" customHeight="false" outlineLevel="0" collapsed="false">
      <c r="A104" s="71" t="str">
        <f aca="false">IF(D104="","",ROW()-1)</f>
        <v/>
      </c>
      <c r="B104" s="72"/>
      <c r="C104" s="72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4"/>
      <c r="O104" s="73"/>
      <c r="P104" s="74"/>
      <c r="Q104" s="73"/>
      <c r="R104" s="74"/>
      <c r="S104" s="75"/>
      <c r="T104" s="73"/>
      <c r="U104" s="73"/>
      <c r="V104" s="73"/>
      <c r="W104" s="73"/>
      <c r="X104" s="73"/>
      <c r="Y104" s="73"/>
      <c r="Z104" s="73"/>
      <c r="AA104" s="73"/>
      <c r="AB104" s="74"/>
      <c r="AC104" s="73"/>
      <c r="AD104" s="76"/>
      <c r="AE104" s="73"/>
      <c r="AF104" s="73"/>
      <c r="AG104" s="73"/>
      <c r="AH104" s="73"/>
      <c r="AI104" s="73"/>
    </row>
    <row r="105" customFormat="false" ht="15" hidden="false" customHeight="false" outlineLevel="0" collapsed="false">
      <c r="A105" s="71" t="str">
        <f aca="false">IF(D105="","",ROW()-1)</f>
        <v/>
      </c>
      <c r="B105" s="72"/>
      <c r="C105" s="72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4"/>
      <c r="O105" s="73"/>
      <c r="P105" s="74"/>
      <c r="Q105" s="73"/>
      <c r="R105" s="74"/>
      <c r="S105" s="75"/>
      <c r="T105" s="73"/>
      <c r="U105" s="73"/>
      <c r="V105" s="73"/>
      <c r="W105" s="73"/>
      <c r="X105" s="73"/>
      <c r="Y105" s="73"/>
      <c r="Z105" s="73"/>
      <c r="AA105" s="73"/>
      <c r="AB105" s="74"/>
      <c r="AC105" s="73"/>
      <c r="AD105" s="76"/>
      <c r="AE105" s="73"/>
      <c r="AF105" s="73"/>
      <c r="AG105" s="73"/>
      <c r="AH105" s="73"/>
      <c r="AI105" s="73"/>
    </row>
    <row r="106" customFormat="false" ht="15" hidden="false" customHeight="false" outlineLevel="0" collapsed="false">
      <c r="A106" s="71" t="str">
        <f aca="false">IF(D106="","",ROW()-1)</f>
        <v/>
      </c>
      <c r="B106" s="72"/>
      <c r="C106" s="72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4"/>
      <c r="O106" s="73"/>
      <c r="P106" s="74"/>
      <c r="Q106" s="73"/>
      <c r="R106" s="74"/>
      <c r="S106" s="75"/>
      <c r="T106" s="73"/>
      <c r="U106" s="73"/>
      <c r="V106" s="73"/>
      <c r="W106" s="73"/>
      <c r="X106" s="73"/>
      <c r="Y106" s="73"/>
      <c r="Z106" s="73"/>
      <c r="AA106" s="73"/>
      <c r="AB106" s="74"/>
      <c r="AC106" s="73"/>
      <c r="AD106" s="76"/>
      <c r="AE106" s="73"/>
      <c r="AF106" s="73"/>
      <c r="AG106" s="73"/>
      <c r="AH106" s="73"/>
      <c r="AI106" s="73"/>
    </row>
    <row r="107" customFormat="false" ht="15" hidden="false" customHeight="false" outlineLevel="0" collapsed="false">
      <c r="A107" s="71" t="str">
        <f aca="false">IF(D107="","",ROW()-1)</f>
        <v/>
      </c>
      <c r="B107" s="72"/>
      <c r="C107" s="72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4"/>
      <c r="O107" s="73"/>
      <c r="P107" s="74"/>
      <c r="Q107" s="73"/>
      <c r="R107" s="74"/>
      <c r="S107" s="75"/>
      <c r="T107" s="73"/>
      <c r="U107" s="73"/>
      <c r="V107" s="73"/>
      <c r="W107" s="73"/>
      <c r="X107" s="73"/>
      <c r="Y107" s="73"/>
      <c r="Z107" s="73"/>
      <c r="AA107" s="73"/>
      <c r="AB107" s="74"/>
      <c r="AC107" s="73"/>
      <c r="AD107" s="76"/>
      <c r="AE107" s="73"/>
      <c r="AF107" s="73"/>
      <c r="AG107" s="73"/>
      <c r="AH107" s="73"/>
      <c r="AI107" s="73"/>
    </row>
    <row r="108" customFormat="false" ht="15" hidden="false" customHeight="false" outlineLevel="0" collapsed="false">
      <c r="A108" s="71" t="str">
        <f aca="false">IF(D108="","",ROW()-1)</f>
        <v/>
      </c>
      <c r="B108" s="72"/>
      <c r="C108" s="72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4"/>
      <c r="O108" s="73"/>
      <c r="P108" s="74"/>
      <c r="Q108" s="73"/>
      <c r="R108" s="74"/>
      <c r="S108" s="75"/>
      <c r="T108" s="73"/>
      <c r="U108" s="73"/>
      <c r="V108" s="73"/>
      <c r="W108" s="73"/>
      <c r="X108" s="73"/>
      <c r="Y108" s="73"/>
      <c r="Z108" s="73"/>
      <c r="AA108" s="73"/>
      <c r="AB108" s="74"/>
      <c r="AC108" s="73"/>
      <c r="AD108" s="76"/>
      <c r="AE108" s="73"/>
      <c r="AF108" s="73"/>
      <c r="AG108" s="73"/>
      <c r="AH108" s="73"/>
      <c r="AI108" s="73"/>
    </row>
    <row r="109" customFormat="false" ht="15" hidden="false" customHeight="false" outlineLevel="0" collapsed="false">
      <c r="A109" s="71" t="str">
        <f aca="false">IF(D109="","",ROW()-1)</f>
        <v/>
      </c>
      <c r="B109" s="72"/>
      <c r="C109" s="72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4"/>
      <c r="O109" s="73"/>
      <c r="P109" s="74"/>
      <c r="Q109" s="73"/>
      <c r="R109" s="74"/>
      <c r="S109" s="75"/>
      <c r="T109" s="73"/>
      <c r="U109" s="73"/>
      <c r="V109" s="73"/>
      <c r="W109" s="73"/>
      <c r="X109" s="73"/>
      <c r="Y109" s="73"/>
      <c r="Z109" s="73"/>
      <c r="AA109" s="73"/>
      <c r="AB109" s="74"/>
      <c r="AC109" s="73"/>
      <c r="AD109" s="76"/>
      <c r="AE109" s="73"/>
      <c r="AF109" s="73"/>
      <c r="AG109" s="73"/>
      <c r="AH109" s="73"/>
      <c r="AI109" s="73"/>
    </row>
    <row r="110" customFormat="false" ht="15" hidden="false" customHeight="false" outlineLevel="0" collapsed="false">
      <c r="A110" s="71" t="str">
        <f aca="false">IF(D110="","",ROW()-1)</f>
        <v/>
      </c>
      <c r="B110" s="72"/>
      <c r="C110" s="72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4"/>
      <c r="O110" s="73"/>
      <c r="P110" s="74"/>
      <c r="Q110" s="73"/>
      <c r="R110" s="74"/>
      <c r="S110" s="75"/>
      <c r="T110" s="73"/>
      <c r="U110" s="73"/>
      <c r="V110" s="73"/>
      <c r="W110" s="73"/>
      <c r="X110" s="73"/>
      <c r="Y110" s="73"/>
      <c r="Z110" s="73"/>
      <c r="AA110" s="73"/>
      <c r="AB110" s="74"/>
      <c r="AC110" s="73"/>
      <c r="AD110" s="76"/>
      <c r="AE110" s="73"/>
      <c r="AF110" s="73"/>
      <c r="AG110" s="73"/>
      <c r="AH110" s="73"/>
      <c r="AI110" s="73"/>
    </row>
    <row r="111" customFormat="false" ht="15" hidden="false" customHeight="false" outlineLevel="0" collapsed="false">
      <c r="A111" s="71" t="str">
        <f aca="false">IF(D111="","",ROW()-1)</f>
        <v/>
      </c>
      <c r="B111" s="72"/>
      <c r="C111" s="72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4"/>
      <c r="O111" s="73"/>
      <c r="P111" s="74"/>
      <c r="Q111" s="73"/>
      <c r="R111" s="74"/>
      <c r="S111" s="75"/>
      <c r="T111" s="73"/>
      <c r="U111" s="73"/>
      <c r="V111" s="73"/>
      <c r="W111" s="73"/>
      <c r="X111" s="73"/>
      <c r="Y111" s="73"/>
      <c r="Z111" s="73"/>
      <c r="AA111" s="73"/>
      <c r="AB111" s="74"/>
      <c r="AC111" s="73"/>
      <c r="AD111" s="76"/>
      <c r="AE111" s="73"/>
      <c r="AF111" s="73"/>
      <c r="AG111" s="73"/>
      <c r="AH111" s="73"/>
      <c r="AI111" s="73"/>
    </row>
    <row r="112" customFormat="false" ht="15" hidden="false" customHeight="false" outlineLevel="0" collapsed="false">
      <c r="A112" s="71" t="str">
        <f aca="false">IF(D112="","",ROW()-1)</f>
        <v/>
      </c>
      <c r="B112" s="72"/>
      <c r="C112" s="72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4"/>
      <c r="O112" s="73"/>
      <c r="P112" s="74"/>
      <c r="Q112" s="73"/>
      <c r="R112" s="74"/>
      <c r="S112" s="75"/>
      <c r="T112" s="73"/>
      <c r="U112" s="73"/>
      <c r="V112" s="73"/>
      <c r="W112" s="73"/>
      <c r="X112" s="73"/>
      <c r="Y112" s="73"/>
      <c r="Z112" s="73"/>
      <c r="AA112" s="73"/>
      <c r="AB112" s="74"/>
      <c r="AC112" s="73"/>
      <c r="AD112" s="76"/>
      <c r="AE112" s="73"/>
      <c r="AF112" s="73"/>
      <c r="AG112" s="73"/>
      <c r="AH112" s="73"/>
      <c r="AI112" s="73"/>
    </row>
    <row r="113" customFormat="false" ht="15" hidden="false" customHeight="false" outlineLevel="0" collapsed="false">
      <c r="A113" s="71" t="str">
        <f aca="false">IF(D113="","",ROW()-1)</f>
        <v/>
      </c>
      <c r="B113" s="72"/>
      <c r="C113" s="72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4"/>
      <c r="O113" s="73"/>
      <c r="P113" s="74"/>
      <c r="Q113" s="73"/>
      <c r="R113" s="74"/>
      <c r="S113" s="75"/>
      <c r="T113" s="73"/>
      <c r="U113" s="73"/>
      <c r="V113" s="73"/>
      <c r="W113" s="73"/>
      <c r="X113" s="73"/>
      <c r="Y113" s="73"/>
      <c r="Z113" s="73"/>
      <c r="AA113" s="73"/>
      <c r="AB113" s="74"/>
      <c r="AC113" s="73"/>
      <c r="AD113" s="76"/>
      <c r="AE113" s="73"/>
      <c r="AF113" s="73"/>
      <c r="AG113" s="73"/>
      <c r="AH113" s="73"/>
      <c r="AI113" s="73"/>
    </row>
    <row r="114" customFormat="false" ht="15" hidden="false" customHeight="false" outlineLevel="0" collapsed="false">
      <c r="A114" s="71" t="str">
        <f aca="false">IF(D114="","",ROW()-1)</f>
        <v/>
      </c>
      <c r="B114" s="72"/>
      <c r="C114" s="72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4"/>
      <c r="O114" s="73"/>
      <c r="P114" s="74"/>
      <c r="Q114" s="73"/>
      <c r="R114" s="74"/>
      <c r="S114" s="75"/>
      <c r="T114" s="73"/>
      <c r="U114" s="73"/>
      <c r="V114" s="73"/>
      <c r="W114" s="73"/>
      <c r="X114" s="73"/>
      <c r="Y114" s="73"/>
      <c r="Z114" s="73"/>
      <c r="AA114" s="73"/>
      <c r="AB114" s="74"/>
      <c r="AC114" s="73"/>
      <c r="AD114" s="76"/>
      <c r="AE114" s="73"/>
      <c r="AF114" s="73"/>
      <c r="AG114" s="73"/>
      <c r="AH114" s="73"/>
      <c r="AI114" s="73"/>
    </row>
    <row r="115" customFormat="false" ht="15" hidden="false" customHeight="false" outlineLevel="0" collapsed="false">
      <c r="A115" s="71" t="str">
        <f aca="false">IF(D115="","",ROW()-1)</f>
        <v/>
      </c>
      <c r="B115" s="72"/>
      <c r="C115" s="72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4"/>
      <c r="O115" s="73"/>
      <c r="P115" s="74"/>
      <c r="Q115" s="73"/>
      <c r="R115" s="74"/>
      <c r="S115" s="75"/>
      <c r="T115" s="73"/>
      <c r="U115" s="73"/>
      <c r="V115" s="73"/>
      <c r="W115" s="73"/>
      <c r="X115" s="73"/>
      <c r="Y115" s="73"/>
      <c r="Z115" s="73"/>
      <c r="AA115" s="73"/>
      <c r="AB115" s="74"/>
      <c r="AC115" s="73"/>
      <c r="AD115" s="76"/>
      <c r="AE115" s="73"/>
      <c r="AF115" s="73"/>
      <c r="AG115" s="73"/>
      <c r="AH115" s="73"/>
      <c r="AI115" s="73"/>
    </row>
    <row r="116" customFormat="false" ht="15" hidden="false" customHeight="false" outlineLevel="0" collapsed="false">
      <c r="A116" s="71" t="str">
        <f aca="false">IF(D116="","",ROW()-1)</f>
        <v/>
      </c>
      <c r="B116" s="72"/>
      <c r="C116" s="72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4"/>
      <c r="O116" s="73"/>
      <c r="P116" s="74"/>
      <c r="Q116" s="73"/>
      <c r="R116" s="74"/>
      <c r="S116" s="75"/>
      <c r="T116" s="73"/>
      <c r="U116" s="73"/>
      <c r="V116" s="73"/>
      <c r="W116" s="73"/>
      <c r="X116" s="73"/>
      <c r="Y116" s="73"/>
      <c r="Z116" s="73"/>
      <c r="AA116" s="73"/>
      <c r="AB116" s="74"/>
      <c r="AC116" s="73"/>
      <c r="AD116" s="76"/>
      <c r="AE116" s="73"/>
      <c r="AF116" s="73"/>
      <c r="AG116" s="73"/>
      <c r="AH116" s="73"/>
      <c r="AI116" s="73"/>
    </row>
    <row r="117" customFormat="false" ht="15" hidden="false" customHeight="false" outlineLevel="0" collapsed="false">
      <c r="A117" s="71" t="str">
        <f aca="false">IF(D117="","",ROW()-1)</f>
        <v/>
      </c>
      <c r="B117" s="72"/>
      <c r="C117" s="72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4"/>
      <c r="O117" s="73"/>
      <c r="P117" s="74"/>
      <c r="Q117" s="73"/>
      <c r="R117" s="74"/>
      <c r="S117" s="75"/>
      <c r="T117" s="73"/>
      <c r="U117" s="73"/>
      <c r="V117" s="73"/>
      <c r="W117" s="73"/>
      <c r="X117" s="73"/>
      <c r="Y117" s="73"/>
      <c r="Z117" s="73"/>
      <c r="AA117" s="73"/>
      <c r="AB117" s="74"/>
      <c r="AC117" s="73"/>
      <c r="AD117" s="76"/>
      <c r="AE117" s="73"/>
      <c r="AF117" s="73"/>
      <c r="AG117" s="73"/>
      <c r="AH117" s="73"/>
      <c r="AI117" s="73"/>
    </row>
    <row r="118" customFormat="false" ht="15" hidden="false" customHeight="false" outlineLevel="0" collapsed="false">
      <c r="A118" s="71" t="str">
        <f aca="false">IF(D118="","",ROW()-1)</f>
        <v/>
      </c>
      <c r="B118" s="72"/>
      <c r="C118" s="72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4"/>
      <c r="O118" s="73"/>
      <c r="P118" s="74"/>
      <c r="Q118" s="73"/>
      <c r="R118" s="74"/>
      <c r="S118" s="75"/>
      <c r="T118" s="73"/>
      <c r="U118" s="73"/>
      <c r="V118" s="73"/>
      <c r="W118" s="73"/>
      <c r="X118" s="73"/>
      <c r="Y118" s="73"/>
      <c r="Z118" s="73"/>
      <c r="AA118" s="73"/>
      <c r="AB118" s="74"/>
      <c r="AC118" s="73"/>
      <c r="AD118" s="76"/>
      <c r="AE118" s="73"/>
      <c r="AF118" s="73"/>
      <c r="AG118" s="73"/>
      <c r="AH118" s="73"/>
      <c r="AI118" s="73"/>
    </row>
    <row r="119" customFormat="false" ht="15" hidden="false" customHeight="false" outlineLevel="0" collapsed="false">
      <c r="A119" s="71" t="str">
        <f aca="false">IF(D119="","",ROW()-1)</f>
        <v/>
      </c>
      <c r="B119" s="72"/>
      <c r="C119" s="72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4"/>
      <c r="O119" s="73"/>
      <c r="P119" s="74"/>
      <c r="Q119" s="73"/>
      <c r="R119" s="74"/>
      <c r="S119" s="75"/>
      <c r="T119" s="73"/>
      <c r="U119" s="73"/>
      <c r="V119" s="73"/>
      <c r="W119" s="73"/>
      <c r="X119" s="73"/>
      <c r="Y119" s="73"/>
      <c r="Z119" s="73"/>
      <c r="AA119" s="73"/>
      <c r="AB119" s="74"/>
      <c r="AC119" s="73"/>
      <c r="AD119" s="76"/>
      <c r="AE119" s="73"/>
      <c r="AF119" s="73"/>
      <c r="AG119" s="73"/>
      <c r="AH119" s="73"/>
      <c r="AI119" s="73"/>
    </row>
    <row r="120" customFormat="false" ht="15" hidden="false" customHeight="false" outlineLevel="0" collapsed="false">
      <c r="A120" s="71" t="str">
        <f aca="false">IF(D120="","",ROW()-1)</f>
        <v/>
      </c>
      <c r="B120" s="72"/>
      <c r="C120" s="72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4"/>
      <c r="O120" s="73"/>
      <c r="P120" s="74"/>
      <c r="Q120" s="73"/>
      <c r="R120" s="74"/>
      <c r="S120" s="75"/>
      <c r="T120" s="73"/>
      <c r="U120" s="73"/>
      <c r="V120" s="73"/>
      <c r="W120" s="73"/>
      <c r="X120" s="73"/>
      <c r="Y120" s="73"/>
      <c r="Z120" s="73"/>
      <c r="AA120" s="73"/>
      <c r="AB120" s="74"/>
      <c r="AC120" s="73"/>
      <c r="AD120" s="76"/>
      <c r="AE120" s="73"/>
      <c r="AF120" s="73"/>
      <c r="AG120" s="73"/>
      <c r="AH120" s="73"/>
      <c r="AI120" s="73"/>
    </row>
    <row r="121" customFormat="false" ht="15" hidden="false" customHeight="false" outlineLevel="0" collapsed="false">
      <c r="A121" s="71" t="str">
        <f aca="false">IF(D121="","",ROW()-1)</f>
        <v/>
      </c>
      <c r="B121" s="72"/>
      <c r="C121" s="72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4"/>
      <c r="O121" s="73"/>
      <c r="P121" s="74"/>
      <c r="Q121" s="73"/>
      <c r="R121" s="74"/>
      <c r="S121" s="75"/>
      <c r="T121" s="73"/>
      <c r="U121" s="73"/>
      <c r="V121" s="73"/>
      <c r="W121" s="73"/>
      <c r="X121" s="73"/>
      <c r="Y121" s="73"/>
      <c r="Z121" s="73"/>
      <c r="AA121" s="73"/>
      <c r="AB121" s="74"/>
      <c r="AC121" s="73"/>
      <c r="AD121" s="76"/>
      <c r="AE121" s="73"/>
      <c r="AF121" s="73"/>
      <c r="AG121" s="73"/>
      <c r="AH121" s="73"/>
      <c r="AI121" s="73"/>
    </row>
    <row r="122" customFormat="false" ht="15" hidden="false" customHeight="false" outlineLevel="0" collapsed="false">
      <c r="A122" s="71" t="str">
        <f aca="false">IF(D122="","",ROW()-1)</f>
        <v/>
      </c>
      <c r="B122" s="72"/>
      <c r="C122" s="72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4"/>
      <c r="O122" s="73"/>
      <c r="P122" s="74"/>
      <c r="Q122" s="73"/>
      <c r="R122" s="74"/>
      <c r="S122" s="75"/>
      <c r="T122" s="73"/>
      <c r="U122" s="73"/>
      <c r="V122" s="73"/>
      <c r="W122" s="73"/>
      <c r="X122" s="73"/>
      <c r="Y122" s="73"/>
      <c r="Z122" s="73"/>
      <c r="AA122" s="73"/>
      <c r="AB122" s="74"/>
      <c r="AC122" s="73"/>
      <c r="AD122" s="76"/>
      <c r="AE122" s="73"/>
      <c r="AF122" s="73"/>
      <c r="AG122" s="73"/>
      <c r="AH122" s="73"/>
      <c r="AI122" s="73"/>
    </row>
    <row r="123" customFormat="false" ht="15" hidden="false" customHeight="false" outlineLevel="0" collapsed="false">
      <c r="A123" s="71" t="str">
        <f aca="false">IF(D123="","",ROW()-1)</f>
        <v/>
      </c>
      <c r="B123" s="72"/>
      <c r="C123" s="72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4"/>
      <c r="O123" s="73"/>
      <c r="P123" s="74"/>
      <c r="Q123" s="73"/>
      <c r="R123" s="74"/>
      <c r="S123" s="75"/>
      <c r="T123" s="73"/>
      <c r="U123" s="73"/>
      <c r="V123" s="73"/>
      <c r="W123" s="73"/>
      <c r="X123" s="73"/>
      <c r="Y123" s="73"/>
      <c r="Z123" s="73"/>
      <c r="AA123" s="73"/>
      <c r="AB123" s="74"/>
      <c r="AC123" s="73"/>
      <c r="AD123" s="76"/>
      <c r="AE123" s="73"/>
      <c r="AF123" s="73"/>
      <c r="AG123" s="73"/>
      <c r="AH123" s="73"/>
      <c r="AI123" s="73"/>
    </row>
    <row r="124" customFormat="false" ht="15" hidden="false" customHeight="false" outlineLevel="0" collapsed="false">
      <c r="A124" s="71" t="str">
        <f aca="false">IF(D124="","",ROW()-1)</f>
        <v/>
      </c>
      <c r="B124" s="72"/>
      <c r="C124" s="72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4"/>
      <c r="O124" s="73"/>
      <c r="P124" s="74"/>
      <c r="Q124" s="73"/>
      <c r="R124" s="74"/>
      <c r="S124" s="75"/>
      <c r="T124" s="73"/>
      <c r="U124" s="73"/>
      <c r="V124" s="73"/>
      <c r="W124" s="73"/>
      <c r="X124" s="73"/>
      <c r="Y124" s="73"/>
      <c r="Z124" s="73"/>
      <c r="AA124" s="73"/>
      <c r="AB124" s="74"/>
      <c r="AC124" s="73"/>
      <c r="AD124" s="76"/>
      <c r="AE124" s="73"/>
      <c r="AF124" s="73"/>
      <c r="AG124" s="73"/>
      <c r="AH124" s="73"/>
      <c r="AI124" s="73"/>
    </row>
    <row r="125" customFormat="false" ht="15" hidden="false" customHeight="false" outlineLevel="0" collapsed="false">
      <c r="A125" s="71" t="str">
        <f aca="false">IF(D125="","",ROW()-1)</f>
        <v/>
      </c>
      <c r="B125" s="72"/>
      <c r="C125" s="72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4"/>
      <c r="O125" s="73"/>
      <c r="P125" s="74"/>
      <c r="Q125" s="73"/>
      <c r="R125" s="74"/>
      <c r="S125" s="75"/>
      <c r="T125" s="73"/>
      <c r="U125" s="73"/>
      <c r="V125" s="73"/>
      <c r="W125" s="73"/>
      <c r="X125" s="73"/>
      <c r="Y125" s="73"/>
      <c r="Z125" s="73"/>
      <c r="AA125" s="73"/>
      <c r="AB125" s="74"/>
      <c r="AC125" s="73"/>
      <c r="AD125" s="76"/>
      <c r="AE125" s="73"/>
      <c r="AF125" s="73"/>
      <c r="AG125" s="73"/>
      <c r="AH125" s="73"/>
      <c r="AI125" s="73"/>
    </row>
    <row r="126" customFormat="false" ht="15" hidden="false" customHeight="false" outlineLevel="0" collapsed="false">
      <c r="A126" s="71" t="str">
        <f aca="false">IF(D126="","",ROW()-1)</f>
        <v/>
      </c>
      <c r="B126" s="72"/>
      <c r="C126" s="72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4"/>
      <c r="O126" s="73"/>
      <c r="P126" s="74"/>
      <c r="Q126" s="73"/>
      <c r="R126" s="74"/>
      <c r="S126" s="75"/>
      <c r="T126" s="73"/>
      <c r="U126" s="73"/>
      <c r="V126" s="73"/>
      <c r="W126" s="73"/>
      <c r="X126" s="73"/>
      <c r="Y126" s="73"/>
      <c r="Z126" s="73"/>
      <c r="AA126" s="73"/>
      <c r="AB126" s="74"/>
      <c r="AC126" s="73"/>
      <c r="AD126" s="76"/>
      <c r="AE126" s="73"/>
      <c r="AF126" s="73"/>
      <c r="AG126" s="73"/>
      <c r="AH126" s="73"/>
      <c r="AI126" s="73"/>
    </row>
    <row r="127" customFormat="false" ht="15" hidden="false" customHeight="false" outlineLevel="0" collapsed="false">
      <c r="A127" s="71" t="str">
        <f aca="false">IF(D127="","",ROW()-1)</f>
        <v/>
      </c>
      <c r="B127" s="72"/>
      <c r="C127" s="72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4"/>
      <c r="O127" s="73"/>
      <c r="P127" s="74"/>
      <c r="Q127" s="73"/>
      <c r="R127" s="74"/>
      <c r="S127" s="75"/>
      <c r="T127" s="73"/>
      <c r="U127" s="73"/>
      <c r="V127" s="73"/>
      <c r="W127" s="73"/>
      <c r="X127" s="73"/>
      <c r="Y127" s="73"/>
      <c r="Z127" s="73"/>
      <c r="AA127" s="73"/>
      <c r="AB127" s="74"/>
      <c r="AC127" s="73"/>
      <c r="AD127" s="76"/>
      <c r="AE127" s="73"/>
      <c r="AF127" s="73"/>
      <c r="AG127" s="73"/>
      <c r="AH127" s="73"/>
      <c r="AI127" s="73"/>
    </row>
    <row r="128" customFormat="false" ht="15" hidden="false" customHeight="false" outlineLevel="0" collapsed="false">
      <c r="A128" s="71" t="str">
        <f aca="false">IF(D128="","",ROW()-1)</f>
        <v/>
      </c>
      <c r="B128" s="72"/>
      <c r="C128" s="72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4"/>
      <c r="O128" s="73"/>
      <c r="P128" s="74"/>
      <c r="Q128" s="73"/>
      <c r="R128" s="74"/>
      <c r="S128" s="75"/>
      <c r="T128" s="73"/>
      <c r="U128" s="73"/>
      <c r="V128" s="73"/>
      <c r="W128" s="73"/>
      <c r="X128" s="73"/>
      <c r="Y128" s="73"/>
      <c r="Z128" s="73"/>
      <c r="AA128" s="73"/>
      <c r="AB128" s="74"/>
      <c r="AC128" s="73"/>
      <c r="AD128" s="76"/>
      <c r="AE128" s="73"/>
      <c r="AF128" s="73"/>
      <c r="AG128" s="73"/>
      <c r="AH128" s="73"/>
      <c r="AI128" s="73"/>
    </row>
    <row r="129" customFormat="false" ht="15" hidden="false" customHeight="false" outlineLevel="0" collapsed="false">
      <c r="A129" s="71" t="str">
        <f aca="false">IF(D129="","",ROW()-1)</f>
        <v/>
      </c>
      <c r="B129" s="72"/>
      <c r="C129" s="72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4"/>
      <c r="O129" s="73"/>
      <c r="P129" s="74"/>
      <c r="Q129" s="73"/>
      <c r="R129" s="74"/>
      <c r="S129" s="75"/>
      <c r="T129" s="73"/>
      <c r="U129" s="73"/>
      <c r="V129" s="73"/>
      <c r="W129" s="73"/>
      <c r="X129" s="73"/>
      <c r="Y129" s="73"/>
      <c r="Z129" s="73"/>
      <c r="AA129" s="73"/>
      <c r="AB129" s="74"/>
      <c r="AC129" s="73"/>
      <c r="AD129" s="76"/>
      <c r="AE129" s="73"/>
      <c r="AF129" s="73"/>
      <c r="AG129" s="73"/>
      <c r="AH129" s="73"/>
      <c r="AI129" s="73"/>
    </row>
    <row r="130" customFormat="false" ht="15" hidden="false" customHeight="false" outlineLevel="0" collapsed="false">
      <c r="A130" s="71" t="str">
        <f aca="false">IF(D130="","",ROW()-1)</f>
        <v/>
      </c>
      <c r="B130" s="72"/>
      <c r="C130" s="72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4"/>
      <c r="O130" s="73"/>
      <c r="P130" s="74"/>
      <c r="Q130" s="73"/>
      <c r="R130" s="74"/>
      <c r="S130" s="75"/>
      <c r="T130" s="73"/>
      <c r="U130" s="73"/>
      <c r="V130" s="73"/>
      <c r="W130" s="73"/>
      <c r="X130" s="73"/>
      <c r="Y130" s="73"/>
      <c r="Z130" s="73"/>
      <c r="AA130" s="73"/>
      <c r="AB130" s="74"/>
      <c r="AC130" s="73"/>
      <c r="AD130" s="76"/>
      <c r="AE130" s="73"/>
      <c r="AF130" s="73"/>
      <c r="AG130" s="73"/>
      <c r="AH130" s="73"/>
      <c r="AI130" s="73"/>
    </row>
    <row r="131" customFormat="false" ht="15" hidden="false" customHeight="false" outlineLevel="0" collapsed="false">
      <c r="A131" s="71" t="str">
        <f aca="false">IF(D131="","",ROW()-1)</f>
        <v/>
      </c>
      <c r="B131" s="72"/>
      <c r="C131" s="72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4"/>
      <c r="O131" s="73"/>
      <c r="P131" s="74"/>
      <c r="Q131" s="73"/>
      <c r="R131" s="74"/>
      <c r="S131" s="75"/>
      <c r="T131" s="73"/>
      <c r="U131" s="73"/>
      <c r="V131" s="73"/>
      <c r="W131" s="73"/>
      <c r="X131" s="73"/>
      <c r="Y131" s="73"/>
      <c r="Z131" s="73"/>
      <c r="AA131" s="73"/>
      <c r="AB131" s="74"/>
      <c r="AC131" s="73"/>
      <c r="AD131" s="76"/>
      <c r="AE131" s="73"/>
      <c r="AF131" s="73"/>
      <c r="AG131" s="73"/>
      <c r="AH131" s="73"/>
      <c r="AI131" s="73"/>
    </row>
    <row r="132" customFormat="false" ht="15" hidden="false" customHeight="false" outlineLevel="0" collapsed="false">
      <c r="A132" s="71" t="str">
        <f aca="false">IF(D132="","",ROW()-1)</f>
        <v/>
      </c>
      <c r="B132" s="72"/>
      <c r="C132" s="72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4"/>
      <c r="O132" s="73"/>
      <c r="P132" s="74"/>
      <c r="Q132" s="73"/>
      <c r="R132" s="74"/>
      <c r="S132" s="75"/>
      <c r="T132" s="73"/>
      <c r="U132" s="73"/>
      <c r="V132" s="73"/>
      <c r="W132" s="73"/>
      <c r="X132" s="73"/>
      <c r="Y132" s="73"/>
      <c r="Z132" s="73"/>
      <c r="AA132" s="73"/>
      <c r="AB132" s="74"/>
      <c r="AC132" s="73"/>
      <c r="AD132" s="76"/>
      <c r="AE132" s="73"/>
      <c r="AF132" s="73"/>
      <c r="AG132" s="73"/>
      <c r="AH132" s="73"/>
      <c r="AI132" s="73"/>
    </row>
    <row r="133" customFormat="false" ht="15" hidden="false" customHeight="false" outlineLevel="0" collapsed="false">
      <c r="A133" s="71" t="str">
        <f aca="false">IF(D133="","",ROW()-1)</f>
        <v/>
      </c>
      <c r="B133" s="72"/>
      <c r="C133" s="72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4"/>
      <c r="O133" s="73"/>
      <c r="P133" s="74"/>
      <c r="Q133" s="73"/>
      <c r="R133" s="74"/>
      <c r="S133" s="75"/>
      <c r="T133" s="73"/>
      <c r="U133" s="73"/>
      <c r="V133" s="73"/>
      <c r="W133" s="73"/>
      <c r="X133" s="73"/>
      <c r="Y133" s="73"/>
      <c r="Z133" s="73"/>
      <c r="AA133" s="73"/>
      <c r="AB133" s="74"/>
      <c r="AC133" s="73"/>
      <c r="AD133" s="76"/>
      <c r="AE133" s="73"/>
      <c r="AF133" s="73"/>
      <c r="AG133" s="73"/>
      <c r="AH133" s="73"/>
      <c r="AI133" s="73"/>
    </row>
    <row r="134" customFormat="false" ht="15" hidden="false" customHeight="false" outlineLevel="0" collapsed="false">
      <c r="A134" s="71" t="str">
        <f aca="false">IF(D134="","",ROW()-1)</f>
        <v/>
      </c>
      <c r="B134" s="72"/>
      <c r="C134" s="72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4"/>
      <c r="O134" s="73"/>
      <c r="P134" s="74"/>
      <c r="Q134" s="73"/>
      <c r="R134" s="74"/>
      <c r="S134" s="75"/>
      <c r="T134" s="73"/>
      <c r="U134" s="73"/>
      <c r="V134" s="73"/>
      <c r="W134" s="73"/>
      <c r="X134" s="73"/>
      <c r="Y134" s="73"/>
      <c r="Z134" s="73"/>
      <c r="AA134" s="73"/>
      <c r="AB134" s="74"/>
      <c r="AC134" s="73"/>
      <c r="AD134" s="76"/>
      <c r="AE134" s="73"/>
      <c r="AF134" s="73"/>
      <c r="AG134" s="73"/>
      <c r="AH134" s="73"/>
      <c r="AI134" s="73"/>
    </row>
    <row r="135" customFormat="false" ht="15" hidden="false" customHeight="false" outlineLevel="0" collapsed="false">
      <c r="A135" s="71" t="str">
        <f aca="false">IF(D135="","",ROW()-1)</f>
        <v/>
      </c>
      <c r="B135" s="72"/>
      <c r="C135" s="72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4"/>
      <c r="O135" s="73"/>
      <c r="P135" s="74"/>
      <c r="Q135" s="73"/>
      <c r="R135" s="74"/>
      <c r="S135" s="75"/>
      <c r="T135" s="73"/>
      <c r="U135" s="73"/>
      <c r="V135" s="73"/>
      <c r="W135" s="73"/>
      <c r="X135" s="73"/>
      <c r="Y135" s="73"/>
      <c r="Z135" s="73"/>
      <c r="AA135" s="73"/>
      <c r="AB135" s="74"/>
      <c r="AC135" s="73"/>
      <c r="AD135" s="76"/>
      <c r="AE135" s="73"/>
      <c r="AF135" s="73"/>
      <c r="AG135" s="73"/>
      <c r="AH135" s="73"/>
      <c r="AI135" s="73"/>
    </row>
    <row r="136" customFormat="false" ht="15" hidden="false" customHeight="false" outlineLevel="0" collapsed="false">
      <c r="A136" s="71" t="str">
        <f aca="false">IF(D136="","",ROW()-1)</f>
        <v/>
      </c>
      <c r="B136" s="72"/>
      <c r="C136" s="72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4"/>
      <c r="O136" s="73"/>
      <c r="P136" s="74"/>
      <c r="Q136" s="73"/>
      <c r="R136" s="74"/>
      <c r="S136" s="75"/>
      <c r="T136" s="73"/>
      <c r="U136" s="73"/>
      <c r="V136" s="73"/>
      <c r="W136" s="73"/>
      <c r="X136" s="73"/>
      <c r="Y136" s="73"/>
      <c r="Z136" s="73"/>
      <c r="AA136" s="73"/>
      <c r="AB136" s="74"/>
      <c r="AC136" s="73"/>
      <c r="AD136" s="76"/>
      <c r="AE136" s="73"/>
      <c r="AF136" s="73"/>
      <c r="AG136" s="73"/>
      <c r="AH136" s="73"/>
      <c r="AI136" s="73"/>
    </row>
    <row r="137" customFormat="false" ht="15" hidden="false" customHeight="false" outlineLevel="0" collapsed="false">
      <c r="A137" s="71" t="str">
        <f aca="false">IF(D137="","",ROW()-1)</f>
        <v/>
      </c>
      <c r="B137" s="72"/>
      <c r="C137" s="72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4"/>
      <c r="O137" s="73"/>
      <c r="P137" s="74"/>
      <c r="Q137" s="73"/>
      <c r="R137" s="74"/>
      <c r="S137" s="75"/>
      <c r="T137" s="73"/>
      <c r="U137" s="73"/>
      <c r="V137" s="73"/>
      <c r="W137" s="73"/>
      <c r="X137" s="73"/>
      <c r="Y137" s="73"/>
      <c r="Z137" s="73"/>
      <c r="AA137" s="73"/>
      <c r="AB137" s="74"/>
      <c r="AC137" s="73"/>
      <c r="AD137" s="76"/>
      <c r="AE137" s="73"/>
      <c r="AF137" s="73"/>
      <c r="AG137" s="73"/>
      <c r="AH137" s="73"/>
      <c r="AI137" s="73"/>
    </row>
    <row r="138" customFormat="false" ht="15" hidden="false" customHeight="false" outlineLevel="0" collapsed="false">
      <c r="A138" s="71" t="str">
        <f aca="false">IF(D138="","",ROW()-1)</f>
        <v/>
      </c>
      <c r="B138" s="72"/>
      <c r="C138" s="72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4"/>
      <c r="O138" s="73"/>
      <c r="P138" s="74"/>
      <c r="Q138" s="73"/>
      <c r="R138" s="74"/>
      <c r="S138" s="75"/>
      <c r="T138" s="73"/>
      <c r="U138" s="73"/>
      <c r="V138" s="73"/>
      <c r="W138" s="73"/>
      <c r="X138" s="73"/>
      <c r="Y138" s="73"/>
      <c r="Z138" s="73"/>
      <c r="AA138" s="73"/>
      <c r="AB138" s="74"/>
      <c r="AC138" s="73"/>
      <c r="AD138" s="76"/>
      <c r="AE138" s="73"/>
      <c r="AF138" s="73"/>
      <c r="AG138" s="73"/>
      <c r="AH138" s="73"/>
      <c r="AI138" s="73"/>
    </row>
    <row r="139" customFormat="false" ht="15" hidden="false" customHeight="false" outlineLevel="0" collapsed="false">
      <c r="A139" s="71" t="str">
        <f aca="false">IF(D139="","",ROW()-1)</f>
        <v/>
      </c>
      <c r="B139" s="72"/>
      <c r="C139" s="72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4"/>
      <c r="O139" s="73"/>
      <c r="P139" s="74"/>
      <c r="Q139" s="73"/>
      <c r="R139" s="74"/>
      <c r="S139" s="75"/>
      <c r="T139" s="73"/>
      <c r="U139" s="73"/>
      <c r="V139" s="73"/>
      <c r="W139" s="73"/>
      <c r="X139" s="73"/>
      <c r="Y139" s="73"/>
      <c r="Z139" s="73"/>
      <c r="AA139" s="73"/>
      <c r="AB139" s="74"/>
      <c r="AC139" s="73"/>
      <c r="AD139" s="76"/>
      <c r="AE139" s="73"/>
      <c r="AF139" s="73"/>
      <c r="AG139" s="73"/>
      <c r="AH139" s="73"/>
      <c r="AI139" s="73"/>
    </row>
    <row r="140" customFormat="false" ht="15" hidden="false" customHeight="false" outlineLevel="0" collapsed="false">
      <c r="A140" s="71" t="str">
        <f aca="false">IF(D140="","",ROW()-1)</f>
        <v/>
      </c>
      <c r="B140" s="72"/>
      <c r="C140" s="72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4"/>
      <c r="O140" s="73"/>
      <c r="P140" s="74"/>
      <c r="Q140" s="73"/>
      <c r="R140" s="74"/>
      <c r="S140" s="75"/>
      <c r="T140" s="73"/>
      <c r="U140" s="73"/>
      <c r="V140" s="73"/>
      <c r="W140" s="73"/>
      <c r="X140" s="73"/>
      <c r="Y140" s="73"/>
      <c r="Z140" s="73"/>
      <c r="AA140" s="73"/>
      <c r="AB140" s="74"/>
      <c r="AC140" s="73"/>
      <c r="AD140" s="76"/>
      <c r="AE140" s="73"/>
      <c r="AF140" s="73"/>
      <c r="AG140" s="73"/>
      <c r="AH140" s="73"/>
      <c r="AI140" s="73"/>
    </row>
    <row r="141" customFormat="false" ht="15" hidden="false" customHeight="false" outlineLevel="0" collapsed="false">
      <c r="A141" s="71" t="str">
        <f aca="false">IF(D141="","",ROW()-1)</f>
        <v/>
      </c>
      <c r="B141" s="72"/>
      <c r="C141" s="72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4"/>
      <c r="O141" s="73"/>
      <c r="P141" s="74"/>
      <c r="Q141" s="73"/>
      <c r="R141" s="74"/>
      <c r="S141" s="75"/>
      <c r="T141" s="73"/>
      <c r="U141" s="73"/>
      <c r="V141" s="73"/>
      <c r="W141" s="73"/>
      <c r="X141" s="73"/>
      <c r="Y141" s="73"/>
      <c r="Z141" s="73"/>
      <c r="AA141" s="73"/>
      <c r="AB141" s="74"/>
      <c r="AC141" s="73"/>
      <c r="AD141" s="76"/>
      <c r="AE141" s="73"/>
      <c r="AF141" s="73"/>
      <c r="AG141" s="73"/>
      <c r="AH141" s="73"/>
      <c r="AI141" s="73"/>
    </row>
    <row r="142" customFormat="false" ht="15" hidden="false" customHeight="false" outlineLevel="0" collapsed="false">
      <c r="A142" s="71" t="str">
        <f aca="false">IF(D142="","",ROW()-1)</f>
        <v/>
      </c>
      <c r="B142" s="72"/>
      <c r="C142" s="72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4"/>
      <c r="O142" s="73"/>
      <c r="P142" s="74"/>
      <c r="Q142" s="73"/>
      <c r="R142" s="74"/>
      <c r="S142" s="75"/>
      <c r="T142" s="73"/>
      <c r="U142" s="73"/>
      <c r="V142" s="73"/>
      <c r="W142" s="73"/>
      <c r="X142" s="73"/>
      <c r="Y142" s="73"/>
      <c r="Z142" s="73"/>
      <c r="AA142" s="73"/>
      <c r="AB142" s="74"/>
      <c r="AC142" s="73"/>
      <c r="AD142" s="76"/>
      <c r="AE142" s="73"/>
      <c r="AF142" s="73"/>
      <c r="AG142" s="73"/>
      <c r="AH142" s="73"/>
      <c r="AI142" s="73"/>
    </row>
    <row r="143" customFormat="false" ht="15" hidden="false" customHeight="false" outlineLevel="0" collapsed="false">
      <c r="A143" s="71" t="str">
        <f aca="false">IF(D143="","",ROW()-1)</f>
        <v/>
      </c>
      <c r="B143" s="72"/>
      <c r="C143" s="72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4"/>
      <c r="O143" s="73"/>
      <c r="P143" s="74"/>
      <c r="Q143" s="73"/>
      <c r="R143" s="74"/>
      <c r="S143" s="75"/>
      <c r="T143" s="73"/>
      <c r="U143" s="73"/>
      <c r="V143" s="73"/>
      <c r="W143" s="73"/>
      <c r="X143" s="73"/>
      <c r="Y143" s="73"/>
      <c r="Z143" s="73"/>
      <c r="AA143" s="73"/>
      <c r="AB143" s="74"/>
      <c r="AC143" s="73"/>
      <c r="AD143" s="76"/>
      <c r="AE143" s="73"/>
      <c r="AF143" s="73"/>
      <c r="AG143" s="73"/>
      <c r="AH143" s="73"/>
      <c r="AI143" s="73"/>
    </row>
    <row r="144" customFormat="false" ht="15" hidden="false" customHeight="false" outlineLevel="0" collapsed="false">
      <c r="A144" s="71" t="str">
        <f aca="false">IF(D144="","",ROW()-1)</f>
        <v/>
      </c>
      <c r="B144" s="72"/>
      <c r="C144" s="72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4"/>
      <c r="O144" s="73"/>
      <c r="P144" s="74"/>
      <c r="Q144" s="73"/>
      <c r="R144" s="74"/>
      <c r="S144" s="75"/>
      <c r="T144" s="73"/>
      <c r="U144" s="73"/>
      <c r="V144" s="73"/>
      <c r="W144" s="73"/>
      <c r="X144" s="73"/>
      <c r="Y144" s="73"/>
      <c r="Z144" s="73"/>
      <c r="AA144" s="73"/>
      <c r="AB144" s="74"/>
      <c r="AC144" s="73"/>
      <c r="AD144" s="76"/>
      <c r="AE144" s="73"/>
      <c r="AF144" s="73"/>
      <c r="AG144" s="73"/>
      <c r="AH144" s="73"/>
      <c r="AI144" s="73"/>
    </row>
    <row r="145" customFormat="false" ht="15" hidden="false" customHeight="false" outlineLevel="0" collapsed="false">
      <c r="A145" s="71" t="str">
        <f aca="false">IF(D145="","",ROW()-1)</f>
        <v/>
      </c>
      <c r="B145" s="72"/>
      <c r="C145" s="72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4"/>
      <c r="O145" s="73"/>
      <c r="P145" s="74"/>
      <c r="Q145" s="73"/>
      <c r="R145" s="74"/>
      <c r="S145" s="75"/>
      <c r="T145" s="73"/>
      <c r="U145" s="73"/>
      <c r="V145" s="73"/>
      <c r="W145" s="73"/>
      <c r="X145" s="73"/>
      <c r="Y145" s="73"/>
      <c r="Z145" s="73"/>
      <c r="AA145" s="73"/>
      <c r="AB145" s="74"/>
      <c r="AC145" s="73"/>
      <c r="AD145" s="76"/>
      <c r="AE145" s="73"/>
      <c r="AF145" s="73"/>
      <c r="AG145" s="73"/>
      <c r="AH145" s="73"/>
      <c r="AI145" s="73"/>
    </row>
    <row r="146" customFormat="false" ht="15" hidden="false" customHeight="false" outlineLevel="0" collapsed="false">
      <c r="A146" s="71" t="str">
        <f aca="false">IF(D146="","",ROW()-1)</f>
        <v/>
      </c>
      <c r="B146" s="72"/>
      <c r="C146" s="72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4"/>
      <c r="O146" s="73"/>
      <c r="P146" s="74"/>
      <c r="Q146" s="73"/>
      <c r="R146" s="74"/>
      <c r="S146" s="75"/>
      <c r="T146" s="73"/>
      <c r="U146" s="73"/>
      <c r="V146" s="73"/>
      <c r="W146" s="73"/>
      <c r="X146" s="73"/>
      <c r="Y146" s="73"/>
      <c r="Z146" s="73"/>
      <c r="AA146" s="73"/>
      <c r="AB146" s="74"/>
      <c r="AC146" s="73"/>
      <c r="AD146" s="76"/>
      <c r="AE146" s="73"/>
      <c r="AF146" s="73"/>
      <c r="AG146" s="73"/>
      <c r="AH146" s="73"/>
      <c r="AI146" s="73"/>
    </row>
    <row r="147" customFormat="false" ht="15" hidden="false" customHeight="false" outlineLevel="0" collapsed="false">
      <c r="A147" s="71" t="str">
        <f aca="false">IF(D147="","",ROW()-1)</f>
        <v/>
      </c>
      <c r="B147" s="72"/>
      <c r="C147" s="72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4"/>
      <c r="O147" s="73"/>
      <c r="P147" s="74"/>
      <c r="Q147" s="73"/>
      <c r="R147" s="74"/>
      <c r="S147" s="75"/>
      <c r="T147" s="73"/>
      <c r="U147" s="73"/>
      <c r="V147" s="73"/>
      <c r="W147" s="73"/>
      <c r="X147" s="73"/>
      <c r="Y147" s="73"/>
      <c r="Z147" s="73"/>
      <c r="AA147" s="73"/>
      <c r="AB147" s="74"/>
      <c r="AC147" s="73"/>
      <c r="AD147" s="76"/>
      <c r="AE147" s="73"/>
      <c r="AF147" s="73"/>
      <c r="AG147" s="73"/>
      <c r="AH147" s="73"/>
      <c r="AI147" s="73"/>
    </row>
    <row r="148" customFormat="false" ht="15" hidden="false" customHeight="false" outlineLevel="0" collapsed="false">
      <c r="A148" s="71" t="str">
        <f aca="false">IF(D148="","",ROW()-1)</f>
        <v/>
      </c>
      <c r="B148" s="72"/>
      <c r="C148" s="72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4"/>
      <c r="O148" s="73"/>
      <c r="P148" s="74"/>
      <c r="Q148" s="73"/>
      <c r="R148" s="74"/>
      <c r="S148" s="75"/>
      <c r="T148" s="73"/>
      <c r="U148" s="73"/>
      <c r="V148" s="73"/>
      <c r="W148" s="73"/>
      <c r="X148" s="73"/>
      <c r="Y148" s="73"/>
      <c r="Z148" s="73"/>
      <c r="AA148" s="73"/>
      <c r="AB148" s="74"/>
      <c r="AC148" s="73"/>
      <c r="AD148" s="76"/>
      <c r="AE148" s="73"/>
      <c r="AF148" s="73"/>
      <c r="AG148" s="73"/>
      <c r="AH148" s="73"/>
      <c r="AI148" s="73"/>
    </row>
    <row r="149" customFormat="false" ht="15" hidden="false" customHeight="false" outlineLevel="0" collapsed="false">
      <c r="A149" s="71" t="str">
        <f aca="false">IF(D149="","",ROW()-1)</f>
        <v/>
      </c>
      <c r="B149" s="72"/>
      <c r="C149" s="72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4"/>
      <c r="O149" s="73"/>
      <c r="P149" s="74"/>
      <c r="Q149" s="73"/>
      <c r="R149" s="74"/>
      <c r="S149" s="75"/>
      <c r="T149" s="73"/>
      <c r="U149" s="73"/>
      <c r="V149" s="73"/>
      <c r="W149" s="73"/>
      <c r="X149" s="73"/>
      <c r="Y149" s="73"/>
      <c r="Z149" s="73"/>
      <c r="AA149" s="73"/>
      <c r="AB149" s="74"/>
      <c r="AC149" s="73"/>
      <c r="AD149" s="76"/>
      <c r="AE149" s="73"/>
      <c r="AF149" s="73"/>
      <c r="AG149" s="73"/>
      <c r="AH149" s="73"/>
      <c r="AI149" s="73"/>
    </row>
    <row r="150" customFormat="false" ht="15" hidden="false" customHeight="false" outlineLevel="0" collapsed="false">
      <c r="A150" s="71" t="str">
        <f aca="false">IF(D150="","",ROW()-1)</f>
        <v/>
      </c>
      <c r="B150" s="72"/>
      <c r="C150" s="72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4"/>
      <c r="O150" s="73"/>
      <c r="P150" s="74"/>
      <c r="Q150" s="73"/>
      <c r="R150" s="74"/>
      <c r="S150" s="75"/>
      <c r="T150" s="73"/>
      <c r="U150" s="73"/>
      <c r="V150" s="73"/>
      <c r="W150" s="73"/>
      <c r="X150" s="73"/>
      <c r="Y150" s="73"/>
      <c r="Z150" s="73"/>
      <c r="AA150" s="73"/>
      <c r="AB150" s="74"/>
      <c r="AC150" s="73"/>
      <c r="AD150" s="76"/>
      <c r="AE150" s="73"/>
      <c r="AF150" s="73"/>
      <c r="AG150" s="73"/>
      <c r="AH150" s="73"/>
      <c r="AI150" s="73"/>
    </row>
    <row r="151" customFormat="false" ht="15" hidden="false" customHeight="false" outlineLevel="0" collapsed="false">
      <c r="A151" s="71" t="str">
        <f aca="false">IF(D151="","",ROW()-1)</f>
        <v/>
      </c>
      <c r="B151" s="72"/>
      <c r="C151" s="72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4"/>
      <c r="O151" s="73"/>
      <c r="P151" s="74"/>
      <c r="Q151" s="73"/>
      <c r="R151" s="74"/>
      <c r="S151" s="75"/>
      <c r="T151" s="73"/>
      <c r="U151" s="73"/>
      <c r="V151" s="73"/>
      <c r="W151" s="73"/>
      <c r="X151" s="73"/>
      <c r="Y151" s="73"/>
      <c r="Z151" s="73"/>
      <c r="AA151" s="73"/>
      <c r="AB151" s="74"/>
      <c r="AC151" s="73"/>
      <c r="AD151" s="76"/>
      <c r="AE151" s="73"/>
      <c r="AF151" s="73"/>
      <c r="AG151" s="73"/>
      <c r="AH151" s="73"/>
      <c r="AI151" s="73"/>
    </row>
    <row r="152" customFormat="false" ht="15" hidden="false" customHeight="false" outlineLevel="0" collapsed="false">
      <c r="A152" s="71" t="str">
        <f aca="false">IF(D152="","",ROW()-1)</f>
        <v/>
      </c>
      <c r="B152" s="72"/>
      <c r="C152" s="72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4"/>
      <c r="O152" s="73"/>
      <c r="P152" s="74"/>
      <c r="Q152" s="73"/>
      <c r="R152" s="74"/>
      <c r="S152" s="75"/>
      <c r="T152" s="73"/>
      <c r="U152" s="73"/>
      <c r="V152" s="73"/>
      <c r="W152" s="73"/>
      <c r="X152" s="73"/>
      <c r="Y152" s="73"/>
      <c r="Z152" s="73"/>
      <c r="AA152" s="73"/>
      <c r="AB152" s="74"/>
      <c r="AC152" s="73"/>
      <c r="AD152" s="76"/>
      <c r="AE152" s="73"/>
      <c r="AF152" s="73"/>
      <c r="AG152" s="73"/>
      <c r="AH152" s="73"/>
      <c r="AI152" s="73"/>
    </row>
    <row r="153" customFormat="false" ht="15" hidden="false" customHeight="false" outlineLevel="0" collapsed="false">
      <c r="A153" s="71" t="str">
        <f aca="false">IF(D153="","",ROW()-1)</f>
        <v/>
      </c>
      <c r="B153" s="72"/>
      <c r="C153" s="72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4"/>
      <c r="O153" s="73"/>
      <c r="P153" s="74"/>
      <c r="Q153" s="73"/>
      <c r="R153" s="74"/>
      <c r="S153" s="75"/>
      <c r="T153" s="73"/>
      <c r="U153" s="73"/>
      <c r="V153" s="73"/>
      <c r="W153" s="73"/>
      <c r="X153" s="73"/>
      <c r="Y153" s="73"/>
      <c r="Z153" s="73"/>
      <c r="AA153" s="73"/>
      <c r="AB153" s="74"/>
      <c r="AC153" s="73"/>
      <c r="AD153" s="76"/>
      <c r="AE153" s="73"/>
      <c r="AF153" s="73"/>
      <c r="AG153" s="73"/>
      <c r="AH153" s="73"/>
      <c r="AI153" s="73"/>
    </row>
    <row r="154" customFormat="false" ht="15" hidden="false" customHeight="false" outlineLevel="0" collapsed="false">
      <c r="A154" s="71" t="str">
        <f aca="false">IF(D154="","",ROW()-1)</f>
        <v/>
      </c>
      <c r="B154" s="72"/>
      <c r="C154" s="72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4"/>
      <c r="O154" s="73"/>
      <c r="P154" s="74"/>
      <c r="Q154" s="73"/>
      <c r="R154" s="74"/>
      <c r="S154" s="75"/>
      <c r="T154" s="73"/>
      <c r="U154" s="73"/>
      <c r="V154" s="73"/>
      <c r="W154" s="73"/>
      <c r="X154" s="73"/>
      <c r="Y154" s="73"/>
      <c r="Z154" s="73"/>
      <c r="AA154" s="73"/>
      <c r="AB154" s="74"/>
      <c r="AC154" s="73"/>
      <c r="AD154" s="76"/>
      <c r="AE154" s="73"/>
      <c r="AF154" s="73"/>
      <c r="AG154" s="73"/>
      <c r="AH154" s="73"/>
      <c r="AI154" s="73"/>
    </row>
    <row r="155" customFormat="false" ht="15" hidden="false" customHeight="false" outlineLevel="0" collapsed="false">
      <c r="A155" s="71" t="str">
        <f aca="false">IF(D155="","",ROW()-1)</f>
        <v/>
      </c>
      <c r="B155" s="72"/>
      <c r="C155" s="72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4"/>
      <c r="O155" s="73"/>
      <c r="P155" s="74"/>
      <c r="Q155" s="73"/>
      <c r="R155" s="74"/>
      <c r="S155" s="75"/>
      <c r="T155" s="73"/>
      <c r="U155" s="73"/>
      <c r="V155" s="73"/>
      <c r="W155" s="73"/>
      <c r="X155" s="73"/>
      <c r="Y155" s="73"/>
      <c r="Z155" s="73"/>
      <c r="AA155" s="73"/>
      <c r="AB155" s="74"/>
      <c r="AC155" s="73"/>
      <c r="AD155" s="76"/>
      <c r="AE155" s="73"/>
      <c r="AF155" s="73"/>
      <c r="AG155" s="73"/>
      <c r="AH155" s="73"/>
      <c r="AI155" s="73"/>
    </row>
    <row r="156" customFormat="false" ht="15" hidden="false" customHeight="false" outlineLevel="0" collapsed="false">
      <c r="A156" s="71" t="str">
        <f aca="false">IF(D156="","",ROW()-1)</f>
        <v/>
      </c>
      <c r="B156" s="72"/>
      <c r="C156" s="72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4"/>
      <c r="O156" s="73"/>
      <c r="P156" s="74"/>
      <c r="Q156" s="73"/>
      <c r="R156" s="74"/>
      <c r="S156" s="75"/>
      <c r="T156" s="73"/>
      <c r="U156" s="73"/>
      <c r="V156" s="73"/>
      <c r="W156" s="73"/>
      <c r="X156" s="73"/>
      <c r="Y156" s="73"/>
      <c r="Z156" s="73"/>
      <c r="AA156" s="73"/>
      <c r="AB156" s="74"/>
      <c r="AC156" s="73"/>
      <c r="AD156" s="76"/>
      <c r="AE156" s="73"/>
      <c r="AF156" s="73"/>
      <c r="AG156" s="73"/>
      <c r="AH156" s="73"/>
      <c r="AI156" s="73"/>
    </row>
    <row r="157" customFormat="false" ht="15" hidden="false" customHeight="false" outlineLevel="0" collapsed="false">
      <c r="A157" s="71" t="str">
        <f aca="false">IF(D157="","",ROW()-1)</f>
        <v/>
      </c>
      <c r="B157" s="72"/>
      <c r="C157" s="72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4"/>
      <c r="O157" s="73"/>
      <c r="P157" s="74"/>
      <c r="Q157" s="73"/>
      <c r="R157" s="74"/>
      <c r="S157" s="75"/>
      <c r="T157" s="73"/>
      <c r="U157" s="73"/>
      <c r="V157" s="73"/>
      <c r="W157" s="73"/>
      <c r="X157" s="73"/>
      <c r="Y157" s="73"/>
      <c r="Z157" s="73"/>
      <c r="AA157" s="73"/>
      <c r="AB157" s="74"/>
      <c r="AC157" s="73"/>
      <c r="AD157" s="76"/>
      <c r="AE157" s="73"/>
      <c r="AF157" s="73"/>
      <c r="AG157" s="73"/>
      <c r="AH157" s="73"/>
      <c r="AI157" s="73"/>
    </row>
    <row r="158" customFormat="false" ht="15" hidden="false" customHeight="false" outlineLevel="0" collapsed="false">
      <c r="A158" s="71" t="str">
        <f aca="false">IF(D158="","",ROW()-1)</f>
        <v/>
      </c>
      <c r="B158" s="72"/>
      <c r="C158" s="72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4"/>
      <c r="O158" s="73"/>
      <c r="P158" s="74"/>
      <c r="Q158" s="73"/>
      <c r="R158" s="74"/>
      <c r="S158" s="75"/>
      <c r="T158" s="73"/>
      <c r="U158" s="73"/>
      <c r="V158" s="73"/>
      <c r="W158" s="73"/>
      <c r="X158" s="73"/>
      <c r="Y158" s="73"/>
      <c r="Z158" s="73"/>
      <c r="AA158" s="73"/>
      <c r="AB158" s="74"/>
      <c r="AC158" s="73"/>
      <c r="AD158" s="76"/>
      <c r="AE158" s="73"/>
      <c r="AF158" s="73"/>
      <c r="AG158" s="73"/>
      <c r="AH158" s="73"/>
      <c r="AI158" s="73"/>
    </row>
    <row r="159" customFormat="false" ht="15" hidden="false" customHeight="false" outlineLevel="0" collapsed="false">
      <c r="A159" s="71" t="str">
        <f aca="false">IF(D159="","",ROW()-1)</f>
        <v/>
      </c>
      <c r="B159" s="72"/>
      <c r="C159" s="72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4"/>
      <c r="O159" s="73"/>
      <c r="P159" s="74"/>
      <c r="Q159" s="73"/>
      <c r="R159" s="74"/>
      <c r="S159" s="75"/>
      <c r="T159" s="73"/>
      <c r="U159" s="73"/>
      <c r="V159" s="73"/>
      <c r="W159" s="73"/>
      <c r="X159" s="73"/>
      <c r="Y159" s="73"/>
      <c r="Z159" s="73"/>
      <c r="AA159" s="73"/>
      <c r="AB159" s="74"/>
      <c r="AC159" s="73"/>
      <c r="AD159" s="76"/>
      <c r="AE159" s="73"/>
      <c r="AF159" s="73"/>
      <c r="AG159" s="73"/>
      <c r="AH159" s="73"/>
      <c r="AI159" s="73"/>
    </row>
    <row r="160" customFormat="false" ht="15" hidden="false" customHeight="false" outlineLevel="0" collapsed="false">
      <c r="A160" s="71" t="str">
        <f aca="false">IF(D160="","",ROW()-1)</f>
        <v/>
      </c>
      <c r="B160" s="72"/>
      <c r="C160" s="72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4"/>
      <c r="O160" s="73"/>
      <c r="P160" s="74"/>
      <c r="Q160" s="73"/>
      <c r="R160" s="74"/>
      <c r="S160" s="75"/>
      <c r="T160" s="73"/>
      <c r="U160" s="73"/>
      <c r="V160" s="73"/>
      <c r="W160" s="73"/>
      <c r="X160" s="73"/>
      <c r="Y160" s="73"/>
      <c r="Z160" s="73"/>
      <c r="AA160" s="73"/>
      <c r="AB160" s="74"/>
      <c r="AC160" s="73"/>
      <c r="AD160" s="76"/>
      <c r="AE160" s="73"/>
      <c r="AF160" s="73"/>
      <c r="AG160" s="73"/>
      <c r="AH160" s="73"/>
      <c r="AI160" s="73"/>
    </row>
    <row r="161" customFormat="false" ht="15" hidden="false" customHeight="false" outlineLevel="0" collapsed="false">
      <c r="A161" s="71" t="str">
        <f aca="false">IF(D161="","",ROW()-1)</f>
        <v/>
      </c>
      <c r="B161" s="72"/>
      <c r="C161" s="72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4"/>
      <c r="O161" s="73"/>
      <c r="P161" s="74"/>
      <c r="Q161" s="73"/>
      <c r="R161" s="74"/>
      <c r="S161" s="75"/>
      <c r="T161" s="73"/>
      <c r="U161" s="73"/>
      <c r="V161" s="73"/>
      <c r="W161" s="73"/>
      <c r="X161" s="73"/>
      <c r="Y161" s="73"/>
      <c r="Z161" s="73"/>
      <c r="AA161" s="73"/>
      <c r="AB161" s="74"/>
      <c r="AC161" s="73"/>
      <c r="AD161" s="76"/>
      <c r="AE161" s="73"/>
      <c r="AF161" s="73"/>
      <c r="AG161" s="73"/>
      <c r="AH161" s="73"/>
      <c r="AI161" s="73"/>
    </row>
    <row r="162" customFormat="false" ht="15" hidden="false" customHeight="false" outlineLevel="0" collapsed="false">
      <c r="A162" s="71" t="str">
        <f aca="false">IF(D162="","",ROW()-1)</f>
        <v/>
      </c>
      <c r="B162" s="72"/>
      <c r="C162" s="72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4"/>
      <c r="O162" s="73"/>
      <c r="P162" s="74"/>
      <c r="Q162" s="73"/>
      <c r="R162" s="74"/>
      <c r="S162" s="75"/>
      <c r="T162" s="73"/>
      <c r="U162" s="73"/>
      <c r="V162" s="73"/>
      <c r="W162" s="73"/>
      <c r="X162" s="73"/>
      <c r="Y162" s="73"/>
      <c r="Z162" s="73"/>
      <c r="AA162" s="73"/>
      <c r="AB162" s="74"/>
      <c r="AC162" s="73"/>
      <c r="AD162" s="76"/>
      <c r="AE162" s="73"/>
      <c r="AF162" s="73"/>
      <c r="AG162" s="73"/>
      <c r="AH162" s="73"/>
      <c r="AI162" s="73"/>
    </row>
    <row r="163" customFormat="false" ht="15" hidden="false" customHeight="false" outlineLevel="0" collapsed="false">
      <c r="A163" s="71" t="str">
        <f aca="false">IF(D163="","",ROW()-1)</f>
        <v/>
      </c>
      <c r="B163" s="72"/>
      <c r="C163" s="72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4"/>
      <c r="O163" s="73"/>
      <c r="P163" s="74"/>
      <c r="Q163" s="73"/>
      <c r="R163" s="74"/>
      <c r="S163" s="75"/>
      <c r="T163" s="73"/>
      <c r="U163" s="73"/>
      <c r="V163" s="73"/>
      <c r="W163" s="73"/>
      <c r="X163" s="73"/>
      <c r="Y163" s="73"/>
      <c r="Z163" s="73"/>
      <c r="AA163" s="73"/>
      <c r="AB163" s="74"/>
      <c r="AC163" s="73"/>
      <c r="AD163" s="76"/>
      <c r="AE163" s="73"/>
      <c r="AF163" s="73"/>
      <c r="AG163" s="73"/>
      <c r="AH163" s="73"/>
      <c r="AI163" s="73"/>
    </row>
    <row r="164" customFormat="false" ht="15" hidden="false" customHeight="false" outlineLevel="0" collapsed="false">
      <c r="A164" s="71" t="str">
        <f aca="false">IF(D164="","",ROW()-1)</f>
        <v/>
      </c>
      <c r="B164" s="72"/>
      <c r="C164" s="72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4"/>
      <c r="O164" s="73"/>
      <c r="P164" s="74"/>
      <c r="Q164" s="73"/>
      <c r="R164" s="74"/>
      <c r="S164" s="75"/>
      <c r="T164" s="73"/>
      <c r="U164" s="73"/>
      <c r="V164" s="73"/>
      <c r="W164" s="73"/>
      <c r="X164" s="73"/>
      <c r="Y164" s="73"/>
      <c r="Z164" s="73"/>
      <c r="AA164" s="73"/>
      <c r="AB164" s="74"/>
      <c r="AC164" s="73"/>
      <c r="AD164" s="76"/>
      <c r="AE164" s="73"/>
      <c r="AF164" s="73"/>
      <c r="AG164" s="73"/>
      <c r="AH164" s="73"/>
      <c r="AI164" s="73"/>
    </row>
    <row r="165" customFormat="false" ht="15" hidden="false" customHeight="false" outlineLevel="0" collapsed="false">
      <c r="A165" s="71" t="str">
        <f aca="false">IF(D165="","",ROW()-1)</f>
        <v/>
      </c>
      <c r="B165" s="72"/>
      <c r="C165" s="72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4"/>
      <c r="O165" s="73"/>
      <c r="P165" s="74"/>
      <c r="Q165" s="73"/>
      <c r="R165" s="74"/>
      <c r="S165" s="75"/>
      <c r="T165" s="73"/>
      <c r="U165" s="73"/>
      <c r="V165" s="73"/>
      <c r="W165" s="73"/>
      <c r="X165" s="73"/>
      <c r="Y165" s="73"/>
      <c r="Z165" s="73"/>
      <c r="AA165" s="73"/>
      <c r="AB165" s="74"/>
      <c r="AC165" s="73"/>
      <c r="AD165" s="76"/>
      <c r="AE165" s="73"/>
      <c r="AF165" s="73"/>
      <c r="AG165" s="73"/>
      <c r="AH165" s="73"/>
      <c r="AI165" s="73"/>
    </row>
    <row r="166" customFormat="false" ht="15" hidden="false" customHeight="false" outlineLevel="0" collapsed="false">
      <c r="A166" s="71" t="str">
        <f aca="false">IF(D166="","",ROW()-1)</f>
        <v/>
      </c>
      <c r="B166" s="72"/>
      <c r="C166" s="72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4"/>
      <c r="O166" s="73"/>
      <c r="P166" s="74"/>
      <c r="Q166" s="73"/>
      <c r="R166" s="74"/>
      <c r="S166" s="75"/>
      <c r="T166" s="73"/>
      <c r="U166" s="73"/>
      <c r="V166" s="73"/>
      <c r="W166" s="73"/>
      <c r="X166" s="73"/>
      <c r="Y166" s="73"/>
      <c r="Z166" s="73"/>
      <c r="AA166" s="73"/>
      <c r="AB166" s="74"/>
      <c r="AC166" s="73"/>
      <c r="AD166" s="76"/>
      <c r="AE166" s="73"/>
      <c r="AF166" s="73"/>
      <c r="AG166" s="73"/>
      <c r="AH166" s="73"/>
      <c r="AI166" s="73"/>
    </row>
    <row r="167" customFormat="false" ht="15" hidden="false" customHeight="false" outlineLevel="0" collapsed="false">
      <c r="A167" s="71" t="str">
        <f aca="false">IF(D167="","",ROW()-1)</f>
        <v/>
      </c>
      <c r="B167" s="72"/>
      <c r="C167" s="72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4"/>
      <c r="O167" s="73"/>
      <c r="P167" s="74"/>
      <c r="Q167" s="73"/>
      <c r="R167" s="74"/>
      <c r="S167" s="75"/>
      <c r="T167" s="73"/>
      <c r="U167" s="73"/>
      <c r="V167" s="73"/>
      <c r="W167" s="73"/>
      <c r="X167" s="73"/>
      <c r="Y167" s="73"/>
      <c r="Z167" s="73"/>
      <c r="AA167" s="73"/>
      <c r="AB167" s="74"/>
      <c r="AC167" s="73"/>
      <c r="AD167" s="76"/>
      <c r="AE167" s="73"/>
      <c r="AF167" s="73"/>
      <c r="AG167" s="73"/>
      <c r="AH167" s="73"/>
      <c r="AI167" s="73"/>
    </row>
    <row r="168" customFormat="false" ht="15" hidden="false" customHeight="false" outlineLevel="0" collapsed="false">
      <c r="A168" s="71" t="str">
        <f aca="false">IF(D168="","",ROW()-1)</f>
        <v/>
      </c>
      <c r="B168" s="72"/>
      <c r="C168" s="72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4"/>
      <c r="O168" s="73"/>
      <c r="P168" s="74"/>
      <c r="Q168" s="73"/>
      <c r="R168" s="74"/>
      <c r="S168" s="75"/>
      <c r="T168" s="73"/>
      <c r="U168" s="73"/>
      <c r="V168" s="73"/>
      <c r="W168" s="73"/>
      <c r="X168" s="73"/>
      <c r="Y168" s="73"/>
      <c r="Z168" s="73"/>
      <c r="AA168" s="73"/>
      <c r="AB168" s="74"/>
      <c r="AC168" s="73"/>
      <c r="AD168" s="76"/>
      <c r="AE168" s="73"/>
      <c r="AF168" s="73"/>
      <c r="AG168" s="73"/>
      <c r="AH168" s="73"/>
      <c r="AI168" s="73"/>
    </row>
    <row r="169" customFormat="false" ht="15" hidden="false" customHeight="false" outlineLevel="0" collapsed="false">
      <c r="A169" s="71" t="str">
        <f aca="false">IF(D169="","",ROW()-1)</f>
        <v/>
      </c>
      <c r="B169" s="72"/>
      <c r="C169" s="72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4"/>
      <c r="O169" s="73"/>
      <c r="P169" s="74"/>
      <c r="Q169" s="73"/>
      <c r="R169" s="74"/>
      <c r="S169" s="75"/>
      <c r="T169" s="73"/>
      <c r="U169" s="73"/>
      <c r="V169" s="73"/>
      <c r="W169" s="73"/>
      <c r="X169" s="73"/>
      <c r="Y169" s="73"/>
      <c r="Z169" s="73"/>
      <c r="AA169" s="73"/>
      <c r="AB169" s="74"/>
      <c r="AC169" s="73"/>
      <c r="AD169" s="76"/>
      <c r="AE169" s="73"/>
      <c r="AF169" s="73"/>
      <c r="AG169" s="73"/>
      <c r="AH169" s="73"/>
      <c r="AI169" s="73"/>
    </row>
    <row r="170" customFormat="false" ht="15" hidden="false" customHeight="false" outlineLevel="0" collapsed="false">
      <c r="A170" s="71" t="str">
        <f aca="false">IF(D170="","",ROW()-1)</f>
        <v/>
      </c>
      <c r="B170" s="72"/>
      <c r="C170" s="72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4"/>
      <c r="O170" s="73"/>
      <c r="P170" s="74"/>
      <c r="Q170" s="73"/>
      <c r="R170" s="74"/>
      <c r="S170" s="75"/>
      <c r="T170" s="73"/>
      <c r="U170" s="73"/>
      <c r="V170" s="73"/>
      <c r="W170" s="73"/>
      <c r="X170" s="73"/>
      <c r="Y170" s="73"/>
      <c r="Z170" s="73"/>
      <c r="AA170" s="73"/>
      <c r="AB170" s="74"/>
      <c r="AC170" s="73"/>
      <c r="AD170" s="76"/>
      <c r="AE170" s="73"/>
      <c r="AF170" s="73"/>
      <c r="AG170" s="73"/>
      <c r="AH170" s="73"/>
      <c r="AI170" s="73"/>
    </row>
    <row r="171" customFormat="false" ht="15" hidden="false" customHeight="false" outlineLevel="0" collapsed="false">
      <c r="A171" s="71" t="str">
        <f aca="false">IF(D171="","",ROW()-1)</f>
        <v/>
      </c>
      <c r="B171" s="72"/>
      <c r="C171" s="72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4"/>
      <c r="O171" s="73"/>
      <c r="P171" s="74"/>
      <c r="Q171" s="73"/>
      <c r="R171" s="74"/>
      <c r="S171" s="75"/>
      <c r="T171" s="73"/>
      <c r="U171" s="73"/>
      <c r="V171" s="73"/>
      <c r="W171" s="73"/>
      <c r="X171" s="73"/>
      <c r="Y171" s="73"/>
      <c r="Z171" s="73"/>
      <c r="AA171" s="73"/>
      <c r="AB171" s="74"/>
      <c r="AC171" s="73"/>
      <c r="AD171" s="76"/>
      <c r="AE171" s="73"/>
      <c r="AF171" s="73"/>
      <c r="AG171" s="73"/>
      <c r="AH171" s="73"/>
      <c r="AI171" s="73"/>
    </row>
    <row r="172" customFormat="false" ht="15" hidden="false" customHeight="false" outlineLevel="0" collapsed="false">
      <c r="A172" s="71" t="str">
        <f aca="false">IF(D172="","",ROW()-1)</f>
        <v/>
      </c>
      <c r="B172" s="72"/>
      <c r="C172" s="72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4"/>
      <c r="O172" s="73"/>
      <c r="P172" s="74"/>
      <c r="Q172" s="73"/>
      <c r="R172" s="74"/>
      <c r="S172" s="75"/>
      <c r="T172" s="73"/>
      <c r="U172" s="73"/>
      <c r="V172" s="73"/>
      <c r="W172" s="73"/>
      <c r="X172" s="73"/>
      <c r="Y172" s="73"/>
      <c r="Z172" s="73"/>
      <c r="AA172" s="73"/>
      <c r="AB172" s="74"/>
      <c r="AC172" s="73"/>
      <c r="AD172" s="76"/>
      <c r="AE172" s="73"/>
      <c r="AF172" s="73"/>
      <c r="AG172" s="73"/>
      <c r="AH172" s="73"/>
      <c r="AI172" s="73"/>
    </row>
    <row r="173" customFormat="false" ht="15" hidden="false" customHeight="false" outlineLevel="0" collapsed="false">
      <c r="A173" s="71" t="str">
        <f aca="false">IF(D173="","",ROW()-1)</f>
        <v/>
      </c>
      <c r="B173" s="72"/>
      <c r="C173" s="72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4"/>
      <c r="O173" s="73"/>
      <c r="P173" s="74"/>
      <c r="Q173" s="73"/>
      <c r="R173" s="74"/>
      <c r="S173" s="75"/>
      <c r="T173" s="73"/>
      <c r="U173" s="73"/>
      <c r="V173" s="73"/>
      <c r="W173" s="73"/>
      <c r="X173" s="73"/>
      <c r="Y173" s="73"/>
      <c r="Z173" s="73"/>
      <c r="AA173" s="73"/>
      <c r="AB173" s="74"/>
      <c r="AC173" s="73"/>
      <c r="AD173" s="76"/>
      <c r="AE173" s="73"/>
      <c r="AF173" s="73"/>
      <c r="AG173" s="73"/>
      <c r="AH173" s="73"/>
      <c r="AI173" s="73"/>
    </row>
    <row r="174" customFormat="false" ht="15" hidden="false" customHeight="false" outlineLevel="0" collapsed="false">
      <c r="A174" s="71" t="str">
        <f aca="false">IF(D174="","",ROW()-1)</f>
        <v/>
      </c>
      <c r="B174" s="72"/>
      <c r="C174" s="72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4"/>
      <c r="O174" s="73"/>
      <c r="P174" s="74"/>
      <c r="Q174" s="73"/>
      <c r="R174" s="74"/>
      <c r="S174" s="75"/>
      <c r="T174" s="73"/>
      <c r="U174" s="73"/>
      <c r="V174" s="73"/>
      <c r="W174" s="73"/>
      <c r="X174" s="73"/>
      <c r="Y174" s="73"/>
      <c r="Z174" s="73"/>
      <c r="AA174" s="73"/>
      <c r="AB174" s="74"/>
      <c r="AC174" s="73"/>
      <c r="AD174" s="76"/>
      <c r="AE174" s="73"/>
      <c r="AF174" s="73"/>
      <c r="AG174" s="73"/>
      <c r="AH174" s="73"/>
      <c r="AI174" s="73"/>
    </row>
    <row r="175" customFormat="false" ht="15" hidden="false" customHeight="false" outlineLevel="0" collapsed="false">
      <c r="A175" s="71" t="str">
        <f aca="false">IF(D175="","",ROW()-1)</f>
        <v/>
      </c>
      <c r="B175" s="72"/>
      <c r="C175" s="72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4"/>
      <c r="O175" s="73"/>
      <c r="P175" s="74"/>
      <c r="Q175" s="73"/>
      <c r="R175" s="74"/>
      <c r="S175" s="75"/>
      <c r="T175" s="73"/>
      <c r="U175" s="73"/>
      <c r="V175" s="73"/>
      <c r="W175" s="73"/>
      <c r="X175" s="73"/>
      <c r="Y175" s="73"/>
      <c r="Z175" s="73"/>
      <c r="AA175" s="73"/>
      <c r="AB175" s="74"/>
      <c r="AC175" s="73"/>
      <c r="AD175" s="76"/>
      <c r="AE175" s="73"/>
      <c r="AF175" s="73"/>
      <c r="AG175" s="73"/>
      <c r="AH175" s="73"/>
      <c r="AI175" s="73"/>
    </row>
    <row r="176" customFormat="false" ht="15" hidden="false" customHeight="false" outlineLevel="0" collapsed="false">
      <c r="A176" s="71" t="str">
        <f aca="false">IF(D176="","",ROW()-1)</f>
        <v/>
      </c>
      <c r="B176" s="72"/>
      <c r="C176" s="72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4"/>
      <c r="O176" s="73"/>
      <c r="P176" s="74"/>
      <c r="Q176" s="73"/>
      <c r="R176" s="74"/>
      <c r="S176" s="75"/>
      <c r="T176" s="73"/>
      <c r="U176" s="73"/>
      <c r="V176" s="73"/>
      <c r="W176" s="73"/>
      <c r="X176" s="73"/>
      <c r="Y176" s="73"/>
      <c r="Z176" s="73"/>
      <c r="AA176" s="73"/>
      <c r="AB176" s="74"/>
      <c r="AC176" s="73"/>
      <c r="AD176" s="76"/>
      <c r="AE176" s="73"/>
      <c r="AF176" s="73"/>
      <c r="AG176" s="73"/>
      <c r="AH176" s="73"/>
      <c r="AI176" s="73"/>
    </row>
    <row r="177" customFormat="false" ht="15" hidden="false" customHeight="false" outlineLevel="0" collapsed="false">
      <c r="A177" s="71" t="str">
        <f aca="false">IF(D177="","",ROW()-1)</f>
        <v/>
      </c>
      <c r="B177" s="72"/>
      <c r="C177" s="72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4"/>
      <c r="O177" s="73"/>
      <c r="P177" s="74"/>
      <c r="Q177" s="73"/>
      <c r="R177" s="74"/>
      <c r="S177" s="75"/>
      <c r="T177" s="73"/>
      <c r="U177" s="73"/>
      <c r="V177" s="73"/>
      <c r="W177" s="73"/>
      <c r="X177" s="73"/>
      <c r="Y177" s="73"/>
      <c r="Z177" s="73"/>
      <c r="AA177" s="73"/>
      <c r="AB177" s="74"/>
      <c r="AC177" s="73"/>
      <c r="AD177" s="76"/>
      <c r="AE177" s="73"/>
      <c r="AF177" s="73"/>
      <c r="AG177" s="73"/>
      <c r="AH177" s="73"/>
      <c r="AI177" s="73"/>
    </row>
    <row r="178" customFormat="false" ht="15" hidden="false" customHeight="false" outlineLevel="0" collapsed="false">
      <c r="A178" s="71" t="str">
        <f aca="false">IF(D178="","",ROW()-1)</f>
        <v/>
      </c>
      <c r="B178" s="72"/>
      <c r="C178" s="72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4"/>
      <c r="O178" s="73"/>
      <c r="P178" s="74"/>
      <c r="Q178" s="73"/>
      <c r="R178" s="74"/>
      <c r="S178" s="75"/>
      <c r="T178" s="73"/>
      <c r="U178" s="73"/>
      <c r="V178" s="73"/>
      <c r="W178" s="73"/>
      <c r="X178" s="73"/>
      <c r="Y178" s="73"/>
      <c r="Z178" s="73"/>
      <c r="AA178" s="73"/>
      <c r="AB178" s="74"/>
      <c r="AC178" s="73"/>
      <c r="AD178" s="76"/>
      <c r="AE178" s="73"/>
      <c r="AF178" s="73"/>
      <c r="AG178" s="73"/>
      <c r="AH178" s="73"/>
      <c r="AI178" s="73"/>
    </row>
    <row r="179" customFormat="false" ht="15" hidden="false" customHeight="false" outlineLevel="0" collapsed="false">
      <c r="A179" s="71" t="str">
        <f aca="false">IF(D179="","",ROW()-1)</f>
        <v/>
      </c>
      <c r="B179" s="72"/>
      <c r="C179" s="72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4"/>
      <c r="O179" s="73"/>
      <c r="P179" s="74"/>
      <c r="Q179" s="73"/>
      <c r="R179" s="74"/>
      <c r="S179" s="75"/>
      <c r="T179" s="73"/>
      <c r="U179" s="73"/>
      <c r="V179" s="73"/>
      <c r="W179" s="73"/>
      <c r="X179" s="73"/>
      <c r="Y179" s="73"/>
      <c r="Z179" s="73"/>
      <c r="AA179" s="73"/>
      <c r="AB179" s="74"/>
      <c r="AC179" s="73"/>
      <c r="AD179" s="76"/>
      <c r="AE179" s="73"/>
      <c r="AF179" s="73"/>
      <c r="AG179" s="73"/>
      <c r="AH179" s="73"/>
      <c r="AI179" s="73"/>
    </row>
    <row r="180" customFormat="false" ht="15" hidden="false" customHeight="false" outlineLevel="0" collapsed="false">
      <c r="A180" s="71" t="str">
        <f aca="false">IF(D180="","",ROW()-1)</f>
        <v/>
      </c>
      <c r="B180" s="72"/>
      <c r="C180" s="72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4"/>
      <c r="O180" s="73"/>
      <c r="P180" s="74"/>
      <c r="Q180" s="73"/>
      <c r="R180" s="74"/>
      <c r="S180" s="75"/>
      <c r="T180" s="73"/>
      <c r="U180" s="73"/>
      <c r="V180" s="73"/>
      <c r="W180" s="73"/>
      <c r="X180" s="73"/>
      <c r="Y180" s="73"/>
      <c r="Z180" s="73"/>
      <c r="AA180" s="73"/>
      <c r="AB180" s="74"/>
      <c r="AC180" s="73"/>
      <c r="AD180" s="76"/>
      <c r="AE180" s="73"/>
      <c r="AF180" s="73"/>
      <c r="AG180" s="73"/>
      <c r="AH180" s="73"/>
      <c r="AI180" s="73"/>
    </row>
    <row r="181" customFormat="false" ht="15" hidden="false" customHeight="false" outlineLevel="0" collapsed="false">
      <c r="A181" s="71" t="str">
        <f aca="false">IF(D181="","",ROW()-1)</f>
        <v/>
      </c>
      <c r="B181" s="72"/>
      <c r="C181" s="72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4"/>
      <c r="O181" s="73"/>
      <c r="P181" s="74"/>
      <c r="Q181" s="73"/>
      <c r="R181" s="74"/>
      <c r="S181" s="75"/>
      <c r="T181" s="73"/>
      <c r="U181" s="73"/>
      <c r="V181" s="73"/>
      <c r="W181" s="73"/>
      <c r="X181" s="73"/>
      <c r="Y181" s="73"/>
      <c r="Z181" s="73"/>
      <c r="AA181" s="73"/>
      <c r="AB181" s="74"/>
      <c r="AC181" s="73"/>
      <c r="AD181" s="76"/>
      <c r="AE181" s="73"/>
      <c r="AF181" s="73"/>
      <c r="AG181" s="73"/>
      <c r="AH181" s="73"/>
      <c r="AI181" s="73"/>
    </row>
    <row r="182" customFormat="false" ht="15" hidden="false" customHeight="false" outlineLevel="0" collapsed="false">
      <c r="A182" s="71" t="str">
        <f aca="false">IF(D182="","",ROW()-1)</f>
        <v/>
      </c>
      <c r="B182" s="72"/>
      <c r="C182" s="72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4"/>
      <c r="O182" s="73"/>
      <c r="P182" s="74"/>
      <c r="Q182" s="73"/>
      <c r="R182" s="74"/>
      <c r="S182" s="75"/>
      <c r="T182" s="73"/>
      <c r="U182" s="73"/>
      <c r="V182" s="73"/>
      <c r="W182" s="73"/>
      <c r="X182" s="73"/>
      <c r="Y182" s="73"/>
      <c r="Z182" s="73"/>
      <c r="AA182" s="73"/>
      <c r="AB182" s="74"/>
      <c r="AC182" s="73"/>
      <c r="AD182" s="76"/>
      <c r="AE182" s="73"/>
      <c r="AF182" s="73"/>
      <c r="AG182" s="73"/>
      <c r="AH182" s="73"/>
      <c r="AI182" s="73"/>
    </row>
    <row r="183" customFormat="false" ht="15" hidden="false" customHeight="false" outlineLevel="0" collapsed="false">
      <c r="A183" s="71" t="str">
        <f aca="false">IF(D183="","",ROW()-1)</f>
        <v/>
      </c>
      <c r="B183" s="72"/>
      <c r="C183" s="72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4"/>
      <c r="O183" s="73"/>
      <c r="P183" s="74"/>
      <c r="Q183" s="73"/>
      <c r="R183" s="74"/>
      <c r="S183" s="75"/>
      <c r="T183" s="73"/>
      <c r="U183" s="73"/>
      <c r="V183" s="73"/>
      <c r="W183" s="73"/>
      <c r="X183" s="73"/>
      <c r="Y183" s="73"/>
      <c r="Z183" s="73"/>
      <c r="AA183" s="73"/>
      <c r="AB183" s="74"/>
      <c r="AC183" s="73"/>
      <c r="AD183" s="76"/>
      <c r="AE183" s="73"/>
      <c r="AF183" s="73"/>
      <c r="AG183" s="73"/>
      <c r="AH183" s="73"/>
      <c r="AI183" s="73"/>
    </row>
    <row r="184" customFormat="false" ht="15" hidden="false" customHeight="false" outlineLevel="0" collapsed="false">
      <c r="A184" s="71" t="str">
        <f aca="false">IF(D184="","",ROW()-1)</f>
        <v/>
      </c>
      <c r="B184" s="72"/>
      <c r="C184" s="72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4"/>
      <c r="O184" s="73"/>
      <c r="P184" s="74"/>
      <c r="Q184" s="73"/>
      <c r="R184" s="74"/>
      <c r="S184" s="75"/>
      <c r="T184" s="73"/>
      <c r="U184" s="73"/>
      <c r="V184" s="73"/>
      <c r="W184" s="73"/>
      <c r="X184" s="73"/>
      <c r="Y184" s="73"/>
      <c r="Z184" s="73"/>
      <c r="AA184" s="73"/>
      <c r="AB184" s="74"/>
      <c r="AC184" s="73"/>
      <c r="AD184" s="76"/>
      <c r="AE184" s="73"/>
      <c r="AF184" s="73"/>
      <c r="AG184" s="73"/>
      <c r="AH184" s="73"/>
      <c r="AI184" s="73"/>
    </row>
    <row r="185" customFormat="false" ht="15" hidden="false" customHeight="false" outlineLevel="0" collapsed="false">
      <c r="A185" s="71" t="str">
        <f aca="false">IF(D185="","",ROW()-1)</f>
        <v/>
      </c>
      <c r="B185" s="72"/>
      <c r="C185" s="72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4"/>
      <c r="O185" s="73"/>
      <c r="P185" s="74"/>
      <c r="Q185" s="73"/>
      <c r="R185" s="74"/>
      <c r="S185" s="75"/>
      <c r="T185" s="73"/>
      <c r="U185" s="73"/>
      <c r="V185" s="73"/>
      <c r="W185" s="73"/>
      <c r="X185" s="73"/>
      <c r="Y185" s="73"/>
      <c r="Z185" s="73"/>
      <c r="AA185" s="73"/>
      <c r="AB185" s="74"/>
      <c r="AC185" s="73"/>
      <c r="AD185" s="76"/>
      <c r="AE185" s="73"/>
      <c r="AF185" s="73"/>
      <c r="AG185" s="73"/>
      <c r="AH185" s="73"/>
      <c r="AI185" s="73"/>
    </row>
    <row r="186" customFormat="false" ht="15" hidden="false" customHeight="false" outlineLevel="0" collapsed="false">
      <c r="A186" s="71" t="str">
        <f aca="false">IF(D186="","",ROW()-1)</f>
        <v/>
      </c>
      <c r="B186" s="72"/>
      <c r="C186" s="72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4"/>
      <c r="O186" s="73"/>
      <c r="P186" s="74"/>
      <c r="Q186" s="73"/>
      <c r="R186" s="74"/>
      <c r="S186" s="75"/>
      <c r="T186" s="73"/>
      <c r="U186" s="73"/>
      <c r="V186" s="73"/>
      <c r="W186" s="73"/>
      <c r="X186" s="73"/>
      <c r="Y186" s="73"/>
      <c r="Z186" s="73"/>
      <c r="AA186" s="73"/>
      <c r="AB186" s="74"/>
      <c r="AC186" s="73"/>
      <c r="AD186" s="76"/>
      <c r="AE186" s="73"/>
      <c r="AF186" s="73"/>
      <c r="AG186" s="73"/>
      <c r="AH186" s="73"/>
      <c r="AI186" s="73"/>
    </row>
    <row r="187" customFormat="false" ht="15" hidden="false" customHeight="false" outlineLevel="0" collapsed="false">
      <c r="A187" s="71" t="str">
        <f aca="false">IF(D187="","",ROW()-1)</f>
        <v/>
      </c>
      <c r="B187" s="72"/>
      <c r="C187" s="72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4"/>
      <c r="O187" s="73"/>
      <c r="P187" s="74"/>
      <c r="Q187" s="73"/>
      <c r="R187" s="74"/>
      <c r="S187" s="75"/>
      <c r="T187" s="73"/>
      <c r="U187" s="73"/>
      <c r="V187" s="73"/>
      <c r="W187" s="73"/>
      <c r="X187" s="73"/>
      <c r="Y187" s="73"/>
      <c r="Z187" s="73"/>
      <c r="AA187" s="73"/>
      <c r="AB187" s="74"/>
      <c r="AC187" s="73"/>
      <c r="AD187" s="76"/>
      <c r="AE187" s="73"/>
      <c r="AF187" s="73"/>
      <c r="AG187" s="73"/>
      <c r="AH187" s="73"/>
      <c r="AI187" s="73"/>
    </row>
    <row r="188" customFormat="false" ht="15" hidden="false" customHeight="false" outlineLevel="0" collapsed="false">
      <c r="A188" s="71" t="str">
        <f aca="false">IF(D188="","",ROW()-1)</f>
        <v/>
      </c>
      <c r="B188" s="72"/>
      <c r="C188" s="72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4"/>
      <c r="O188" s="73"/>
      <c r="P188" s="74"/>
      <c r="Q188" s="73"/>
      <c r="R188" s="74"/>
      <c r="S188" s="75"/>
      <c r="T188" s="73"/>
      <c r="U188" s="73"/>
      <c r="V188" s="73"/>
      <c r="W188" s="73"/>
      <c r="X188" s="73"/>
      <c r="Y188" s="73"/>
      <c r="Z188" s="73"/>
      <c r="AA188" s="73"/>
      <c r="AB188" s="74"/>
      <c r="AC188" s="73"/>
      <c r="AD188" s="76"/>
      <c r="AE188" s="73"/>
      <c r="AF188" s="73"/>
      <c r="AG188" s="73"/>
      <c r="AH188" s="73"/>
      <c r="AI188" s="73"/>
    </row>
    <row r="189" customFormat="false" ht="15" hidden="false" customHeight="false" outlineLevel="0" collapsed="false">
      <c r="A189" s="71" t="str">
        <f aca="false">IF(D189="","",ROW()-1)</f>
        <v/>
      </c>
      <c r="B189" s="72"/>
      <c r="C189" s="72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4"/>
      <c r="O189" s="73"/>
      <c r="P189" s="74"/>
      <c r="Q189" s="73"/>
      <c r="R189" s="74"/>
      <c r="S189" s="75"/>
      <c r="T189" s="73"/>
      <c r="U189" s="73"/>
      <c r="V189" s="73"/>
      <c r="W189" s="73"/>
      <c r="X189" s="73"/>
      <c r="Y189" s="73"/>
      <c r="Z189" s="73"/>
      <c r="AA189" s="73"/>
      <c r="AB189" s="74"/>
      <c r="AC189" s="73"/>
      <c r="AD189" s="76"/>
      <c r="AE189" s="73"/>
      <c r="AF189" s="73"/>
      <c r="AG189" s="73"/>
      <c r="AH189" s="73"/>
      <c r="AI189" s="73"/>
    </row>
    <row r="190" customFormat="false" ht="15" hidden="false" customHeight="false" outlineLevel="0" collapsed="false">
      <c r="A190" s="71" t="str">
        <f aca="false">IF(D190="","",ROW()-1)</f>
        <v/>
      </c>
      <c r="B190" s="72"/>
      <c r="C190" s="72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4"/>
      <c r="O190" s="73"/>
      <c r="P190" s="74"/>
      <c r="Q190" s="73"/>
      <c r="R190" s="74"/>
      <c r="S190" s="75"/>
      <c r="T190" s="73"/>
      <c r="U190" s="73"/>
      <c r="V190" s="73"/>
      <c r="W190" s="73"/>
      <c r="X190" s="73"/>
      <c r="Y190" s="73"/>
      <c r="Z190" s="73"/>
      <c r="AA190" s="73"/>
      <c r="AB190" s="74"/>
      <c r="AC190" s="73"/>
      <c r="AD190" s="76"/>
      <c r="AE190" s="73"/>
      <c r="AF190" s="73"/>
      <c r="AG190" s="73"/>
      <c r="AH190" s="73"/>
      <c r="AI190" s="73"/>
    </row>
    <row r="191" customFormat="false" ht="15" hidden="false" customHeight="false" outlineLevel="0" collapsed="false">
      <c r="A191" s="71" t="str">
        <f aca="false">IF(D191="","",ROW()-1)</f>
        <v/>
      </c>
      <c r="B191" s="72"/>
      <c r="C191" s="72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4"/>
      <c r="O191" s="73"/>
      <c r="P191" s="74"/>
      <c r="Q191" s="73"/>
      <c r="R191" s="74"/>
      <c r="S191" s="75"/>
      <c r="T191" s="73"/>
      <c r="U191" s="73"/>
      <c r="V191" s="73"/>
      <c r="W191" s="73"/>
      <c r="X191" s="73"/>
      <c r="Y191" s="73"/>
      <c r="Z191" s="73"/>
      <c r="AA191" s="73"/>
      <c r="AB191" s="74"/>
      <c r="AC191" s="73"/>
      <c r="AD191" s="76"/>
      <c r="AE191" s="73"/>
      <c r="AF191" s="73"/>
      <c r="AG191" s="73"/>
      <c r="AH191" s="73"/>
      <c r="AI191" s="73"/>
    </row>
    <row r="192" customFormat="false" ht="15" hidden="false" customHeight="false" outlineLevel="0" collapsed="false">
      <c r="A192" s="71" t="str">
        <f aca="false">IF(D192="","",ROW()-1)</f>
        <v/>
      </c>
      <c r="B192" s="72"/>
      <c r="C192" s="72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4"/>
      <c r="O192" s="73"/>
      <c r="P192" s="74"/>
      <c r="Q192" s="73"/>
      <c r="R192" s="74"/>
      <c r="S192" s="75"/>
      <c r="T192" s="73"/>
      <c r="U192" s="73"/>
      <c r="V192" s="73"/>
      <c r="W192" s="73"/>
      <c r="X192" s="73"/>
      <c r="Y192" s="73"/>
      <c r="Z192" s="73"/>
      <c r="AA192" s="73"/>
      <c r="AB192" s="74"/>
      <c r="AC192" s="73"/>
      <c r="AD192" s="76"/>
      <c r="AE192" s="73"/>
      <c r="AF192" s="73"/>
      <c r="AG192" s="73"/>
      <c r="AH192" s="73"/>
      <c r="AI192" s="73"/>
    </row>
    <row r="193" customFormat="false" ht="15" hidden="false" customHeight="false" outlineLevel="0" collapsed="false">
      <c r="A193" s="71" t="str">
        <f aca="false">IF(D193="","",ROW()-1)</f>
        <v/>
      </c>
      <c r="B193" s="72"/>
      <c r="C193" s="72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4"/>
      <c r="O193" s="73"/>
      <c r="P193" s="74"/>
      <c r="Q193" s="73"/>
      <c r="R193" s="74"/>
      <c r="S193" s="75"/>
      <c r="T193" s="73"/>
      <c r="U193" s="73"/>
      <c r="V193" s="73"/>
      <c r="W193" s="73"/>
      <c r="X193" s="73"/>
      <c r="Y193" s="73"/>
      <c r="Z193" s="73"/>
      <c r="AA193" s="73"/>
      <c r="AB193" s="74"/>
      <c r="AC193" s="73"/>
      <c r="AD193" s="76"/>
      <c r="AE193" s="73"/>
      <c r="AF193" s="73"/>
      <c r="AG193" s="73"/>
      <c r="AH193" s="73"/>
      <c r="AI193" s="73"/>
    </row>
    <row r="194" customFormat="false" ht="15" hidden="false" customHeight="false" outlineLevel="0" collapsed="false">
      <c r="A194" s="71" t="str">
        <f aca="false">IF(D194="","",ROW()-1)</f>
        <v/>
      </c>
      <c r="B194" s="72"/>
      <c r="C194" s="72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4"/>
      <c r="O194" s="73"/>
      <c r="P194" s="74"/>
      <c r="Q194" s="73"/>
      <c r="R194" s="74"/>
      <c r="S194" s="75"/>
      <c r="T194" s="73"/>
      <c r="U194" s="73"/>
      <c r="V194" s="73"/>
      <c r="W194" s="73"/>
      <c r="X194" s="73"/>
      <c r="Y194" s="73"/>
      <c r="Z194" s="73"/>
      <c r="AA194" s="73"/>
      <c r="AB194" s="74"/>
      <c r="AC194" s="73"/>
      <c r="AD194" s="76"/>
      <c r="AE194" s="73"/>
      <c r="AF194" s="73"/>
      <c r="AG194" s="73"/>
      <c r="AH194" s="73"/>
      <c r="AI194" s="73"/>
    </row>
    <row r="195" customFormat="false" ht="15" hidden="false" customHeight="false" outlineLevel="0" collapsed="false">
      <c r="A195" s="71" t="str">
        <f aca="false">IF(D195="","",ROW()-1)</f>
        <v/>
      </c>
      <c r="B195" s="72"/>
      <c r="C195" s="72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4"/>
      <c r="O195" s="73"/>
      <c r="P195" s="74"/>
      <c r="Q195" s="73"/>
      <c r="R195" s="74"/>
      <c r="S195" s="75"/>
      <c r="T195" s="73"/>
      <c r="U195" s="73"/>
      <c r="V195" s="73"/>
      <c r="W195" s="73"/>
      <c r="X195" s="73"/>
      <c r="Y195" s="73"/>
      <c r="Z195" s="73"/>
      <c r="AA195" s="73"/>
      <c r="AB195" s="74"/>
      <c r="AC195" s="73"/>
      <c r="AD195" s="76"/>
      <c r="AE195" s="73"/>
      <c r="AF195" s="73"/>
      <c r="AG195" s="73"/>
      <c r="AH195" s="73"/>
      <c r="AI195" s="73"/>
    </row>
    <row r="196" customFormat="false" ht="15" hidden="false" customHeight="false" outlineLevel="0" collapsed="false">
      <c r="A196" s="71" t="str">
        <f aca="false">IF(D196="","",ROW()-1)</f>
        <v/>
      </c>
      <c r="B196" s="72"/>
      <c r="C196" s="72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4"/>
      <c r="O196" s="73"/>
      <c r="P196" s="74"/>
      <c r="Q196" s="73"/>
      <c r="R196" s="74"/>
      <c r="S196" s="75"/>
      <c r="T196" s="73"/>
      <c r="U196" s="73"/>
      <c r="V196" s="73"/>
      <c r="W196" s="73"/>
      <c r="X196" s="73"/>
      <c r="Y196" s="73"/>
      <c r="Z196" s="73"/>
      <c r="AA196" s="73"/>
      <c r="AB196" s="74"/>
      <c r="AC196" s="73"/>
      <c r="AD196" s="76"/>
      <c r="AE196" s="73"/>
      <c r="AF196" s="73"/>
      <c r="AG196" s="73"/>
      <c r="AH196" s="73"/>
      <c r="AI196" s="73"/>
    </row>
    <row r="197" customFormat="false" ht="15" hidden="false" customHeight="false" outlineLevel="0" collapsed="false">
      <c r="A197" s="71" t="str">
        <f aca="false">IF(D197="","",ROW()-1)</f>
        <v/>
      </c>
      <c r="B197" s="72"/>
      <c r="C197" s="72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4"/>
      <c r="O197" s="73"/>
      <c r="P197" s="74"/>
      <c r="Q197" s="73"/>
      <c r="R197" s="74"/>
      <c r="S197" s="75"/>
      <c r="T197" s="73"/>
      <c r="U197" s="73"/>
      <c r="V197" s="73"/>
      <c r="W197" s="73"/>
      <c r="X197" s="73"/>
      <c r="Y197" s="73"/>
      <c r="Z197" s="73"/>
      <c r="AA197" s="73"/>
      <c r="AB197" s="74"/>
      <c r="AC197" s="73"/>
      <c r="AD197" s="76"/>
      <c r="AE197" s="73"/>
      <c r="AF197" s="73"/>
      <c r="AG197" s="73"/>
      <c r="AH197" s="73"/>
      <c r="AI197" s="73"/>
    </row>
    <row r="198" customFormat="false" ht="15" hidden="false" customHeight="false" outlineLevel="0" collapsed="false">
      <c r="A198" s="71" t="str">
        <f aca="false">IF(D198="","",ROW()-1)</f>
        <v/>
      </c>
      <c r="B198" s="72"/>
      <c r="C198" s="72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4"/>
      <c r="O198" s="73"/>
      <c r="P198" s="74"/>
      <c r="Q198" s="73"/>
      <c r="R198" s="74"/>
      <c r="S198" s="75"/>
      <c r="T198" s="73"/>
      <c r="U198" s="73"/>
      <c r="V198" s="73"/>
      <c r="W198" s="73"/>
      <c r="X198" s="73"/>
      <c r="Y198" s="73"/>
      <c r="Z198" s="73"/>
      <c r="AA198" s="73"/>
      <c r="AB198" s="74"/>
      <c r="AC198" s="73"/>
      <c r="AD198" s="76"/>
      <c r="AE198" s="73"/>
      <c r="AF198" s="73"/>
      <c r="AG198" s="73"/>
      <c r="AH198" s="73"/>
      <c r="AI198" s="73"/>
    </row>
    <row r="199" customFormat="false" ht="15" hidden="false" customHeight="false" outlineLevel="0" collapsed="false">
      <c r="A199" s="71" t="str">
        <f aca="false">IF(D199="","",ROW()-1)</f>
        <v/>
      </c>
      <c r="B199" s="72"/>
      <c r="C199" s="72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4"/>
      <c r="O199" s="73"/>
      <c r="P199" s="74"/>
      <c r="Q199" s="73"/>
      <c r="R199" s="74"/>
      <c r="S199" s="75"/>
      <c r="T199" s="73"/>
      <c r="U199" s="73"/>
      <c r="V199" s="73"/>
      <c r="W199" s="73"/>
      <c r="X199" s="73"/>
      <c r="Y199" s="73"/>
      <c r="Z199" s="73"/>
      <c r="AA199" s="73"/>
      <c r="AB199" s="74"/>
      <c r="AC199" s="73"/>
      <c r="AD199" s="76"/>
      <c r="AE199" s="73"/>
      <c r="AF199" s="73"/>
      <c r="AG199" s="73"/>
      <c r="AH199" s="73"/>
      <c r="AI199" s="73"/>
    </row>
    <row r="200" customFormat="false" ht="15" hidden="false" customHeight="false" outlineLevel="0" collapsed="false">
      <c r="A200" s="71" t="str">
        <f aca="false">IF(D200="","",ROW()-1)</f>
        <v/>
      </c>
      <c r="B200" s="72"/>
      <c r="C200" s="72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4"/>
      <c r="O200" s="73"/>
      <c r="P200" s="74"/>
      <c r="Q200" s="73"/>
      <c r="R200" s="74"/>
      <c r="S200" s="75"/>
      <c r="T200" s="73"/>
      <c r="U200" s="73"/>
      <c r="V200" s="73"/>
      <c r="W200" s="73"/>
      <c r="X200" s="73"/>
      <c r="Y200" s="73"/>
      <c r="Z200" s="73"/>
      <c r="AA200" s="73"/>
      <c r="AB200" s="74"/>
      <c r="AC200" s="73"/>
      <c r="AD200" s="76"/>
      <c r="AE200" s="73"/>
      <c r="AF200" s="73"/>
      <c r="AG200" s="73"/>
      <c r="AH200" s="73"/>
      <c r="AI200" s="73"/>
    </row>
    <row r="201" customFormat="false" ht="15" hidden="false" customHeight="false" outlineLevel="0" collapsed="false">
      <c r="A201" s="71" t="str">
        <f aca="false">IF(D201="","",ROW()-1)</f>
        <v/>
      </c>
      <c r="B201" s="72"/>
      <c r="C201" s="72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4"/>
      <c r="O201" s="73"/>
      <c r="P201" s="74"/>
      <c r="Q201" s="73"/>
      <c r="R201" s="74"/>
      <c r="S201" s="75"/>
      <c r="T201" s="73"/>
      <c r="U201" s="73"/>
      <c r="V201" s="73"/>
      <c r="W201" s="73"/>
      <c r="X201" s="73"/>
      <c r="Y201" s="73"/>
      <c r="Z201" s="73"/>
      <c r="AA201" s="73"/>
      <c r="AB201" s="74"/>
      <c r="AC201" s="73"/>
      <c r="AD201" s="76"/>
      <c r="AE201" s="73"/>
      <c r="AF201" s="73"/>
      <c r="AG201" s="73"/>
      <c r="AH201" s="73"/>
      <c r="AI201" s="73"/>
    </row>
    <row r="202" customFormat="false" ht="15" hidden="false" customHeight="false" outlineLevel="0" collapsed="false">
      <c r="A202" s="71" t="str">
        <f aca="false">IF(D202="","",ROW()-1)</f>
        <v/>
      </c>
      <c r="B202" s="72"/>
      <c r="C202" s="72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4"/>
      <c r="O202" s="73"/>
      <c r="P202" s="74"/>
      <c r="Q202" s="73"/>
      <c r="R202" s="74"/>
      <c r="S202" s="75"/>
      <c r="T202" s="73"/>
      <c r="U202" s="73"/>
      <c r="V202" s="73"/>
      <c r="W202" s="73"/>
      <c r="X202" s="73"/>
      <c r="Y202" s="73"/>
      <c r="Z202" s="73"/>
      <c r="AA202" s="73"/>
      <c r="AB202" s="74"/>
      <c r="AC202" s="73"/>
      <c r="AD202" s="76"/>
      <c r="AE202" s="73"/>
      <c r="AF202" s="73"/>
      <c r="AG202" s="73"/>
      <c r="AH202" s="73"/>
      <c r="AI202" s="73"/>
    </row>
    <row r="203" customFormat="false" ht="15" hidden="false" customHeight="false" outlineLevel="0" collapsed="false">
      <c r="A203" s="71" t="str">
        <f aca="false">IF(D203="","",ROW()-1)</f>
        <v/>
      </c>
      <c r="B203" s="72"/>
      <c r="C203" s="72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4"/>
      <c r="O203" s="73"/>
      <c r="P203" s="74"/>
      <c r="Q203" s="73"/>
      <c r="R203" s="74"/>
      <c r="S203" s="75"/>
      <c r="T203" s="73"/>
      <c r="U203" s="73"/>
      <c r="V203" s="73"/>
      <c r="W203" s="73"/>
      <c r="X203" s="73"/>
      <c r="Y203" s="73"/>
      <c r="Z203" s="73"/>
      <c r="AA203" s="73"/>
      <c r="AB203" s="74"/>
      <c r="AC203" s="73"/>
      <c r="AD203" s="76"/>
      <c r="AE203" s="73"/>
      <c r="AF203" s="73"/>
      <c r="AG203" s="73"/>
      <c r="AH203" s="73"/>
      <c r="AI203" s="73"/>
    </row>
    <row r="204" customFormat="false" ht="15" hidden="false" customHeight="false" outlineLevel="0" collapsed="false">
      <c r="A204" s="71" t="str">
        <f aca="false">IF(D204="","",ROW()-1)</f>
        <v/>
      </c>
      <c r="B204" s="72"/>
      <c r="C204" s="72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4"/>
      <c r="O204" s="73"/>
      <c r="P204" s="74"/>
      <c r="Q204" s="73"/>
      <c r="R204" s="74"/>
      <c r="S204" s="75"/>
      <c r="T204" s="73"/>
      <c r="U204" s="73"/>
      <c r="V204" s="73"/>
      <c r="W204" s="73"/>
      <c r="X204" s="73"/>
      <c r="Y204" s="73"/>
      <c r="Z204" s="73"/>
      <c r="AA204" s="73"/>
      <c r="AB204" s="74"/>
      <c r="AC204" s="73"/>
      <c r="AD204" s="76"/>
      <c r="AE204" s="73"/>
      <c r="AF204" s="73"/>
      <c r="AG204" s="73"/>
      <c r="AH204" s="73"/>
      <c r="AI204" s="73"/>
    </row>
    <row r="205" customFormat="false" ht="15" hidden="false" customHeight="false" outlineLevel="0" collapsed="false">
      <c r="A205" s="71" t="str">
        <f aca="false">IF(D205="","",ROW()-1)</f>
        <v/>
      </c>
      <c r="B205" s="72"/>
      <c r="C205" s="72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4"/>
      <c r="O205" s="73"/>
      <c r="P205" s="74"/>
      <c r="Q205" s="73"/>
      <c r="R205" s="74"/>
      <c r="S205" s="75"/>
      <c r="T205" s="73"/>
      <c r="U205" s="73"/>
      <c r="V205" s="73"/>
      <c r="W205" s="73"/>
      <c r="X205" s="73"/>
      <c r="Y205" s="73"/>
      <c r="Z205" s="73"/>
      <c r="AA205" s="73"/>
      <c r="AB205" s="74"/>
      <c r="AC205" s="73"/>
      <c r="AD205" s="76"/>
      <c r="AE205" s="73"/>
      <c r="AF205" s="73"/>
      <c r="AG205" s="73"/>
      <c r="AH205" s="73"/>
      <c r="AI205" s="73"/>
    </row>
    <row r="206" customFormat="false" ht="15" hidden="false" customHeight="false" outlineLevel="0" collapsed="false">
      <c r="A206" s="71" t="str">
        <f aca="false">IF(D206="","",ROW()-1)</f>
        <v/>
      </c>
      <c r="B206" s="72"/>
      <c r="C206" s="72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4"/>
      <c r="O206" s="73"/>
      <c r="P206" s="74"/>
      <c r="Q206" s="73"/>
      <c r="R206" s="74"/>
      <c r="S206" s="75"/>
      <c r="T206" s="73"/>
      <c r="U206" s="73"/>
      <c r="V206" s="73"/>
      <c r="W206" s="73"/>
      <c r="X206" s="73"/>
      <c r="Y206" s="73"/>
      <c r="Z206" s="73"/>
      <c r="AA206" s="73"/>
      <c r="AB206" s="74"/>
      <c r="AC206" s="73"/>
      <c r="AD206" s="76"/>
      <c r="AE206" s="73"/>
      <c r="AF206" s="73"/>
      <c r="AG206" s="73"/>
      <c r="AH206" s="73"/>
      <c r="AI206" s="73"/>
    </row>
    <row r="207" customFormat="false" ht="15" hidden="false" customHeight="false" outlineLevel="0" collapsed="false">
      <c r="A207" s="71" t="str">
        <f aca="false">IF(D207="","",ROW()-1)</f>
        <v/>
      </c>
      <c r="B207" s="72"/>
      <c r="C207" s="72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4"/>
      <c r="O207" s="73"/>
      <c r="P207" s="74"/>
      <c r="Q207" s="73"/>
      <c r="R207" s="74"/>
      <c r="S207" s="75"/>
      <c r="T207" s="73"/>
      <c r="U207" s="73"/>
      <c r="V207" s="73"/>
      <c r="W207" s="73"/>
      <c r="X207" s="73"/>
      <c r="Y207" s="73"/>
      <c r="Z207" s="73"/>
      <c r="AA207" s="73"/>
      <c r="AB207" s="74"/>
      <c r="AC207" s="73"/>
      <c r="AD207" s="76"/>
      <c r="AE207" s="73"/>
      <c r="AF207" s="73"/>
      <c r="AG207" s="73"/>
      <c r="AH207" s="73"/>
      <c r="AI207" s="73"/>
    </row>
    <row r="208" customFormat="false" ht="15" hidden="false" customHeight="false" outlineLevel="0" collapsed="false">
      <c r="A208" s="71" t="str">
        <f aca="false">IF(D208="","",ROW()-1)</f>
        <v/>
      </c>
      <c r="B208" s="72"/>
      <c r="C208" s="72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4"/>
      <c r="O208" s="73"/>
      <c r="P208" s="74"/>
      <c r="Q208" s="73"/>
      <c r="R208" s="74"/>
      <c r="S208" s="75"/>
      <c r="T208" s="73"/>
      <c r="U208" s="73"/>
      <c r="V208" s="73"/>
      <c r="W208" s="73"/>
      <c r="X208" s="73"/>
      <c r="Y208" s="73"/>
      <c r="Z208" s="73"/>
      <c r="AA208" s="73"/>
      <c r="AB208" s="74"/>
      <c r="AC208" s="73"/>
      <c r="AD208" s="76"/>
      <c r="AE208" s="73"/>
      <c r="AF208" s="73"/>
      <c r="AG208" s="73"/>
      <c r="AH208" s="73"/>
      <c r="AI208" s="73"/>
    </row>
    <row r="209" customFormat="false" ht="15" hidden="false" customHeight="false" outlineLevel="0" collapsed="false">
      <c r="A209" s="71" t="str">
        <f aca="false">IF(D209="","",ROW()-1)</f>
        <v/>
      </c>
      <c r="B209" s="72"/>
      <c r="C209" s="72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4"/>
      <c r="O209" s="73"/>
      <c r="P209" s="74"/>
      <c r="Q209" s="73"/>
      <c r="R209" s="74"/>
      <c r="S209" s="75"/>
      <c r="T209" s="73"/>
      <c r="U209" s="73"/>
      <c r="V209" s="73"/>
      <c r="W209" s="73"/>
      <c r="X209" s="73"/>
      <c r="Y209" s="73"/>
      <c r="Z209" s="73"/>
      <c r="AA209" s="73"/>
      <c r="AB209" s="74"/>
      <c r="AC209" s="73"/>
      <c r="AD209" s="76"/>
      <c r="AE209" s="73"/>
      <c r="AF209" s="73"/>
      <c r="AG209" s="73"/>
      <c r="AH209" s="73"/>
      <c r="AI209" s="73"/>
    </row>
    <row r="210" customFormat="false" ht="15" hidden="false" customHeight="false" outlineLevel="0" collapsed="false">
      <c r="A210" s="71" t="str">
        <f aca="false">IF(D210="","",ROW()-1)</f>
        <v/>
      </c>
      <c r="B210" s="72"/>
      <c r="C210" s="72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4"/>
      <c r="O210" s="73"/>
      <c r="P210" s="74"/>
      <c r="Q210" s="73"/>
      <c r="R210" s="74"/>
      <c r="S210" s="75"/>
      <c r="T210" s="73"/>
      <c r="U210" s="73"/>
      <c r="V210" s="73"/>
      <c r="W210" s="73"/>
      <c r="X210" s="73"/>
      <c r="Y210" s="73"/>
      <c r="Z210" s="73"/>
      <c r="AA210" s="73"/>
      <c r="AB210" s="74"/>
      <c r="AC210" s="73"/>
      <c r="AD210" s="76"/>
      <c r="AE210" s="73"/>
      <c r="AF210" s="73"/>
      <c r="AG210" s="73"/>
      <c r="AH210" s="73"/>
      <c r="AI210" s="73"/>
    </row>
    <row r="211" customFormat="false" ht="15" hidden="false" customHeight="false" outlineLevel="0" collapsed="false">
      <c r="A211" s="71" t="str">
        <f aca="false">IF(D211="","",ROW()-1)</f>
        <v/>
      </c>
      <c r="B211" s="72"/>
      <c r="C211" s="72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4"/>
      <c r="O211" s="73"/>
      <c r="P211" s="74"/>
      <c r="Q211" s="73"/>
      <c r="R211" s="74"/>
      <c r="S211" s="75"/>
      <c r="T211" s="73"/>
      <c r="U211" s="73"/>
      <c r="V211" s="73"/>
      <c r="W211" s="73"/>
      <c r="X211" s="73"/>
      <c r="Y211" s="73"/>
      <c r="Z211" s="73"/>
      <c r="AA211" s="73"/>
      <c r="AB211" s="74"/>
      <c r="AC211" s="73"/>
      <c r="AD211" s="76"/>
      <c r="AE211" s="73"/>
      <c r="AF211" s="73"/>
      <c r="AG211" s="73"/>
      <c r="AH211" s="73"/>
      <c r="AI211" s="73"/>
    </row>
    <row r="212" customFormat="false" ht="15" hidden="false" customHeight="false" outlineLevel="0" collapsed="false">
      <c r="A212" s="71" t="str">
        <f aca="false">IF(D212="","",ROW()-1)</f>
        <v/>
      </c>
      <c r="B212" s="72"/>
      <c r="C212" s="72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4"/>
      <c r="O212" s="73"/>
      <c r="P212" s="74"/>
      <c r="Q212" s="73"/>
      <c r="R212" s="74"/>
      <c r="S212" s="75"/>
      <c r="T212" s="73"/>
      <c r="U212" s="73"/>
      <c r="V212" s="73"/>
      <c r="W212" s="73"/>
      <c r="X212" s="73"/>
      <c r="Y212" s="73"/>
      <c r="Z212" s="73"/>
      <c r="AA212" s="73"/>
      <c r="AB212" s="74"/>
      <c r="AC212" s="73"/>
      <c r="AD212" s="76"/>
      <c r="AE212" s="73"/>
      <c r="AF212" s="73"/>
      <c r="AG212" s="73"/>
      <c r="AH212" s="73"/>
      <c r="AI212" s="73"/>
    </row>
    <row r="213" customFormat="false" ht="15" hidden="false" customHeight="false" outlineLevel="0" collapsed="false">
      <c r="A213" s="71" t="str">
        <f aca="false">IF(D213="","",ROW()-1)</f>
        <v/>
      </c>
      <c r="B213" s="72"/>
      <c r="C213" s="72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4"/>
      <c r="O213" s="73"/>
      <c r="P213" s="74"/>
      <c r="Q213" s="73"/>
      <c r="R213" s="74"/>
      <c r="S213" s="75"/>
      <c r="T213" s="73"/>
      <c r="U213" s="73"/>
      <c r="V213" s="73"/>
      <c r="W213" s="73"/>
      <c r="X213" s="73"/>
      <c r="Y213" s="73"/>
      <c r="Z213" s="73"/>
      <c r="AA213" s="73"/>
      <c r="AB213" s="74"/>
      <c r="AC213" s="73"/>
      <c r="AD213" s="76"/>
      <c r="AE213" s="73"/>
      <c r="AF213" s="73"/>
      <c r="AG213" s="73"/>
      <c r="AH213" s="73"/>
      <c r="AI213" s="73"/>
    </row>
    <row r="214" customFormat="false" ht="15" hidden="false" customHeight="false" outlineLevel="0" collapsed="false">
      <c r="A214" s="71" t="str">
        <f aca="false">IF(D214="","",ROW()-1)</f>
        <v/>
      </c>
      <c r="B214" s="72"/>
      <c r="C214" s="72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4"/>
      <c r="O214" s="73"/>
      <c r="P214" s="74"/>
      <c r="Q214" s="73"/>
      <c r="R214" s="74"/>
      <c r="S214" s="75"/>
      <c r="T214" s="73"/>
      <c r="U214" s="73"/>
      <c r="V214" s="73"/>
      <c r="W214" s="73"/>
      <c r="X214" s="73"/>
      <c r="Y214" s="73"/>
      <c r="Z214" s="73"/>
      <c r="AA214" s="73"/>
      <c r="AB214" s="74"/>
      <c r="AC214" s="73"/>
      <c r="AD214" s="76"/>
      <c r="AE214" s="73"/>
      <c r="AF214" s="73"/>
      <c r="AG214" s="73"/>
      <c r="AH214" s="73"/>
      <c r="AI214" s="73"/>
    </row>
    <row r="215" customFormat="false" ht="15" hidden="false" customHeight="false" outlineLevel="0" collapsed="false">
      <c r="A215" s="71" t="str">
        <f aca="false">IF(D215="","",ROW()-1)</f>
        <v/>
      </c>
      <c r="B215" s="72"/>
      <c r="C215" s="72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4"/>
      <c r="O215" s="73"/>
      <c r="P215" s="74"/>
      <c r="Q215" s="73"/>
      <c r="R215" s="74"/>
      <c r="S215" s="75"/>
      <c r="T215" s="73"/>
      <c r="U215" s="73"/>
      <c r="V215" s="73"/>
      <c r="W215" s="73"/>
      <c r="X215" s="73"/>
      <c r="Y215" s="73"/>
      <c r="Z215" s="73"/>
      <c r="AA215" s="73"/>
      <c r="AB215" s="74"/>
      <c r="AC215" s="73"/>
      <c r="AD215" s="76"/>
      <c r="AE215" s="73"/>
      <c r="AF215" s="73"/>
      <c r="AG215" s="73"/>
      <c r="AH215" s="73"/>
      <c r="AI215" s="73"/>
    </row>
    <row r="216" customFormat="false" ht="15" hidden="false" customHeight="false" outlineLevel="0" collapsed="false">
      <c r="A216" s="71" t="str">
        <f aca="false">IF(D216="","",ROW()-1)</f>
        <v/>
      </c>
      <c r="B216" s="72"/>
      <c r="C216" s="72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4"/>
      <c r="O216" s="73"/>
      <c r="P216" s="74"/>
      <c r="Q216" s="73"/>
      <c r="R216" s="74"/>
      <c r="S216" s="75"/>
      <c r="T216" s="73"/>
      <c r="U216" s="73"/>
      <c r="V216" s="73"/>
      <c r="W216" s="73"/>
      <c r="X216" s="73"/>
      <c r="Y216" s="73"/>
      <c r="Z216" s="73"/>
      <c r="AA216" s="73"/>
      <c r="AB216" s="74"/>
      <c r="AC216" s="73"/>
      <c r="AD216" s="76"/>
      <c r="AE216" s="73"/>
      <c r="AF216" s="73"/>
      <c r="AG216" s="73"/>
      <c r="AH216" s="73"/>
      <c r="AI216" s="73"/>
    </row>
    <row r="217" customFormat="false" ht="15" hidden="false" customHeight="false" outlineLevel="0" collapsed="false">
      <c r="A217" s="71" t="str">
        <f aca="false">IF(D217="","",ROW()-1)</f>
        <v/>
      </c>
      <c r="B217" s="72"/>
      <c r="C217" s="72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4"/>
      <c r="O217" s="73"/>
      <c r="P217" s="74"/>
      <c r="Q217" s="73"/>
      <c r="R217" s="74"/>
      <c r="S217" s="75"/>
      <c r="T217" s="73"/>
      <c r="U217" s="73"/>
      <c r="V217" s="73"/>
      <c r="W217" s="73"/>
      <c r="X217" s="73"/>
      <c r="Y217" s="73"/>
      <c r="Z217" s="73"/>
      <c r="AA217" s="73"/>
      <c r="AB217" s="74"/>
      <c r="AC217" s="73"/>
      <c r="AD217" s="76"/>
      <c r="AE217" s="73"/>
      <c r="AF217" s="73"/>
      <c r="AG217" s="73"/>
      <c r="AH217" s="73"/>
      <c r="AI217" s="73"/>
    </row>
    <row r="218" customFormat="false" ht="15" hidden="false" customHeight="false" outlineLevel="0" collapsed="false">
      <c r="A218" s="71" t="str">
        <f aca="false">IF(D218="","",ROW()-1)</f>
        <v/>
      </c>
      <c r="B218" s="72"/>
      <c r="C218" s="72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4"/>
      <c r="O218" s="73"/>
      <c r="P218" s="74"/>
      <c r="Q218" s="73"/>
      <c r="R218" s="74"/>
      <c r="S218" s="75"/>
      <c r="T218" s="73"/>
      <c r="U218" s="73"/>
      <c r="V218" s="73"/>
      <c r="W218" s="73"/>
      <c r="X218" s="73"/>
      <c r="Y218" s="73"/>
      <c r="Z218" s="73"/>
      <c r="AA218" s="73"/>
      <c r="AB218" s="74"/>
      <c r="AC218" s="73"/>
      <c r="AD218" s="76"/>
      <c r="AE218" s="73"/>
      <c r="AF218" s="73"/>
      <c r="AG218" s="73"/>
      <c r="AH218" s="73"/>
      <c r="AI218" s="73"/>
    </row>
    <row r="219" customFormat="false" ht="15" hidden="false" customHeight="false" outlineLevel="0" collapsed="false">
      <c r="A219" s="71" t="str">
        <f aca="false">IF(D219="","",ROW()-1)</f>
        <v/>
      </c>
      <c r="B219" s="72"/>
      <c r="C219" s="72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4"/>
      <c r="O219" s="73"/>
      <c r="P219" s="74"/>
      <c r="Q219" s="73"/>
      <c r="R219" s="74"/>
      <c r="S219" s="75"/>
      <c r="T219" s="73"/>
      <c r="U219" s="73"/>
      <c r="V219" s="73"/>
      <c r="W219" s="73"/>
      <c r="X219" s="73"/>
      <c r="Y219" s="73"/>
      <c r="Z219" s="73"/>
      <c r="AA219" s="73"/>
      <c r="AB219" s="74"/>
      <c r="AC219" s="73"/>
      <c r="AD219" s="76"/>
      <c r="AE219" s="73"/>
      <c r="AF219" s="73"/>
      <c r="AG219" s="73"/>
      <c r="AH219" s="73"/>
      <c r="AI219" s="73"/>
    </row>
    <row r="220" customFormat="false" ht="15" hidden="false" customHeight="false" outlineLevel="0" collapsed="false">
      <c r="A220" s="71" t="str">
        <f aca="false">IF(D220="","",ROW()-1)</f>
        <v/>
      </c>
      <c r="B220" s="72"/>
      <c r="C220" s="72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4"/>
      <c r="O220" s="73"/>
      <c r="P220" s="74"/>
      <c r="Q220" s="73"/>
      <c r="R220" s="74"/>
      <c r="S220" s="75"/>
      <c r="T220" s="73"/>
      <c r="U220" s="73"/>
      <c r="V220" s="73"/>
      <c r="W220" s="73"/>
      <c r="X220" s="73"/>
      <c r="Y220" s="73"/>
      <c r="Z220" s="73"/>
      <c r="AA220" s="73"/>
      <c r="AB220" s="74"/>
      <c r="AC220" s="73"/>
      <c r="AD220" s="76"/>
      <c r="AE220" s="73"/>
      <c r="AF220" s="73"/>
      <c r="AG220" s="73"/>
      <c r="AH220" s="73"/>
      <c r="AI220" s="73"/>
    </row>
    <row r="221" customFormat="false" ht="15" hidden="false" customHeight="false" outlineLevel="0" collapsed="false">
      <c r="A221" s="71" t="str">
        <f aca="false">IF(D221="","",ROW()-1)</f>
        <v/>
      </c>
      <c r="B221" s="72"/>
      <c r="C221" s="72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4"/>
      <c r="O221" s="73"/>
      <c r="P221" s="74"/>
      <c r="Q221" s="73"/>
      <c r="R221" s="74"/>
      <c r="S221" s="75"/>
      <c r="T221" s="73"/>
      <c r="U221" s="73"/>
      <c r="V221" s="73"/>
      <c r="W221" s="73"/>
      <c r="X221" s="73"/>
      <c r="Y221" s="73"/>
      <c r="Z221" s="73"/>
      <c r="AA221" s="73"/>
      <c r="AB221" s="74"/>
      <c r="AC221" s="73"/>
      <c r="AD221" s="76"/>
      <c r="AE221" s="73"/>
      <c r="AF221" s="73"/>
      <c r="AG221" s="73"/>
      <c r="AH221" s="73"/>
      <c r="AI221" s="73"/>
    </row>
    <row r="222" customFormat="false" ht="15" hidden="false" customHeight="false" outlineLevel="0" collapsed="false">
      <c r="A222" s="71" t="str">
        <f aca="false">IF(D222="","",ROW()-1)</f>
        <v/>
      </c>
      <c r="B222" s="72"/>
      <c r="C222" s="72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4"/>
      <c r="O222" s="73"/>
      <c r="P222" s="74"/>
      <c r="Q222" s="73"/>
      <c r="R222" s="74"/>
      <c r="S222" s="75"/>
      <c r="T222" s="73"/>
      <c r="U222" s="73"/>
      <c r="V222" s="73"/>
      <c r="W222" s="73"/>
      <c r="X222" s="73"/>
      <c r="Y222" s="73"/>
      <c r="Z222" s="73"/>
      <c r="AA222" s="73"/>
      <c r="AB222" s="74"/>
      <c r="AC222" s="73"/>
      <c r="AD222" s="76"/>
      <c r="AE222" s="73"/>
      <c r="AF222" s="73"/>
      <c r="AG222" s="73"/>
      <c r="AH222" s="73"/>
      <c r="AI222" s="73"/>
    </row>
    <row r="223" customFormat="false" ht="15" hidden="false" customHeight="false" outlineLevel="0" collapsed="false">
      <c r="A223" s="71" t="str">
        <f aca="false">IF(D223="","",ROW()-1)</f>
        <v/>
      </c>
      <c r="B223" s="72"/>
      <c r="C223" s="72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4"/>
      <c r="O223" s="73"/>
      <c r="P223" s="74"/>
      <c r="Q223" s="73"/>
      <c r="R223" s="74"/>
      <c r="S223" s="75"/>
      <c r="T223" s="73"/>
      <c r="U223" s="73"/>
      <c r="V223" s="73"/>
      <c r="W223" s="73"/>
      <c r="X223" s="73"/>
      <c r="Y223" s="73"/>
      <c r="Z223" s="73"/>
      <c r="AA223" s="73"/>
      <c r="AB223" s="74"/>
      <c r="AC223" s="73"/>
      <c r="AD223" s="76"/>
      <c r="AE223" s="73"/>
      <c r="AF223" s="73"/>
      <c r="AG223" s="73"/>
      <c r="AH223" s="73"/>
      <c r="AI223" s="73"/>
    </row>
    <row r="224" customFormat="false" ht="15" hidden="false" customHeight="false" outlineLevel="0" collapsed="false">
      <c r="A224" s="71" t="str">
        <f aca="false">IF(D224="","",ROW()-1)</f>
        <v/>
      </c>
      <c r="B224" s="72"/>
      <c r="C224" s="72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4"/>
      <c r="O224" s="73"/>
      <c r="P224" s="74"/>
      <c r="Q224" s="73"/>
      <c r="R224" s="74"/>
      <c r="S224" s="75"/>
      <c r="T224" s="73"/>
      <c r="U224" s="73"/>
      <c r="V224" s="73"/>
      <c r="W224" s="73"/>
      <c r="X224" s="73"/>
      <c r="Y224" s="73"/>
      <c r="Z224" s="73"/>
      <c r="AA224" s="73"/>
      <c r="AB224" s="74"/>
      <c r="AC224" s="73"/>
      <c r="AD224" s="76"/>
      <c r="AE224" s="73"/>
      <c r="AF224" s="73"/>
      <c r="AG224" s="73"/>
      <c r="AH224" s="73"/>
      <c r="AI224" s="73"/>
    </row>
    <row r="225" customFormat="false" ht="15" hidden="false" customHeight="false" outlineLevel="0" collapsed="false">
      <c r="A225" s="71" t="str">
        <f aca="false">IF(D225="","",ROW()-1)</f>
        <v/>
      </c>
      <c r="B225" s="72"/>
      <c r="C225" s="72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4"/>
      <c r="O225" s="73"/>
      <c r="P225" s="74"/>
      <c r="Q225" s="73"/>
      <c r="R225" s="74"/>
      <c r="S225" s="75"/>
      <c r="T225" s="73"/>
      <c r="U225" s="73"/>
      <c r="V225" s="73"/>
      <c r="W225" s="73"/>
      <c r="X225" s="73"/>
      <c r="Y225" s="73"/>
      <c r="Z225" s="73"/>
      <c r="AA225" s="73"/>
      <c r="AB225" s="74"/>
      <c r="AC225" s="73"/>
      <c r="AD225" s="76"/>
      <c r="AE225" s="73"/>
      <c r="AF225" s="73"/>
      <c r="AG225" s="73"/>
      <c r="AH225" s="73"/>
      <c r="AI225" s="73"/>
    </row>
    <row r="226" customFormat="false" ht="15" hidden="false" customHeight="false" outlineLevel="0" collapsed="false">
      <c r="A226" s="71" t="str">
        <f aca="false">IF(D226="","",ROW()-1)</f>
        <v/>
      </c>
      <c r="B226" s="72"/>
      <c r="C226" s="72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4"/>
      <c r="O226" s="73"/>
      <c r="P226" s="74"/>
      <c r="Q226" s="73"/>
      <c r="R226" s="74"/>
      <c r="S226" s="75"/>
      <c r="T226" s="73"/>
      <c r="U226" s="73"/>
      <c r="V226" s="73"/>
      <c r="W226" s="73"/>
      <c r="X226" s="73"/>
      <c r="Y226" s="73"/>
      <c r="Z226" s="73"/>
      <c r="AA226" s="73"/>
      <c r="AB226" s="74"/>
      <c r="AC226" s="73"/>
      <c r="AD226" s="76"/>
      <c r="AE226" s="73"/>
      <c r="AF226" s="73"/>
      <c r="AG226" s="73"/>
      <c r="AH226" s="73"/>
      <c r="AI226" s="73"/>
    </row>
    <row r="227" customFormat="false" ht="15" hidden="false" customHeight="false" outlineLevel="0" collapsed="false">
      <c r="A227" s="71" t="str">
        <f aca="false">IF(D227="","",ROW()-1)</f>
        <v/>
      </c>
      <c r="B227" s="72"/>
      <c r="C227" s="72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4"/>
      <c r="O227" s="73"/>
      <c r="P227" s="74"/>
      <c r="Q227" s="73"/>
      <c r="R227" s="74"/>
      <c r="S227" s="75"/>
      <c r="T227" s="73"/>
      <c r="U227" s="73"/>
      <c r="V227" s="73"/>
      <c r="W227" s="73"/>
      <c r="X227" s="73"/>
      <c r="Y227" s="73"/>
      <c r="Z227" s="73"/>
      <c r="AA227" s="73"/>
      <c r="AB227" s="74"/>
      <c r="AC227" s="73"/>
      <c r="AD227" s="76"/>
      <c r="AE227" s="73"/>
      <c r="AF227" s="73"/>
      <c r="AG227" s="73"/>
      <c r="AH227" s="73"/>
      <c r="AI227" s="73"/>
    </row>
    <row r="228" customFormat="false" ht="15" hidden="false" customHeight="false" outlineLevel="0" collapsed="false">
      <c r="A228" s="71" t="str">
        <f aca="false">IF(D228="","",ROW()-1)</f>
        <v/>
      </c>
      <c r="B228" s="72"/>
      <c r="C228" s="72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4"/>
      <c r="O228" s="73"/>
      <c r="P228" s="74"/>
      <c r="Q228" s="73"/>
      <c r="R228" s="74"/>
      <c r="S228" s="75"/>
      <c r="T228" s="73"/>
      <c r="U228" s="73"/>
      <c r="V228" s="73"/>
      <c r="W228" s="73"/>
      <c r="X228" s="73"/>
      <c r="Y228" s="73"/>
      <c r="Z228" s="73"/>
      <c r="AA228" s="73"/>
      <c r="AB228" s="74"/>
      <c r="AC228" s="73"/>
      <c r="AD228" s="76"/>
      <c r="AE228" s="73"/>
      <c r="AF228" s="73"/>
      <c r="AG228" s="73"/>
      <c r="AH228" s="73"/>
      <c r="AI228" s="73"/>
    </row>
    <row r="229" customFormat="false" ht="15" hidden="false" customHeight="false" outlineLevel="0" collapsed="false">
      <c r="A229" s="71" t="str">
        <f aca="false">IF(D229="","",ROW()-1)</f>
        <v/>
      </c>
      <c r="B229" s="72"/>
      <c r="C229" s="72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4"/>
      <c r="O229" s="73"/>
      <c r="P229" s="74"/>
      <c r="Q229" s="73"/>
      <c r="R229" s="74"/>
      <c r="S229" s="75"/>
      <c r="T229" s="73"/>
      <c r="U229" s="73"/>
      <c r="V229" s="73"/>
      <c r="W229" s="73"/>
      <c r="X229" s="73"/>
      <c r="Y229" s="73"/>
      <c r="Z229" s="73"/>
      <c r="AA229" s="73"/>
      <c r="AB229" s="74"/>
      <c r="AC229" s="73"/>
      <c r="AD229" s="76"/>
      <c r="AE229" s="73"/>
      <c r="AF229" s="73"/>
      <c r="AG229" s="73"/>
      <c r="AH229" s="73"/>
      <c r="AI229" s="73"/>
    </row>
    <row r="230" customFormat="false" ht="15" hidden="false" customHeight="false" outlineLevel="0" collapsed="false">
      <c r="A230" s="71" t="str">
        <f aca="false">IF(D230="","",ROW()-1)</f>
        <v/>
      </c>
      <c r="B230" s="72"/>
      <c r="C230" s="72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4"/>
      <c r="O230" s="73"/>
      <c r="P230" s="74"/>
      <c r="Q230" s="73"/>
      <c r="R230" s="74"/>
      <c r="S230" s="75"/>
      <c r="T230" s="73"/>
      <c r="U230" s="73"/>
      <c r="V230" s="73"/>
      <c r="W230" s="73"/>
      <c r="X230" s="73"/>
      <c r="Y230" s="73"/>
      <c r="Z230" s="73"/>
      <c r="AA230" s="73"/>
      <c r="AB230" s="74"/>
      <c r="AC230" s="73"/>
      <c r="AD230" s="76"/>
      <c r="AE230" s="73"/>
      <c r="AF230" s="73"/>
      <c r="AG230" s="73"/>
      <c r="AH230" s="73"/>
      <c r="AI230" s="73"/>
    </row>
    <row r="231" customFormat="false" ht="15" hidden="false" customHeight="false" outlineLevel="0" collapsed="false">
      <c r="A231" s="71" t="str">
        <f aca="false">IF(D231="","",ROW()-1)</f>
        <v/>
      </c>
      <c r="B231" s="72"/>
      <c r="C231" s="72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4"/>
      <c r="O231" s="73"/>
      <c r="P231" s="74"/>
      <c r="Q231" s="73"/>
      <c r="R231" s="74"/>
      <c r="S231" s="75"/>
      <c r="T231" s="73"/>
      <c r="U231" s="73"/>
      <c r="V231" s="73"/>
      <c r="W231" s="73"/>
      <c r="X231" s="73"/>
      <c r="Y231" s="73"/>
      <c r="Z231" s="73"/>
      <c r="AA231" s="73"/>
      <c r="AB231" s="74"/>
      <c r="AC231" s="73"/>
      <c r="AD231" s="76"/>
      <c r="AE231" s="73"/>
      <c r="AF231" s="73"/>
      <c r="AG231" s="73"/>
      <c r="AH231" s="73"/>
      <c r="AI231" s="73"/>
    </row>
    <row r="232" customFormat="false" ht="15" hidden="false" customHeight="false" outlineLevel="0" collapsed="false">
      <c r="A232" s="71" t="str">
        <f aca="false">IF(D232="","",ROW()-1)</f>
        <v/>
      </c>
      <c r="B232" s="72"/>
      <c r="C232" s="72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4"/>
      <c r="O232" s="73"/>
      <c r="P232" s="74"/>
      <c r="Q232" s="73"/>
      <c r="R232" s="74"/>
      <c r="S232" s="75"/>
      <c r="T232" s="73"/>
      <c r="U232" s="73"/>
      <c r="V232" s="73"/>
      <c r="W232" s="73"/>
      <c r="X232" s="73"/>
      <c r="Y232" s="73"/>
      <c r="Z232" s="73"/>
      <c r="AA232" s="73"/>
      <c r="AB232" s="74"/>
      <c r="AC232" s="73"/>
      <c r="AD232" s="76"/>
      <c r="AE232" s="73"/>
      <c r="AF232" s="73"/>
      <c r="AG232" s="73"/>
      <c r="AH232" s="73"/>
      <c r="AI232" s="73"/>
    </row>
    <row r="233" customFormat="false" ht="15" hidden="false" customHeight="false" outlineLevel="0" collapsed="false">
      <c r="A233" s="71" t="str">
        <f aca="false">IF(D233="","",ROW()-1)</f>
        <v/>
      </c>
      <c r="B233" s="72"/>
      <c r="C233" s="72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4"/>
      <c r="O233" s="73"/>
      <c r="P233" s="74"/>
      <c r="Q233" s="73"/>
      <c r="R233" s="74"/>
      <c r="S233" s="75"/>
      <c r="T233" s="73"/>
      <c r="U233" s="73"/>
      <c r="V233" s="73"/>
      <c r="W233" s="73"/>
      <c r="X233" s="73"/>
      <c r="Y233" s="73"/>
      <c r="Z233" s="73"/>
      <c r="AA233" s="73"/>
      <c r="AB233" s="74"/>
      <c r="AC233" s="73"/>
      <c r="AD233" s="76"/>
      <c r="AE233" s="73"/>
      <c r="AF233" s="73"/>
      <c r="AG233" s="73"/>
      <c r="AH233" s="73"/>
      <c r="AI233" s="73"/>
    </row>
    <row r="234" customFormat="false" ht="15" hidden="false" customHeight="false" outlineLevel="0" collapsed="false">
      <c r="A234" s="71" t="str">
        <f aca="false">IF(D234="","",ROW()-1)</f>
        <v/>
      </c>
      <c r="B234" s="72"/>
      <c r="C234" s="72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4"/>
      <c r="O234" s="73"/>
      <c r="P234" s="74"/>
      <c r="Q234" s="73"/>
      <c r="R234" s="74"/>
      <c r="S234" s="75"/>
      <c r="T234" s="73"/>
      <c r="U234" s="73"/>
      <c r="V234" s="73"/>
      <c r="W234" s="73"/>
      <c r="X234" s="73"/>
      <c r="Y234" s="73"/>
      <c r="Z234" s="73"/>
      <c r="AA234" s="73"/>
      <c r="AB234" s="74"/>
      <c r="AC234" s="73"/>
      <c r="AD234" s="76"/>
      <c r="AE234" s="73"/>
      <c r="AF234" s="73"/>
      <c r="AG234" s="73"/>
      <c r="AH234" s="73"/>
      <c r="AI234" s="73"/>
    </row>
    <row r="235" customFormat="false" ht="15" hidden="false" customHeight="false" outlineLevel="0" collapsed="false">
      <c r="A235" s="71" t="str">
        <f aca="false">IF(D235="","",ROW()-1)</f>
        <v/>
      </c>
      <c r="B235" s="72"/>
      <c r="C235" s="72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4"/>
      <c r="O235" s="73"/>
      <c r="P235" s="74"/>
      <c r="Q235" s="73"/>
      <c r="R235" s="74"/>
      <c r="S235" s="75"/>
      <c r="T235" s="73"/>
      <c r="U235" s="73"/>
      <c r="V235" s="73"/>
      <c r="W235" s="73"/>
      <c r="X235" s="73"/>
      <c r="Y235" s="73"/>
      <c r="Z235" s="73"/>
      <c r="AA235" s="73"/>
      <c r="AB235" s="74"/>
      <c r="AC235" s="73"/>
      <c r="AD235" s="76"/>
      <c r="AE235" s="73"/>
      <c r="AF235" s="73"/>
      <c r="AG235" s="73"/>
      <c r="AH235" s="73"/>
      <c r="AI235" s="73"/>
    </row>
    <row r="236" customFormat="false" ht="15" hidden="false" customHeight="false" outlineLevel="0" collapsed="false">
      <c r="A236" s="71" t="str">
        <f aca="false">IF(D236="","",ROW()-1)</f>
        <v/>
      </c>
      <c r="B236" s="72"/>
      <c r="C236" s="72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4"/>
      <c r="O236" s="73"/>
      <c r="P236" s="74"/>
      <c r="Q236" s="73"/>
      <c r="R236" s="74"/>
      <c r="S236" s="75"/>
      <c r="T236" s="73"/>
      <c r="U236" s="73"/>
      <c r="V236" s="73"/>
      <c r="W236" s="73"/>
      <c r="X236" s="73"/>
      <c r="Y236" s="73"/>
      <c r="Z236" s="73"/>
      <c r="AA236" s="73"/>
      <c r="AB236" s="74"/>
      <c r="AC236" s="73"/>
      <c r="AD236" s="76"/>
      <c r="AE236" s="73"/>
      <c r="AF236" s="73"/>
      <c r="AG236" s="73"/>
      <c r="AH236" s="73"/>
      <c r="AI236" s="73"/>
    </row>
    <row r="237" customFormat="false" ht="15" hidden="false" customHeight="false" outlineLevel="0" collapsed="false">
      <c r="A237" s="71" t="str">
        <f aca="false">IF(D237="","",ROW()-1)</f>
        <v/>
      </c>
      <c r="B237" s="72"/>
      <c r="C237" s="72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4"/>
      <c r="O237" s="73"/>
      <c r="P237" s="74"/>
      <c r="Q237" s="73"/>
      <c r="R237" s="74"/>
      <c r="S237" s="75"/>
      <c r="T237" s="73"/>
      <c r="U237" s="73"/>
      <c r="V237" s="73"/>
      <c r="W237" s="73"/>
      <c r="X237" s="73"/>
      <c r="Y237" s="73"/>
      <c r="Z237" s="73"/>
      <c r="AA237" s="73"/>
      <c r="AB237" s="74"/>
      <c r="AC237" s="73"/>
      <c r="AD237" s="76"/>
      <c r="AE237" s="73"/>
      <c r="AF237" s="73"/>
      <c r="AG237" s="73"/>
      <c r="AH237" s="73"/>
      <c r="AI237" s="73"/>
    </row>
    <row r="238" customFormat="false" ht="15" hidden="false" customHeight="false" outlineLevel="0" collapsed="false">
      <c r="A238" s="71" t="str">
        <f aca="false">IF(D238="","",ROW()-1)</f>
        <v/>
      </c>
      <c r="B238" s="72"/>
      <c r="C238" s="72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4"/>
      <c r="O238" s="73"/>
      <c r="P238" s="74"/>
      <c r="Q238" s="73"/>
      <c r="R238" s="74"/>
      <c r="S238" s="75"/>
      <c r="T238" s="73"/>
      <c r="U238" s="73"/>
      <c r="V238" s="73"/>
      <c r="W238" s="73"/>
      <c r="X238" s="73"/>
      <c r="Y238" s="73"/>
      <c r="Z238" s="73"/>
      <c r="AA238" s="73"/>
      <c r="AB238" s="74"/>
      <c r="AC238" s="73"/>
      <c r="AD238" s="76"/>
      <c r="AE238" s="73"/>
      <c r="AF238" s="73"/>
      <c r="AG238" s="73"/>
      <c r="AH238" s="73"/>
      <c r="AI238" s="73"/>
    </row>
    <row r="239" customFormat="false" ht="15" hidden="false" customHeight="false" outlineLevel="0" collapsed="false">
      <c r="A239" s="71" t="str">
        <f aca="false">IF(D239="","",ROW()-1)</f>
        <v/>
      </c>
      <c r="B239" s="72"/>
      <c r="C239" s="72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4"/>
      <c r="O239" s="73"/>
      <c r="P239" s="74"/>
      <c r="Q239" s="73"/>
      <c r="R239" s="74"/>
      <c r="S239" s="75"/>
      <c r="T239" s="73"/>
      <c r="U239" s="73"/>
      <c r="V239" s="73"/>
      <c r="W239" s="73"/>
      <c r="X239" s="73"/>
      <c r="Y239" s="73"/>
      <c r="Z239" s="73"/>
      <c r="AA239" s="73"/>
      <c r="AB239" s="74"/>
      <c r="AC239" s="73"/>
      <c r="AD239" s="76"/>
      <c r="AE239" s="73"/>
      <c r="AF239" s="73"/>
      <c r="AG239" s="73"/>
      <c r="AH239" s="73"/>
      <c r="AI239" s="73"/>
    </row>
    <row r="240" customFormat="false" ht="15" hidden="false" customHeight="false" outlineLevel="0" collapsed="false">
      <c r="A240" s="71" t="str">
        <f aca="false">IF(D240="","",ROW()-1)</f>
        <v/>
      </c>
      <c r="B240" s="72"/>
      <c r="C240" s="72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4"/>
      <c r="O240" s="73"/>
      <c r="P240" s="74"/>
      <c r="Q240" s="73"/>
      <c r="R240" s="74"/>
      <c r="S240" s="75"/>
      <c r="T240" s="73"/>
      <c r="U240" s="73"/>
      <c r="V240" s="73"/>
      <c r="W240" s="73"/>
      <c r="X240" s="73"/>
      <c r="Y240" s="73"/>
      <c r="Z240" s="73"/>
      <c r="AA240" s="73"/>
      <c r="AB240" s="74"/>
      <c r="AC240" s="73"/>
      <c r="AD240" s="76"/>
      <c r="AE240" s="73"/>
      <c r="AF240" s="73"/>
      <c r="AG240" s="73"/>
      <c r="AH240" s="73"/>
      <c r="AI240" s="73"/>
    </row>
    <row r="241" customFormat="false" ht="15" hidden="false" customHeight="false" outlineLevel="0" collapsed="false">
      <c r="A241" s="71" t="str">
        <f aca="false">IF(D241="","",ROW()-1)</f>
        <v/>
      </c>
      <c r="B241" s="72"/>
      <c r="C241" s="72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4"/>
      <c r="O241" s="73"/>
      <c r="P241" s="74"/>
      <c r="Q241" s="73"/>
      <c r="R241" s="74"/>
      <c r="S241" s="75"/>
      <c r="T241" s="73"/>
      <c r="U241" s="73"/>
      <c r="V241" s="73"/>
      <c r="W241" s="73"/>
      <c r="X241" s="73"/>
      <c r="Y241" s="73"/>
      <c r="Z241" s="73"/>
      <c r="AA241" s="73"/>
      <c r="AB241" s="74"/>
      <c r="AC241" s="73"/>
      <c r="AD241" s="76"/>
      <c r="AE241" s="73"/>
      <c r="AF241" s="73"/>
      <c r="AG241" s="73"/>
      <c r="AH241" s="73"/>
      <c r="AI241" s="73"/>
    </row>
    <row r="242" customFormat="false" ht="15" hidden="false" customHeight="false" outlineLevel="0" collapsed="false">
      <c r="A242" s="71" t="str">
        <f aca="false">IF(D242="","",ROW()-1)</f>
        <v/>
      </c>
      <c r="B242" s="72"/>
      <c r="C242" s="72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4"/>
      <c r="O242" s="73"/>
      <c r="P242" s="74"/>
      <c r="Q242" s="73"/>
      <c r="R242" s="74"/>
      <c r="S242" s="75"/>
      <c r="T242" s="73"/>
      <c r="U242" s="73"/>
      <c r="V242" s="73"/>
      <c r="W242" s="73"/>
      <c r="X242" s="73"/>
      <c r="Y242" s="73"/>
      <c r="Z242" s="73"/>
      <c r="AA242" s="73"/>
      <c r="AB242" s="74"/>
      <c r="AC242" s="73"/>
      <c r="AD242" s="76"/>
      <c r="AE242" s="73"/>
      <c r="AF242" s="73"/>
      <c r="AG242" s="73"/>
      <c r="AH242" s="73"/>
      <c r="AI242" s="73"/>
    </row>
    <row r="243" customFormat="false" ht="15" hidden="false" customHeight="false" outlineLevel="0" collapsed="false">
      <c r="A243" s="71" t="str">
        <f aca="false">IF(D243="","",ROW()-1)</f>
        <v/>
      </c>
      <c r="B243" s="72"/>
      <c r="C243" s="72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4"/>
      <c r="O243" s="73"/>
      <c r="P243" s="74"/>
      <c r="Q243" s="73"/>
      <c r="R243" s="74"/>
      <c r="S243" s="75"/>
      <c r="T243" s="73"/>
      <c r="U243" s="73"/>
      <c r="V243" s="73"/>
      <c r="W243" s="73"/>
      <c r="X243" s="73"/>
      <c r="Y243" s="73"/>
      <c r="Z243" s="73"/>
      <c r="AA243" s="73"/>
      <c r="AB243" s="74"/>
      <c r="AC243" s="73"/>
      <c r="AD243" s="76"/>
      <c r="AE243" s="73"/>
      <c r="AF243" s="73"/>
      <c r="AG243" s="73"/>
      <c r="AH243" s="73"/>
      <c r="AI243" s="73"/>
    </row>
    <row r="244" customFormat="false" ht="15" hidden="false" customHeight="false" outlineLevel="0" collapsed="false">
      <c r="A244" s="71" t="str">
        <f aca="false">IF(D244="","",ROW()-1)</f>
        <v/>
      </c>
      <c r="B244" s="72"/>
      <c r="C244" s="72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4"/>
      <c r="O244" s="73"/>
      <c r="P244" s="74"/>
      <c r="Q244" s="73"/>
      <c r="R244" s="74"/>
      <c r="S244" s="75"/>
      <c r="T244" s="73"/>
      <c r="U244" s="73"/>
      <c r="V244" s="73"/>
      <c r="W244" s="73"/>
      <c r="X244" s="73"/>
      <c r="Y244" s="73"/>
      <c r="Z244" s="73"/>
      <c r="AA244" s="73"/>
      <c r="AB244" s="74"/>
      <c r="AC244" s="73"/>
      <c r="AD244" s="76"/>
      <c r="AE244" s="73"/>
      <c r="AF244" s="73"/>
      <c r="AG244" s="73"/>
      <c r="AH244" s="73"/>
      <c r="AI244" s="73"/>
    </row>
    <row r="245" customFormat="false" ht="15" hidden="false" customHeight="false" outlineLevel="0" collapsed="false">
      <c r="A245" s="71" t="str">
        <f aca="false">IF(D245="","",ROW()-1)</f>
        <v/>
      </c>
      <c r="B245" s="72"/>
      <c r="C245" s="72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4"/>
      <c r="O245" s="73"/>
      <c r="P245" s="74"/>
      <c r="Q245" s="73"/>
      <c r="R245" s="74"/>
      <c r="S245" s="75"/>
      <c r="T245" s="73"/>
      <c r="U245" s="73"/>
      <c r="V245" s="73"/>
      <c r="W245" s="73"/>
      <c r="X245" s="73"/>
      <c r="Y245" s="73"/>
      <c r="Z245" s="73"/>
      <c r="AA245" s="73"/>
      <c r="AB245" s="74"/>
      <c r="AC245" s="73"/>
      <c r="AD245" s="76"/>
      <c r="AE245" s="73"/>
      <c r="AF245" s="73"/>
      <c r="AG245" s="73"/>
      <c r="AH245" s="73"/>
      <c r="AI245" s="73"/>
    </row>
    <row r="246" customFormat="false" ht="15" hidden="false" customHeight="false" outlineLevel="0" collapsed="false">
      <c r="A246" s="71" t="str">
        <f aca="false">IF(D246="","",ROW()-1)</f>
        <v/>
      </c>
      <c r="B246" s="72"/>
      <c r="C246" s="72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4"/>
      <c r="O246" s="73"/>
      <c r="P246" s="74"/>
      <c r="Q246" s="73"/>
      <c r="R246" s="74"/>
      <c r="S246" s="75"/>
      <c r="T246" s="73"/>
      <c r="U246" s="73"/>
      <c r="V246" s="73"/>
      <c r="W246" s="73"/>
      <c r="X246" s="73"/>
      <c r="Y246" s="73"/>
      <c r="Z246" s="73"/>
      <c r="AA246" s="73"/>
      <c r="AB246" s="74"/>
      <c r="AC246" s="73"/>
      <c r="AD246" s="76"/>
      <c r="AE246" s="73"/>
      <c r="AF246" s="73"/>
      <c r="AG246" s="73"/>
      <c r="AH246" s="73"/>
      <c r="AI246" s="73"/>
    </row>
    <row r="247" customFormat="false" ht="15" hidden="false" customHeight="false" outlineLevel="0" collapsed="false">
      <c r="A247" s="71" t="str">
        <f aca="false">IF(D247="","",ROW()-1)</f>
        <v/>
      </c>
      <c r="B247" s="72"/>
      <c r="C247" s="72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4"/>
      <c r="O247" s="73"/>
      <c r="P247" s="74"/>
      <c r="Q247" s="73"/>
      <c r="R247" s="74"/>
      <c r="S247" s="75"/>
      <c r="T247" s="73"/>
      <c r="U247" s="73"/>
      <c r="V247" s="73"/>
      <c r="W247" s="73"/>
      <c r="X247" s="73"/>
      <c r="Y247" s="73"/>
      <c r="Z247" s="73"/>
      <c r="AA247" s="73"/>
      <c r="AB247" s="74"/>
      <c r="AC247" s="73"/>
      <c r="AD247" s="76"/>
      <c r="AE247" s="73"/>
      <c r="AF247" s="73"/>
      <c r="AG247" s="73"/>
      <c r="AH247" s="73"/>
      <c r="AI247" s="73"/>
    </row>
    <row r="248" customFormat="false" ht="15" hidden="false" customHeight="false" outlineLevel="0" collapsed="false">
      <c r="A248" s="71" t="str">
        <f aca="false">IF(D248="","",ROW()-1)</f>
        <v/>
      </c>
      <c r="B248" s="72"/>
      <c r="C248" s="72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4"/>
      <c r="O248" s="73"/>
      <c r="P248" s="74"/>
      <c r="Q248" s="73"/>
      <c r="R248" s="74"/>
      <c r="S248" s="75"/>
      <c r="T248" s="73"/>
      <c r="U248" s="73"/>
      <c r="V248" s="73"/>
      <c r="W248" s="73"/>
      <c r="X248" s="73"/>
      <c r="Y248" s="73"/>
      <c r="Z248" s="73"/>
      <c r="AA248" s="73"/>
      <c r="AB248" s="74"/>
      <c r="AC248" s="73"/>
      <c r="AD248" s="76"/>
      <c r="AE248" s="73"/>
      <c r="AF248" s="73"/>
      <c r="AG248" s="73"/>
      <c r="AH248" s="73"/>
      <c r="AI248" s="73"/>
    </row>
    <row r="249" customFormat="false" ht="15" hidden="false" customHeight="false" outlineLevel="0" collapsed="false">
      <c r="A249" s="71" t="str">
        <f aca="false">IF(D249="","",ROW()-1)</f>
        <v/>
      </c>
      <c r="B249" s="72"/>
      <c r="C249" s="72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4"/>
      <c r="O249" s="73"/>
      <c r="P249" s="74"/>
      <c r="Q249" s="73"/>
      <c r="R249" s="74"/>
      <c r="S249" s="75"/>
      <c r="T249" s="73"/>
      <c r="U249" s="73"/>
      <c r="V249" s="73"/>
      <c r="W249" s="73"/>
      <c r="X249" s="73"/>
      <c r="Y249" s="73"/>
      <c r="Z249" s="73"/>
      <c r="AA249" s="73"/>
      <c r="AB249" s="74"/>
      <c r="AC249" s="73"/>
      <c r="AD249" s="76"/>
      <c r="AE249" s="73"/>
      <c r="AF249" s="73"/>
      <c r="AG249" s="73"/>
      <c r="AH249" s="73"/>
      <c r="AI249" s="73"/>
    </row>
    <row r="250" customFormat="false" ht="15" hidden="false" customHeight="false" outlineLevel="0" collapsed="false">
      <c r="A250" s="71" t="str">
        <f aca="false">IF(D250="","",ROW()-1)</f>
        <v/>
      </c>
      <c r="B250" s="72"/>
      <c r="C250" s="72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4"/>
      <c r="O250" s="73"/>
      <c r="P250" s="74"/>
      <c r="Q250" s="73"/>
      <c r="R250" s="74"/>
      <c r="S250" s="75"/>
      <c r="T250" s="73"/>
      <c r="U250" s="73"/>
      <c r="V250" s="73"/>
      <c r="W250" s="73"/>
      <c r="X250" s="73"/>
      <c r="Y250" s="73"/>
      <c r="Z250" s="73"/>
      <c r="AA250" s="73"/>
      <c r="AB250" s="74"/>
      <c r="AC250" s="73"/>
      <c r="AD250" s="76"/>
      <c r="AE250" s="73"/>
      <c r="AF250" s="73"/>
      <c r="AG250" s="73"/>
      <c r="AH250" s="73"/>
      <c r="AI250" s="73"/>
    </row>
    <row r="251" customFormat="false" ht="15" hidden="false" customHeight="false" outlineLevel="0" collapsed="false">
      <c r="A251" s="71" t="str">
        <f aca="false">IF(D251="","",ROW()-1)</f>
        <v/>
      </c>
      <c r="B251" s="72"/>
      <c r="C251" s="72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4"/>
      <c r="O251" s="73"/>
      <c r="P251" s="74"/>
      <c r="Q251" s="73"/>
      <c r="R251" s="74"/>
      <c r="S251" s="75"/>
      <c r="T251" s="73"/>
      <c r="U251" s="73"/>
      <c r="V251" s="73"/>
      <c r="W251" s="73"/>
      <c r="X251" s="73"/>
      <c r="Y251" s="73"/>
      <c r="Z251" s="73"/>
      <c r="AA251" s="73"/>
      <c r="AB251" s="74"/>
      <c r="AC251" s="73"/>
      <c r="AD251" s="76"/>
      <c r="AE251" s="73"/>
      <c r="AF251" s="73"/>
      <c r="AG251" s="73"/>
      <c r="AH251" s="73"/>
      <c r="AI251" s="73"/>
    </row>
    <row r="252" customFormat="false" ht="15" hidden="false" customHeight="false" outlineLevel="0" collapsed="false">
      <c r="A252" s="71" t="str">
        <f aca="false">IF(D252="","",ROW()-1)</f>
        <v/>
      </c>
      <c r="B252" s="72"/>
      <c r="C252" s="72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4"/>
      <c r="O252" s="73"/>
      <c r="P252" s="74"/>
      <c r="Q252" s="73"/>
      <c r="R252" s="74"/>
      <c r="S252" s="75"/>
      <c r="T252" s="73"/>
      <c r="U252" s="73"/>
      <c r="V252" s="73"/>
      <c r="W252" s="73"/>
      <c r="X252" s="73"/>
      <c r="Y252" s="73"/>
      <c r="Z252" s="73"/>
      <c r="AA252" s="73"/>
      <c r="AB252" s="74"/>
      <c r="AC252" s="73"/>
      <c r="AD252" s="76"/>
      <c r="AE252" s="73"/>
      <c r="AF252" s="73"/>
      <c r="AG252" s="73"/>
      <c r="AH252" s="73"/>
      <c r="AI252" s="73"/>
    </row>
    <row r="253" customFormat="false" ht="15" hidden="false" customHeight="false" outlineLevel="0" collapsed="false">
      <c r="A253" s="71" t="str">
        <f aca="false">IF(D253="","",ROW()-1)</f>
        <v/>
      </c>
      <c r="B253" s="72"/>
      <c r="C253" s="72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4"/>
      <c r="O253" s="73"/>
      <c r="P253" s="74"/>
      <c r="Q253" s="73"/>
      <c r="R253" s="74"/>
      <c r="S253" s="75"/>
      <c r="T253" s="73"/>
      <c r="U253" s="73"/>
      <c r="V253" s="73"/>
      <c r="W253" s="73"/>
      <c r="X253" s="73"/>
      <c r="Y253" s="73"/>
      <c r="Z253" s="73"/>
      <c r="AA253" s="73"/>
      <c r="AB253" s="74"/>
      <c r="AC253" s="73"/>
      <c r="AD253" s="76"/>
      <c r="AE253" s="73"/>
      <c r="AF253" s="73"/>
      <c r="AG253" s="73"/>
      <c r="AH253" s="73"/>
      <c r="AI253" s="73"/>
    </row>
    <row r="254" customFormat="false" ht="15" hidden="false" customHeight="false" outlineLevel="0" collapsed="false">
      <c r="A254" s="71" t="str">
        <f aca="false">IF(D254="","",ROW()-1)</f>
        <v/>
      </c>
      <c r="B254" s="72"/>
      <c r="C254" s="72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4"/>
      <c r="O254" s="73"/>
      <c r="P254" s="74"/>
      <c r="Q254" s="73"/>
      <c r="R254" s="74"/>
      <c r="S254" s="75"/>
      <c r="T254" s="73"/>
      <c r="U254" s="73"/>
      <c r="V254" s="73"/>
      <c r="W254" s="73"/>
      <c r="X254" s="73"/>
      <c r="Y254" s="73"/>
      <c r="Z254" s="73"/>
      <c r="AA254" s="73"/>
      <c r="AB254" s="74"/>
      <c r="AC254" s="73"/>
      <c r="AD254" s="76"/>
      <c r="AE254" s="73"/>
      <c r="AF254" s="73"/>
      <c r="AG254" s="73"/>
      <c r="AH254" s="73"/>
      <c r="AI254" s="73"/>
    </row>
    <row r="255" customFormat="false" ht="15" hidden="false" customHeight="false" outlineLevel="0" collapsed="false">
      <c r="A255" s="71" t="str">
        <f aca="false">IF(D255="","",ROW()-1)</f>
        <v/>
      </c>
      <c r="B255" s="72"/>
      <c r="C255" s="72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4"/>
      <c r="O255" s="73"/>
      <c r="P255" s="74"/>
      <c r="Q255" s="73"/>
      <c r="R255" s="74"/>
      <c r="S255" s="75"/>
      <c r="T255" s="73"/>
      <c r="U255" s="73"/>
      <c r="V255" s="73"/>
      <c r="W255" s="73"/>
      <c r="X255" s="73"/>
      <c r="Y255" s="73"/>
      <c r="Z255" s="73"/>
      <c r="AA255" s="73"/>
      <c r="AB255" s="74"/>
      <c r="AC255" s="73"/>
      <c r="AD255" s="76"/>
      <c r="AE255" s="73"/>
      <c r="AF255" s="73"/>
      <c r="AG255" s="73"/>
      <c r="AH255" s="73"/>
      <c r="AI255" s="73"/>
    </row>
    <row r="256" customFormat="false" ht="15" hidden="false" customHeight="false" outlineLevel="0" collapsed="false">
      <c r="A256" s="71" t="str">
        <f aca="false">IF(D256="","",ROW()-1)</f>
        <v/>
      </c>
      <c r="B256" s="72"/>
      <c r="C256" s="72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4"/>
      <c r="O256" s="73"/>
      <c r="P256" s="74"/>
      <c r="Q256" s="73"/>
      <c r="R256" s="74"/>
      <c r="S256" s="75"/>
      <c r="T256" s="73"/>
      <c r="U256" s="73"/>
      <c r="V256" s="73"/>
      <c r="W256" s="73"/>
      <c r="X256" s="73"/>
      <c r="Y256" s="73"/>
      <c r="Z256" s="73"/>
      <c r="AA256" s="73"/>
      <c r="AB256" s="74"/>
      <c r="AC256" s="73"/>
      <c r="AD256" s="76"/>
      <c r="AE256" s="73"/>
      <c r="AF256" s="73"/>
      <c r="AG256" s="73"/>
      <c r="AH256" s="73"/>
      <c r="AI256" s="73"/>
    </row>
    <row r="257" customFormat="false" ht="15" hidden="false" customHeight="false" outlineLevel="0" collapsed="false">
      <c r="A257" s="71" t="str">
        <f aca="false">IF(D257="","",ROW()-1)</f>
        <v/>
      </c>
      <c r="B257" s="72"/>
      <c r="C257" s="72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4"/>
      <c r="O257" s="73"/>
      <c r="P257" s="74"/>
      <c r="Q257" s="73"/>
      <c r="R257" s="74"/>
      <c r="S257" s="75"/>
      <c r="T257" s="73"/>
      <c r="U257" s="73"/>
      <c r="V257" s="73"/>
      <c r="W257" s="73"/>
      <c r="X257" s="73"/>
      <c r="Y257" s="73"/>
      <c r="Z257" s="73"/>
      <c r="AA257" s="73"/>
      <c r="AB257" s="74"/>
      <c r="AC257" s="73"/>
      <c r="AD257" s="76"/>
      <c r="AE257" s="73"/>
      <c r="AF257" s="73"/>
      <c r="AG257" s="73"/>
      <c r="AH257" s="73"/>
      <c r="AI257" s="73"/>
    </row>
    <row r="258" customFormat="false" ht="15" hidden="false" customHeight="false" outlineLevel="0" collapsed="false">
      <c r="A258" s="71" t="str">
        <f aca="false">IF(D258="","",ROW()-1)</f>
        <v/>
      </c>
      <c r="B258" s="72"/>
      <c r="C258" s="72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4"/>
      <c r="O258" s="73"/>
      <c r="P258" s="74"/>
      <c r="Q258" s="73"/>
      <c r="R258" s="74"/>
      <c r="S258" s="75"/>
      <c r="T258" s="73"/>
      <c r="U258" s="73"/>
      <c r="V258" s="73"/>
      <c r="W258" s="73"/>
      <c r="X258" s="73"/>
      <c r="Y258" s="73"/>
      <c r="Z258" s="73"/>
      <c r="AA258" s="73"/>
      <c r="AB258" s="74"/>
      <c r="AC258" s="73"/>
      <c r="AD258" s="76"/>
      <c r="AE258" s="73"/>
      <c r="AF258" s="73"/>
      <c r="AG258" s="73"/>
      <c r="AH258" s="73"/>
      <c r="AI258" s="73"/>
    </row>
    <row r="259" customFormat="false" ht="15" hidden="false" customHeight="false" outlineLevel="0" collapsed="false">
      <c r="A259" s="71" t="str">
        <f aca="false">IF(D259="","",ROW()-1)</f>
        <v/>
      </c>
      <c r="B259" s="72"/>
      <c r="C259" s="72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4"/>
      <c r="O259" s="73"/>
      <c r="P259" s="74"/>
      <c r="Q259" s="73"/>
      <c r="R259" s="74"/>
      <c r="S259" s="75"/>
      <c r="T259" s="73"/>
      <c r="U259" s="73"/>
      <c r="V259" s="73"/>
      <c r="W259" s="73"/>
      <c r="X259" s="73"/>
      <c r="Y259" s="73"/>
      <c r="Z259" s="73"/>
      <c r="AA259" s="73"/>
      <c r="AB259" s="74"/>
      <c r="AC259" s="73"/>
      <c r="AD259" s="76"/>
      <c r="AE259" s="73"/>
      <c r="AF259" s="73"/>
      <c r="AG259" s="73"/>
      <c r="AH259" s="73"/>
      <c r="AI259" s="73"/>
    </row>
    <row r="260" customFormat="false" ht="15" hidden="false" customHeight="false" outlineLevel="0" collapsed="false">
      <c r="A260" s="71" t="str">
        <f aca="false">IF(D260="","",ROW()-1)</f>
        <v/>
      </c>
      <c r="B260" s="72"/>
      <c r="C260" s="72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4"/>
      <c r="O260" s="73"/>
      <c r="P260" s="74"/>
      <c r="Q260" s="73"/>
      <c r="R260" s="74"/>
      <c r="S260" s="75"/>
      <c r="T260" s="73"/>
      <c r="U260" s="73"/>
      <c r="V260" s="73"/>
      <c r="W260" s="73"/>
      <c r="X260" s="73"/>
      <c r="Y260" s="73"/>
      <c r="Z260" s="73"/>
      <c r="AA260" s="73"/>
      <c r="AB260" s="74"/>
      <c r="AC260" s="73"/>
      <c r="AD260" s="76"/>
      <c r="AE260" s="73"/>
      <c r="AF260" s="73"/>
      <c r="AG260" s="73"/>
      <c r="AH260" s="73"/>
      <c r="AI260" s="73"/>
    </row>
    <row r="261" customFormat="false" ht="15" hidden="false" customHeight="false" outlineLevel="0" collapsed="false">
      <c r="A261" s="71" t="str">
        <f aca="false">IF(D261="","",ROW()-1)</f>
        <v/>
      </c>
      <c r="B261" s="72"/>
      <c r="C261" s="72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4"/>
      <c r="O261" s="73"/>
      <c r="P261" s="74"/>
      <c r="Q261" s="73"/>
      <c r="R261" s="74"/>
      <c r="S261" s="75"/>
      <c r="T261" s="73"/>
      <c r="U261" s="73"/>
      <c r="V261" s="73"/>
      <c r="W261" s="73"/>
      <c r="X261" s="73"/>
      <c r="Y261" s="73"/>
      <c r="Z261" s="73"/>
      <c r="AA261" s="73"/>
      <c r="AB261" s="74"/>
      <c r="AC261" s="73"/>
      <c r="AD261" s="76"/>
      <c r="AE261" s="73"/>
      <c r="AF261" s="73"/>
      <c r="AG261" s="73"/>
      <c r="AH261" s="73"/>
      <c r="AI261" s="73"/>
    </row>
    <row r="262" customFormat="false" ht="15" hidden="false" customHeight="false" outlineLevel="0" collapsed="false">
      <c r="A262" s="71" t="str">
        <f aca="false">IF(D262="","",ROW()-1)</f>
        <v/>
      </c>
      <c r="B262" s="72"/>
      <c r="C262" s="72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4"/>
      <c r="O262" s="73"/>
      <c r="P262" s="74"/>
      <c r="Q262" s="73"/>
      <c r="R262" s="74"/>
      <c r="S262" s="75"/>
      <c r="T262" s="73"/>
      <c r="U262" s="73"/>
      <c r="V262" s="73"/>
      <c r="W262" s="73"/>
      <c r="X262" s="73"/>
      <c r="Y262" s="73"/>
      <c r="Z262" s="73"/>
      <c r="AA262" s="73"/>
      <c r="AB262" s="74"/>
      <c r="AC262" s="73"/>
      <c r="AD262" s="76"/>
      <c r="AE262" s="73"/>
      <c r="AF262" s="73"/>
      <c r="AG262" s="73"/>
      <c r="AH262" s="73"/>
      <c r="AI262" s="73"/>
    </row>
    <row r="263" customFormat="false" ht="15" hidden="false" customHeight="false" outlineLevel="0" collapsed="false">
      <c r="A263" s="71" t="str">
        <f aca="false">IF(D263="","",ROW()-1)</f>
        <v/>
      </c>
      <c r="B263" s="72"/>
      <c r="C263" s="72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4"/>
      <c r="O263" s="73"/>
      <c r="P263" s="74"/>
      <c r="Q263" s="73"/>
      <c r="R263" s="74"/>
      <c r="S263" s="75"/>
      <c r="T263" s="73"/>
      <c r="U263" s="73"/>
      <c r="V263" s="73"/>
      <c r="W263" s="73"/>
      <c r="X263" s="73"/>
      <c r="Y263" s="73"/>
      <c r="Z263" s="73"/>
      <c r="AA263" s="73"/>
      <c r="AB263" s="74"/>
      <c r="AC263" s="73"/>
      <c r="AD263" s="76"/>
      <c r="AE263" s="73"/>
      <c r="AF263" s="73"/>
      <c r="AG263" s="73"/>
      <c r="AH263" s="73"/>
      <c r="AI263" s="73"/>
    </row>
    <row r="264" customFormat="false" ht="15" hidden="false" customHeight="false" outlineLevel="0" collapsed="false">
      <c r="A264" s="71" t="str">
        <f aca="false">IF(D264="","",ROW()-1)</f>
        <v/>
      </c>
      <c r="B264" s="72"/>
      <c r="C264" s="72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4"/>
      <c r="O264" s="73"/>
      <c r="P264" s="74"/>
      <c r="Q264" s="73"/>
      <c r="R264" s="74"/>
      <c r="S264" s="75"/>
      <c r="T264" s="73"/>
      <c r="U264" s="73"/>
      <c r="V264" s="73"/>
      <c r="W264" s="73"/>
      <c r="X264" s="73"/>
      <c r="Y264" s="73"/>
      <c r="Z264" s="73"/>
      <c r="AA264" s="73"/>
      <c r="AB264" s="74"/>
      <c r="AC264" s="73"/>
      <c r="AD264" s="76"/>
      <c r="AE264" s="73"/>
      <c r="AF264" s="73"/>
      <c r="AG264" s="73"/>
      <c r="AH264" s="73"/>
      <c r="AI264" s="73"/>
    </row>
    <row r="265" customFormat="false" ht="15" hidden="false" customHeight="false" outlineLevel="0" collapsed="false">
      <c r="A265" s="71" t="str">
        <f aca="false">IF(D265="","",ROW()-1)</f>
        <v/>
      </c>
      <c r="B265" s="72"/>
      <c r="C265" s="72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4"/>
      <c r="O265" s="73"/>
      <c r="P265" s="74"/>
      <c r="Q265" s="73"/>
      <c r="R265" s="74"/>
      <c r="S265" s="75"/>
      <c r="T265" s="73"/>
      <c r="U265" s="73"/>
      <c r="V265" s="73"/>
      <c r="W265" s="73"/>
      <c r="X265" s="73"/>
      <c r="Y265" s="73"/>
      <c r="Z265" s="73"/>
      <c r="AA265" s="73"/>
      <c r="AB265" s="74"/>
      <c r="AC265" s="73"/>
      <c r="AD265" s="76"/>
      <c r="AE265" s="73"/>
      <c r="AF265" s="73"/>
      <c r="AG265" s="73"/>
      <c r="AH265" s="73"/>
      <c r="AI265" s="73"/>
    </row>
    <row r="266" customFormat="false" ht="15" hidden="false" customHeight="false" outlineLevel="0" collapsed="false">
      <c r="A266" s="71" t="str">
        <f aca="false">IF(D266="","",ROW()-1)</f>
        <v/>
      </c>
      <c r="B266" s="72"/>
      <c r="C266" s="72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4"/>
      <c r="O266" s="73"/>
      <c r="P266" s="74"/>
      <c r="Q266" s="73"/>
      <c r="R266" s="74"/>
      <c r="S266" s="75"/>
      <c r="T266" s="73"/>
      <c r="U266" s="73"/>
      <c r="V266" s="73"/>
      <c r="W266" s="73"/>
      <c r="X266" s="73"/>
      <c r="Y266" s="73"/>
      <c r="Z266" s="73"/>
      <c r="AA266" s="73"/>
      <c r="AB266" s="74"/>
      <c r="AC266" s="73"/>
      <c r="AD266" s="76"/>
      <c r="AE266" s="73"/>
      <c r="AF266" s="73"/>
      <c r="AG266" s="73"/>
      <c r="AH266" s="73"/>
      <c r="AI266" s="73"/>
    </row>
    <row r="267" customFormat="false" ht="15" hidden="false" customHeight="false" outlineLevel="0" collapsed="false">
      <c r="A267" s="71" t="str">
        <f aca="false">IF(D267="","",ROW()-1)</f>
        <v/>
      </c>
      <c r="B267" s="72"/>
      <c r="C267" s="72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4"/>
      <c r="O267" s="73"/>
      <c r="P267" s="74"/>
      <c r="Q267" s="73"/>
      <c r="R267" s="74"/>
      <c r="S267" s="75"/>
      <c r="T267" s="73"/>
      <c r="U267" s="73"/>
      <c r="V267" s="73"/>
      <c r="W267" s="73"/>
      <c r="X267" s="73"/>
      <c r="Y267" s="73"/>
      <c r="Z267" s="73"/>
      <c r="AA267" s="73"/>
      <c r="AB267" s="74"/>
      <c r="AC267" s="73"/>
      <c r="AD267" s="76"/>
      <c r="AE267" s="73"/>
      <c r="AF267" s="73"/>
      <c r="AG267" s="73"/>
      <c r="AH267" s="73"/>
      <c r="AI267" s="73"/>
    </row>
    <row r="268" customFormat="false" ht="15" hidden="false" customHeight="false" outlineLevel="0" collapsed="false">
      <c r="A268" s="71" t="str">
        <f aca="false">IF(D268="","",ROW()-1)</f>
        <v/>
      </c>
      <c r="B268" s="72"/>
      <c r="C268" s="72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4"/>
      <c r="O268" s="73"/>
      <c r="P268" s="74"/>
      <c r="Q268" s="73"/>
      <c r="R268" s="74"/>
      <c r="S268" s="75"/>
      <c r="T268" s="73"/>
      <c r="U268" s="73"/>
      <c r="V268" s="73"/>
      <c r="W268" s="73"/>
      <c r="X268" s="73"/>
      <c r="Y268" s="73"/>
      <c r="Z268" s="73"/>
      <c r="AA268" s="73"/>
      <c r="AB268" s="74"/>
      <c r="AC268" s="73"/>
      <c r="AD268" s="76"/>
      <c r="AE268" s="73"/>
      <c r="AF268" s="73"/>
      <c r="AG268" s="73"/>
      <c r="AH268" s="73"/>
      <c r="AI268" s="73"/>
    </row>
    <row r="269" customFormat="false" ht="15" hidden="false" customHeight="false" outlineLevel="0" collapsed="false">
      <c r="A269" s="71" t="str">
        <f aca="false">IF(D269="","",ROW()-1)</f>
        <v/>
      </c>
      <c r="B269" s="72"/>
      <c r="C269" s="72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4"/>
      <c r="O269" s="73"/>
      <c r="P269" s="74"/>
      <c r="Q269" s="73"/>
      <c r="R269" s="74"/>
      <c r="S269" s="75"/>
      <c r="T269" s="73"/>
      <c r="U269" s="73"/>
      <c r="V269" s="73"/>
      <c r="W269" s="73"/>
      <c r="X269" s="73"/>
      <c r="Y269" s="73"/>
      <c r="Z269" s="73"/>
      <c r="AA269" s="73"/>
      <c r="AB269" s="74"/>
      <c r="AC269" s="73"/>
      <c r="AD269" s="76"/>
      <c r="AE269" s="73"/>
      <c r="AF269" s="73"/>
      <c r="AG269" s="73"/>
      <c r="AH269" s="73"/>
      <c r="AI269" s="73"/>
    </row>
    <row r="270" customFormat="false" ht="15" hidden="false" customHeight="false" outlineLevel="0" collapsed="false">
      <c r="A270" s="71" t="str">
        <f aca="false">IF(D270="","",ROW()-1)</f>
        <v/>
      </c>
      <c r="B270" s="72"/>
      <c r="C270" s="72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4"/>
      <c r="O270" s="73"/>
      <c r="P270" s="74"/>
      <c r="Q270" s="73"/>
      <c r="R270" s="74"/>
      <c r="S270" s="75"/>
      <c r="T270" s="73"/>
      <c r="U270" s="73"/>
      <c r="V270" s="73"/>
      <c r="W270" s="73"/>
      <c r="X270" s="73"/>
      <c r="Y270" s="73"/>
      <c r="Z270" s="73"/>
      <c r="AA270" s="73"/>
      <c r="AB270" s="74"/>
      <c r="AC270" s="73"/>
      <c r="AD270" s="76"/>
      <c r="AE270" s="73"/>
      <c r="AF270" s="73"/>
      <c r="AG270" s="73"/>
      <c r="AH270" s="73"/>
      <c r="AI270" s="73"/>
    </row>
    <row r="271" customFormat="false" ht="15" hidden="false" customHeight="false" outlineLevel="0" collapsed="false">
      <c r="A271" s="71" t="str">
        <f aca="false">IF(D271="","",ROW()-1)</f>
        <v/>
      </c>
      <c r="B271" s="72"/>
      <c r="C271" s="72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4"/>
      <c r="O271" s="73"/>
      <c r="P271" s="74"/>
      <c r="Q271" s="73"/>
      <c r="R271" s="74"/>
      <c r="S271" s="75"/>
      <c r="T271" s="73"/>
      <c r="U271" s="73"/>
      <c r="V271" s="73"/>
      <c r="W271" s="73"/>
      <c r="X271" s="73"/>
      <c r="Y271" s="73"/>
      <c r="Z271" s="73"/>
      <c r="AA271" s="73"/>
      <c r="AB271" s="74"/>
      <c r="AC271" s="73"/>
      <c r="AD271" s="76"/>
      <c r="AE271" s="73"/>
      <c r="AF271" s="73"/>
      <c r="AG271" s="73"/>
      <c r="AH271" s="73"/>
      <c r="AI271" s="73"/>
    </row>
    <row r="272" customFormat="false" ht="15" hidden="false" customHeight="false" outlineLevel="0" collapsed="false">
      <c r="A272" s="71" t="str">
        <f aca="false">IF(D272="","",ROW()-1)</f>
        <v/>
      </c>
      <c r="B272" s="72"/>
      <c r="C272" s="72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4"/>
      <c r="O272" s="73"/>
      <c r="P272" s="74"/>
      <c r="Q272" s="73"/>
      <c r="R272" s="74"/>
      <c r="S272" s="75"/>
      <c r="T272" s="73"/>
      <c r="U272" s="73"/>
      <c r="V272" s="73"/>
      <c r="W272" s="73"/>
      <c r="X272" s="73"/>
      <c r="Y272" s="73"/>
      <c r="Z272" s="73"/>
      <c r="AA272" s="73"/>
      <c r="AB272" s="74"/>
      <c r="AC272" s="73"/>
      <c r="AD272" s="76"/>
      <c r="AE272" s="73"/>
      <c r="AF272" s="73"/>
      <c r="AG272" s="73"/>
      <c r="AH272" s="73"/>
      <c r="AI272" s="73"/>
    </row>
    <row r="273" customFormat="false" ht="15" hidden="false" customHeight="false" outlineLevel="0" collapsed="false">
      <c r="A273" s="71" t="str">
        <f aca="false">IF(D273="","",ROW()-1)</f>
        <v/>
      </c>
      <c r="B273" s="72"/>
      <c r="C273" s="72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4"/>
      <c r="O273" s="73"/>
      <c r="P273" s="74"/>
      <c r="Q273" s="73"/>
      <c r="R273" s="74"/>
      <c r="S273" s="75"/>
      <c r="T273" s="73"/>
      <c r="U273" s="73"/>
      <c r="V273" s="73"/>
      <c r="W273" s="73"/>
      <c r="X273" s="73"/>
      <c r="Y273" s="73"/>
      <c r="Z273" s="73"/>
      <c r="AA273" s="73"/>
      <c r="AB273" s="74"/>
      <c r="AC273" s="73"/>
      <c r="AD273" s="76"/>
      <c r="AE273" s="73"/>
      <c r="AF273" s="73"/>
      <c r="AG273" s="73"/>
      <c r="AH273" s="73"/>
      <c r="AI273" s="73"/>
    </row>
    <row r="274" customFormat="false" ht="15" hidden="false" customHeight="false" outlineLevel="0" collapsed="false">
      <c r="A274" s="71" t="str">
        <f aca="false">IF(D274="","",ROW()-1)</f>
        <v/>
      </c>
      <c r="B274" s="72"/>
      <c r="C274" s="72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4"/>
      <c r="O274" s="73"/>
      <c r="P274" s="74"/>
      <c r="Q274" s="73"/>
      <c r="R274" s="74"/>
      <c r="S274" s="75"/>
      <c r="T274" s="73"/>
      <c r="U274" s="73"/>
      <c r="V274" s="73"/>
      <c r="W274" s="73"/>
      <c r="X274" s="73"/>
      <c r="Y274" s="73"/>
      <c r="Z274" s="73"/>
      <c r="AA274" s="73"/>
      <c r="AB274" s="74"/>
      <c r="AC274" s="73"/>
      <c r="AD274" s="76"/>
      <c r="AE274" s="73"/>
      <c r="AF274" s="73"/>
      <c r="AG274" s="73"/>
      <c r="AH274" s="73"/>
      <c r="AI274" s="73"/>
    </row>
    <row r="275" customFormat="false" ht="15" hidden="false" customHeight="false" outlineLevel="0" collapsed="false">
      <c r="A275" s="71" t="str">
        <f aca="false">IF(D275="","",ROW()-1)</f>
        <v/>
      </c>
      <c r="B275" s="72"/>
      <c r="C275" s="72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4"/>
      <c r="O275" s="73"/>
      <c r="P275" s="74"/>
      <c r="Q275" s="73"/>
      <c r="R275" s="74"/>
      <c r="S275" s="75"/>
      <c r="T275" s="73"/>
      <c r="U275" s="73"/>
      <c r="V275" s="73"/>
      <c r="W275" s="73"/>
      <c r="X275" s="73"/>
      <c r="Y275" s="73"/>
      <c r="Z275" s="73"/>
      <c r="AA275" s="73"/>
      <c r="AB275" s="74"/>
      <c r="AC275" s="73"/>
      <c r="AD275" s="76"/>
      <c r="AE275" s="73"/>
      <c r="AF275" s="73"/>
      <c r="AG275" s="73"/>
      <c r="AH275" s="73"/>
      <c r="AI275" s="73"/>
    </row>
    <row r="276" customFormat="false" ht="15" hidden="false" customHeight="false" outlineLevel="0" collapsed="false">
      <c r="A276" s="71" t="str">
        <f aca="false">IF(D276="","",ROW()-1)</f>
        <v/>
      </c>
      <c r="B276" s="72"/>
      <c r="C276" s="72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4"/>
      <c r="O276" s="73"/>
      <c r="P276" s="74"/>
      <c r="Q276" s="73"/>
      <c r="R276" s="74"/>
      <c r="S276" s="75"/>
      <c r="T276" s="73"/>
      <c r="U276" s="73"/>
      <c r="V276" s="73"/>
      <c r="W276" s="73"/>
      <c r="X276" s="73"/>
      <c r="Y276" s="73"/>
      <c r="Z276" s="73"/>
      <c r="AA276" s="73"/>
      <c r="AB276" s="74"/>
      <c r="AC276" s="73"/>
      <c r="AD276" s="76"/>
      <c r="AE276" s="73"/>
      <c r="AF276" s="73"/>
      <c r="AG276" s="73"/>
      <c r="AH276" s="73"/>
      <c r="AI276" s="73"/>
    </row>
    <row r="277" customFormat="false" ht="15" hidden="false" customHeight="false" outlineLevel="0" collapsed="false">
      <c r="A277" s="71" t="str">
        <f aca="false">IF(D277="","",ROW()-1)</f>
        <v/>
      </c>
      <c r="B277" s="72"/>
      <c r="C277" s="72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4"/>
      <c r="O277" s="73"/>
      <c r="P277" s="74"/>
      <c r="Q277" s="73"/>
      <c r="R277" s="74"/>
      <c r="S277" s="75"/>
      <c r="T277" s="73"/>
      <c r="U277" s="73"/>
      <c r="V277" s="73"/>
      <c r="W277" s="73"/>
      <c r="X277" s="73"/>
      <c r="Y277" s="73"/>
      <c r="Z277" s="73"/>
      <c r="AA277" s="73"/>
      <c r="AB277" s="74"/>
      <c r="AC277" s="73"/>
      <c r="AD277" s="76"/>
      <c r="AE277" s="73"/>
      <c r="AF277" s="73"/>
      <c r="AG277" s="73"/>
      <c r="AH277" s="73"/>
      <c r="AI277" s="73"/>
    </row>
    <row r="278" customFormat="false" ht="15" hidden="false" customHeight="false" outlineLevel="0" collapsed="false">
      <c r="A278" s="71" t="str">
        <f aca="false">IF(D278="","",ROW()-1)</f>
        <v/>
      </c>
      <c r="B278" s="72"/>
      <c r="C278" s="72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4"/>
      <c r="O278" s="73"/>
      <c r="P278" s="74"/>
      <c r="Q278" s="73"/>
      <c r="R278" s="74"/>
      <c r="S278" s="75"/>
      <c r="T278" s="73"/>
      <c r="U278" s="73"/>
      <c r="V278" s="73"/>
      <c r="W278" s="73"/>
      <c r="X278" s="73"/>
      <c r="Y278" s="73"/>
      <c r="Z278" s="73"/>
      <c r="AA278" s="73"/>
      <c r="AB278" s="74"/>
      <c r="AC278" s="73"/>
      <c r="AD278" s="76"/>
      <c r="AE278" s="73"/>
      <c r="AF278" s="73"/>
      <c r="AG278" s="73"/>
      <c r="AH278" s="73"/>
      <c r="AI278" s="73"/>
    </row>
    <row r="279" customFormat="false" ht="15" hidden="false" customHeight="false" outlineLevel="0" collapsed="false">
      <c r="A279" s="71" t="str">
        <f aca="false">IF(D279="","",ROW()-1)</f>
        <v/>
      </c>
      <c r="B279" s="72"/>
      <c r="C279" s="72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4"/>
      <c r="O279" s="73"/>
      <c r="P279" s="74"/>
      <c r="Q279" s="73"/>
      <c r="R279" s="74"/>
      <c r="S279" s="75"/>
      <c r="T279" s="73"/>
      <c r="U279" s="73"/>
      <c r="V279" s="73"/>
      <c r="W279" s="73"/>
      <c r="X279" s="73"/>
      <c r="Y279" s="73"/>
      <c r="Z279" s="73"/>
      <c r="AA279" s="73"/>
      <c r="AB279" s="74"/>
      <c r="AC279" s="73"/>
      <c r="AD279" s="76"/>
      <c r="AE279" s="73"/>
      <c r="AF279" s="73"/>
      <c r="AG279" s="73"/>
      <c r="AH279" s="73"/>
      <c r="AI279" s="73"/>
    </row>
    <row r="280" customFormat="false" ht="15" hidden="false" customHeight="false" outlineLevel="0" collapsed="false">
      <c r="A280" s="71" t="str">
        <f aca="false">IF(D280="","",ROW()-1)</f>
        <v/>
      </c>
      <c r="B280" s="72"/>
      <c r="C280" s="72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4"/>
      <c r="O280" s="73"/>
      <c r="P280" s="74"/>
      <c r="Q280" s="73"/>
      <c r="R280" s="74"/>
      <c r="S280" s="75"/>
      <c r="T280" s="73"/>
      <c r="U280" s="73"/>
      <c r="V280" s="73"/>
      <c r="W280" s="73"/>
      <c r="X280" s="73"/>
      <c r="Y280" s="73"/>
      <c r="Z280" s="73"/>
      <c r="AA280" s="73"/>
      <c r="AB280" s="74"/>
      <c r="AC280" s="73"/>
      <c r="AD280" s="76"/>
      <c r="AE280" s="73"/>
      <c r="AF280" s="73"/>
      <c r="AG280" s="73"/>
      <c r="AH280" s="73"/>
      <c r="AI280" s="73"/>
    </row>
    <row r="281" customFormat="false" ht="15" hidden="false" customHeight="false" outlineLevel="0" collapsed="false">
      <c r="A281" s="71" t="str">
        <f aca="false">IF(D281="","",ROW()-1)</f>
        <v/>
      </c>
      <c r="B281" s="72"/>
      <c r="C281" s="72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4"/>
      <c r="O281" s="73"/>
      <c r="P281" s="74"/>
      <c r="Q281" s="73"/>
      <c r="R281" s="74"/>
      <c r="S281" s="75"/>
      <c r="T281" s="73"/>
      <c r="U281" s="73"/>
      <c r="V281" s="73"/>
      <c r="W281" s="73"/>
      <c r="X281" s="73"/>
      <c r="Y281" s="73"/>
      <c r="Z281" s="73"/>
      <c r="AA281" s="73"/>
      <c r="AB281" s="74"/>
      <c r="AC281" s="73"/>
      <c r="AD281" s="76"/>
      <c r="AE281" s="73"/>
      <c r="AF281" s="73"/>
      <c r="AG281" s="73"/>
      <c r="AH281" s="73"/>
      <c r="AI281" s="73"/>
    </row>
    <row r="282" customFormat="false" ht="15" hidden="false" customHeight="false" outlineLevel="0" collapsed="false">
      <c r="A282" s="71" t="str">
        <f aca="false">IF(D282="","",ROW()-1)</f>
        <v/>
      </c>
      <c r="B282" s="72"/>
      <c r="C282" s="72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4"/>
      <c r="O282" s="73"/>
      <c r="P282" s="74"/>
      <c r="Q282" s="73"/>
      <c r="R282" s="74"/>
      <c r="S282" s="75"/>
      <c r="T282" s="73"/>
      <c r="U282" s="73"/>
      <c r="V282" s="73"/>
      <c r="W282" s="73"/>
      <c r="X282" s="73"/>
      <c r="Y282" s="73"/>
      <c r="Z282" s="73"/>
      <c r="AA282" s="73"/>
      <c r="AB282" s="74"/>
      <c r="AC282" s="73"/>
      <c r="AD282" s="76"/>
      <c r="AE282" s="73"/>
      <c r="AF282" s="73"/>
      <c r="AG282" s="73"/>
      <c r="AH282" s="73"/>
      <c r="AI282" s="73"/>
    </row>
    <row r="283" customFormat="false" ht="15" hidden="false" customHeight="false" outlineLevel="0" collapsed="false">
      <c r="A283" s="71" t="str">
        <f aca="false">IF(D283="","",ROW()-1)</f>
        <v/>
      </c>
      <c r="B283" s="72"/>
      <c r="C283" s="72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4"/>
      <c r="O283" s="73"/>
      <c r="P283" s="74"/>
      <c r="Q283" s="73"/>
      <c r="R283" s="74"/>
      <c r="S283" s="75"/>
      <c r="T283" s="73"/>
      <c r="U283" s="73"/>
      <c r="V283" s="73"/>
      <c r="W283" s="73"/>
      <c r="X283" s="73"/>
      <c r="Y283" s="73"/>
      <c r="Z283" s="73"/>
      <c r="AA283" s="73"/>
      <c r="AB283" s="74"/>
      <c r="AC283" s="73"/>
      <c r="AD283" s="76"/>
      <c r="AE283" s="73"/>
      <c r="AF283" s="73"/>
      <c r="AG283" s="73"/>
      <c r="AH283" s="73"/>
      <c r="AI283" s="73"/>
    </row>
    <row r="284" customFormat="false" ht="15" hidden="false" customHeight="false" outlineLevel="0" collapsed="false">
      <c r="A284" s="71" t="str">
        <f aca="false">IF(D284="","",ROW()-1)</f>
        <v/>
      </c>
      <c r="B284" s="72"/>
      <c r="C284" s="72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4"/>
      <c r="O284" s="73"/>
      <c r="P284" s="74"/>
      <c r="Q284" s="73"/>
      <c r="R284" s="74"/>
      <c r="S284" s="75"/>
      <c r="T284" s="73"/>
      <c r="U284" s="73"/>
      <c r="V284" s="73"/>
      <c r="W284" s="73"/>
      <c r="X284" s="73"/>
      <c r="Y284" s="73"/>
      <c r="Z284" s="73"/>
      <c r="AA284" s="73"/>
      <c r="AB284" s="74"/>
      <c r="AC284" s="73"/>
      <c r="AD284" s="76"/>
      <c r="AE284" s="73"/>
      <c r="AF284" s="73"/>
      <c r="AG284" s="73"/>
      <c r="AH284" s="73"/>
      <c r="AI284" s="73"/>
    </row>
    <row r="285" customFormat="false" ht="15" hidden="false" customHeight="false" outlineLevel="0" collapsed="false">
      <c r="A285" s="71" t="str">
        <f aca="false">IF(D285="","",ROW()-1)</f>
        <v/>
      </c>
      <c r="B285" s="72"/>
      <c r="C285" s="72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4"/>
      <c r="O285" s="73"/>
      <c r="P285" s="74"/>
      <c r="Q285" s="73"/>
      <c r="R285" s="74"/>
      <c r="S285" s="75"/>
      <c r="T285" s="73"/>
      <c r="U285" s="73"/>
      <c r="V285" s="73"/>
      <c r="W285" s="73"/>
      <c r="X285" s="73"/>
      <c r="Y285" s="73"/>
      <c r="Z285" s="73"/>
      <c r="AA285" s="73"/>
      <c r="AB285" s="74"/>
      <c r="AC285" s="73"/>
      <c r="AD285" s="76"/>
      <c r="AE285" s="73"/>
      <c r="AF285" s="73"/>
      <c r="AG285" s="73"/>
      <c r="AH285" s="73"/>
      <c r="AI285" s="73"/>
    </row>
    <row r="286" customFormat="false" ht="15" hidden="false" customHeight="false" outlineLevel="0" collapsed="false">
      <c r="A286" s="71" t="str">
        <f aca="false">IF(D286="","",ROW()-1)</f>
        <v/>
      </c>
      <c r="B286" s="72"/>
      <c r="C286" s="72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4"/>
      <c r="O286" s="73"/>
      <c r="P286" s="74"/>
      <c r="Q286" s="73"/>
      <c r="R286" s="74"/>
      <c r="S286" s="75"/>
      <c r="T286" s="73"/>
      <c r="U286" s="73"/>
      <c r="V286" s="73"/>
      <c r="W286" s="73"/>
      <c r="X286" s="73"/>
      <c r="Y286" s="73"/>
      <c r="Z286" s="73"/>
      <c r="AA286" s="73"/>
      <c r="AB286" s="74"/>
      <c r="AC286" s="73"/>
      <c r="AD286" s="76"/>
      <c r="AE286" s="73"/>
      <c r="AF286" s="73"/>
      <c r="AG286" s="73"/>
      <c r="AH286" s="73"/>
      <c r="AI286" s="73"/>
    </row>
    <row r="287" customFormat="false" ht="15" hidden="false" customHeight="false" outlineLevel="0" collapsed="false">
      <c r="A287" s="71" t="str">
        <f aca="false">IF(D287="","",ROW()-1)</f>
        <v/>
      </c>
      <c r="B287" s="72"/>
      <c r="C287" s="72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4"/>
      <c r="O287" s="73"/>
      <c r="P287" s="74"/>
      <c r="Q287" s="73"/>
      <c r="R287" s="74"/>
      <c r="S287" s="75"/>
      <c r="T287" s="73"/>
      <c r="U287" s="73"/>
      <c r="V287" s="73"/>
      <c r="W287" s="73"/>
      <c r="X287" s="73"/>
      <c r="Y287" s="73"/>
      <c r="Z287" s="73"/>
      <c r="AA287" s="73"/>
      <c r="AB287" s="74"/>
      <c r="AC287" s="73"/>
      <c r="AD287" s="76"/>
      <c r="AE287" s="73"/>
      <c r="AF287" s="73"/>
      <c r="AG287" s="73"/>
      <c r="AH287" s="73"/>
      <c r="AI287" s="73"/>
    </row>
    <row r="288" customFormat="false" ht="15" hidden="false" customHeight="false" outlineLevel="0" collapsed="false">
      <c r="A288" s="71" t="str">
        <f aca="false">IF(D288="","",ROW()-1)</f>
        <v/>
      </c>
      <c r="B288" s="72"/>
      <c r="C288" s="72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4"/>
      <c r="O288" s="73"/>
      <c r="P288" s="74"/>
      <c r="Q288" s="73"/>
      <c r="R288" s="74"/>
      <c r="S288" s="75"/>
      <c r="T288" s="73"/>
      <c r="U288" s="73"/>
      <c r="V288" s="73"/>
      <c r="W288" s="73"/>
      <c r="X288" s="73"/>
      <c r="Y288" s="73"/>
      <c r="Z288" s="73"/>
      <c r="AA288" s="73"/>
      <c r="AB288" s="74"/>
      <c r="AC288" s="73"/>
      <c r="AD288" s="76"/>
      <c r="AE288" s="73"/>
      <c r="AF288" s="73"/>
      <c r="AG288" s="73"/>
      <c r="AH288" s="73"/>
      <c r="AI288" s="73"/>
    </row>
    <row r="289" customFormat="false" ht="15" hidden="false" customHeight="false" outlineLevel="0" collapsed="false">
      <c r="A289" s="71" t="str">
        <f aca="false">IF(D289="","",ROW()-1)</f>
        <v/>
      </c>
      <c r="B289" s="72"/>
      <c r="C289" s="72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4"/>
      <c r="O289" s="73"/>
      <c r="P289" s="74"/>
      <c r="Q289" s="73"/>
      <c r="R289" s="74"/>
      <c r="S289" s="75"/>
      <c r="T289" s="73"/>
      <c r="U289" s="73"/>
      <c r="V289" s="73"/>
      <c r="W289" s="73"/>
      <c r="X289" s="73"/>
      <c r="Y289" s="73"/>
      <c r="Z289" s="73"/>
      <c r="AA289" s="73"/>
      <c r="AB289" s="74"/>
      <c r="AC289" s="73"/>
      <c r="AD289" s="76"/>
      <c r="AE289" s="73"/>
      <c r="AF289" s="73"/>
      <c r="AG289" s="73"/>
      <c r="AH289" s="73"/>
      <c r="AI289" s="73"/>
    </row>
    <row r="290" customFormat="false" ht="15" hidden="false" customHeight="false" outlineLevel="0" collapsed="false">
      <c r="A290" s="71" t="str">
        <f aca="false">IF(D290="","",ROW()-1)</f>
        <v/>
      </c>
      <c r="B290" s="72"/>
      <c r="C290" s="72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4"/>
      <c r="O290" s="73"/>
      <c r="P290" s="74"/>
      <c r="Q290" s="73"/>
      <c r="R290" s="74"/>
      <c r="S290" s="75"/>
      <c r="T290" s="73"/>
      <c r="U290" s="73"/>
      <c r="V290" s="73"/>
      <c r="W290" s="73"/>
      <c r="X290" s="73"/>
      <c r="Y290" s="73"/>
      <c r="Z290" s="73"/>
      <c r="AA290" s="73"/>
      <c r="AB290" s="74"/>
      <c r="AC290" s="73"/>
      <c r="AD290" s="76"/>
      <c r="AE290" s="73"/>
      <c r="AF290" s="73"/>
      <c r="AG290" s="73"/>
      <c r="AH290" s="73"/>
      <c r="AI290" s="73"/>
    </row>
    <row r="291" customFormat="false" ht="15" hidden="false" customHeight="false" outlineLevel="0" collapsed="false">
      <c r="A291" s="71" t="str">
        <f aca="false">IF(D291="","",ROW()-1)</f>
        <v/>
      </c>
      <c r="B291" s="72"/>
      <c r="C291" s="72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4"/>
      <c r="O291" s="73"/>
      <c r="P291" s="74"/>
      <c r="Q291" s="73"/>
      <c r="R291" s="74"/>
      <c r="S291" s="75"/>
      <c r="T291" s="73"/>
      <c r="U291" s="73"/>
      <c r="V291" s="73"/>
      <c r="W291" s="73"/>
      <c r="X291" s="73"/>
      <c r="Y291" s="73"/>
      <c r="Z291" s="73"/>
      <c r="AA291" s="73"/>
      <c r="AB291" s="74"/>
      <c r="AC291" s="73"/>
      <c r="AD291" s="76"/>
      <c r="AE291" s="73"/>
      <c r="AF291" s="73"/>
      <c r="AG291" s="73"/>
      <c r="AH291" s="73"/>
      <c r="AI291" s="73"/>
    </row>
    <row r="292" customFormat="false" ht="15" hidden="false" customHeight="false" outlineLevel="0" collapsed="false">
      <c r="A292" s="71" t="str">
        <f aca="false">IF(D292="","",ROW()-1)</f>
        <v/>
      </c>
      <c r="B292" s="72"/>
      <c r="C292" s="72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4"/>
      <c r="O292" s="73"/>
      <c r="P292" s="74"/>
      <c r="Q292" s="73"/>
      <c r="R292" s="74"/>
      <c r="S292" s="75"/>
      <c r="T292" s="73"/>
      <c r="U292" s="73"/>
      <c r="V292" s="73"/>
      <c r="W292" s="73"/>
      <c r="X292" s="73"/>
      <c r="Y292" s="73"/>
      <c r="Z292" s="73"/>
      <c r="AA292" s="73"/>
      <c r="AB292" s="74"/>
      <c r="AC292" s="73"/>
      <c r="AD292" s="76"/>
      <c r="AE292" s="73"/>
      <c r="AF292" s="73"/>
      <c r="AG292" s="73"/>
      <c r="AH292" s="73"/>
      <c r="AI292" s="73"/>
    </row>
    <row r="293" customFormat="false" ht="15" hidden="false" customHeight="false" outlineLevel="0" collapsed="false">
      <c r="A293" s="71" t="str">
        <f aca="false">IF(D293="","",ROW()-1)</f>
        <v/>
      </c>
      <c r="B293" s="72"/>
      <c r="C293" s="72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4"/>
      <c r="O293" s="73"/>
      <c r="P293" s="74"/>
      <c r="Q293" s="73"/>
      <c r="R293" s="74"/>
      <c r="S293" s="75"/>
      <c r="T293" s="73"/>
      <c r="U293" s="73"/>
      <c r="V293" s="73"/>
      <c r="W293" s="73"/>
      <c r="X293" s="73"/>
      <c r="Y293" s="73"/>
      <c r="Z293" s="73"/>
      <c r="AA293" s="73"/>
      <c r="AB293" s="74"/>
      <c r="AC293" s="73"/>
      <c r="AD293" s="76"/>
      <c r="AE293" s="73"/>
      <c r="AF293" s="73"/>
      <c r="AG293" s="73"/>
      <c r="AH293" s="73"/>
      <c r="AI293" s="73"/>
    </row>
    <row r="294" customFormat="false" ht="15" hidden="false" customHeight="false" outlineLevel="0" collapsed="false">
      <c r="A294" s="71" t="str">
        <f aca="false">IF(D294="","",ROW()-1)</f>
        <v/>
      </c>
      <c r="B294" s="72"/>
      <c r="C294" s="72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4"/>
      <c r="O294" s="73"/>
      <c r="P294" s="74"/>
      <c r="Q294" s="73"/>
      <c r="R294" s="74"/>
      <c r="S294" s="75"/>
      <c r="T294" s="73"/>
      <c r="U294" s="73"/>
      <c r="V294" s="73"/>
      <c r="W294" s="73"/>
      <c r="X294" s="73"/>
      <c r="Y294" s="73"/>
      <c r="Z294" s="73"/>
      <c r="AA294" s="73"/>
      <c r="AB294" s="74"/>
      <c r="AC294" s="73"/>
      <c r="AD294" s="76"/>
      <c r="AE294" s="73"/>
      <c r="AF294" s="73"/>
      <c r="AG294" s="73"/>
      <c r="AH294" s="73"/>
      <c r="AI294" s="73"/>
    </row>
    <row r="295" customFormat="false" ht="15" hidden="false" customHeight="false" outlineLevel="0" collapsed="false">
      <c r="A295" s="71" t="str">
        <f aca="false">IF(D295="","",ROW()-1)</f>
        <v/>
      </c>
      <c r="B295" s="72"/>
      <c r="C295" s="72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4"/>
      <c r="O295" s="73"/>
      <c r="P295" s="74"/>
      <c r="Q295" s="73"/>
      <c r="R295" s="74"/>
      <c r="S295" s="75"/>
      <c r="T295" s="73"/>
      <c r="U295" s="73"/>
      <c r="V295" s="73"/>
      <c r="W295" s="73"/>
      <c r="X295" s="73"/>
      <c r="Y295" s="73"/>
      <c r="Z295" s="73"/>
      <c r="AA295" s="73"/>
      <c r="AB295" s="74"/>
      <c r="AC295" s="73"/>
      <c r="AD295" s="76"/>
      <c r="AE295" s="73"/>
      <c r="AF295" s="73"/>
      <c r="AG295" s="73"/>
      <c r="AH295" s="73"/>
      <c r="AI295" s="73"/>
    </row>
    <row r="296" customFormat="false" ht="15" hidden="false" customHeight="false" outlineLevel="0" collapsed="false">
      <c r="A296" s="71" t="str">
        <f aca="false">IF(D296="","",ROW()-1)</f>
        <v/>
      </c>
      <c r="B296" s="72"/>
      <c r="C296" s="72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4"/>
      <c r="O296" s="73"/>
      <c r="P296" s="74"/>
      <c r="Q296" s="73"/>
      <c r="R296" s="74"/>
      <c r="S296" s="75"/>
      <c r="T296" s="73"/>
      <c r="U296" s="73"/>
      <c r="V296" s="73"/>
      <c r="W296" s="73"/>
      <c r="X296" s="73"/>
      <c r="Y296" s="73"/>
      <c r="Z296" s="73"/>
      <c r="AA296" s="73"/>
      <c r="AB296" s="74"/>
      <c r="AC296" s="73"/>
      <c r="AD296" s="76"/>
      <c r="AE296" s="73"/>
      <c r="AF296" s="73"/>
      <c r="AG296" s="73"/>
      <c r="AH296" s="73"/>
      <c r="AI296" s="73"/>
    </row>
    <row r="297" customFormat="false" ht="15" hidden="false" customHeight="false" outlineLevel="0" collapsed="false">
      <c r="A297" s="71" t="str">
        <f aca="false">IF(D297="","",ROW()-1)</f>
        <v/>
      </c>
      <c r="B297" s="72"/>
      <c r="C297" s="72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4"/>
      <c r="O297" s="73"/>
      <c r="P297" s="74"/>
      <c r="Q297" s="73"/>
      <c r="R297" s="74"/>
      <c r="S297" s="75"/>
      <c r="T297" s="73"/>
      <c r="U297" s="73"/>
      <c r="V297" s="73"/>
      <c r="W297" s="73"/>
      <c r="X297" s="73"/>
      <c r="Y297" s="73"/>
      <c r="Z297" s="73"/>
      <c r="AA297" s="73"/>
      <c r="AB297" s="74"/>
      <c r="AC297" s="73"/>
      <c r="AD297" s="76"/>
      <c r="AE297" s="73"/>
      <c r="AF297" s="73"/>
      <c r="AG297" s="73"/>
      <c r="AH297" s="73"/>
      <c r="AI297" s="73"/>
    </row>
    <row r="298" customFormat="false" ht="15" hidden="false" customHeight="false" outlineLevel="0" collapsed="false">
      <c r="A298" s="71" t="str">
        <f aca="false">IF(D298="","",ROW()-1)</f>
        <v/>
      </c>
      <c r="B298" s="72"/>
      <c r="C298" s="72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4"/>
      <c r="O298" s="73"/>
      <c r="P298" s="74"/>
      <c r="Q298" s="73"/>
      <c r="R298" s="74"/>
      <c r="S298" s="75"/>
      <c r="T298" s="73"/>
      <c r="U298" s="73"/>
      <c r="V298" s="73"/>
      <c r="W298" s="73"/>
      <c r="X298" s="73"/>
      <c r="Y298" s="73"/>
      <c r="Z298" s="73"/>
      <c r="AA298" s="73"/>
      <c r="AB298" s="74"/>
      <c r="AC298" s="73"/>
      <c r="AD298" s="76"/>
      <c r="AE298" s="73"/>
      <c r="AF298" s="73"/>
      <c r="AG298" s="73"/>
      <c r="AH298" s="73"/>
      <c r="AI298" s="73"/>
    </row>
    <row r="299" customFormat="false" ht="15" hidden="false" customHeight="false" outlineLevel="0" collapsed="false">
      <c r="A299" s="71" t="str">
        <f aca="false">IF(D299="","",ROW()-1)</f>
        <v/>
      </c>
      <c r="B299" s="72"/>
      <c r="C299" s="72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4"/>
      <c r="O299" s="73"/>
      <c r="P299" s="74"/>
      <c r="Q299" s="73"/>
      <c r="R299" s="74"/>
      <c r="S299" s="75"/>
      <c r="T299" s="73"/>
      <c r="U299" s="73"/>
      <c r="V299" s="73"/>
      <c r="W299" s="73"/>
      <c r="X299" s="73"/>
      <c r="Y299" s="73"/>
      <c r="Z299" s="73"/>
      <c r="AA299" s="73"/>
      <c r="AB299" s="74"/>
      <c r="AC299" s="73"/>
      <c r="AD299" s="76"/>
      <c r="AE299" s="73"/>
      <c r="AF299" s="73"/>
      <c r="AG299" s="73"/>
      <c r="AH299" s="73"/>
      <c r="AI299" s="73"/>
    </row>
    <row r="300" customFormat="false" ht="15" hidden="false" customHeight="false" outlineLevel="0" collapsed="false">
      <c r="A300" s="71" t="str">
        <f aca="false">IF(D300="","",ROW()-1)</f>
        <v/>
      </c>
      <c r="B300" s="72"/>
      <c r="C300" s="72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4"/>
      <c r="O300" s="73"/>
      <c r="P300" s="74"/>
      <c r="Q300" s="73"/>
      <c r="R300" s="74"/>
      <c r="S300" s="75"/>
      <c r="T300" s="73"/>
      <c r="U300" s="73"/>
      <c r="V300" s="73"/>
      <c r="W300" s="73"/>
      <c r="X300" s="73"/>
      <c r="Y300" s="73"/>
      <c r="Z300" s="73"/>
      <c r="AA300" s="73"/>
      <c r="AB300" s="74"/>
      <c r="AC300" s="73"/>
      <c r="AD300" s="76"/>
      <c r="AE300" s="73"/>
      <c r="AF300" s="73"/>
      <c r="AG300" s="73"/>
      <c r="AH300" s="73"/>
      <c r="AI300" s="73"/>
    </row>
    <row r="301" customFormat="false" ht="15" hidden="false" customHeight="false" outlineLevel="0" collapsed="false">
      <c r="A301" s="71" t="str">
        <f aca="false">IF(D301="","",ROW()-1)</f>
        <v/>
      </c>
      <c r="B301" s="72"/>
      <c r="C301" s="72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4"/>
      <c r="O301" s="73"/>
      <c r="P301" s="74"/>
      <c r="Q301" s="73"/>
      <c r="R301" s="74"/>
      <c r="S301" s="75"/>
      <c r="T301" s="73"/>
      <c r="U301" s="73"/>
      <c r="V301" s="73"/>
      <c r="W301" s="73"/>
      <c r="X301" s="73"/>
      <c r="Y301" s="73"/>
      <c r="Z301" s="73"/>
      <c r="AA301" s="73"/>
      <c r="AB301" s="74"/>
      <c r="AC301" s="73"/>
      <c r="AD301" s="76"/>
      <c r="AE301" s="73"/>
      <c r="AF301" s="73"/>
      <c r="AG301" s="73"/>
      <c r="AH301" s="73"/>
      <c r="AI301" s="73"/>
    </row>
    <row r="302" customFormat="false" ht="15" hidden="false" customHeight="false" outlineLevel="0" collapsed="false">
      <c r="A302" s="71" t="str">
        <f aca="false">IF(D302="","",ROW()-1)</f>
        <v/>
      </c>
      <c r="B302" s="72"/>
      <c r="C302" s="72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4"/>
      <c r="O302" s="73"/>
      <c r="P302" s="74"/>
      <c r="Q302" s="73"/>
      <c r="R302" s="74"/>
      <c r="S302" s="75"/>
      <c r="T302" s="73"/>
      <c r="U302" s="73"/>
      <c r="V302" s="73"/>
      <c r="W302" s="73"/>
      <c r="X302" s="73"/>
      <c r="Y302" s="73"/>
      <c r="Z302" s="73"/>
      <c r="AA302" s="73"/>
      <c r="AB302" s="74"/>
      <c r="AC302" s="73"/>
      <c r="AD302" s="76"/>
      <c r="AE302" s="73"/>
      <c r="AF302" s="73"/>
      <c r="AG302" s="73"/>
      <c r="AH302" s="73"/>
      <c r="AI302" s="73"/>
    </row>
    <row r="303" customFormat="false" ht="15" hidden="false" customHeight="false" outlineLevel="0" collapsed="false">
      <c r="A303" s="71" t="str">
        <f aca="false">IF(D303="","",ROW()-1)</f>
        <v/>
      </c>
      <c r="B303" s="72"/>
      <c r="C303" s="72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4"/>
      <c r="O303" s="73"/>
      <c r="P303" s="74"/>
      <c r="Q303" s="73"/>
      <c r="R303" s="74"/>
      <c r="S303" s="75"/>
      <c r="T303" s="73"/>
      <c r="U303" s="73"/>
      <c r="V303" s="73"/>
      <c r="W303" s="73"/>
      <c r="X303" s="73"/>
      <c r="Y303" s="73"/>
      <c r="Z303" s="73"/>
      <c r="AA303" s="73"/>
      <c r="AB303" s="74"/>
      <c r="AC303" s="73"/>
      <c r="AD303" s="76"/>
      <c r="AE303" s="73"/>
      <c r="AF303" s="73"/>
      <c r="AG303" s="73"/>
      <c r="AH303" s="73"/>
      <c r="AI303" s="73"/>
    </row>
    <row r="304" customFormat="false" ht="15" hidden="false" customHeight="false" outlineLevel="0" collapsed="false">
      <c r="A304" s="71" t="str">
        <f aca="false">IF(D304="","",ROW()-1)</f>
        <v/>
      </c>
      <c r="B304" s="72"/>
      <c r="C304" s="72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4"/>
      <c r="O304" s="73"/>
      <c r="P304" s="74"/>
      <c r="Q304" s="73"/>
      <c r="R304" s="74"/>
      <c r="S304" s="75"/>
      <c r="T304" s="73"/>
      <c r="U304" s="73"/>
      <c r="V304" s="73"/>
      <c r="W304" s="73"/>
      <c r="X304" s="73"/>
      <c r="Y304" s="73"/>
      <c r="Z304" s="73"/>
      <c r="AA304" s="73"/>
      <c r="AB304" s="74"/>
      <c r="AC304" s="73"/>
      <c r="AD304" s="76"/>
      <c r="AE304" s="73"/>
      <c r="AF304" s="73"/>
      <c r="AG304" s="73"/>
      <c r="AH304" s="73"/>
      <c r="AI304" s="73"/>
    </row>
    <row r="305" customFormat="false" ht="15" hidden="false" customHeight="false" outlineLevel="0" collapsed="false">
      <c r="A305" s="71" t="str">
        <f aca="false">IF(D305="","",ROW()-1)</f>
        <v/>
      </c>
      <c r="B305" s="72"/>
      <c r="C305" s="72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4"/>
      <c r="O305" s="73"/>
      <c r="P305" s="74"/>
      <c r="Q305" s="73"/>
      <c r="R305" s="74"/>
      <c r="S305" s="75"/>
      <c r="T305" s="73"/>
      <c r="U305" s="73"/>
      <c r="V305" s="73"/>
      <c r="W305" s="73"/>
      <c r="X305" s="73"/>
      <c r="Y305" s="73"/>
      <c r="Z305" s="73"/>
      <c r="AA305" s="73"/>
      <c r="AB305" s="74"/>
      <c r="AC305" s="73"/>
      <c r="AD305" s="76"/>
      <c r="AE305" s="73"/>
      <c r="AF305" s="73"/>
      <c r="AG305" s="73"/>
      <c r="AH305" s="73"/>
      <c r="AI305" s="73"/>
    </row>
    <row r="306" customFormat="false" ht="15" hidden="false" customHeight="false" outlineLevel="0" collapsed="false">
      <c r="A306" s="71" t="str">
        <f aca="false">IF(D306="","",ROW()-1)</f>
        <v/>
      </c>
      <c r="B306" s="72"/>
      <c r="C306" s="72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4"/>
      <c r="O306" s="73"/>
      <c r="P306" s="74"/>
      <c r="Q306" s="73"/>
      <c r="R306" s="74"/>
      <c r="S306" s="75"/>
      <c r="T306" s="73"/>
      <c r="U306" s="73"/>
      <c r="V306" s="73"/>
      <c r="W306" s="73"/>
      <c r="X306" s="73"/>
      <c r="Y306" s="73"/>
      <c r="Z306" s="73"/>
      <c r="AA306" s="73"/>
      <c r="AB306" s="74"/>
      <c r="AC306" s="73"/>
      <c r="AD306" s="76"/>
      <c r="AE306" s="73"/>
      <c r="AF306" s="73"/>
      <c r="AG306" s="73"/>
      <c r="AH306" s="73"/>
      <c r="AI306" s="73"/>
    </row>
    <row r="307" customFormat="false" ht="15" hidden="false" customHeight="false" outlineLevel="0" collapsed="false">
      <c r="A307" s="71" t="str">
        <f aca="false">IF(D307="","",ROW()-1)</f>
        <v/>
      </c>
      <c r="B307" s="72"/>
      <c r="C307" s="72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4"/>
      <c r="O307" s="73"/>
      <c r="P307" s="74"/>
      <c r="Q307" s="73"/>
      <c r="R307" s="74"/>
      <c r="S307" s="75"/>
      <c r="T307" s="73"/>
      <c r="U307" s="73"/>
      <c r="V307" s="73"/>
      <c r="W307" s="73"/>
      <c r="X307" s="73"/>
      <c r="Y307" s="73"/>
      <c r="Z307" s="73"/>
      <c r="AA307" s="73"/>
      <c r="AB307" s="74"/>
      <c r="AC307" s="73"/>
      <c r="AD307" s="76"/>
      <c r="AE307" s="73"/>
      <c r="AF307" s="73"/>
      <c r="AG307" s="73"/>
      <c r="AH307" s="73"/>
      <c r="AI307" s="73"/>
    </row>
    <row r="308" customFormat="false" ht="15" hidden="false" customHeight="false" outlineLevel="0" collapsed="false">
      <c r="A308" s="71" t="str">
        <f aca="false">IF(D308="","",ROW()-1)</f>
        <v/>
      </c>
      <c r="B308" s="72"/>
      <c r="C308" s="72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4"/>
      <c r="O308" s="73"/>
      <c r="P308" s="74"/>
      <c r="Q308" s="73"/>
      <c r="R308" s="74"/>
      <c r="S308" s="75"/>
      <c r="T308" s="73"/>
      <c r="U308" s="73"/>
      <c r="V308" s="73"/>
      <c r="W308" s="73"/>
      <c r="X308" s="73"/>
      <c r="Y308" s="73"/>
      <c r="Z308" s="73"/>
      <c r="AA308" s="73"/>
      <c r="AB308" s="74"/>
      <c r="AC308" s="73"/>
      <c r="AD308" s="76"/>
      <c r="AE308" s="73"/>
      <c r="AF308" s="73"/>
      <c r="AG308" s="73"/>
      <c r="AH308" s="73"/>
      <c r="AI308" s="73"/>
    </row>
    <row r="309" customFormat="false" ht="15" hidden="false" customHeight="false" outlineLevel="0" collapsed="false">
      <c r="A309" s="71" t="str">
        <f aca="false">IF(D309="","",ROW()-1)</f>
        <v/>
      </c>
      <c r="B309" s="72"/>
      <c r="C309" s="72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4"/>
      <c r="O309" s="73"/>
      <c r="P309" s="74"/>
      <c r="Q309" s="73"/>
      <c r="R309" s="74"/>
      <c r="S309" s="75"/>
      <c r="T309" s="73"/>
      <c r="U309" s="73"/>
      <c r="V309" s="73"/>
      <c r="W309" s="73"/>
      <c r="X309" s="73"/>
      <c r="Y309" s="73"/>
      <c r="Z309" s="73"/>
      <c r="AA309" s="73"/>
      <c r="AB309" s="74"/>
      <c r="AC309" s="73"/>
      <c r="AD309" s="76"/>
      <c r="AE309" s="73"/>
      <c r="AF309" s="73"/>
      <c r="AG309" s="73"/>
      <c r="AH309" s="73"/>
      <c r="AI309" s="73"/>
    </row>
    <row r="310" customFormat="false" ht="15" hidden="false" customHeight="false" outlineLevel="0" collapsed="false">
      <c r="A310" s="71" t="str">
        <f aca="false">IF(D310="","",ROW()-1)</f>
        <v/>
      </c>
      <c r="B310" s="72"/>
      <c r="C310" s="72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4"/>
      <c r="O310" s="73"/>
      <c r="P310" s="74"/>
      <c r="Q310" s="73"/>
      <c r="R310" s="74"/>
      <c r="S310" s="75"/>
      <c r="T310" s="73"/>
      <c r="U310" s="73"/>
      <c r="V310" s="73"/>
      <c r="W310" s="73"/>
      <c r="X310" s="73"/>
      <c r="Y310" s="73"/>
      <c r="Z310" s="73"/>
      <c r="AA310" s="73"/>
      <c r="AB310" s="74"/>
      <c r="AC310" s="73"/>
      <c r="AD310" s="76"/>
      <c r="AE310" s="73"/>
      <c r="AF310" s="73"/>
      <c r="AG310" s="73"/>
      <c r="AH310" s="73"/>
      <c r="AI310" s="73"/>
    </row>
    <row r="311" customFormat="false" ht="15" hidden="false" customHeight="false" outlineLevel="0" collapsed="false">
      <c r="A311" s="71" t="str">
        <f aca="false">IF(D311="","",ROW()-1)</f>
        <v/>
      </c>
      <c r="B311" s="72"/>
      <c r="C311" s="72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4"/>
      <c r="O311" s="73"/>
      <c r="P311" s="74"/>
      <c r="Q311" s="73"/>
      <c r="R311" s="74"/>
      <c r="S311" s="75"/>
      <c r="T311" s="73"/>
      <c r="U311" s="73"/>
      <c r="V311" s="73"/>
      <c r="W311" s="73"/>
      <c r="X311" s="73"/>
      <c r="Y311" s="73"/>
      <c r="Z311" s="73"/>
      <c r="AA311" s="73"/>
      <c r="AB311" s="74"/>
      <c r="AC311" s="73"/>
      <c r="AD311" s="76"/>
      <c r="AE311" s="73"/>
      <c r="AF311" s="73"/>
      <c r="AG311" s="73"/>
      <c r="AH311" s="73"/>
      <c r="AI311" s="73"/>
    </row>
    <row r="312" customFormat="false" ht="15" hidden="false" customHeight="false" outlineLevel="0" collapsed="false">
      <c r="A312" s="71" t="str">
        <f aca="false">IF(D312="","",ROW()-1)</f>
        <v/>
      </c>
      <c r="B312" s="72"/>
      <c r="C312" s="72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4"/>
      <c r="O312" s="73"/>
      <c r="P312" s="74"/>
      <c r="Q312" s="73"/>
      <c r="R312" s="74"/>
      <c r="S312" s="75"/>
      <c r="T312" s="73"/>
      <c r="U312" s="73"/>
      <c r="V312" s="73"/>
      <c r="W312" s="73"/>
      <c r="X312" s="73"/>
      <c r="Y312" s="73"/>
      <c r="Z312" s="73"/>
      <c r="AA312" s="73"/>
      <c r="AB312" s="74"/>
      <c r="AC312" s="73"/>
      <c r="AD312" s="76"/>
      <c r="AE312" s="73"/>
      <c r="AF312" s="73"/>
      <c r="AG312" s="73"/>
      <c r="AH312" s="73"/>
      <c r="AI312" s="73"/>
    </row>
    <row r="313" customFormat="false" ht="15" hidden="false" customHeight="false" outlineLevel="0" collapsed="false">
      <c r="A313" s="71" t="str">
        <f aca="false">IF(D313="","",ROW()-1)</f>
        <v/>
      </c>
      <c r="B313" s="72"/>
      <c r="C313" s="72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4"/>
      <c r="O313" s="73"/>
      <c r="P313" s="74"/>
      <c r="Q313" s="73"/>
      <c r="R313" s="74"/>
      <c r="S313" s="75"/>
      <c r="T313" s="73"/>
      <c r="U313" s="73"/>
      <c r="V313" s="73"/>
      <c r="W313" s="73"/>
      <c r="X313" s="73"/>
      <c r="Y313" s="73"/>
      <c r="Z313" s="73"/>
      <c r="AA313" s="73"/>
      <c r="AB313" s="74"/>
      <c r="AC313" s="73"/>
      <c r="AD313" s="76"/>
      <c r="AE313" s="73"/>
      <c r="AF313" s="73"/>
      <c r="AG313" s="73"/>
      <c r="AH313" s="73"/>
      <c r="AI313" s="73"/>
    </row>
    <row r="314" customFormat="false" ht="15" hidden="false" customHeight="false" outlineLevel="0" collapsed="false">
      <c r="A314" s="71" t="str">
        <f aca="false">IF(D314="","",ROW()-1)</f>
        <v/>
      </c>
      <c r="B314" s="72"/>
      <c r="C314" s="72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4"/>
      <c r="O314" s="73"/>
      <c r="P314" s="74"/>
      <c r="Q314" s="73"/>
      <c r="R314" s="74"/>
      <c r="S314" s="75"/>
      <c r="T314" s="73"/>
      <c r="U314" s="73"/>
      <c r="V314" s="73"/>
      <c r="W314" s="73"/>
      <c r="X314" s="73"/>
      <c r="Y314" s="73"/>
      <c r="Z314" s="73"/>
      <c r="AA314" s="73"/>
      <c r="AB314" s="74"/>
      <c r="AC314" s="73"/>
      <c r="AD314" s="76"/>
      <c r="AE314" s="73"/>
      <c r="AF314" s="73"/>
      <c r="AG314" s="73"/>
      <c r="AH314" s="73"/>
      <c r="AI314" s="73"/>
    </row>
    <row r="315" customFormat="false" ht="15" hidden="false" customHeight="false" outlineLevel="0" collapsed="false">
      <c r="A315" s="71" t="str">
        <f aca="false">IF(D315="","",ROW()-1)</f>
        <v/>
      </c>
      <c r="B315" s="72"/>
      <c r="C315" s="72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4"/>
      <c r="O315" s="73"/>
      <c r="P315" s="74"/>
      <c r="Q315" s="73"/>
      <c r="R315" s="74"/>
      <c r="S315" s="75"/>
      <c r="T315" s="73"/>
      <c r="U315" s="73"/>
      <c r="V315" s="73"/>
      <c r="W315" s="73"/>
      <c r="X315" s="73"/>
      <c r="Y315" s="73"/>
      <c r="Z315" s="73"/>
      <c r="AA315" s="73"/>
      <c r="AB315" s="74"/>
      <c r="AC315" s="73"/>
      <c r="AD315" s="76"/>
      <c r="AE315" s="73"/>
      <c r="AF315" s="73"/>
      <c r="AG315" s="73"/>
      <c r="AH315" s="73"/>
      <c r="AI315" s="73"/>
    </row>
    <row r="316" customFormat="false" ht="15" hidden="false" customHeight="false" outlineLevel="0" collapsed="false">
      <c r="A316" s="71" t="str">
        <f aca="false">IF(D316="","",ROW()-1)</f>
        <v/>
      </c>
      <c r="B316" s="72"/>
      <c r="C316" s="72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4"/>
      <c r="O316" s="73"/>
      <c r="P316" s="74"/>
      <c r="Q316" s="73"/>
      <c r="R316" s="74"/>
      <c r="S316" s="75"/>
      <c r="T316" s="73"/>
      <c r="U316" s="73"/>
      <c r="V316" s="73"/>
      <c r="W316" s="73"/>
      <c r="X316" s="73"/>
      <c r="Y316" s="73"/>
      <c r="Z316" s="73"/>
      <c r="AA316" s="73"/>
      <c r="AB316" s="74"/>
      <c r="AC316" s="73"/>
      <c r="AD316" s="76"/>
      <c r="AE316" s="73"/>
      <c r="AF316" s="73"/>
      <c r="AG316" s="73"/>
      <c r="AH316" s="73"/>
      <c r="AI316" s="73"/>
    </row>
    <row r="317" customFormat="false" ht="15" hidden="false" customHeight="false" outlineLevel="0" collapsed="false">
      <c r="A317" s="71" t="str">
        <f aca="false">IF(D317="","",ROW()-1)</f>
        <v/>
      </c>
      <c r="B317" s="72"/>
      <c r="C317" s="72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4"/>
      <c r="O317" s="73"/>
      <c r="P317" s="74"/>
      <c r="Q317" s="73"/>
      <c r="R317" s="74"/>
      <c r="S317" s="75"/>
      <c r="T317" s="73"/>
      <c r="U317" s="73"/>
      <c r="V317" s="73"/>
      <c r="W317" s="73"/>
      <c r="X317" s="73"/>
      <c r="Y317" s="73"/>
      <c r="Z317" s="73"/>
      <c r="AA317" s="73"/>
      <c r="AB317" s="74"/>
      <c r="AC317" s="73"/>
      <c r="AD317" s="76"/>
      <c r="AE317" s="73"/>
      <c r="AF317" s="73"/>
      <c r="AG317" s="73"/>
      <c r="AH317" s="73"/>
      <c r="AI317" s="73"/>
    </row>
    <row r="318" customFormat="false" ht="15" hidden="false" customHeight="false" outlineLevel="0" collapsed="false">
      <c r="A318" s="71" t="str">
        <f aca="false">IF(D318="","",ROW()-1)</f>
        <v/>
      </c>
      <c r="B318" s="72"/>
      <c r="C318" s="72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4"/>
      <c r="O318" s="73"/>
      <c r="P318" s="74"/>
      <c r="Q318" s="73"/>
      <c r="R318" s="74"/>
      <c r="S318" s="75"/>
      <c r="T318" s="73"/>
      <c r="U318" s="73"/>
      <c r="V318" s="73"/>
      <c r="W318" s="73"/>
      <c r="X318" s="73"/>
      <c r="Y318" s="73"/>
      <c r="Z318" s="73"/>
      <c r="AA318" s="73"/>
      <c r="AB318" s="74"/>
      <c r="AC318" s="73"/>
      <c r="AD318" s="76"/>
      <c r="AE318" s="73"/>
      <c r="AF318" s="73"/>
      <c r="AG318" s="73"/>
      <c r="AH318" s="73"/>
      <c r="AI318" s="73"/>
    </row>
    <row r="319" customFormat="false" ht="15" hidden="false" customHeight="false" outlineLevel="0" collapsed="false">
      <c r="A319" s="71" t="str">
        <f aca="false">IF(D319="","",ROW()-1)</f>
        <v/>
      </c>
      <c r="B319" s="72"/>
      <c r="C319" s="72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4"/>
      <c r="O319" s="73"/>
      <c r="P319" s="74"/>
      <c r="Q319" s="73"/>
      <c r="R319" s="74"/>
      <c r="S319" s="75"/>
      <c r="T319" s="73"/>
      <c r="U319" s="73"/>
      <c r="V319" s="73"/>
      <c r="W319" s="73"/>
      <c r="X319" s="73"/>
      <c r="Y319" s="73"/>
      <c r="Z319" s="73"/>
      <c r="AA319" s="73"/>
      <c r="AB319" s="74"/>
      <c r="AC319" s="73"/>
      <c r="AD319" s="76"/>
      <c r="AE319" s="73"/>
      <c r="AF319" s="73"/>
      <c r="AG319" s="73"/>
      <c r="AH319" s="73"/>
      <c r="AI319" s="73"/>
    </row>
    <row r="320" customFormat="false" ht="15" hidden="false" customHeight="false" outlineLevel="0" collapsed="false">
      <c r="A320" s="71" t="str">
        <f aca="false">IF(D320="","",ROW()-1)</f>
        <v/>
      </c>
      <c r="B320" s="72"/>
      <c r="C320" s="72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4"/>
      <c r="O320" s="73"/>
      <c r="P320" s="74"/>
      <c r="Q320" s="73"/>
      <c r="R320" s="74"/>
      <c r="S320" s="75"/>
      <c r="T320" s="73"/>
      <c r="U320" s="73"/>
      <c r="V320" s="73"/>
      <c r="W320" s="73"/>
      <c r="X320" s="73"/>
      <c r="Y320" s="73"/>
      <c r="Z320" s="73"/>
      <c r="AA320" s="73"/>
      <c r="AB320" s="74"/>
      <c r="AC320" s="73"/>
      <c r="AD320" s="76"/>
      <c r="AE320" s="73"/>
      <c r="AF320" s="73"/>
      <c r="AG320" s="73"/>
      <c r="AH320" s="73"/>
      <c r="AI320" s="73"/>
    </row>
    <row r="321" customFormat="false" ht="15" hidden="false" customHeight="false" outlineLevel="0" collapsed="false">
      <c r="A321" s="71" t="str">
        <f aca="false">IF(D321="","",ROW()-1)</f>
        <v/>
      </c>
      <c r="B321" s="72"/>
      <c r="C321" s="72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4"/>
      <c r="O321" s="73"/>
      <c r="P321" s="74"/>
      <c r="Q321" s="73"/>
      <c r="R321" s="74"/>
      <c r="S321" s="75"/>
      <c r="T321" s="73"/>
      <c r="U321" s="73"/>
      <c r="V321" s="73"/>
      <c r="W321" s="73"/>
      <c r="X321" s="73"/>
      <c r="Y321" s="73"/>
      <c r="Z321" s="73"/>
      <c r="AA321" s="73"/>
      <c r="AB321" s="74"/>
      <c r="AC321" s="73"/>
      <c r="AD321" s="76"/>
      <c r="AE321" s="73"/>
      <c r="AF321" s="73"/>
      <c r="AG321" s="73"/>
      <c r="AH321" s="73"/>
      <c r="AI321" s="73"/>
    </row>
    <row r="322" customFormat="false" ht="15" hidden="false" customHeight="false" outlineLevel="0" collapsed="false">
      <c r="A322" s="71" t="str">
        <f aca="false">IF(D322="","",ROW()-1)</f>
        <v/>
      </c>
      <c r="B322" s="72"/>
      <c r="C322" s="72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4"/>
      <c r="O322" s="73"/>
      <c r="P322" s="74"/>
      <c r="Q322" s="73"/>
      <c r="R322" s="74"/>
      <c r="S322" s="75"/>
      <c r="T322" s="73"/>
      <c r="U322" s="73"/>
      <c r="V322" s="73"/>
      <c r="W322" s="73"/>
      <c r="X322" s="73"/>
      <c r="Y322" s="73"/>
      <c r="Z322" s="73"/>
      <c r="AA322" s="73"/>
      <c r="AB322" s="74"/>
      <c r="AC322" s="73"/>
      <c r="AD322" s="76"/>
      <c r="AE322" s="73"/>
      <c r="AF322" s="73"/>
      <c r="AG322" s="73"/>
      <c r="AH322" s="73"/>
      <c r="AI322" s="73"/>
    </row>
    <row r="323" customFormat="false" ht="15" hidden="false" customHeight="false" outlineLevel="0" collapsed="false">
      <c r="A323" s="71" t="str">
        <f aca="false">IF(D323="","",ROW()-1)</f>
        <v/>
      </c>
      <c r="B323" s="72"/>
      <c r="C323" s="72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4"/>
      <c r="O323" s="73"/>
      <c r="P323" s="74"/>
      <c r="Q323" s="73"/>
      <c r="R323" s="74"/>
      <c r="S323" s="75"/>
      <c r="T323" s="73"/>
      <c r="U323" s="73"/>
      <c r="V323" s="73"/>
      <c r="W323" s="73"/>
      <c r="X323" s="73"/>
      <c r="Y323" s="73"/>
      <c r="Z323" s="73"/>
      <c r="AA323" s="73"/>
      <c r="AB323" s="74"/>
      <c r="AC323" s="73"/>
      <c r="AD323" s="76"/>
      <c r="AE323" s="73"/>
      <c r="AF323" s="73"/>
      <c r="AG323" s="73"/>
      <c r="AH323" s="73"/>
      <c r="AI323" s="73"/>
    </row>
    <row r="324" customFormat="false" ht="15" hidden="false" customHeight="false" outlineLevel="0" collapsed="false">
      <c r="A324" s="71" t="str">
        <f aca="false">IF(D324="","",ROW()-1)</f>
        <v/>
      </c>
      <c r="B324" s="72"/>
      <c r="C324" s="72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4"/>
      <c r="O324" s="73"/>
      <c r="P324" s="74"/>
      <c r="Q324" s="73"/>
      <c r="R324" s="74"/>
      <c r="S324" s="75"/>
      <c r="T324" s="73"/>
      <c r="U324" s="73"/>
      <c r="V324" s="73"/>
      <c r="W324" s="73"/>
      <c r="X324" s="73"/>
      <c r="Y324" s="73"/>
      <c r="Z324" s="73"/>
      <c r="AA324" s="73"/>
      <c r="AB324" s="74"/>
      <c r="AC324" s="73"/>
      <c r="AD324" s="76"/>
      <c r="AE324" s="73"/>
      <c r="AF324" s="73"/>
      <c r="AG324" s="73"/>
      <c r="AH324" s="73"/>
      <c r="AI324" s="73"/>
    </row>
    <row r="325" customFormat="false" ht="15" hidden="false" customHeight="false" outlineLevel="0" collapsed="false">
      <c r="A325" s="71" t="str">
        <f aca="false">IF(D325="","",ROW()-1)</f>
        <v/>
      </c>
      <c r="B325" s="72"/>
      <c r="C325" s="72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4"/>
      <c r="O325" s="73"/>
      <c r="P325" s="74"/>
      <c r="Q325" s="73"/>
      <c r="R325" s="74"/>
      <c r="S325" s="75"/>
      <c r="T325" s="73"/>
      <c r="U325" s="73"/>
      <c r="V325" s="73"/>
      <c r="W325" s="73"/>
      <c r="X325" s="73"/>
      <c r="Y325" s="73"/>
      <c r="Z325" s="73"/>
      <c r="AA325" s="73"/>
      <c r="AB325" s="74"/>
      <c r="AC325" s="73"/>
      <c r="AD325" s="76"/>
      <c r="AE325" s="73"/>
      <c r="AF325" s="73"/>
      <c r="AG325" s="73"/>
      <c r="AH325" s="73"/>
      <c r="AI325" s="73"/>
    </row>
    <row r="326" customFormat="false" ht="15" hidden="false" customHeight="false" outlineLevel="0" collapsed="false">
      <c r="A326" s="71" t="str">
        <f aca="false">IF(D326="","",ROW()-1)</f>
        <v/>
      </c>
      <c r="B326" s="72"/>
      <c r="C326" s="72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4"/>
      <c r="O326" s="73"/>
      <c r="P326" s="74"/>
      <c r="Q326" s="73"/>
      <c r="R326" s="74"/>
      <c r="S326" s="75"/>
      <c r="T326" s="73"/>
      <c r="U326" s="73"/>
      <c r="V326" s="73"/>
      <c r="W326" s="73"/>
      <c r="X326" s="73"/>
      <c r="Y326" s="73"/>
      <c r="Z326" s="73"/>
      <c r="AA326" s="73"/>
      <c r="AB326" s="74"/>
      <c r="AC326" s="73"/>
      <c r="AD326" s="76"/>
      <c r="AE326" s="73"/>
      <c r="AF326" s="73"/>
      <c r="AG326" s="73"/>
      <c r="AH326" s="73"/>
      <c r="AI326" s="73"/>
    </row>
    <row r="327" customFormat="false" ht="15" hidden="false" customHeight="false" outlineLevel="0" collapsed="false">
      <c r="A327" s="71" t="str">
        <f aca="false">IF(D327="","",ROW()-1)</f>
        <v/>
      </c>
      <c r="B327" s="72"/>
      <c r="C327" s="72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4"/>
      <c r="O327" s="73"/>
      <c r="P327" s="74"/>
      <c r="Q327" s="73"/>
      <c r="R327" s="74"/>
      <c r="S327" s="75"/>
      <c r="T327" s="73"/>
      <c r="U327" s="73"/>
      <c r="V327" s="73"/>
      <c r="W327" s="73"/>
      <c r="X327" s="73"/>
      <c r="Y327" s="73"/>
      <c r="Z327" s="73"/>
      <c r="AA327" s="73"/>
      <c r="AB327" s="74"/>
      <c r="AC327" s="73"/>
      <c r="AD327" s="76"/>
      <c r="AE327" s="73"/>
      <c r="AF327" s="73"/>
      <c r="AG327" s="73"/>
      <c r="AH327" s="73"/>
      <c r="AI327" s="73"/>
    </row>
    <row r="328" customFormat="false" ht="15" hidden="false" customHeight="false" outlineLevel="0" collapsed="false">
      <c r="A328" s="71" t="str">
        <f aca="false">IF(D328="","",ROW()-1)</f>
        <v/>
      </c>
      <c r="B328" s="72"/>
      <c r="C328" s="72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4"/>
      <c r="O328" s="73"/>
      <c r="P328" s="74"/>
      <c r="Q328" s="73"/>
      <c r="R328" s="74"/>
      <c r="S328" s="75"/>
      <c r="T328" s="73"/>
      <c r="U328" s="73"/>
      <c r="V328" s="73"/>
      <c r="W328" s="73"/>
      <c r="X328" s="73"/>
      <c r="Y328" s="73"/>
      <c r="Z328" s="73"/>
      <c r="AA328" s="73"/>
      <c r="AB328" s="74"/>
      <c r="AC328" s="73"/>
      <c r="AD328" s="76"/>
      <c r="AE328" s="73"/>
      <c r="AF328" s="73"/>
      <c r="AG328" s="73"/>
      <c r="AH328" s="73"/>
      <c r="AI328" s="73"/>
    </row>
    <row r="329" customFormat="false" ht="15" hidden="false" customHeight="false" outlineLevel="0" collapsed="false">
      <c r="A329" s="71" t="str">
        <f aca="false">IF(D329="","",ROW()-1)</f>
        <v/>
      </c>
      <c r="B329" s="72"/>
      <c r="C329" s="72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4"/>
      <c r="O329" s="73"/>
      <c r="P329" s="74"/>
      <c r="Q329" s="73"/>
      <c r="R329" s="74"/>
      <c r="S329" s="75"/>
      <c r="T329" s="73"/>
      <c r="U329" s="73"/>
      <c r="V329" s="73"/>
      <c r="W329" s="73"/>
      <c r="X329" s="73"/>
      <c r="Y329" s="73"/>
      <c r="Z329" s="73"/>
      <c r="AA329" s="73"/>
      <c r="AB329" s="74"/>
      <c r="AC329" s="73"/>
      <c r="AD329" s="76"/>
      <c r="AE329" s="73"/>
      <c r="AF329" s="73"/>
      <c r="AG329" s="73"/>
      <c r="AH329" s="73"/>
      <c r="AI329" s="73"/>
    </row>
    <row r="330" customFormat="false" ht="15" hidden="false" customHeight="false" outlineLevel="0" collapsed="false">
      <c r="A330" s="71" t="str">
        <f aca="false">IF(D330="","",ROW()-1)</f>
        <v/>
      </c>
      <c r="B330" s="72"/>
      <c r="C330" s="72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4"/>
      <c r="O330" s="73"/>
      <c r="P330" s="74"/>
      <c r="Q330" s="73"/>
      <c r="R330" s="74"/>
      <c r="S330" s="75"/>
      <c r="T330" s="73"/>
      <c r="U330" s="73"/>
      <c r="V330" s="73"/>
      <c r="W330" s="73"/>
      <c r="X330" s="73"/>
      <c r="Y330" s="73"/>
      <c r="Z330" s="73"/>
      <c r="AA330" s="73"/>
      <c r="AB330" s="74"/>
      <c r="AC330" s="73"/>
      <c r="AD330" s="76"/>
      <c r="AE330" s="73"/>
      <c r="AF330" s="73"/>
      <c r="AG330" s="73"/>
      <c r="AH330" s="73"/>
      <c r="AI330" s="73"/>
    </row>
    <row r="331" customFormat="false" ht="15" hidden="false" customHeight="false" outlineLevel="0" collapsed="false">
      <c r="A331" s="71" t="str">
        <f aca="false">IF(D331="","",ROW()-1)</f>
        <v/>
      </c>
      <c r="B331" s="72"/>
      <c r="C331" s="72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4"/>
      <c r="O331" s="73"/>
      <c r="P331" s="74"/>
      <c r="Q331" s="73"/>
      <c r="R331" s="74"/>
      <c r="S331" s="75"/>
      <c r="T331" s="73"/>
      <c r="U331" s="73"/>
      <c r="V331" s="73"/>
      <c r="W331" s="73"/>
      <c r="X331" s="73"/>
      <c r="Y331" s="73"/>
      <c r="Z331" s="73"/>
      <c r="AA331" s="73"/>
      <c r="AB331" s="74"/>
      <c r="AC331" s="73"/>
      <c r="AD331" s="76"/>
      <c r="AE331" s="73"/>
      <c r="AF331" s="73"/>
      <c r="AG331" s="73"/>
      <c r="AH331" s="73"/>
      <c r="AI331" s="73"/>
    </row>
    <row r="332" customFormat="false" ht="15" hidden="false" customHeight="false" outlineLevel="0" collapsed="false">
      <c r="A332" s="71" t="str">
        <f aca="false">IF(D332="","",ROW()-1)</f>
        <v/>
      </c>
      <c r="B332" s="72"/>
      <c r="C332" s="72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4"/>
      <c r="O332" s="73"/>
      <c r="P332" s="74"/>
      <c r="Q332" s="73"/>
      <c r="R332" s="74"/>
      <c r="S332" s="75"/>
      <c r="T332" s="73"/>
      <c r="U332" s="73"/>
      <c r="V332" s="73"/>
      <c r="W332" s="73"/>
      <c r="X332" s="73"/>
      <c r="Y332" s="73"/>
      <c r="Z332" s="73"/>
      <c r="AA332" s="73"/>
      <c r="AB332" s="74"/>
      <c r="AC332" s="73"/>
      <c r="AD332" s="76"/>
      <c r="AE332" s="73"/>
      <c r="AF332" s="73"/>
      <c r="AG332" s="73"/>
      <c r="AH332" s="73"/>
      <c r="AI332" s="73"/>
    </row>
    <row r="333" customFormat="false" ht="15" hidden="false" customHeight="false" outlineLevel="0" collapsed="false">
      <c r="A333" s="71" t="str">
        <f aca="false">IF(D333="","",ROW()-1)</f>
        <v/>
      </c>
      <c r="B333" s="72"/>
      <c r="C333" s="72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4"/>
      <c r="O333" s="73"/>
      <c r="P333" s="74"/>
      <c r="Q333" s="73"/>
      <c r="R333" s="74"/>
      <c r="S333" s="75"/>
      <c r="T333" s="73"/>
      <c r="U333" s="73"/>
      <c r="V333" s="73"/>
      <c r="W333" s="73"/>
      <c r="X333" s="73"/>
      <c r="Y333" s="73"/>
      <c r="Z333" s="73"/>
      <c r="AA333" s="73"/>
      <c r="AB333" s="74"/>
      <c r="AC333" s="73"/>
      <c r="AD333" s="76"/>
      <c r="AE333" s="73"/>
      <c r="AF333" s="73"/>
      <c r="AG333" s="73"/>
      <c r="AH333" s="73"/>
      <c r="AI333" s="73"/>
    </row>
    <row r="334" customFormat="false" ht="15" hidden="false" customHeight="false" outlineLevel="0" collapsed="false">
      <c r="A334" s="71" t="str">
        <f aca="false">IF(D334="","",ROW()-1)</f>
        <v/>
      </c>
      <c r="B334" s="72"/>
      <c r="C334" s="72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4"/>
      <c r="O334" s="73"/>
      <c r="P334" s="74"/>
      <c r="Q334" s="73"/>
      <c r="R334" s="74"/>
      <c r="S334" s="75"/>
      <c r="T334" s="73"/>
      <c r="U334" s="73"/>
      <c r="V334" s="73"/>
      <c r="W334" s="73"/>
      <c r="X334" s="73"/>
      <c r="Y334" s="73"/>
      <c r="Z334" s="73"/>
      <c r="AA334" s="73"/>
      <c r="AB334" s="74"/>
      <c r="AC334" s="73"/>
      <c r="AD334" s="76"/>
      <c r="AE334" s="73"/>
      <c r="AF334" s="73"/>
      <c r="AG334" s="73"/>
      <c r="AH334" s="73"/>
      <c r="AI334" s="73"/>
    </row>
    <row r="335" customFormat="false" ht="15" hidden="false" customHeight="false" outlineLevel="0" collapsed="false">
      <c r="A335" s="71" t="str">
        <f aca="false">IF(D335="","",ROW()-1)</f>
        <v/>
      </c>
      <c r="B335" s="72"/>
      <c r="C335" s="72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4"/>
      <c r="O335" s="73"/>
      <c r="P335" s="74"/>
      <c r="Q335" s="73"/>
      <c r="R335" s="74"/>
      <c r="S335" s="75"/>
      <c r="T335" s="73"/>
      <c r="U335" s="73"/>
      <c r="V335" s="73"/>
      <c r="W335" s="73"/>
      <c r="X335" s="73"/>
      <c r="Y335" s="73"/>
      <c r="Z335" s="73"/>
      <c r="AA335" s="73"/>
      <c r="AB335" s="74"/>
      <c r="AC335" s="73"/>
      <c r="AD335" s="76"/>
      <c r="AE335" s="73"/>
      <c r="AF335" s="73"/>
      <c r="AG335" s="73"/>
      <c r="AH335" s="73"/>
      <c r="AI335" s="73"/>
    </row>
    <row r="336" customFormat="false" ht="15" hidden="false" customHeight="false" outlineLevel="0" collapsed="false">
      <c r="A336" s="71" t="str">
        <f aca="false">IF(D336="","",ROW()-1)</f>
        <v/>
      </c>
      <c r="B336" s="72"/>
      <c r="C336" s="72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4"/>
      <c r="O336" s="73"/>
      <c r="P336" s="74"/>
      <c r="Q336" s="73"/>
      <c r="R336" s="74"/>
      <c r="S336" s="75"/>
      <c r="T336" s="73"/>
      <c r="U336" s="73"/>
      <c r="V336" s="73"/>
      <c r="W336" s="73"/>
      <c r="X336" s="73"/>
      <c r="Y336" s="73"/>
      <c r="Z336" s="73"/>
      <c r="AA336" s="73"/>
      <c r="AB336" s="74"/>
      <c r="AC336" s="73"/>
      <c r="AD336" s="76"/>
      <c r="AE336" s="73"/>
      <c r="AF336" s="73"/>
      <c r="AG336" s="73"/>
      <c r="AH336" s="73"/>
      <c r="AI336" s="73"/>
    </row>
    <row r="337" customFormat="false" ht="15" hidden="false" customHeight="false" outlineLevel="0" collapsed="false">
      <c r="A337" s="71" t="str">
        <f aca="false">IF(D337="","",ROW()-1)</f>
        <v/>
      </c>
      <c r="B337" s="72"/>
      <c r="C337" s="72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4"/>
      <c r="O337" s="73"/>
      <c r="P337" s="74"/>
      <c r="Q337" s="73"/>
      <c r="R337" s="74"/>
      <c r="S337" s="75"/>
      <c r="T337" s="73"/>
      <c r="U337" s="73"/>
      <c r="V337" s="73"/>
      <c r="W337" s="73"/>
      <c r="X337" s="73"/>
      <c r="Y337" s="73"/>
      <c r="Z337" s="73"/>
      <c r="AA337" s="73"/>
      <c r="AB337" s="74"/>
      <c r="AC337" s="73"/>
      <c r="AD337" s="76"/>
      <c r="AE337" s="73"/>
      <c r="AF337" s="73"/>
      <c r="AG337" s="73"/>
      <c r="AH337" s="73"/>
      <c r="AI337" s="73"/>
    </row>
    <row r="338" customFormat="false" ht="15" hidden="false" customHeight="false" outlineLevel="0" collapsed="false">
      <c r="A338" s="71" t="str">
        <f aca="false">IF(D338="","",ROW()-1)</f>
        <v/>
      </c>
      <c r="B338" s="72"/>
      <c r="C338" s="72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4"/>
      <c r="O338" s="73"/>
      <c r="P338" s="74"/>
      <c r="Q338" s="73"/>
      <c r="R338" s="74"/>
      <c r="S338" s="75"/>
      <c r="T338" s="73"/>
      <c r="U338" s="73"/>
      <c r="V338" s="73"/>
      <c r="W338" s="73"/>
      <c r="X338" s="73"/>
      <c r="Y338" s="73"/>
      <c r="Z338" s="73"/>
      <c r="AA338" s="73"/>
      <c r="AB338" s="74"/>
      <c r="AC338" s="73"/>
      <c r="AD338" s="76"/>
      <c r="AE338" s="73"/>
      <c r="AF338" s="73"/>
      <c r="AG338" s="73"/>
      <c r="AH338" s="73"/>
      <c r="AI338" s="73"/>
    </row>
    <row r="339" customFormat="false" ht="15" hidden="false" customHeight="false" outlineLevel="0" collapsed="false">
      <c r="A339" s="71" t="str">
        <f aca="false">IF(D339="","",ROW()-1)</f>
        <v/>
      </c>
      <c r="B339" s="72"/>
      <c r="C339" s="72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4"/>
      <c r="O339" s="73"/>
      <c r="P339" s="74"/>
      <c r="Q339" s="73"/>
      <c r="R339" s="74"/>
      <c r="S339" s="75"/>
      <c r="T339" s="73"/>
      <c r="U339" s="73"/>
      <c r="V339" s="73"/>
      <c r="W339" s="73"/>
      <c r="X339" s="73"/>
      <c r="Y339" s="73"/>
      <c r="Z339" s="73"/>
      <c r="AA339" s="73"/>
      <c r="AB339" s="74"/>
      <c r="AC339" s="73"/>
      <c r="AD339" s="76"/>
      <c r="AE339" s="73"/>
      <c r="AF339" s="73"/>
      <c r="AG339" s="73"/>
      <c r="AH339" s="73"/>
      <c r="AI339" s="73"/>
    </row>
    <row r="340" customFormat="false" ht="15" hidden="false" customHeight="false" outlineLevel="0" collapsed="false">
      <c r="A340" s="71" t="str">
        <f aca="false">IF(D340="","",ROW()-1)</f>
        <v/>
      </c>
      <c r="B340" s="72"/>
      <c r="C340" s="72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4"/>
      <c r="O340" s="73"/>
      <c r="P340" s="74"/>
      <c r="Q340" s="73"/>
      <c r="R340" s="74"/>
      <c r="S340" s="75"/>
      <c r="T340" s="73"/>
      <c r="U340" s="73"/>
      <c r="V340" s="73"/>
      <c r="W340" s="73"/>
      <c r="X340" s="73"/>
      <c r="Y340" s="73"/>
      <c r="Z340" s="73"/>
      <c r="AA340" s="73"/>
      <c r="AB340" s="74"/>
      <c r="AC340" s="73"/>
      <c r="AD340" s="76"/>
      <c r="AE340" s="73"/>
      <c r="AF340" s="73"/>
      <c r="AG340" s="73"/>
      <c r="AH340" s="73"/>
      <c r="AI340" s="73"/>
    </row>
    <row r="341" customFormat="false" ht="15" hidden="false" customHeight="false" outlineLevel="0" collapsed="false">
      <c r="A341" s="71" t="str">
        <f aca="false">IF(D341="","",ROW()-1)</f>
        <v/>
      </c>
      <c r="B341" s="72"/>
      <c r="C341" s="72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4"/>
      <c r="O341" s="73"/>
      <c r="P341" s="74"/>
      <c r="Q341" s="73"/>
      <c r="R341" s="74"/>
      <c r="S341" s="75"/>
      <c r="T341" s="73"/>
      <c r="U341" s="73"/>
      <c r="V341" s="73"/>
      <c r="W341" s="73"/>
      <c r="X341" s="73"/>
      <c r="Y341" s="73"/>
      <c r="Z341" s="73"/>
      <c r="AA341" s="73"/>
      <c r="AB341" s="74"/>
      <c r="AC341" s="73"/>
      <c r="AD341" s="76"/>
      <c r="AE341" s="73"/>
      <c r="AF341" s="73"/>
      <c r="AG341" s="73"/>
      <c r="AH341" s="73"/>
      <c r="AI341" s="73"/>
    </row>
    <row r="342" customFormat="false" ht="15" hidden="false" customHeight="false" outlineLevel="0" collapsed="false">
      <c r="A342" s="71" t="str">
        <f aca="false">IF(D342="","",ROW()-1)</f>
        <v/>
      </c>
      <c r="B342" s="72"/>
      <c r="C342" s="72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4"/>
      <c r="O342" s="73"/>
      <c r="P342" s="74"/>
      <c r="Q342" s="73"/>
      <c r="R342" s="74"/>
      <c r="S342" s="75"/>
      <c r="T342" s="73"/>
      <c r="U342" s="73"/>
      <c r="V342" s="73"/>
      <c r="W342" s="73"/>
      <c r="X342" s="73"/>
      <c r="Y342" s="73"/>
      <c r="Z342" s="73"/>
      <c r="AA342" s="73"/>
      <c r="AB342" s="74"/>
      <c r="AC342" s="73"/>
      <c r="AD342" s="76"/>
      <c r="AE342" s="73"/>
      <c r="AF342" s="73"/>
      <c r="AG342" s="73"/>
      <c r="AH342" s="73"/>
      <c r="AI342" s="73"/>
    </row>
    <row r="343" customFormat="false" ht="15" hidden="false" customHeight="false" outlineLevel="0" collapsed="false">
      <c r="A343" s="71" t="str">
        <f aca="false">IF(D343="","",ROW()-1)</f>
        <v/>
      </c>
      <c r="B343" s="72"/>
      <c r="C343" s="72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4"/>
      <c r="O343" s="73"/>
      <c r="P343" s="74"/>
      <c r="Q343" s="73"/>
      <c r="R343" s="74"/>
      <c r="S343" s="75"/>
      <c r="T343" s="73"/>
      <c r="U343" s="73"/>
      <c r="V343" s="73"/>
      <c r="W343" s="73"/>
      <c r="X343" s="73"/>
      <c r="Y343" s="73"/>
      <c r="Z343" s="73"/>
      <c r="AA343" s="73"/>
      <c r="AB343" s="74"/>
      <c r="AC343" s="73"/>
      <c r="AD343" s="76"/>
      <c r="AE343" s="73"/>
      <c r="AF343" s="73"/>
      <c r="AG343" s="73"/>
      <c r="AH343" s="73"/>
      <c r="AI343" s="73"/>
    </row>
    <row r="344" customFormat="false" ht="15" hidden="false" customHeight="false" outlineLevel="0" collapsed="false">
      <c r="A344" s="71" t="str">
        <f aca="false">IF(D344="","",ROW()-1)</f>
        <v/>
      </c>
      <c r="B344" s="72"/>
      <c r="C344" s="72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4"/>
      <c r="O344" s="73"/>
      <c r="P344" s="74"/>
      <c r="Q344" s="73"/>
      <c r="R344" s="74"/>
      <c r="S344" s="75"/>
      <c r="T344" s="73"/>
      <c r="U344" s="73"/>
      <c r="V344" s="73"/>
      <c r="W344" s="73"/>
      <c r="X344" s="73"/>
      <c r="Y344" s="73"/>
      <c r="Z344" s="73"/>
      <c r="AA344" s="73"/>
      <c r="AB344" s="74"/>
      <c r="AC344" s="73"/>
      <c r="AD344" s="76"/>
      <c r="AE344" s="73"/>
      <c r="AF344" s="73"/>
      <c r="AG344" s="73"/>
      <c r="AH344" s="73"/>
      <c r="AI344" s="73"/>
    </row>
    <row r="345" customFormat="false" ht="15" hidden="false" customHeight="false" outlineLevel="0" collapsed="false">
      <c r="A345" s="71" t="str">
        <f aca="false">IF(D345="","",ROW()-1)</f>
        <v/>
      </c>
      <c r="B345" s="72"/>
      <c r="C345" s="72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4"/>
      <c r="O345" s="73"/>
      <c r="P345" s="74"/>
      <c r="Q345" s="73"/>
      <c r="R345" s="74"/>
      <c r="S345" s="75"/>
      <c r="T345" s="73"/>
      <c r="U345" s="73"/>
      <c r="V345" s="73"/>
      <c r="W345" s="73"/>
      <c r="X345" s="73"/>
      <c r="Y345" s="73"/>
      <c r="Z345" s="73"/>
      <c r="AA345" s="73"/>
      <c r="AB345" s="74"/>
      <c r="AC345" s="73"/>
      <c r="AD345" s="76"/>
      <c r="AE345" s="73"/>
      <c r="AF345" s="73"/>
      <c r="AG345" s="73"/>
      <c r="AH345" s="73"/>
      <c r="AI345" s="73"/>
    </row>
    <row r="346" customFormat="false" ht="15" hidden="false" customHeight="false" outlineLevel="0" collapsed="false">
      <c r="A346" s="71" t="str">
        <f aca="false">IF(D346="","",ROW()-1)</f>
        <v/>
      </c>
      <c r="B346" s="72"/>
      <c r="C346" s="72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4"/>
      <c r="O346" s="73"/>
      <c r="P346" s="74"/>
      <c r="Q346" s="73"/>
      <c r="R346" s="74"/>
      <c r="S346" s="75"/>
      <c r="T346" s="73"/>
      <c r="U346" s="73"/>
      <c r="V346" s="73"/>
      <c r="W346" s="73"/>
      <c r="X346" s="73"/>
      <c r="Y346" s="73"/>
      <c r="Z346" s="73"/>
      <c r="AA346" s="73"/>
      <c r="AB346" s="74"/>
      <c r="AC346" s="73"/>
      <c r="AD346" s="76"/>
      <c r="AE346" s="73"/>
      <c r="AF346" s="73"/>
      <c r="AG346" s="73"/>
      <c r="AH346" s="73"/>
      <c r="AI346" s="73"/>
    </row>
    <row r="347" customFormat="false" ht="15" hidden="false" customHeight="false" outlineLevel="0" collapsed="false">
      <c r="A347" s="71" t="str">
        <f aca="false">IF(D347="","",ROW()-1)</f>
        <v/>
      </c>
      <c r="B347" s="72"/>
      <c r="C347" s="72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4"/>
      <c r="O347" s="73"/>
      <c r="P347" s="74"/>
      <c r="Q347" s="73"/>
      <c r="R347" s="74"/>
      <c r="S347" s="75"/>
      <c r="T347" s="73"/>
      <c r="U347" s="73"/>
      <c r="V347" s="73"/>
      <c r="W347" s="73"/>
      <c r="X347" s="73"/>
      <c r="Y347" s="73"/>
      <c r="Z347" s="73"/>
      <c r="AA347" s="73"/>
      <c r="AB347" s="74"/>
      <c r="AC347" s="73"/>
      <c r="AD347" s="76"/>
      <c r="AE347" s="73"/>
      <c r="AF347" s="73"/>
      <c r="AG347" s="73"/>
      <c r="AH347" s="73"/>
      <c r="AI347" s="73"/>
    </row>
    <row r="348" customFormat="false" ht="15" hidden="false" customHeight="false" outlineLevel="0" collapsed="false">
      <c r="A348" s="71" t="str">
        <f aca="false">IF(D348="","",ROW()-1)</f>
        <v/>
      </c>
      <c r="B348" s="72"/>
      <c r="C348" s="72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4"/>
      <c r="O348" s="73"/>
      <c r="P348" s="74"/>
      <c r="Q348" s="73"/>
      <c r="R348" s="74"/>
      <c r="S348" s="75"/>
      <c r="T348" s="73"/>
      <c r="U348" s="73"/>
      <c r="V348" s="73"/>
      <c r="W348" s="73"/>
      <c r="X348" s="73"/>
      <c r="Y348" s="73"/>
      <c r="Z348" s="73"/>
      <c r="AA348" s="73"/>
      <c r="AB348" s="74"/>
      <c r="AC348" s="73"/>
      <c r="AD348" s="76"/>
      <c r="AE348" s="73"/>
      <c r="AF348" s="73"/>
      <c r="AG348" s="73"/>
      <c r="AH348" s="73"/>
      <c r="AI348" s="73"/>
    </row>
    <row r="349" customFormat="false" ht="15" hidden="false" customHeight="false" outlineLevel="0" collapsed="false">
      <c r="A349" s="71" t="str">
        <f aca="false">IF(D349="","",ROW()-1)</f>
        <v/>
      </c>
      <c r="B349" s="72"/>
      <c r="C349" s="72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4"/>
      <c r="O349" s="73"/>
      <c r="P349" s="74"/>
      <c r="Q349" s="73"/>
      <c r="R349" s="74"/>
      <c r="S349" s="75"/>
      <c r="T349" s="73"/>
      <c r="U349" s="73"/>
      <c r="V349" s="73"/>
      <c r="W349" s="73"/>
      <c r="X349" s="73"/>
      <c r="Y349" s="73"/>
      <c r="Z349" s="73"/>
      <c r="AA349" s="73"/>
      <c r="AB349" s="74"/>
      <c r="AC349" s="73"/>
      <c r="AD349" s="76"/>
      <c r="AE349" s="73"/>
      <c r="AF349" s="73"/>
      <c r="AG349" s="73"/>
      <c r="AH349" s="73"/>
      <c r="AI349" s="73"/>
    </row>
    <row r="350" customFormat="false" ht="15" hidden="false" customHeight="false" outlineLevel="0" collapsed="false">
      <c r="A350" s="71" t="str">
        <f aca="false">IF(D350="","",ROW()-1)</f>
        <v/>
      </c>
      <c r="B350" s="72"/>
      <c r="C350" s="72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4"/>
      <c r="O350" s="73"/>
      <c r="P350" s="74"/>
      <c r="Q350" s="73"/>
      <c r="R350" s="74"/>
      <c r="S350" s="75"/>
      <c r="T350" s="73"/>
      <c r="U350" s="73"/>
      <c r="V350" s="73"/>
      <c r="W350" s="73"/>
      <c r="X350" s="73"/>
      <c r="Y350" s="73"/>
      <c r="Z350" s="73"/>
      <c r="AA350" s="73"/>
      <c r="AB350" s="74"/>
      <c r="AC350" s="73"/>
      <c r="AD350" s="76"/>
      <c r="AE350" s="73"/>
      <c r="AF350" s="73"/>
      <c r="AG350" s="73"/>
      <c r="AH350" s="73"/>
      <c r="AI350" s="73"/>
    </row>
    <row r="351" customFormat="false" ht="15" hidden="false" customHeight="false" outlineLevel="0" collapsed="false">
      <c r="A351" s="71" t="str">
        <f aca="false">IF(D351="","",ROW()-1)</f>
        <v/>
      </c>
      <c r="B351" s="72"/>
      <c r="C351" s="72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4"/>
      <c r="O351" s="73"/>
      <c r="P351" s="74"/>
      <c r="Q351" s="73"/>
      <c r="R351" s="74"/>
      <c r="S351" s="75"/>
      <c r="T351" s="73"/>
      <c r="U351" s="73"/>
      <c r="V351" s="73"/>
      <c r="W351" s="73"/>
      <c r="X351" s="73"/>
      <c r="Y351" s="73"/>
      <c r="Z351" s="73"/>
      <c r="AA351" s="73"/>
      <c r="AB351" s="74"/>
      <c r="AC351" s="73"/>
      <c r="AD351" s="76"/>
      <c r="AE351" s="73"/>
      <c r="AF351" s="73"/>
      <c r="AG351" s="73"/>
      <c r="AH351" s="73"/>
      <c r="AI351" s="73"/>
    </row>
    <row r="352" customFormat="false" ht="15" hidden="false" customHeight="false" outlineLevel="0" collapsed="false">
      <c r="A352" s="71" t="str">
        <f aca="false">IF(D352="","",ROW()-1)</f>
        <v/>
      </c>
      <c r="B352" s="72"/>
      <c r="C352" s="72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4"/>
      <c r="O352" s="73"/>
      <c r="P352" s="74"/>
      <c r="Q352" s="73"/>
      <c r="R352" s="74"/>
      <c r="S352" s="75"/>
      <c r="T352" s="73"/>
      <c r="U352" s="73"/>
      <c r="V352" s="73"/>
      <c r="W352" s="73"/>
      <c r="X352" s="73"/>
      <c r="Y352" s="73"/>
      <c r="Z352" s="73"/>
      <c r="AA352" s="73"/>
      <c r="AB352" s="74"/>
      <c r="AC352" s="73"/>
      <c r="AD352" s="76"/>
      <c r="AE352" s="73"/>
      <c r="AF352" s="73"/>
      <c r="AG352" s="73"/>
      <c r="AH352" s="73"/>
      <c r="AI352" s="73"/>
    </row>
    <row r="353" customFormat="false" ht="15" hidden="false" customHeight="false" outlineLevel="0" collapsed="false">
      <c r="A353" s="71" t="str">
        <f aca="false">IF(D353="","",ROW()-1)</f>
        <v/>
      </c>
      <c r="B353" s="72"/>
      <c r="C353" s="72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4"/>
      <c r="O353" s="73"/>
      <c r="P353" s="74"/>
      <c r="Q353" s="73"/>
      <c r="R353" s="74"/>
      <c r="S353" s="75"/>
      <c r="T353" s="73"/>
      <c r="U353" s="73"/>
      <c r="V353" s="73"/>
      <c r="W353" s="73"/>
      <c r="X353" s="73"/>
      <c r="Y353" s="73"/>
      <c r="Z353" s="73"/>
      <c r="AA353" s="73"/>
      <c r="AB353" s="74"/>
      <c r="AC353" s="73"/>
      <c r="AD353" s="76"/>
      <c r="AE353" s="73"/>
      <c r="AF353" s="73"/>
      <c r="AG353" s="73"/>
      <c r="AH353" s="73"/>
      <c r="AI353" s="73"/>
    </row>
    <row r="354" customFormat="false" ht="15" hidden="false" customHeight="false" outlineLevel="0" collapsed="false">
      <c r="A354" s="71" t="str">
        <f aca="false">IF(D354="","",ROW()-1)</f>
        <v/>
      </c>
      <c r="B354" s="72"/>
      <c r="C354" s="72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4"/>
      <c r="O354" s="73"/>
      <c r="P354" s="74"/>
      <c r="Q354" s="73"/>
      <c r="R354" s="74"/>
      <c r="S354" s="75"/>
      <c r="T354" s="73"/>
      <c r="U354" s="73"/>
      <c r="V354" s="73"/>
      <c r="W354" s="73"/>
      <c r="X354" s="73"/>
      <c r="Y354" s="73"/>
      <c r="Z354" s="73"/>
      <c r="AA354" s="73"/>
      <c r="AB354" s="74"/>
      <c r="AC354" s="73"/>
      <c r="AD354" s="76"/>
      <c r="AE354" s="73"/>
      <c r="AF354" s="73"/>
      <c r="AG354" s="73"/>
      <c r="AH354" s="73"/>
      <c r="AI354" s="73"/>
    </row>
    <row r="355" customFormat="false" ht="15" hidden="false" customHeight="false" outlineLevel="0" collapsed="false">
      <c r="A355" s="71" t="str">
        <f aca="false">IF(D355="","",ROW()-1)</f>
        <v/>
      </c>
      <c r="B355" s="72"/>
      <c r="C355" s="72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4"/>
      <c r="O355" s="73"/>
      <c r="P355" s="74"/>
      <c r="Q355" s="73"/>
      <c r="R355" s="74"/>
      <c r="S355" s="75"/>
      <c r="T355" s="73"/>
      <c r="U355" s="73"/>
      <c r="V355" s="73"/>
      <c r="W355" s="73"/>
      <c r="X355" s="73"/>
      <c r="Y355" s="73"/>
      <c r="Z355" s="73"/>
      <c r="AA355" s="73"/>
      <c r="AB355" s="74"/>
      <c r="AC355" s="73"/>
      <c r="AD355" s="76"/>
      <c r="AE355" s="73"/>
      <c r="AF355" s="73"/>
      <c r="AG355" s="73"/>
      <c r="AH355" s="73"/>
      <c r="AI355" s="73"/>
    </row>
    <row r="356" customFormat="false" ht="15" hidden="false" customHeight="false" outlineLevel="0" collapsed="false">
      <c r="A356" s="71" t="str">
        <f aca="false">IF(D356="","",ROW()-1)</f>
        <v/>
      </c>
      <c r="B356" s="72"/>
      <c r="C356" s="72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4"/>
      <c r="O356" s="73"/>
      <c r="P356" s="74"/>
      <c r="Q356" s="73"/>
      <c r="R356" s="74"/>
      <c r="S356" s="75"/>
      <c r="T356" s="73"/>
      <c r="U356" s="73"/>
      <c r="V356" s="73"/>
      <c r="W356" s="73"/>
      <c r="X356" s="73"/>
      <c r="Y356" s="73"/>
      <c r="Z356" s="73"/>
      <c r="AA356" s="73"/>
      <c r="AB356" s="74"/>
      <c r="AC356" s="73"/>
      <c r="AD356" s="76"/>
      <c r="AE356" s="73"/>
      <c r="AF356" s="73"/>
      <c r="AG356" s="73"/>
      <c r="AH356" s="73"/>
      <c r="AI356" s="73"/>
    </row>
    <row r="357" customFormat="false" ht="15" hidden="false" customHeight="false" outlineLevel="0" collapsed="false">
      <c r="A357" s="71" t="str">
        <f aca="false">IF(D357="","",ROW()-1)</f>
        <v/>
      </c>
      <c r="B357" s="72"/>
      <c r="C357" s="72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4"/>
      <c r="O357" s="73"/>
      <c r="P357" s="74"/>
      <c r="Q357" s="73"/>
      <c r="R357" s="74"/>
      <c r="S357" s="75"/>
      <c r="T357" s="73"/>
      <c r="U357" s="73"/>
      <c r="V357" s="73"/>
      <c r="W357" s="73"/>
      <c r="X357" s="73"/>
      <c r="Y357" s="73"/>
      <c r="Z357" s="73"/>
      <c r="AA357" s="73"/>
      <c r="AB357" s="74"/>
      <c r="AC357" s="73"/>
      <c r="AD357" s="76"/>
      <c r="AE357" s="73"/>
      <c r="AF357" s="73"/>
      <c r="AG357" s="73"/>
      <c r="AH357" s="73"/>
      <c r="AI357" s="73"/>
    </row>
    <row r="358" customFormat="false" ht="15" hidden="false" customHeight="false" outlineLevel="0" collapsed="false">
      <c r="A358" s="71" t="str">
        <f aca="false">IF(D358="","",ROW()-1)</f>
        <v/>
      </c>
      <c r="B358" s="72"/>
      <c r="C358" s="72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4"/>
      <c r="O358" s="73"/>
      <c r="P358" s="74"/>
      <c r="Q358" s="73"/>
      <c r="R358" s="74"/>
      <c r="S358" s="75"/>
      <c r="T358" s="73"/>
      <c r="U358" s="73"/>
      <c r="V358" s="73"/>
      <c r="W358" s="73"/>
      <c r="X358" s="73"/>
      <c r="Y358" s="73"/>
      <c r="Z358" s="73"/>
      <c r="AA358" s="73"/>
      <c r="AB358" s="74"/>
      <c r="AC358" s="73"/>
      <c r="AD358" s="76"/>
      <c r="AE358" s="73"/>
      <c r="AF358" s="73"/>
      <c r="AG358" s="73"/>
      <c r="AH358" s="73"/>
      <c r="AI358" s="73"/>
    </row>
    <row r="359" customFormat="false" ht="15" hidden="false" customHeight="false" outlineLevel="0" collapsed="false">
      <c r="A359" s="71" t="str">
        <f aca="false">IF(D359="","",ROW()-1)</f>
        <v/>
      </c>
      <c r="B359" s="72"/>
      <c r="C359" s="72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4"/>
      <c r="O359" s="73"/>
      <c r="P359" s="74"/>
      <c r="Q359" s="73"/>
      <c r="R359" s="74"/>
      <c r="S359" s="75"/>
      <c r="T359" s="73"/>
      <c r="U359" s="73"/>
      <c r="V359" s="73"/>
      <c r="W359" s="73"/>
      <c r="X359" s="73"/>
      <c r="Y359" s="73"/>
      <c r="Z359" s="73"/>
      <c r="AA359" s="73"/>
      <c r="AB359" s="74"/>
      <c r="AC359" s="73"/>
      <c r="AD359" s="76"/>
      <c r="AE359" s="73"/>
      <c r="AF359" s="73"/>
      <c r="AG359" s="73"/>
      <c r="AH359" s="73"/>
      <c r="AI359" s="73"/>
    </row>
    <row r="360" customFormat="false" ht="15" hidden="false" customHeight="false" outlineLevel="0" collapsed="false">
      <c r="A360" s="71" t="str">
        <f aca="false">IF(D360="","",ROW()-1)</f>
        <v/>
      </c>
      <c r="B360" s="72"/>
      <c r="C360" s="72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4"/>
      <c r="O360" s="73"/>
      <c r="P360" s="74"/>
      <c r="Q360" s="73"/>
      <c r="R360" s="74"/>
      <c r="S360" s="75"/>
      <c r="T360" s="73"/>
      <c r="U360" s="73"/>
      <c r="V360" s="73"/>
      <c r="W360" s="73"/>
      <c r="X360" s="73"/>
      <c r="Y360" s="73"/>
      <c r="Z360" s="73"/>
      <c r="AA360" s="73"/>
      <c r="AB360" s="74"/>
      <c r="AC360" s="73"/>
      <c r="AD360" s="76"/>
      <c r="AE360" s="73"/>
      <c r="AF360" s="73"/>
      <c r="AG360" s="73"/>
      <c r="AH360" s="73"/>
      <c r="AI360" s="73"/>
    </row>
    <row r="361" customFormat="false" ht="15" hidden="false" customHeight="false" outlineLevel="0" collapsed="false">
      <c r="A361" s="71" t="str">
        <f aca="false">IF(D361="","",ROW()-1)</f>
        <v/>
      </c>
      <c r="B361" s="72"/>
      <c r="C361" s="72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4"/>
      <c r="O361" s="73"/>
      <c r="P361" s="74"/>
      <c r="Q361" s="73"/>
      <c r="R361" s="74"/>
      <c r="S361" s="75"/>
      <c r="T361" s="73"/>
      <c r="U361" s="73"/>
      <c r="V361" s="73"/>
      <c r="W361" s="73"/>
      <c r="X361" s="73"/>
      <c r="Y361" s="73"/>
      <c r="Z361" s="73"/>
      <c r="AA361" s="73"/>
      <c r="AB361" s="74"/>
      <c r="AC361" s="73"/>
      <c r="AD361" s="76"/>
      <c r="AE361" s="73"/>
      <c r="AF361" s="73"/>
      <c r="AG361" s="73"/>
      <c r="AH361" s="73"/>
      <c r="AI361" s="73"/>
    </row>
    <row r="362" customFormat="false" ht="15" hidden="false" customHeight="false" outlineLevel="0" collapsed="false">
      <c r="A362" s="71" t="str">
        <f aca="false">IF(D362="","",ROW()-1)</f>
        <v/>
      </c>
      <c r="B362" s="72"/>
      <c r="C362" s="72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4"/>
      <c r="O362" s="73"/>
      <c r="P362" s="74"/>
      <c r="Q362" s="73"/>
      <c r="R362" s="74"/>
      <c r="S362" s="75"/>
      <c r="T362" s="73"/>
      <c r="U362" s="73"/>
      <c r="V362" s="73"/>
      <c r="W362" s="73"/>
      <c r="X362" s="73"/>
      <c r="Y362" s="73"/>
      <c r="Z362" s="73"/>
      <c r="AA362" s="73"/>
      <c r="AB362" s="74"/>
      <c r="AC362" s="73"/>
      <c r="AD362" s="76"/>
      <c r="AE362" s="73"/>
      <c r="AF362" s="73"/>
      <c r="AG362" s="73"/>
      <c r="AH362" s="73"/>
      <c r="AI362" s="73"/>
    </row>
    <row r="363" customFormat="false" ht="15" hidden="false" customHeight="false" outlineLevel="0" collapsed="false">
      <c r="A363" s="71" t="str">
        <f aca="false">IF(D363="","",ROW()-1)</f>
        <v/>
      </c>
      <c r="B363" s="72"/>
      <c r="C363" s="72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4"/>
      <c r="O363" s="73"/>
      <c r="P363" s="74"/>
      <c r="Q363" s="73"/>
      <c r="R363" s="74"/>
      <c r="S363" s="75"/>
      <c r="T363" s="73"/>
      <c r="U363" s="73"/>
      <c r="V363" s="73"/>
      <c r="W363" s="73"/>
      <c r="X363" s="73"/>
      <c r="Y363" s="73"/>
      <c r="Z363" s="73"/>
      <c r="AA363" s="73"/>
      <c r="AB363" s="74"/>
      <c r="AC363" s="73"/>
      <c r="AD363" s="76"/>
      <c r="AE363" s="73"/>
      <c r="AF363" s="73"/>
      <c r="AG363" s="73"/>
      <c r="AH363" s="73"/>
      <c r="AI363" s="73"/>
    </row>
    <row r="364" customFormat="false" ht="15" hidden="false" customHeight="false" outlineLevel="0" collapsed="false">
      <c r="A364" s="71" t="str">
        <f aca="false">IF(D364="","",ROW()-1)</f>
        <v/>
      </c>
      <c r="B364" s="72"/>
      <c r="C364" s="72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4"/>
      <c r="O364" s="73"/>
      <c r="P364" s="74"/>
      <c r="Q364" s="73"/>
      <c r="R364" s="74"/>
      <c r="S364" s="75"/>
      <c r="T364" s="73"/>
      <c r="U364" s="73"/>
      <c r="V364" s="73"/>
      <c r="W364" s="73"/>
      <c r="X364" s="73"/>
      <c r="Y364" s="73"/>
      <c r="Z364" s="73"/>
      <c r="AA364" s="73"/>
      <c r="AB364" s="74"/>
      <c r="AC364" s="73"/>
      <c r="AD364" s="76"/>
      <c r="AE364" s="73"/>
      <c r="AF364" s="73"/>
      <c r="AG364" s="73"/>
      <c r="AH364" s="73"/>
      <c r="AI364" s="73"/>
    </row>
    <row r="365" customFormat="false" ht="15" hidden="false" customHeight="false" outlineLevel="0" collapsed="false">
      <c r="A365" s="71" t="str">
        <f aca="false">IF(D365="","",ROW()-1)</f>
        <v/>
      </c>
      <c r="B365" s="72"/>
      <c r="C365" s="72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4"/>
      <c r="O365" s="73"/>
      <c r="P365" s="74"/>
      <c r="Q365" s="73"/>
      <c r="R365" s="74"/>
      <c r="S365" s="75"/>
      <c r="T365" s="73"/>
      <c r="U365" s="73"/>
      <c r="V365" s="73"/>
      <c r="W365" s="73"/>
      <c r="X365" s="73"/>
      <c r="Y365" s="73"/>
      <c r="Z365" s="73"/>
      <c r="AA365" s="73"/>
      <c r="AB365" s="74"/>
      <c r="AC365" s="73"/>
      <c r="AD365" s="76"/>
      <c r="AE365" s="73"/>
      <c r="AF365" s="73"/>
      <c r="AG365" s="73"/>
      <c r="AH365" s="73"/>
      <c r="AI365" s="73"/>
    </row>
    <row r="366" customFormat="false" ht="15" hidden="false" customHeight="false" outlineLevel="0" collapsed="false">
      <c r="A366" s="71" t="str">
        <f aca="false">IF(D366="","",ROW()-1)</f>
        <v/>
      </c>
      <c r="B366" s="72"/>
      <c r="C366" s="72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4"/>
      <c r="O366" s="73"/>
      <c r="P366" s="74"/>
      <c r="Q366" s="73"/>
      <c r="R366" s="74"/>
      <c r="S366" s="75"/>
      <c r="T366" s="73"/>
      <c r="U366" s="73"/>
      <c r="V366" s="73"/>
      <c r="W366" s="73"/>
      <c r="X366" s="73"/>
      <c r="Y366" s="73"/>
      <c r="Z366" s="73"/>
      <c r="AA366" s="73"/>
      <c r="AB366" s="74"/>
      <c r="AC366" s="73"/>
      <c r="AD366" s="76"/>
      <c r="AE366" s="73"/>
      <c r="AF366" s="73"/>
      <c r="AG366" s="73"/>
      <c r="AH366" s="73"/>
      <c r="AI366" s="73"/>
    </row>
    <row r="367" customFormat="false" ht="15" hidden="false" customHeight="false" outlineLevel="0" collapsed="false">
      <c r="A367" s="71" t="str">
        <f aca="false">IF(D367="","",ROW()-1)</f>
        <v/>
      </c>
      <c r="B367" s="72"/>
      <c r="C367" s="72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4"/>
      <c r="O367" s="73"/>
      <c r="P367" s="74"/>
      <c r="Q367" s="73"/>
      <c r="R367" s="74"/>
      <c r="S367" s="75"/>
      <c r="T367" s="73"/>
      <c r="U367" s="73"/>
      <c r="V367" s="73"/>
      <c r="W367" s="73"/>
      <c r="X367" s="73"/>
      <c r="Y367" s="73"/>
      <c r="Z367" s="73"/>
      <c r="AA367" s="73"/>
      <c r="AB367" s="74"/>
      <c r="AC367" s="73"/>
      <c r="AD367" s="76"/>
      <c r="AE367" s="73"/>
      <c r="AF367" s="73"/>
      <c r="AG367" s="73"/>
      <c r="AH367" s="73"/>
      <c r="AI367" s="73"/>
    </row>
    <row r="368" customFormat="false" ht="15" hidden="false" customHeight="false" outlineLevel="0" collapsed="false">
      <c r="A368" s="71" t="str">
        <f aca="false">IF(D368="","",ROW()-1)</f>
        <v/>
      </c>
      <c r="B368" s="72"/>
      <c r="C368" s="72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4"/>
      <c r="O368" s="73"/>
      <c r="P368" s="74"/>
      <c r="Q368" s="73"/>
      <c r="R368" s="74"/>
      <c r="S368" s="75"/>
      <c r="T368" s="73"/>
      <c r="U368" s="73"/>
      <c r="V368" s="73"/>
      <c r="W368" s="73"/>
      <c r="X368" s="73"/>
      <c r="Y368" s="73"/>
      <c r="Z368" s="73"/>
      <c r="AA368" s="73"/>
      <c r="AB368" s="74"/>
      <c r="AC368" s="73"/>
      <c r="AD368" s="76"/>
      <c r="AE368" s="73"/>
      <c r="AF368" s="73"/>
      <c r="AG368" s="73"/>
      <c r="AH368" s="73"/>
      <c r="AI368" s="73"/>
    </row>
    <row r="369" customFormat="false" ht="15" hidden="false" customHeight="false" outlineLevel="0" collapsed="false">
      <c r="A369" s="71" t="str">
        <f aca="false">IF(D369="","",ROW()-1)</f>
        <v/>
      </c>
      <c r="B369" s="72"/>
      <c r="C369" s="72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4"/>
      <c r="O369" s="73"/>
      <c r="P369" s="74"/>
      <c r="Q369" s="73"/>
      <c r="R369" s="74"/>
      <c r="S369" s="75"/>
      <c r="T369" s="73"/>
      <c r="U369" s="73"/>
      <c r="V369" s="73"/>
      <c r="W369" s="73"/>
      <c r="X369" s="73"/>
      <c r="Y369" s="73"/>
      <c r="Z369" s="73"/>
      <c r="AA369" s="73"/>
      <c r="AB369" s="74"/>
      <c r="AC369" s="73"/>
      <c r="AD369" s="76"/>
      <c r="AE369" s="73"/>
      <c r="AF369" s="73"/>
      <c r="AG369" s="73"/>
      <c r="AH369" s="73"/>
      <c r="AI369" s="73"/>
    </row>
    <row r="370" customFormat="false" ht="15" hidden="false" customHeight="false" outlineLevel="0" collapsed="false">
      <c r="A370" s="71" t="str">
        <f aca="false">IF(D370="","",ROW()-1)</f>
        <v/>
      </c>
      <c r="B370" s="72"/>
      <c r="C370" s="72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4"/>
      <c r="O370" s="73"/>
      <c r="P370" s="74"/>
      <c r="Q370" s="73"/>
      <c r="R370" s="74"/>
      <c r="S370" s="75"/>
      <c r="T370" s="73"/>
      <c r="U370" s="73"/>
      <c r="V370" s="73"/>
      <c r="W370" s="73"/>
      <c r="X370" s="73"/>
      <c r="Y370" s="73"/>
      <c r="Z370" s="73"/>
      <c r="AA370" s="73"/>
      <c r="AB370" s="74"/>
      <c r="AC370" s="73"/>
      <c r="AD370" s="76"/>
      <c r="AE370" s="73"/>
      <c r="AF370" s="73"/>
      <c r="AG370" s="73"/>
      <c r="AH370" s="73"/>
      <c r="AI370" s="73"/>
    </row>
    <row r="371" customFormat="false" ht="15" hidden="false" customHeight="false" outlineLevel="0" collapsed="false">
      <c r="A371" s="71" t="str">
        <f aca="false">IF(D371="","",ROW()-1)</f>
        <v/>
      </c>
      <c r="B371" s="72"/>
      <c r="C371" s="72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4"/>
      <c r="O371" s="73"/>
      <c r="P371" s="74"/>
      <c r="Q371" s="73"/>
      <c r="R371" s="74"/>
      <c r="S371" s="75"/>
      <c r="T371" s="73"/>
      <c r="U371" s="73"/>
      <c r="V371" s="73"/>
      <c r="W371" s="73"/>
      <c r="X371" s="73"/>
      <c r="Y371" s="73"/>
      <c r="Z371" s="73"/>
      <c r="AA371" s="73"/>
      <c r="AB371" s="74"/>
      <c r="AC371" s="73"/>
      <c r="AD371" s="76"/>
      <c r="AE371" s="73"/>
      <c r="AF371" s="73"/>
      <c r="AG371" s="73"/>
      <c r="AH371" s="73"/>
      <c r="AI371" s="73"/>
    </row>
    <row r="372" customFormat="false" ht="15" hidden="false" customHeight="false" outlineLevel="0" collapsed="false">
      <c r="A372" s="71" t="str">
        <f aca="false">IF(D372="","",ROW()-1)</f>
        <v/>
      </c>
      <c r="B372" s="72"/>
      <c r="C372" s="72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4"/>
      <c r="O372" s="73"/>
      <c r="P372" s="74"/>
      <c r="Q372" s="73"/>
      <c r="R372" s="74"/>
      <c r="S372" s="75"/>
      <c r="T372" s="73"/>
      <c r="U372" s="73"/>
      <c r="V372" s="73"/>
      <c r="W372" s="73"/>
      <c r="X372" s="73"/>
      <c r="Y372" s="73"/>
      <c r="Z372" s="73"/>
      <c r="AA372" s="73"/>
      <c r="AB372" s="74"/>
      <c r="AC372" s="73"/>
      <c r="AD372" s="76"/>
      <c r="AE372" s="73"/>
      <c r="AF372" s="73"/>
      <c r="AG372" s="73"/>
      <c r="AH372" s="73"/>
      <c r="AI372" s="73"/>
    </row>
    <row r="373" customFormat="false" ht="15" hidden="false" customHeight="false" outlineLevel="0" collapsed="false">
      <c r="A373" s="71" t="str">
        <f aca="false">IF(D373="","",ROW()-1)</f>
        <v/>
      </c>
      <c r="B373" s="72"/>
      <c r="C373" s="72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4"/>
      <c r="O373" s="73"/>
      <c r="P373" s="74"/>
      <c r="Q373" s="73"/>
      <c r="R373" s="74"/>
      <c r="S373" s="75"/>
      <c r="T373" s="73"/>
      <c r="U373" s="73"/>
      <c r="V373" s="73"/>
      <c r="W373" s="73"/>
      <c r="X373" s="73"/>
      <c r="Y373" s="73"/>
      <c r="Z373" s="73"/>
      <c r="AA373" s="73"/>
      <c r="AB373" s="74"/>
      <c r="AC373" s="73"/>
      <c r="AD373" s="76"/>
      <c r="AE373" s="73"/>
      <c r="AF373" s="73"/>
      <c r="AG373" s="73"/>
      <c r="AH373" s="73"/>
      <c r="AI373" s="73"/>
    </row>
    <row r="374" customFormat="false" ht="15" hidden="false" customHeight="false" outlineLevel="0" collapsed="false">
      <c r="A374" s="71" t="str">
        <f aca="false">IF(D374="","",ROW()-1)</f>
        <v/>
      </c>
      <c r="B374" s="72"/>
      <c r="C374" s="72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4"/>
      <c r="O374" s="73"/>
      <c r="P374" s="74"/>
      <c r="Q374" s="73"/>
      <c r="R374" s="74"/>
      <c r="S374" s="75"/>
      <c r="T374" s="73"/>
      <c r="U374" s="73"/>
      <c r="V374" s="73"/>
      <c r="W374" s="73"/>
      <c r="X374" s="73"/>
      <c r="Y374" s="73"/>
      <c r="Z374" s="73"/>
      <c r="AA374" s="73"/>
      <c r="AB374" s="74"/>
      <c r="AC374" s="73"/>
      <c r="AD374" s="76"/>
      <c r="AE374" s="73"/>
      <c r="AF374" s="73"/>
      <c r="AG374" s="73"/>
      <c r="AH374" s="73"/>
      <c r="AI374" s="73"/>
    </row>
    <row r="375" customFormat="false" ht="15" hidden="false" customHeight="false" outlineLevel="0" collapsed="false">
      <c r="A375" s="71" t="str">
        <f aca="false">IF(D375="","",ROW()-1)</f>
        <v/>
      </c>
      <c r="B375" s="72"/>
      <c r="C375" s="72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4"/>
      <c r="O375" s="73"/>
      <c r="P375" s="74"/>
      <c r="Q375" s="73"/>
      <c r="R375" s="74"/>
      <c r="S375" s="75"/>
      <c r="T375" s="73"/>
      <c r="U375" s="73"/>
      <c r="V375" s="73"/>
      <c r="W375" s="73"/>
      <c r="X375" s="73"/>
      <c r="Y375" s="73"/>
      <c r="Z375" s="73"/>
      <c r="AA375" s="73"/>
      <c r="AB375" s="74"/>
      <c r="AC375" s="73"/>
      <c r="AD375" s="76"/>
      <c r="AE375" s="73"/>
      <c r="AF375" s="73"/>
      <c r="AG375" s="73"/>
      <c r="AH375" s="73"/>
      <c r="AI375" s="73"/>
    </row>
    <row r="376" customFormat="false" ht="15" hidden="false" customHeight="false" outlineLevel="0" collapsed="false">
      <c r="A376" s="71" t="str">
        <f aca="false">IF(D376="","",ROW()-1)</f>
        <v/>
      </c>
      <c r="B376" s="72"/>
      <c r="C376" s="72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4"/>
      <c r="O376" s="73"/>
      <c r="P376" s="74"/>
      <c r="Q376" s="73"/>
      <c r="R376" s="74"/>
      <c r="S376" s="75"/>
      <c r="T376" s="73"/>
      <c r="U376" s="73"/>
      <c r="V376" s="73"/>
      <c r="W376" s="73"/>
      <c r="X376" s="73"/>
      <c r="Y376" s="73"/>
      <c r="Z376" s="73"/>
      <c r="AA376" s="73"/>
      <c r="AB376" s="74"/>
      <c r="AC376" s="73"/>
      <c r="AD376" s="76"/>
      <c r="AE376" s="73"/>
      <c r="AF376" s="73"/>
      <c r="AG376" s="73"/>
      <c r="AH376" s="73"/>
      <c r="AI376" s="73"/>
    </row>
    <row r="377" customFormat="false" ht="15" hidden="false" customHeight="false" outlineLevel="0" collapsed="false">
      <c r="A377" s="71" t="str">
        <f aca="false">IF(D377="","",ROW()-1)</f>
        <v/>
      </c>
      <c r="B377" s="72"/>
      <c r="C377" s="72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4"/>
      <c r="O377" s="73"/>
      <c r="P377" s="74"/>
      <c r="Q377" s="73"/>
      <c r="R377" s="74"/>
      <c r="S377" s="75"/>
      <c r="T377" s="73"/>
      <c r="U377" s="73"/>
      <c r="V377" s="73"/>
      <c r="W377" s="73"/>
      <c r="X377" s="73"/>
      <c r="Y377" s="73"/>
      <c r="Z377" s="73"/>
      <c r="AA377" s="73"/>
      <c r="AB377" s="74"/>
      <c r="AC377" s="73"/>
      <c r="AD377" s="76"/>
      <c r="AE377" s="73"/>
      <c r="AF377" s="73"/>
      <c r="AG377" s="73"/>
      <c r="AH377" s="73"/>
      <c r="AI377" s="73"/>
    </row>
    <row r="378" customFormat="false" ht="15" hidden="false" customHeight="false" outlineLevel="0" collapsed="false">
      <c r="A378" s="71" t="str">
        <f aca="false">IF(D378="","",ROW()-1)</f>
        <v/>
      </c>
      <c r="B378" s="72"/>
      <c r="C378" s="72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4"/>
      <c r="O378" s="73"/>
      <c r="P378" s="74"/>
      <c r="Q378" s="73"/>
      <c r="R378" s="74"/>
      <c r="S378" s="75"/>
      <c r="T378" s="73"/>
      <c r="U378" s="73"/>
      <c r="V378" s="73"/>
      <c r="W378" s="73"/>
      <c r="X378" s="73"/>
      <c r="Y378" s="73"/>
      <c r="Z378" s="73"/>
      <c r="AA378" s="73"/>
      <c r="AB378" s="74"/>
      <c r="AC378" s="73"/>
      <c r="AD378" s="76"/>
      <c r="AE378" s="73"/>
      <c r="AF378" s="73"/>
      <c r="AG378" s="73"/>
      <c r="AH378" s="73"/>
      <c r="AI378" s="73"/>
    </row>
    <row r="379" customFormat="false" ht="15" hidden="false" customHeight="false" outlineLevel="0" collapsed="false">
      <c r="A379" s="71" t="str">
        <f aca="false">IF(D379="","",ROW()-1)</f>
        <v/>
      </c>
      <c r="B379" s="72"/>
      <c r="C379" s="72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4"/>
      <c r="O379" s="73"/>
      <c r="P379" s="74"/>
      <c r="Q379" s="73"/>
      <c r="R379" s="74"/>
      <c r="S379" s="75"/>
      <c r="T379" s="73"/>
      <c r="U379" s="73"/>
      <c r="V379" s="73"/>
      <c r="W379" s="73"/>
      <c r="X379" s="73"/>
      <c r="Y379" s="73"/>
      <c r="Z379" s="73"/>
      <c r="AA379" s="73"/>
      <c r="AB379" s="74"/>
      <c r="AC379" s="73"/>
      <c r="AD379" s="76"/>
      <c r="AE379" s="73"/>
      <c r="AF379" s="73"/>
      <c r="AG379" s="73"/>
      <c r="AH379" s="73"/>
      <c r="AI379" s="73"/>
    </row>
    <row r="380" customFormat="false" ht="15" hidden="false" customHeight="false" outlineLevel="0" collapsed="false">
      <c r="A380" s="71" t="str">
        <f aca="false">IF(D380="","",ROW()-1)</f>
        <v/>
      </c>
      <c r="B380" s="72"/>
      <c r="C380" s="72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4"/>
      <c r="O380" s="73"/>
      <c r="P380" s="74"/>
      <c r="Q380" s="73"/>
      <c r="R380" s="74"/>
      <c r="S380" s="75"/>
      <c r="T380" s="73"/>
      <c r="U380" s="73"/>
      <c r="V380" s="73"/>
      <c r="W380" s="73"/>
      <c r="X380" s="73"/>
      <c r="Y380" s="73"/>
      <c r="Z380" s="73"/>
      <c r="AA380" s="73"/>
      <c r="AB380" s="74"/>
      <c r="AC380" s="73"/>
      <c r="AD380" s="76"/>
      <c r="AE380" s="73"/>
      <c r="AF380" s="73"/>
      <c r="AG380" s="73"/>
      <c r="AH380" s="73"/>
      <c r="AI380" s="73"/>
    </row>
    <row r="381" customFormat="false" ht="15" hidden="false" customHeight="false" outlineLevel="0" collapsed="false">
      <c r="A381" s="71" t="str">
        <f aca="false">IF(D381="","",ROW()-1)</f>
        <v/>
      </c>
      <c r="B381" s="72"/>
      <c r="C381" s="72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4"/>
      <c r="O381" s="73"/>
      <c r="P381" s="74"/>
      <c r="Q381" s="73"/>
      <c r="R381" s="74"/>
      <c r="S381" s="75"/>
      <c r="T381" s="73"/>
      <c r="U381" s="73"/>
      <c r="V381" s="73"/>
      <c r="W381" s="73"/>
      <c r="X381" s="73"/>
      <c r="Y381" s="73"/>
      <c r="Z381" s="73"/>
      <c r="AA381" s="73"/>
      <c r="AB381" s="74"/>
      <c r="AC381" s="73"/>
      <c r="AD381" s="76"/>
      <c r="AE381" s="73"/>
      <c r="AF381" s="73"/>
      <c r="AG381" s="73"/>
      <c r="AH381" s="73"/>
      <c r="AI381" s="73"/>
    </row>
    <row r="382" customFormat="false" ht="15" hidden="false" customHeight="false" outlineLevel="0" collapsed="false">
      <c r="A382" s="71" t="str">
        <f aca="false">IF(D382="","",ROW()-1)</f>
        <v/>
      </c>
      <c r="B382" s="72"/>
      <c r="C382" s="72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4"/>
      <c r="O382" s="73"/>
      <c r="P382" s="74"/>
      <c r="Q382" s="73"/>
      <c r="R382" s="74"/>
      <c r="S382" s="75"/>
      <c r="T382" s="73"/>
      <c r="U382" s="73"/>
      <c r="V382" s="73"/>
      <c r="W382" s="73"/>
      <c r="X382" s="73"/>
      <c r="Y382" s="73"/>
      <c r="Z382" s="73"/>
      <c r="AA382" s="73"/>
      <c r="AB382" s="74"/>
      <c r="AC382" s="73"/>
      <c r="AD382" s="76"/>
      <c r="AE382" s="73"/>
      <c r="AF382" s="73"/>
      <c r="AG382" s="73"/>
      <c r="AH382" s="73"/>
      <c r="AI382" s="73"/>
    </row>
    <row r="383" customFormat="false" ht="15" hidden="false" customHeight="false" outlineLevel="0" collapsed="false">
      <c r="A383" s="71" t="str">
        <f aca="false">IF(D383="","",ROW()-1)</f>
        <v/>
      </c>
      <c r="B383" s="72"/>
      <c r="C383" s="72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4"/>
      <c r="O383" s="73"/>
      <c r="P383" s="74"/>
      <c r="Q383" s="73"/>
      <c r="R383" s="74"/>
      <c r="S383" s="75"/>
      <c r="T383" s="73"/>
      <c r="U383" s="73"/>
      <c r="V383" s="73"/>
      <c r="W383" s="73"/>
      <c r="X383" s="73"/>
      <c r="Y383" s="73"/>
      <c r="Z383" s="73"/>
      <c r="AA383" s="73"/>
      <c r="AB383" s="74"/>
      <c r="AC383" s="73"/>
      <c r="AD383" s="76"/>
      <c r="AE383" s="73"/>
      <c r="AF383" s="73"/>
      <c r="AG383" s="73"/>
      <c r="AH383" s="73"/>
      <c r="AI383" s="73"/>
    </row>
    <row r="384" customFormat="false" ht="15" hidden="false" customHeight="false" outlineLevel="0" collapsed="false">
      <c r="A384" s="71" t="str">
        <f aca="false">IF(D384="","",ROW()-1)</f>
        <v/>
      </c>
      <c r="B384" s="72"/>
      <c r="C384" s="72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4"/>
      <c r="O384" s="73"/>
      <c r="P384" s="74"/>
      <c r="Q384" s="73"/>
      <c r="R384" s="74"/>
      <c r="S384" s="75"/>
      <c r="T384" s="73"/>
      <c r="U384" s="73"/>
      <c r="V384" s="73"/>
      <c r="W384" s="73"/>
      <c r="X384" s="73"/>
      <c r="Y384" s="73"/>
      <c r="Z384" s="73"/>
      <c r="AA384" s="73"/>
      <c r="AB384" s="74"/>
      <c r="AC384" s="73"/>
      <c r="AD384" s="76"/>
      <c r="AE384" s="73"/>
      <c r="AF384" s="73"/>
      <c r="AG384" s="73"/>
      <c r="AH384" s="73"/>
      <c r="AI384" s="73"/>
    </row>
    <row r="385" customFormat="false" ht="15" hidden="false" customHeight="false" outlineLevel="0" collapsed="false">
      <c r="A385" s="71" t="str">
        <f aca="false">IF(D385="","",ROW()-1)</f>
        <v/>
      </c>
      <c r="B385" s="72"/>
      <c r="C385" s="72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4"/>
      <c r="O385" s="73"/>
      <c r="P385" s="74"/>
      <c r="Q385" s="73"/>
      <c r="R385" s="74"/>
      <c r="S385" s="75"/>
      <c r="T385" s="73"/>
      <c r="U385" s="73"/>
      <c r="V385" s="73"/>
      <c r="W385" s="73"/>
      <c r="X385" s="73"/>
      <c r="Y385" s="73"/>
      <c r="Z385" s="73"/>
      <c r="AA385" s="73"/>
      <c r="AB385" s="74"/>
      <c r="AC385" s="73"/>
      <c r="AD385" s="76"/>
      <c r="AE385" s="73"/>
      <c r="AF385" s="73"/>
      <c r="AG385" s="73"/>
      <c r="AH385" s="73"/>
      <c r="AI385" s="73"/>
    </row>
    <row r="386" customFormat="false" ht="15" hidden="false" customHeight="false" outlineLevel="0" collapsed="false">
      <c r="A386" s="71" t="str">
        <f aca="false">IF(D386="","",ROW()-1)</f>
        <v/>
      </c>
      <c r="B386" s="72"/>
      <c r="C386" s="72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4"/>
      <c r="O386" s="73"/>
      <c r="P386" s="74"/>
      <c r="Q386" s="73"/>
      <c r="R386" s="74"/>
      <c r="S386" s="75"/>
      <c r="T386" s="73"/>
      <c r="U386" s="73"/>
      <c r="V386" s="73"/>
      <c r="W386" s="73"/>
      <c r="X386" s="73"/>
      <c r="Y386" s="73"/>
      <c r="Z386" s="73"/>
      <c r="AA386" s="73"/>
      <c r="AB386" s="74"/>
      <c r="AC386" s="73"/>
      <c r="AD386" s="76"/>
      <c r="AE386" s="73"/>
      <c r="AF386" s="73"/>
      <c r="AG386" s="73"/>
      <c r="AH386" s="73"/>
      <c r="AI386" s="73"/>
    </row>
    <row r="387" customFormat="false" ht="15" hidden="false" customHeight="false" outlineLevel="0" collapsed="false">
      <c r="A387" s="71" t="str">
        <f aca="false">IF(D387="","",ROW()-1)</f>
        <v/>
      </c>
      <c r="B387" s="72"/>
      <c r="C387" s="72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4"/>
      <c r="O387" s="73"/>
      <c r="P387" s="74"/>
      <c r="Q387" s="73"/>
      <c r="R387" s="74"/>
      <c r="S387" s="75"/>
      <c r="T387" s="73"/>
      <c r="U387" s="73"/>
      <c r="V387" s="73"/>
      <c r="W387" s="73"/>
      <c r="X387" s="73"/>
      <c r="Y387" s="73"/>
      <c r="Z387" s="73"/>
      <c r="AA387" s="73"/>
      <c r="AB387" s="74"/>
      <c r="AC387" s="73"/>
      <c r="AD387" s="76"/>
      <c r="AE387" s="73"/>
      <c r="AF387" s="73"/>
      <c r="AG387" s="73"/>
      <c r="AH387" s="73"/>
      <c r="AI387" s="73"/>
    </row>
    <row r="388" customFormat="false" ht="15" hidden="false" customHeight="false" outlineLevel="0" collapsed="false">
      <c r="A388" s="71" t="str">
        <f aca="false">IF(D388="","",ROW()-1)</f>
        <v/>
      </c>
      <c r="B388" s="72"/>
      <c r="C388" s="72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4"/>
      <c r="O388" s="73"/>
      <c r="P388" s="74"/>
      <c r="Q388" s="73"/>
      <c r="R388" s="74"/>
      <c r="S388" s="75"/>
      <c r="T388" s="73"/>
      <c r="U388" s="73"/>
      <c r="V388" s="73"/>
      <c r="W388" s="73"/>
      <c r="X388" s="73"/>
      <c r="Y388" s="73"/>
      <c r="Z388" s="73"/>
      <c r="AA388" s="73"/>
      <c r="AB388" s="74"/>
      <c r="AC388" s="73"/>
      <c r="AD388" s="76"/>
      <c r="AE388" s="73"/>
      <c r="AF388" s="73"/>
      <c r="AG388" s="73"/>
      <c r="AH388" s="73"/>
      <c r="AI388" s="73"/>
    </row>
    <row r="389" customFormat="false" ht="15" hidden="false" customHeight="false" outlineLevel="0" collapsed="false">
      <c r="A389" s="71" t="str">
        <f aca="false">IF(D389="","",ROW()-1)</f>
        <v/>
      </c>
      <c r="B389" s="72"/>
      <c r="C389" s="72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4"/>
      <c r="O389" s="73"/>
      <c r="P389" s="74"/>
      <c r="Q389" s="73"/>
      <c r="R389" s="74"/>
      <c r="S389" s="75"/>
      <c r="T389" s="73"/>
      <c r="U389" s="73"/>
      <c r="V389" s="73"/>
      <c r="W389" s="73"/>
      <c r="X389" s="73"/>
      <c r="Y389" s="73"/>
      <c r="Z389" s="73"/>
      <c r="AA389" s="73"/>
      <c r="AB389" s="74"/>
      <c r="AC389" s="73"/>
      <c r="AD389" s="76"/>
      <c r="AE389" s="73"/>
      <c r="AF389" s="73"/>
      <c r="AG389" s="73"/>
      <c r="AH389" s="73"/>
      <c r="AI389" s="73"/>
    </row>
    <row r="390" customFormat="false" ht="15" hidden="false" customHeight="false" outlineLevel="0" collapsed="false">
      <c r="A390" s="71" t="str">
        <f aca="false">IF(D390="","",ROW()-1)</f>
        <v/>
      </c>
      <c r="B390" s="72"/>
      <c r="C390" s="72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4"/>
      <c r="O390" s="73"/>
      <c r="P390" s="74"/>
      <c r="Q390" s="73"/>
      <c r="R390" s="74"/>
      <c r="S390" s="75"/>
      <c r="T390" s="73"/>
      <c r="U390" s="73"/>
      <c r="V390" s="73"/>
      <c r="W390" s="73"/>
      <c r="X390" s="73"/>
      <c r="Y390" s="73"/>
      <c r="Z390" s="73"/>
      <c r="AA390" s="73"/>
      <c r="AB390" s="74"/>
      <c r="AC390" s="73"/>
      <c r="AD390" s="76"/>
      <c r="AE390" s="73"/>
      <c r="AF390" s="73"/>
      <c r="AG390" s="73"/>
      <c r="AH390" s="73"/>
      <c r="AI390" s="73"/>
    </row>
    <row r="391" customFormat="false" ht="15" hidden="false" customHeight="false" outlineLevel="0" collapsed="false">
      <c r="A391" s="71" t="str">
        <f aca="false">IF(D391="","",ROW()-1)</f>
        <v/>
      </c>
      <c r="B391" s="72"/>
      <c r="C391" s="72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4"/>
      <c r="O391" s="73"/>
      <c r="P391" s="74"/>
      <c r="Q391" s="73"/>
      <c r="R391" s="74"/>
      <c r="S391" s="75"/>
      <c r="T391" s="73"/>
      <c r="U391" s="73"/>
      <c r="V391" s="73"/>
      <c r="W391" s="73"/>
      <c r="X391" s="73"/>
      <c r="Y391" s="73"/>
      <c r="Z391" s="73"/>
      <c r="AA391" s="73"/>
      <c r="AB391" s="74"/>
      <c r="AC391" s="73"/>
      <c r="AD391" s="76"/>
      <c r="AE391" s="73"/>
      <c r="AF391" s="73"/>
      <c r="AG391" s="73"/>
      <c r="AH391" s="73"/>
      <c r="AI391" s="73"/>
    </row>
    <row r="392" customFormat="false" ht="15" hidden="false" customHeight="false" outlineLevel="0" collapsed="false">
      <c r="A392" s="71" t="str">
        <f aca="false">IF(D392="","",ROW()-1)</f>
        <v/>
      </c>
      <c r="B392" s="72"/>
      <c r="C392" s="72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4"/>
      <c r="O392" s="73"/>
      <c r="P392" s="74"/>
      <c r="Q392" s="73"/>
      <c r="R392" s="74"/>
      <c r="S392" s="75"/>
      <c r="T392" s="73"/>
      <c r="U392" s="73"/>
      <c r="V392" s="73"/>
      <c r="W392" s="73"/>
      <c r="X392" s="73"/>
      <c r="Y392" s="73"/>
      <c r="Z392" s="73"/>
      <c r="AA392" s="73"/>
      <c r="AB392" s="74"/>
      <c r="AC392" s="73"/>
      <c r="AD392" s="76"/>
      <c r="AE392" s="73"/>
      <c r="AF392" s="73"/>
      <c r="AG392" s="73"/>
      <c r="AH392" s="73"/>
      <c r="AI392" s="73"/>
    </row>
    <row r="393" customFormat="false" ht="15" hidden="false" customHeight="false" outlineLevel="0" collapsed="false">
      <c r="A393" s="71" t="str">
        <f aca="false">IF(D393="","",ROW()-1)</f>
        <v/>
      </c>
      <c r="B393" s="72"/>
      <c r="C393" s="72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4"/>
      <c r="O393" s="73"/>
      <c r="P393" s="74"/>
      <c r="Q393" s="73"/>
      <c r="R393" s="74"/>
      <c r="S393" s="75"/>
      <c r="T393" s="73"/>
      <c r="U393" s="73"/>
      <c r="V393" s="73"/>
      <c r="W393" s="73"/>
      <c r="X393" s="73"/>
      <c r="Y393" s="73"/>
      <c r="Z393" s="73"/>
      <c r="AA393" s="73"/>
      <c r="AB393" s="74"/>
      <c r="AC393" s="73"/>
      <c r="AD393" s="76"/>
      <c r="AE393" s="73"/>
      <c r="AF393" s="73"/>
      <c r="AG393" s="73"/>
      <c r="AH393" s="73"/>
      <c r="AI393" s="73"/>
    </row>
    <row r="394" customFormat="false" ht="15" hidden="false" customHeight="false" outlineLevel="0" collapsed="false">
      <c r="A394" s="71" t="str">
        <f aca="false">IF(D394="","",ROW()-1)</f>
        <v/>
      </c>
      <c r="B394" s="72"/>
      <c r="C394" s="72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4"/>
      <c r="O394" s="73"/>
      <c r="P394" s="74"/>
      <c r="Q394" s="73"/>
      <c r="R394" s="74"/>
      <c r="S394" s="75"/>
      <c r="T394" s="73"/>
      <c r="U394" s="73"/>
      <c r="V394" s="73"/>
      <c r="W394" s="73"/>
      <c r="X394" s="73"/>
      <c r="Y394" s="73"/>
      <c r="Z394" s="73"/>
      <c r="AA394" s="73"/>
      <c r="AB394" s="74"/>
      <c r="AC394" s="73"/>
      <c r="AD394" s="76"/>
      <c r="AE394" s="73"/>
      <c r="AF394" s="73"/>
      <c r="AG394" s="73"/>
      <c r="AH394" s="73"/>
      <c r="AI394" s="73"/>
    </row>
    <row r="395" customFormat="false" ht="15" hidden="false" customHeight="false" outlineLevel="0" collapsed="false">
      <c r="A395" s="71" t="str">
        <f aca="false">IF(D395="","",ROW()-1)</f>
        <v/>
      </c>
      <c r="B395" s="72"/>
      <c r="C395" s="72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4"/>
      <c r="O395" s="73"/>
      <c r="P395" s="74"/>
      <c r="Q395" s="73"/>
      <c r="R395" s="74"/>
      <c r="S395" s="75"/>
      <c r="T395" s="73"/>
      <c r="U395" s="73"/>
      <c r="V395" s="73"/>
      <c r="W395" s="73"/>
      <c r="X395" s="73"/>
      <c r="Y395" s="73"/>
      <c r="Z395" s="73"/>
      <c r="AA395" s="73"/>
      <c r="AB395" s="74"/>
      <c r="AC395" s="73"/>
      <c r="AD395" s="76"/>
      <c r="AE395" s="73"/>
      <c r="AF395" s="73"/>
      <c r="AG395" s="73"/>
      <c r="AH395" s="73"/>
      <c r="AI395" s="73"/>
    </row>
    <row r="396" customFormat="false" ht="15" hidden="false" customHeight="false" outlineLevel="0" collapsed="false">
      <c r="A396" s="71" t="str">
        <f aca="false">IF(D396="","",ROW()-1)</f>
        <v/>
      </c>
      <c r="B396" s="72"/>
      <c r="C396" s="72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4"/>
      <c r="O396" s="73"/>
      <c r="P396" s="74"/>
      <c r="Q396" s="73"/>
      <c r="R396" s="74"/>
      <c r="S396" s="75"/>
      <c r="T396" s="73"/>
      <c r="U396" s="73"/>
      <c r="V396" s="73"/>
      <c r="W396" s="73"/>
      <c r="X396" s="73"/>
      <c r="Y396" s="73"/>
      <c r="Z396" s="73"/>
      <c r="AA396" s="73"/>
      <c r="AB396" s="74"/>
      <c r="AC396" s="73"/>
      <c r="AD396" s="76"/>
      <c r="AE396" s="73"/>
      <c r="AF396" s="73"/>
      <c r="AG396" s="73"/>
      <c r="AH396" s="73"/>
      <c r="AI396" s="73"/>
    </row>
    <row r="397" customFormat="false" ht="15" hidden="false" customHeight="false" outlineLevel="0" collapsed="false">
      <c r="A397" s="71" t="str">
        <f aca="false">IF(D397="","",ROW()-1)</f>
        <v/>
      </c>
      <c r="B397" s="72"/>
      <c r="C397" s="72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4"/>
      <c r="O397" s="73"/>
      <c r="P397" s="74"/>
      <c r="Q397" s="73"/>
      <c r="R397" s="74"/>
      <c r="S397" s="75"/>
      <c r="T397" s="73"/>
      <c r="U397" s="73"/>
      <c r="V397" s="73"/>
      <c r="W397" s="73"/>
      <c r="X397" s="73"/>
      <c r="Y397" s="73"/>
      <c r="Z397" s="73"/>
      <c r="AA397" s="73"/>
      <c r="AB397" s="74"/>
      <c r="AC397" s="73"/>
      <c r="AD397" s="76"/>
      <c r="AE397" s="73"/>
      <c r="AF397" s="73"/>
      <c r="AG397" s="73"/>
      <c r="AH397" s="73"/>
      <c r="AI397" s="73"/>
    </row>
    <row r="398" customFormat="false" ht="15" hidden="false" customHeight="false" outlineLevel="0" collapsed="false">
      <c r="A398" s="71" t="str">
        <f aca="false">IF(D398="","",ROW()-1)</f>
        <v/>
      </c>
      <c r="B398" s="72"/>
      <c r="C398" s="72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4"/>
      <c r="O398" s="73"/>
      <c r="P398" s="74"/>
      <c r="Q398" s="73"/>
      <c r="R398" s="74"/>
      <c r="S398" s="75"/>
      <c r="T398" s="73"/>
      <c r="U398" s="73"/>
      <c r="V398" s="73"/>
      <c r="W398" s="73"/>
      <c r="X398" s="73"/>
      <c r="Y398" s="73"/>
      <c r="Z398" s="73"/>
      <c r="AA398" s="73"/>
      <c r="AB398" s="74"/>
      <c r="AC398" s="73"/>
      <c r="AD398" s="76"/>
      <c r="AE398" s="73"/>
      <c r="AF398" s="73"/>
      <c r="AG398" s="73"/>
      <c r="AH398" s="73"/>
      <c r="AI398" s="73"/>
    </row>
    <row r="399" customFormat="false" ht="15" hidden="false" customHeight="false" outlineLevel="0" collapsed="false">
      <c r="A399" s="71" t="str">
        <f aca="false">IF(D399="","",ROW()-1)</f>
        <v/>
      </c>
      <c r="B399" s="72"/>
      <c r="C399" s="72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4"/>
      <c r="O399" s="73"/>
      <c r="P399" s="74"/>
      <c r="Q399" s="73"/>
      <c r="R399" s="74"/>
      <c r="S399" s="75"/>
      <c r="T399" s="73"/>
      <c r="U399" s="73"/>
      <c r="V399" s="73"/>
      <c r="W399" s="73"/>
      <c r="X399" s="73"/>
      <c r="Y399" s="73"/>
      <c r="Z399" s="73"/>
      <c r="AA399" s="73"/>
      <c r="AB399" s="74"/>
      <c r="AC399" s="73"/>
      <c r="AD399" s="76"/>
      <c r="AE399" s="73"/>
      <c r="AF399" s="73"/>
      <c r="AG399" s="73"/>
      <c r="AH399" s="73"/>
      <c r="AI399" s="73"/>
    </row>
    <row r="400" customFormat="false" ht="15" hidden="false" customHeight="false" outlineLevel="0" collapsed="false">
      <c r="A400" s="71" t="str">
        <f aca="false">IF(D400="","",ROW()-1)</f>
        <v/>
      </c>
      <c r="B400" s="72"/>
      <c r="C400" s="72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4"/>
      <c r="O400" s="73"/>
      <c r="P400" s="74"/>
      <c r="Q400" s="73"/>
      <c r="R400" s="74"/>
      <c r="S400" s="75"/>
      <c r="T400" s="73"/>
      <c r="U400" s="73"/>
      <c r="V400" s="73"/>
      <c r="W400" s="73"/>
      <c r="X400" s="73"/>
      <c r="Y400" s="73"/>
      <c r="Z400" s="73"/>
      <c r="AA400" s="73"/>
      <c r="AB400" s="74"/>
      <c r="AC400" s="73"/>
      <c r="AD400" s="76"/>
      <c r="AE400" s="73"/>
      <c r="AF400" s="73"/>
      <c r="AG400" s="73"/>
      <c r="AH400" s="73"/>
      <c r="AI400" s="73"/>
    </row>
    <row r="401" customFormat="false" ht="15" hidden="false" customHeight="false" outlineLevel="0" collapsed="false">
      <c r="A401" s="71" t="str">
        <f aca="false">IF(D401="","",ROW()-1)</f>
        <v/>
      </c>
      <c r="B401" s="72"/>
      <c r="C401" s="72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4"/>
      <c r="O401" s="73"/>
      <c r="P401" s="74"/>
      <c r="Q401" s="73"/>
      <c r="R401" s="74"/>
      <c r="S401" s="75"/>
      <c r="T401" s="73"/>
      <c r="U401" s="73"/>
      <c r="V401" s="73"/>
      <c r="W401" s="73"/>
      <c r="X401" s="73"/>
      <c r="Y401" s="73"/>
      <c r="Z401" s="73"/>
      <c r="AA401" s="73"/>
      <c r="AB401" s="74"/>
      <c r="AC401" s="73"/>
      <c r="AD401" s="76"/>
      <c r="AE401" s="73"/>
      <c r="AF401" s="73"/>
      <c r="AG401" s="73"/>
      <c r="AH401" s="73"/>
      <c r="AI401" s="73"/>
    </row>
    <row r="402" customFormat="false" ht="15" hidden="false" customHeight="false" outlineLevel="0" collapsed="false">
      <c r="A402" s="71" t="str">
        <f aca="false">IF(D402="","",ROW()-1)</f>
        <v/>
      </c>
      <c r="B402" s="72"/>
      <c r="C402" s="72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4"/>
      <c r="O402" s="73"/>
      <c r="P402" s="74"/>
      <c r="Q402" s="73"/>
      <c r="R402" s="74"/>
      <c r="S402" s="75"/>
      <c r="T402" s="73"/>
      <c r="U402" s="73"/>
      <c r="V402" s="73"/>
      <c r="W402" s="73"/>
      <c r="X402" s="73"/>
      <c r="Y402" s="73"/>
      <c r="Z402" s="73"/>
      <c r="AA402" s="73"/>
      <c r="AB402" s="74"/>
      <c r="AC402" s="73"/>
      <c r="AD402" s="76"/>
      <c r="AE402" s="73"/>
      <c r="AF402" s="73"/>
      <c r="AG402" s="73"/>
      <c r="AH402" s="73"/>
      <c r="AI402" s="73"/>
    </row>
    <row r="403" customFormat="false" ht="15" hidden="false" customHeight="false" outlineLevel="0" collapsed="false">
      <c r="A403" s="71" t="str">
        <f aca="false">IF(D403="","",ROW()-1)</f>
        <v/>
      </c>
      <c r="B403" s="72"/>
      <c r="C403" s="72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4"/>
      <c r="O403" s="73"/>
      <c r="P403" s="74"/>
      <c r="Q403" s="73"/>
      <c r="R403" s="74"/>
      <c r="S403" s="75"/>
      <c r="T403" s="73"/>
      <c r="U403" s="73"/>
      <c r="V403" s="73"/>
      <c r="W403" s="73"/>
      <c r="X403" s="73"/>
      <c r="Y403" s="73"/>
      <c r="Z403" s="73"/>
      <c r="AA403" s="73"/>
      <c r="AB403" s="74"/>
      <c r="AC403" s="73"/>
      <c r="AD403" s="76"/>
      <c r="AE403" s="73"/>
      <c r="AF403" s="73"/>
      <c r="AG403" s="73"/>
      <c r="AH403" s="73"/>
      <c r="AI403" s="73"/>
    </row>
    <row r="404" customFormat="false" ht="15" hidden="false" customHeight="false" outlineLevel="0" collapsed="false">
      <c r="A404" s="71" t="str">
        <f aca="false">IF(D404="","",ROW()-1)</f>
        <v/>
      </c>
      <c r="B404" s="72"/>
      <c r="C404" s="72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4"/>
      <c r="O404" s="73"/>
      <c r="P404" s="74"/>
      <c r="Q404" s="73"/>
      <c r="R404" s="74"/>
      <c r="S404" s="75"/>
      <c r="T404" s="73"/>
      <c r="U404" s="73"/>
      <c r="V404" s="73"/>
      <c r="W404" s="73"/>
      <c r="X404" s="73"/>
      <c r="Y404" s="73"/>
      <c r="Z404" s="73"/>
      <c r="AA404" s="73"/>
      <c r="AB404" s="74"/>
      <c r="AC404" s="73"/>
      <c r="AD404" s="76"/>
      <c r="AE404" s="73"/>
      <c r="AF404" s="73"/>
      <c r="AG404" s="73"/>
      <c r="AH404" s="73"/>
      <c r="AI404" s="73"/>
    </row>
    <row r="405" customFormat="false" ht="15" hidden="false" customHeight="false" outlineLevel="0" collapsed="false">
      <c r="A405" s="71" t="str">
        <f aca="false">IF(D405="","",ROW()-1)</f>
        <v/>
      </c>
      <c r="B405" s="72"/>
      <c r="C405" s="72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4"/>
      <c r="O405" s="73"/>
      <c r="P405" s="74"/>
      <c r="Q405" s="73"/>
      <c r="R405" s="74"/>
      <c r="S405" s="75"/>
      <c r="T405" s="73"/>
      <c r="U405" s="73"/>
      <c r="V405" s="73"/>
      <c r="W405" s="73"/>
      <c r="X405" s="73"/>
      <c r="Y405" s="73"/>
      <c r="Z405" s="73"/>
      <c r="AA405" s="73"/>
      <c r="AB405" s="74"/>
      <c r="AC405" s="73"/>
      <c r="AD405" s="76"/>
      <c r="AE405" s="73"/>
      <c r="AF405" s="73"/>
      <c r="AG405" s="73"/>
      <c r="AH405" s="73"/>
      <c r="AI405" s="73"/>
    </row>
    <row r="406" customFormat="false" ht="15" hidden="false" customHeight="false" outlineLevel="0" collapsed="false">
      <c r="A406" s="71" t="str">
        <f aca="false">IF(D406="","",ROW()-1)</f>
        <v/>
      </c>
      <c r="B406" s="72"/>
      <c r="C406" s="72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4"/>
      <c r="O406" s="73"/>
      <c r="P406" s="74"/>
      <c r="Q406" s="73"/>
      <c r="R406" s="74"/>
      <c r="S406" s="75"/>
      <c r="T406" s="73"/>
      <c r="U406" s="73"/>
      <c r="V406" s="73"/>
      <c r="W406" s="73"/>
      <c r="X406" s="73"/>
      <c r="Y406" s="73"/>
      <c r="Z406" s="73"/>
      <c r="AA406" s="73"/>
      <c r="AB406" s="74"/>
      <c r="AC406" s="73"/>
      <c r="AD406" s="76"/>
      <c r="AE406" s="73"/>
      <c r="AF406" s="73"/>
      <c r="AG406" s="73"/>
      <c r="AH406" s="73"/>
      <c r="AI406" s="73"/>
    </row>
    <row r="407" customFormat="false" ht="15" hidden="false" customHeight="false" outlineLevel="0" collapsed="false">
      <c r="A407" s="71" t="str">
        <f aca="false">IF(D407="","",ROW()-1)</f>
        <v/>
      </c>
      <c r="B407" s="72"/>
      <c r="C407" s="72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4"/>
      <c r="O407" s="73"/>
      <c r="P407" s="74"/>
      <c r="Q407" s="73"/>
      <c r="R407" s="74"/>
      <c r="S407" s="75"/>
      <c r="T407" s="73"/>
      <c r="U407" s="73"/>
      <c r="V407" s="73"/>
      <c r="W407" s="73"/>
      <c r="X407" s="73"/>
      <c r="Y407" s="73"/>
      <c r="Z407" s="73"/>
      <c r="AA407" s="73"/>
      <c r="AB407" s="74"/>
      <c r="AC407" s="73"/>
      <c r="AD407" s="76"/>
      <c r="AE407" s="73"/>
      <c r="AF407" s="73"/>
      <c r="AG407" s="73"/>
      <c r="AH407" s="73"/>
      <c r="AI407" s="73"/>
    </row>
    <row r="408" customFormat="false" ht="15" hidden="false" customHeight="false" outlineLevel="0" collapsed="false">
      <c r="A408" s="71" t="str">
        <f aca="false">IF(D408="","",ROW()-1)</f>
        <v/>
      </c>
      <c r="B408" s="72"/>
      <c r="C408" s="72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4"/>
      <c r="O408" s="73"/>
      <c r="P408" s="74"/>
      <c r="Q408" s="73"/>
      <c r="R408" s="74"/>
      <c r="S408" s="75"/>
      <c r="T408" s="73"/>
      <c r="U408" s="73"/>
      <c r="V408" s="73"/>
      <c r="W408" s="73"/>
      <c r="X408" s="73"/>
      <c r="Y408" s="73"/>
      <c r="Z408" s="73"/>
      <c r="AA408" s="73"/>
      <c r="AB408" s="74"/>
      <c r="AC408" s="73"/>
      <c r="AD408" s="76"/>
      <c r="AE408" s="73"/>
      <c r="AF408" s="73"/>
      <c r="AG408" s="73"/>
      <c r="AH408" s="73"/>
      <c r="AI408" s="73"/>
    </row>
    <row r="409" customFormat="false" ht="15" hidden="false" customHeight="false" outlineLevel="0" collapsed="false">
      <c r="A409" s="71" t="str">
        <f aca="false">IF(D409="","",ROW()-1)</f>
        <v/>
      </c>
      <c r="B409" s="72"/>
      <c r="C409" s="72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4"/>
      <c r="O409" s="73"/>
      <c r="P409" s="74"/>
      <c r="Q409" s="73"/>
      <c r="R409" s="74"/>
      <c r="S409" s="75"/>
      <c r="T409" s="73"/>
      <c r="U409" s="73"/>
      <c r="V409" s="73"/>
      <c r="W409" s="73"/>
      <c r="X409" s="73"/>
      <c r="Y409" s="73"/>
      <c r="Z409" s="73"/>
      <c r="AA409" s="73"/>
      <c r="AB409" s="74"/>
      <c r="AC409" s="73"/>
      <c r="AD409" s="76"/>
      <c r="AE409" s="73"/>
      <c r="AF409" s="73"/>
      <c r="AG409" s="73"/>
      <c r="AH409" s="73"/>
      <c r="AI409" s="73"/>
    </row>
    <row r="410" customFormat="false" ht="15" hidden="false" customHeight="false" outlineLevel="0" collapsed="false">
      <c r="A410" s="71" t="str">
        <f aca="false">IF(D410="","",ROW()-1)</f>
        <v/>
      </c>
      <c r="B410" s="72"/>
      <c r="C410" s="72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4"/>
      <c r="O410" s="73"/>
      <c r="P410" s="74"/>
      <c r="Q410" s="73"/>
      <c r="R410" s="74"/>
      <c r="S410" s="75"/>
      <c r="T410" s="73"/>
      <c r="U410" s="73"/>
      <c r="V410" s="73"/>
      <c r="W410" s="73"/>
      <c r="X410" s="73"/>
      <c r="Y410" s="73"/>
      <c r="Z410" s="73"/>
      <c r="AA410" s="73"/>
      <c r="AB410" s="74"/>
      <c r="AC410" s="73"/>
      <c r="AD410" s="76"/>
      <c r="AE410" s="73"/>
      <c r="AF410" s="73"/>
      <c r="AG410" s="73"/>
      <c r="AH410" s="73"/>
      <c r="AI410" s="73"/>
    </row>
    <row r="411" customFormat="false" ht="15" hidden="false" customHeight="false" outlineLevel="0" collapsed="false">
      <c r="A411" s="71" t="str">
        <f aca="false">IF(D411="","",ROW()-1)</f>
        <v/>
      </c>
      <c r="B411" s="72"/>
      <c r="C411" s="72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4"/>
      <c r="O411" s="73"/>
      <c r="P411" s="74"/>
      <c r="Q411" s="73"/>
      <c r="R411" s="74"/>
      <c r="S411" s="75"/>
      <c r="T411" s="73"/>
      <c r="U411" s="73"/>
      <c r="V411" s="73"/>
      <c r="W411" s="73"/>
      <c r="X411" s="73"/>
      <c r="Y411" s="73"/>
      <c r="Z411" s="73"/>
      <c r="AA411" s="73"/>
      <c r="AB411" s="74"/>
      <c r="AC411" s="73"/>
      <c r="AD411" s="76"/>
      <c r="AE411" s="73"/>
      <c r="AF411" s="73"/>
      <c r="AG411" s="73"/>
      <c r="AH411" s="73"/>
      <c r="AI411" s="73"/>
    </row>
    <row r="412" customFormat="false" ht="15" hidden="false" customHeight="false" outlineLevel="0" collapsed="false">
      <c r="A412" s="71" t="str">
        <f aca="false">IF(D412="","",ROW()-1)</f>
        <v/>
      </c>
      <c r="B412" s="72"/>
      <c r="C412" s="72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4"/>
      <c r="O412" s="73"/>
      <c r="P412" s="74"/>
      <c r="Q412" s="73"/>
      <c r="R412" s="74"/>
      <c r="S412" s="75"/>
      <c r="T412" s="73"/>
      <c r="U412" s="73"/>
      <c r="V412" s="73"/>
      <c r="W412" s="73"/>
      <c r="X412" s="73"/>
      <c r="Y412" s="73"/>
      <c r="Z412" s="73"/>
      <c r="AA412" s="73"/>
      <c r="AB412" s="74"/>
      <c r="AC412" s="73"/>
      <c r="AD412" s="76"/>
      <c r="AE412" s="73"/>
      <c r="AF412" s="73"/>
      <c r="AG412" s="73"/>
      <c r="AH412" s="73"/>
      <c r="AI412" s="73"/>
    </row>
    <row r="413" customFormat="false" ht="15" hidden="false" customHeight="false" outlineLevel="0" collapsed="false">
      <c r="A413" s="71" t="str">
        <f aca="false">IF(D413="","",ROW()-1)</f>
        <v/>
      </c>
      <c r="B413" s="72"/>
      <c r="C413" s="72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4"/>
      <c r="O413" s="73"/>
      <c r="P413" s="74"/>
      <c r="Q413" s="73"/>
      <c r="R413" s="74"/>
      <c r="S413" s="75"/>
      <c r="T413" s="73"/>
      <c r="U413" s="73"/>
      <c r="V413" s="73"/>
      <c r="W413" s="73"/>
      <c r="X413" s="73"/>
      <c r="Y413" s="73"/>
      <c r="Z413" s="73"/>
      <c r="AA413" s="73"/>
      <c r="AB413" s="74"/>
      <c r="AC413" s="73"/>
      <c r="AD413" s="76"/>
      <c r="AE413" s="73"/>
      <c r="AF413" s="73"/>
      <c r="AG413" s="73"/>
      <c r="AH413" s="73"/>
      <c r="AI413" s="73"/>
    </row>
    <row r="414" customFormat="false" ht="15" hidden="false" customHeight="false" outlineLevel="0" collapsed="false">
      <c r="A414" s="71" t="str">
        <f aca="false">IF(D414="","",ROW()-1)</f>
        <v/>
      </c>
      <c r="B414" s="72"/>
      <c r="C414" s="72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4"/>
      <c r="O414" s="73"/>
      <c r="P414" s="74"/>
      <c r="Q414" s="73"/>
      <c r="R414" s="74"/>
      <c r="S414" s="75"/>
      <c r="T414" s="73"/>
      <c r="U414" s="73"/>
      <c r="V414" s="73"/>
      <c r="W414" s="73"/>
      <c r="X414" s="73"/>
      <c r="Y414" s="73"/>
      <c r="Z414" s="73"/>
      <c r="AA414" s="73"/>
      <c r="AB414" s="74"/>
      <c r="AC414" s="73"/>
      <c r="AD414" s="76"/>
      <c r="AE414" s="73"/>
      <c r="AF414" s="73"/>
      <c r="AG414" s="73"/>
      <c r="AH414" s="73"/>
      <c r="AI414" s="73"/>
    </row>
    <row r="415" customFormat="false" ht="15" hidden="false" customHeight="false" outlineLevel="0" collapsed="false">
      <c r="A415" s="71" t="str">
        <f aca="false">IF(D415="","",ROW()-1)</f>
        <v/>
      </c>
      <c r="B415" s="72"/>
      <c r="C415" s="72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4"/>
      <c r="O415" s="73"/>
      <c r="P415" s="74"/>
      <c r="Q415" s="73"/>
      <c r="R415" s="74"/>
      <c r="S415" s="75"/>
      <c r="T415" s="73"/>
      <c r="U415" s="73"/>
      <c r="V415" s="73"/>
      <c r="W415" s="73"/>
      <c r="X415" s="73"/>
      <c r="Y415" s="73"/>
      <c r="Z415" s="73"/>
      <c r="AA415" s="73"/>
      <c r="AB415" s="74"/>
      <c r="AC415" s="73"/>
      <c r="AD415" s="76"/>
      <c r="AE415" s="73"/>
      <c r="AF415" s="73"/>
      <c r="AG415" s="73"/>
      <c r="AH415" s="73"/>
      <c r="AI415" s="73"/>
    </row>
    <row r="416" customFormat="false" ht="15" hidden="false" customHeight="false" outlineLevel="0" collapsed="false">
      <c r="A416" s="71" t="str">
        <f aca="false">IF(D416="","",ROW()-1)</f>
        <v/>
      </c>
      <c r="B416" s="72"/>
      <c r="C416" s="72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4"/>
      <c r="O416" s="73"/>
      <c r="P416" s="74"/>
      <c r="Q416" s="73"/>
      <c r="R416" s="74"/>
      <c r="S416" s="75"/>
      <c r="T416" s="73"/>
      <c r="U416" s="73"/>
      <c r="V416" s="73"/>
      <c r="W416" s="73"/>
      <c r="X416" s="73"/>
      <c r="Y416" s="73"/>
      <c r="Z416" s="73"/>
      <c r="AA416" s="73"/>
      <c r="AB416" s="74"/>
      <c r="AC416" s="73"/>
      <c r="AD416" s="76"/>
      <c r="AE416" s="73"/>
      <c r="AF416" s="73"/>
      <c r="AG416" s="73"/>
      <c r="AH416" s="73"/>
      <c r="AI416" s="73"/>
    </row>
    <row r="417" customFormat="false" ht="15" hidden="false" customHeight="false" outlineLevel="0" collapsed="false">
      <c r="A417" s="71" t="str">
        <f aca="false">IF(D417="","",ROW()-1)</f>
        <v/>
      </c>
      <c r="B417" s="72"/>
      <c r="C417" s="72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4"/>
      <c r="O417" s="73"/>
      <c r="P417" s="74"/>
      <c r="Q417" s="73"/>
      <c r="R417" s="74"/>
      <c r="S417" s="75"/>
      <c r="T417" s="73"/>
      <c r="U417" s="73"/>
      <c r="V417" s="73"/>
      <c r="W417" s="73"/>
      <c r="X417" s="73"/>
      <c r="Y417" s="73"/>
      <c r="Z417" s="73"/>
      <c r="AA417" s="73"/>
      <c r="AB417" s="74"/>
      <c r="AC417" s="73"/>
      <c r="AD417" s="76"/>
      <c r="AE417" s="73"/>
      <c r="AF417" s="73"/>
      <c r="AG417" s="73"/>
      <c r="AH417" s="73"/>
      <c r="AI417" s="73"/>
    </row>
    <row r="418" customFormat="false" ht="15" hidden="false" customHeight="false" outlineLevel="0" collapsed="false">
      <c r="A418" s="71" t="str">
        <f aca="false">IF(D418="","",ROW()-1)</f>
        <v/>
      </c>
      <c r="B418" s="72"/>
      <c r="C418" s="72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4"/>
      <c r="O418" s="73"/>
      <c r="P418" s="74"/>
      <c r="Q418" s="73"/>
      <c r="R418" s="74"/>
      <c r="S418" s="75"/>
      <c r="T418" s="73"/>
      <c r="U418" s="73"/>
      <c r="V418" s="73"/>
      <c r="W418" s="73"/>
      <c r="X418" s="73"/>
      <c r="Y418" s="73"/>
      <c r="Z418" s="73"/>
      <c r="AA418" s="73"/>
      <c r="AB418" s="74"/>
      <c r="AC418" s="73"/>
      <c r="AD418" s="76"/>
      <c r="AE418" s="73"/>
      <c r="AF418" s="73"/>
      <c r="AG418" s="73"/>
      <c r="AH418" s="73"/>
      <c r="AI418" s="73"/>
    </row>
    <row r="419" customFormat="false" ht="15" hidden="false" customHeight="false" outlineLevel="0" collapsed="false">
      <c r="A419" s="71" t="str">
        <f aca="false">IF(D419="","",ROW()-1)</f>
        <v/>
      </c>
      <c r="B419" s="72"/>
      <c r="C419" s="72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4"/>
      <c r="O419" s="73"/>
      <c r="P419" s="74"/>
      <c r="Q419" s="73"/>
      <c r="R419" s="74"/>
      <c r="S419" s="75"/>
      <c r="T419" s="73"/>
      <c r="U419" s="73"/>
      <c r="V419" s="73"/>
      <c r="W419" s="73"/>
      <c r="X419" s="73"/>
      <c r="Y419" s="73"/>
      <c r="Z419" s="73"/>
      <c r="AA419" s="73"/>
      <c r="AB419" s="74"/>
      <c r="AC419" s="73"/>
      <c r="AD419" s="76"/>
      <c r="AE419" s="73"/>
      <c r="AF419" s="73"/>
      <c r="AG419" s="73"/>
      <c r="AH419" s="73"/>
      <c r="AI419" s="73"/>
    </row>
    <row r="420" customFormat="false" ht="15" hidden="false" customHeight="false" outlineLevel="0" collapsed="false">
      <c r="A420" s="71" t="str">
        <f aca="false">IF(D420="","",ROW()-1)</f>
        <v/>
      </c>
      <c r="B420" s="72"/>
      <c r="C420" s="72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4"/>
      <c r="O420" s="73"/>
      <c r="P420" s="74"/>
      <c r="Q420" s="73"/>
      <c r="R420" s="74"/>
      <c r="S420" s="75"/>
      <c r="T420" s="73"/>
      <c r="U420" s="73"/>
      <c r="V420" s="73"/>
      <c r="W420" s="73"/>
      <c r="X420" s="73"/>
      <c r="Y420" s="73"/>
      <c r="Z420" s="73"/>
      <c r="AA420" s="73"/>
      <c r="AB420" s="74"/>
      <c r="AC420" s="73"/>
      <c r="AD420" s="76"/>
      <c r="AE420" s="73"/>
      <c r="AF420" s="73"/>
      <c r="AG420" s="73"/>
      <c r="AH420" s="73"/>
      <c r="AI420" s="73"/>
    </row>
    <row r="421" customFormat="false" ht="15" hidden="false" customHeight="false" outlineLevel="0" collapsed="false">
      <c r="A421" s="71" t="str">
        <f aca="false">IF(D421="","",ROW()-1)</f>
        <v/>
      </c>
      <c r="B421" s="72"/>
      <c r="C421" s="72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4"/>
      <c r="O421" s="73"/>
      <c r="P421" s="74"/>
      <c r="Q421" s="73"/>
      <c r="R421" s="74"/>
      <c r="S421" s="75"/>
      <c r="T421" s="73"/>
      <c r="U421" s="73"/>
      <c r="V421" s="73"/>
      <c r="W421" s="73"/>
      <c r="X421" s="73"/>
      <c r="Y421" s="73"/>
      <c r="Z421" s="73"/>
      <c r="AA421" s="73"/>
      <c r="AB421" s="74"/>
      <c r="AC421" s="73"/>
      <c r="AD421" s="76"/>
      <c r="AE421" s="73"/>
      <c r="AF421" s="73"/>
      <c r="AG421" s="73"/>
      <c r="AH421" s="73"/>
      <c r="AI421" s="73"/>
    </row>
    <row r="422" customFormat="false" ht="15" hidden="false" customHeight="false" outlineLevel="0" collapsed="false">
      <c r="A422" s="71" t="str">
        <f aca="false">IF(D422="","",ROW()-1)</f>
        <v/>
      </c>
      <c r="B422" s="72"/>
      <c r="C422" s="72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4"/>
      <c r="O422" s="73"/>
      <c r="P422" s="74"/>
      <c r="Q422" s="73"/>
      <c r="R422" s="74"/>
      <c r="S422" s="75"/>
      <c r="T422" s="73"/>
      <c r="U422" s="73"/>
      <c r="V422" s="73"/>
      <c r="W422" s="73"/>
      <c r="X422" s="73"/>
      <c r="Y422" s="73"/>
      <c r="Z422" s="73"/>
      <c r="AA422" s="73"/>
      <c r="AB422" s="74"/>
      <c r="AC422" s="73"/>
      <c r="AD422" s="76"/>
      <c r="AE422" s="73"/>
      <c r="AF422" s="73"/>
      <c r="AG422" s="73"/>
      <c r="AH422" s="73"/>
      <c r="AI422" s="73"/>
    </row>
    <row r="423" customFormat="false" ht="15" hidden="false" customHeight="false" outlineLevel="0" collapsed="false">
      <c r="A423" s="71" t="str">
        <f aca="false">IF(D423="","",ROW()-1)</f>
        <v/>
      </c>
      <c r="B423" s="72"/>
      <c r="C423" s="72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4"/>
      <c r="O423" s="73"/>
      <c r="P423" s="74"/>
      <c r="Q423" s="73"/>
      <c r="R423" s="74"/>
      <c r="S423" s="75"/>
      <c r="T423" s="73"/>
      <c r="U423" s="73"/>
      <c r="V423" s="73"/>
      <c r="W423" s="73"/>
      <c r="X423" s="73"/>
      <c r="Y423" s="73"/>
      <c r="Z423" s="73"/>
      <c r="AA423" s="73"/>
      <c r="AB423" s="74"/>
      <c r="AC423" s="73"/>
      <c r="AD423" s="76"/>
      <c r="AE423" s="73"/>
      <c r="AF423" s="73"/>
      <c r="AG423" s="73"/>
      <c r="AH423" s="73"/>
      <c r="AI423" s="73"/>
    </row>
    <row r="424" customFormat="false" ht="15" hidden="false" customHeight="false" outlineLevel="0" collapsed="false">
      <c r="A424" s="71" t="str">
        <f aca="false">IF(D424="","",ROW()-1)</f>
        <v/>
      </c>
      <c r="B424" s="72"/>
      <c r="C424" s="72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4"/>
      <c r="O424" s="73"/>
      <c r="P424" s="74"/>
      <c r="Q424" s="73"/>
      <c r="R424" s="74"/>
      <c r="S424" s="75"/>
      <c r="T424" s="73"/>
      <c r="U424" s="73"/>
      <c r="V424" s="73"/>
      <c r="W424" s="73"/>
      <c r="X424" s="73"/>
      <c r="Y424" s="73"/>
      <c r="Z424" s="73"/>
      <c r="AA424" s="73"/>
      <c r="AB424" s="74"/>
      <c r="AC424" s="73"/>
      <c r="AD424" s="76"/>
      <c r="AE424" s="73"/>
      <c r="AF424" s="73"/>
      <c r="AG424" s="73"/>
      <c r="AH424" s="73"/>
      <c r="AI424" s="73"/>
    </row>
    <row r="425" customFormat="false" ht="15" hidden="false" customHeight="false" outlineLevel="0" collapsed="false">
      <c r="A425" s="71" t="str">
        <f aca="false">IF(D425="","",ROW()-1)</f>
        <v/>
      </c>
      <c r="B425" s="72"/>
      <c r="C425" s="72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4"/>
      <c r="O425" s="73"/>
      <c r="P425" s="74"/>
      <c r="Q425" s="73"/>
      <c r="R425" s="74"/>
      <c r="S425" s="75"/>
      <c r="T425" s="73"/>
      <c r="U425" s="73"/>
      <c r="V425" s="73"/>
      <c r="W425" s="73"/>
      <c r="X425" s="73"/>
      <c r="Y425" s="73"/>
      <c r="Z425" s="73"/>
      <c r="AA425" s="73"/>
      <c r="AB425" s="74"/>
      <c r="AC425" s="73"/>
      <c r="AD425" s="76"/>
      <c r="AE425" s="73"/>
      <c r="AF425" s="73"/>
      <c r="AG425" s="73"/>
      <c r="AH425" s="73"/>
      <c r="AI425" s="73"/>
    </row>
    <row r="426" customFormat="false" ht="15" hidden="false" customHeight="false" outlineLevel="0" collapsed="false">
      <c r="A426" s="71" t="str">
        <f aca="false">IF(D426="","",ROW()-1)</f>
        <v/>
      </c>
      <c r="B426" s="72"/>
      <c r="C426" s="72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4"/>
      <c r="O426" s="73"/>
      <c r="P426" s="74"/>
      <c r="Q426" s="73"/>
      <c r="R426" s="74"/>
      <c r="S426" s="75"/>
      <c r="T426" s="73"/>
      <c r="U426" s="73"/>
      <c r="V426" s="73"/>
      <c r="W426" s="73"/>
      <c r="X426" s="73"/>
      <c r="Y426" s="73"/>
      <c r="Z426" s="73"/>
      <c r="AA426" s="73"/>
      <c r="AB426" s="74"/>
      <c r="AC426" s="73"/>
      <c r="AD426" s="76"/>
      <c r="AE426" s="73"/>
      <c r="AF426" s="73"/>
      <c r="AG426" s="73"/>
      <c r="AH426" s="73"/>
      <c r="AI426" s="73"/>
    </row>
    <row r="427" customFormat="false" ht="15" hidden="false" customHeight="false" outlineLevel="0" collapsed="false">
      <c r="A427" s="71" t="str">
        <f aca="false">IF(D427="","",ROW()-1)</f>
        <v/>
      </c>
      <c r="B427" s="72"/>
      <c r="C427" s="72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4"/>
      <c r="O427" s="73"/>
      <c r="P427" s="74"/>
      <c r="Q427" s="73"/>
      <c r="R427" s="74"/>
      <c r="S427" s="75"/>
      <c r="T427" s="73"/>
      <c r="U427" s="73"/>
      <c r="V427" s="73"/>
      <c r="W427" s="73"/>
      <c r="X427" s="73"/>
      <c r="Y427" s="73"/>
      <c r="Z427" s="73"/>
      <c r="AA427" s="73"/>
      <c r="AB427" s="74"/>
      <c r="AC427" s="73"/>
      <c r="AD427" s="76"/>
      <c r="AE427" s="73"/>
      <c r="AF427" s="73"/>
      <c r="AG427" s="73"/>
      <c r="AH427" s="73"/>
      <c r="AI427" s="73"/>
    </row>
    <row r="428" customFormat="false" ht="15" hidden="false" customHeight="false" outlineLevel="0" collapsed="false">
      <c r="A428" s="71" t="str">
        <f aca="false">IF(D428="","",ROW()-1)</f>
        <v/>
      </c>
      <c r="B428" s="72"/>
      <c r="C428" s="72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4"/>
      <c r="O428" s="73"/>
      <c r="P428" s="74"/>
      <c r="Q428" s="73"/>
      <c r="R428" s="74"/>
      <c r="S428" s="75"/>
      <c r="T428" s="73"/>
      <c r="U428" s="73"/>
      <c r="V428" s="73"/>
      <c r="W428" s="73"/>
      <c r="X428" s="73"/>
      <c r="Y428" s="73"/>
      <c r="Z428" s="73"/>
      <c r="AA428" s="73"/>
      <c r="AB428" s="74"/>
      <c r="AC428" s="73"/>
      <c r="AD428" s="76"/>
      <c r="AE428" s="73"/>
      <c r="AF428" s="73"/>
      <c r="AG428" s="73"/>
      <c r="AH428" s="73"/>
      <c r="AI428" s="73"/>
    </row>
    <row r="429" customFormat="false" ht="15" hidden="false" customHeight="false" outlineLevel="0" collapsed="false">
      <c r="A429" s="71" t="str">
        <f aca="false">IF(D429="","",ROW()-1)</f>
        <v/>
      </c>
      <c r="B429" s="72"/>
      <c r="C429" s="72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4"/>
      <c r="O429" s="73"/>
      <c r="P429" s="74"/>
      <c r="Q429" s="73"/>
      <c r="R429" s="74"/>
      <c r="S429" s="75"/>
      <c r="T429" s="73"/>
      <c r="U429" s="73"/>
      <c r="V429" s="73"/>
      <c r="W429" s="73"/>
      <c r="X429" s="73"/>
      <c r="Y429" s="73"/>
      <c r="Z429" s="73"/>
      <c r="AA429" s="73"/>
      <c r="AB429" s="74"/>
      <c r="AC429" s="73"/>
      <c r="AD429" s="76"/>
      <c r="AE429" s="73"/>
      <c r="AF429" s="73"/>
      <c r="AG429" s="73"/>
      <c r="AH429" s="73"/>
      <c r="AI429" s="73"/>
    </row>
    <row r="430" customFormat="false" ht="15" hidden="false" customHeight="false" outlineLevel="0" collapsed="false">
      <c r="A430" s="71" t="str">
        <f aca="false">IF(D430="","",ROW()-1)</f>
        <v/>
      </c>
      <c r="B430" s="72"/>
      <c r="C430" s="72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4"/>
      <c r="O430" s="73"/>
      <c r="P430" s="74"/>
      <c r="Q430" s="73"/>
      <c r="R430" s="74"/>
      <c r="S430" s="75"/>
      <c r="T430" s="73"/>
      <c r="U430" s="73"/>
      <c r="V430" s="73"/>
      <c r="W430" s="73"/>
      <c r="X430" s="73"/>
      <c r="Y430" s="73"/>
      <c r="Z430" s="73"/>
      <c r="AA430" s="73"/>
      <c r="AB430" s="74"/>
      <c r="AC430" s="73"/>
      <c r="AD430" s="76"/>
      <c r="AE430" s="73"/>
      <c r="AF430" s="73"/>
      <c r="AG430" s="73"/>
      <c r="AH430" s="73"/>
      <c r="AI430" s="73"/>
    </row>
    <row r="431" customFormat="false" ht="15" hidden="false" customHeight="false" outlineLevel="0" collapsed="false">
      <c r="A431" s="71" t="str">
        <f aca="false">IF(D431="","",ROW()-1)</f>
        <v/>
      </c>
      <c r="B431" s="72"/>
      <c r="C431" s="72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4"/>
      <c r="O431" s="73"/>
      <c r="P431" s="74"/>
      <c r="Q431" s="73"/>
      <c r="R431" s="74"/>
      <c r="S431" s="75"/>
      <c r="T431" s="73"/>
      <c r="U431" s="73"/>
      <c r="V431" s="73"/>
      <c r="W431" s="73"/>
      <c r="X431" s="73"/>
      <c r="Y431" s="73"/>
      <c r="Z431" s="73"/>
      <c r="AA431" s="73"/>
      <c r="AB431" s="74"/>
      <c r="AC431" s="73"/>
      <c r="AD431" s="76"/>
      <c r="AE431" s="73"/>
      <c r="AF431" s="73"/>
      <c r="AG431" s="73"/>
      <c r="AH431" s="73"/>
      <c r="AI431" s="73"/>
    </row>
    <row r="432" customFormat="false" ht="15" hidden="false" customHeight="false" outlineLevel="0" collapsed="false">
      <c r="A432" s="71" t="str">
        <f aca="false">IF(D432="","",ROW()-1)</f>
        <v/>
      </c>
      <c r="B432" s="72"/>
      <c r="C432" s="72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4"/>
      <c r="O432" s="73"/>
      <c r="P432" s="74"/>
      <c r="Q432" s="73"/>
      <c r="R432" s="74"/>
      <c r="S432" s="75"/>
      <c r="T432" s="73"/>
      <c r="U432" s="73"/>
      <c r="V432" s="73"/>
      <c r="W432" s="73"/>
      <c r="X432" s="73"/>
      <c r="Y432" s="73"/>
      <c r="Z432" s="73"/>
      <c r="AA432" s="73"/>
      <c r="AB432" s="74"/>
      <c r="AC432" s="73"/>
      <c r="AD432" s="76"/>
      <c r="AE432" s="73"/>
      <c r="AF432" s="73"/>
      <c r="AG432" s="73"/>
      <c r="AH432" s="73"/>
      <c r="AI432" s="73"/>
    </row>
    <row r="433" customFormat="false" ht="15" hidden="false" customHeight="false" outlineLevel="0" collapsed="false">
      <c r="A433" s="71" t="str">
        <f aca="false">IF(D433="","",ROW()-1)</f>
        <v/>
      </c>
      <c r="B433" s="72"/>
      <c r="C433" s="72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4"/>
      <c r="O433" s="73"/>
      <c r="P433" s="74"/>
      <c r="Q433" s="73"/>
      <c r="R433" s="74"/>
      <c r="S433" s="75"/>
      <c r="T433" s="73"/>
      <c r="U433" s="73"/>
      <c r="V433" s="73"/>
      <c r="W433" s="73"/>
      <c r="X433" s="73"/>
      <c r="Y433" s="73"/>
      <c r="Z433" s="73"/>
      <c r="AA433" s="73"/>
      <c r="AB433" s="74"/>
      <c r="AC433" s="73"/>
      <c r="AD433" s="76"/>
      <c r="AE433" s="73"/>
      <c r="AF433" s="73"/>
      <c r="AG433" s="73"/>
      <c r="AH433" s="73"/>
      <c r="AI433" s="73"/>
    </row>
    <row r="434" customFormat="false" ht="15" hidden="false" customHeight="false" outlineLevel="0" collapsed="false">
      <c r="A434" s="71" t="str">
        <f aca="false">IF(D434="","",ROW()-1)</f>
        <v/>
      </c>
      <c r="B434" s="72"/>
      <c r="C434" s="72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4"/>
      <c r="O434" s="73"/>
      <c r="P434" s="74"/>
      <c r="Q434" s="73"/>
      <c r="R434" s="74"/>
      <c r="S434" s="75"/>
      <c r="T434" s="73"/>
      <c r="U434" s="73"/>
      <c r="V434" s="73"/>
      <c r="W434" s="73"/>
      <c r="X434" s="73"/>
      <c r="Y434" s="73"/>
      <c r="Z434" s="73"/>
      <c r="AA434" s="73"/>
      <c r="AB434" s="74"/>
      <c r="AC434" s="73"/>
      <c r="AD434" s="76"/>
      <c r="AE434" s="73"/>
      <c r="AF434" s="73"/>
      <c r="AG434" s="73"/>
      <c r="AH434" s="73"/>
      <c r="AI434" s="73"/>
    </row>
    <row r="435" customFormat="false" ht="15" hidden="false" customHeight="false" outlineLevel="0" collapsed="false">
      <c r="A435" s="71" t="str">
        <f aca="false">IF(D435="","",ROW()-1)</f>
        <v/>
      </c>
      <c r="B435" s="72"/>
      <c r="C435" s="72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4"/>
      <c r="O435" s="73"/>
      <c r="P435" s="74"/>
      <c r="Q435" s="73"/>
      <c r="R435" s="74"/>
      <c r="S435" s="75"/>
      <c r="T435" s="73"/>
      <c r="U435" s="73"/>
      <c r="V435" s="73"/>
      <c r="W435" s="73"/>
      <c r="X435" s="73"/>
      <c r="Y435" s="73"/>
      <c r="Z435" s="73"/>
      <c r="AA435" s="73"/>
      <c r="AB435" s="74"/>
      <c r="AC435" s="73"/>
      <c r="AD435" s="76"/>
      <c r="AE435" s="73"/>
      <c r="AF435" s="73"/>
      <c r="AG435" s="73"/>
      <c r="AH435" s="73"/>
      <c r="AI435" s="73"/>
    </row>
    <row r="436" customFormat="false" ht="15" hidden="false" customHeight="false" outlineLevel="0" collapsed="false">
      <c r="A436" s="71" t="str">
        <f aca="false">IF(D436="","",ROW()-1)</f>
        <v/>
      </c>
      <c r="B436" s="72"/>
      <c r="C436" s="72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4"/>
      <c r="O436" s="73"/>
      <c r="P436" s="74"/>
      <c r="Q436" s="73"/>
      <c r="R436" s="74"/>
      <c r="S436" s="75"/>
      <c r="T436" s="73"/>
      <c r="U436" s="73"/>
      <c r="V436" s="73"/>
      <c r="W436" s="73"/>
      <c r="X436" s="73"/>
      <c r="Y436" s="73"/>
      <c r="Z436" s="73"/>
      <c r="AA436" s="73"/>
      <c r="AB436" s="74"/>
      <c r="AC436" s="73"/>
      <c r="AD436" s="76"/>
      <c r="AE436" s="73"/>
      <c r="AF436" s="73"/>
      <c r="AG436" s="73"/>
      <c r="AH436" s="73"/>
      <c r="AI436" s="73"/>
    </row>
    <row r="437" customFormat="false" ht="15" hidden="false" customHeight="false" outlineLevel="0" collapsed="false">
      <c r="A437" s="71" t="str">
        <f aca="false">IF(D437="","",ROW()-1)</f>
        <v/>
      </c>
      <c r="B437" s="72"/>
      <c r="C437" s="72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4"/>
      <c r="O437" s="73"/>
      <c r="P437" s="74"/>
      <c r="Q437" s="73"/>
      <c r="R437" s="74"/>
      <c r="S437" s="75"/>
      <c r="T437" s="73"/>
      <c r="U437" s="73"/>
      <c r="V437" s="73"/>
      <c r="W437" s="73"/>
      <c r="X437" s="73"/>
      <c r="Y437" s="73"/>
      <c r="Z437" s="73"/>
      <c r="AA437" s="73"/>
      <c r="AB437" s="74"/>
      <c r="AC437" s="73"/>
      <c r="AD437" s="76"/>
      <c r="AE437" s="73"/>
      <c r="AF437" s="73"/>
      <c r="AG437" s="73"/>
      <c r="AH437" s="73"/>
      <c r="AI437" s="73"/>
    </row>
    <row r="438" customFormat="false" ht="15" hidden="false" customHeight="false" outlineLevel="0" collapsed="false">
      <c r="A438" s="71" t="str">
        <f aca="false">IF(D438="","",ROW()-1)</f>
        <v/>
      </c>
      <c r="B438" s="72"/>
      <c r="C438" s="72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4"/>
      <c r="O438" s="73"/>
      <c r="P438" s="74"/>
      <c r="Q438" s="73"/>
      <c r="R438" s="74"/>
      <c r="S438" s="75"/>
      <c r="T438" s="73"/>
      <c r="U438" s="73"/>
      <c r="V438" s="73"/>
      <c r="W438" s="73"/>
      <c r="X438" s="73"/>
      <c r="Y438" s="73"/>
      <c r="Z438" s="73"/>
      <c r="AA438" s="73"/>
      <c r="AB438" s="74"/>
      <c r="AC438" s="73"/>
      <c r="AD438" s="76"/>
      <c r="AE438" s="73"/>
      <c r="AF438" s="73"/>
      <c r="AG438" s="73"/>
      <c r="AH438" s="73"/>
      <c r="AI438" s="73"/>
    </row>
    <row r="439" customFormat="false" ht="15" hidden="false" customHeight="false" outlineLevel="0" collapsed="false">
      <c r="A439" s="71" t="str">
        <f aca="false">IF(D439="","",ROW()-1)</f>
        <v/>
      </c>
      <c r="B439" s="72"/>
      <c r="C439" s="72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4"/>
      <c r="O439" s="73"/>
      <c r="P439" s="74"/>
      <c r="Q439" s="73"/>
      <c r="R439" s="74"/>
      <c r="S439" s="75"/>
      <c r="T439" s="73"/>
      <c r="U439" s="73"/>
      <c r="V439" s="73"/>
      <c r="W439" s="73"/>
      <c r="X439" s="73"/>
      <c r="Y439" s="73"/>
      <c r="Z439" s="73"/>
      <c r="AA439" s="73"/>
      <c r="AB439" s="74"/>
      <c r="AC439" s="73"/>
      <c r="AD439" s="76"/>
      <c r="AE439" s="73"/>
      <c r="AF439" s="73"/>
      <c r="AG439" s="73"/>
      <c r="AH439" s="73"/>
      <c r="AI439" s="73"/>
    </row>
    <row r="440" customFormat="false" ht="15" hidden="false" customHeight="false" outlineLevel="0" collapsed="false">
      <c r="A440" s="71" t="str">
        <f aca="false">IF(D440="","",ROW()-1)</f>
        <v/>
      </c>
      <c r="B440" s="72"/>
      <c r="C440" s="72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4"/>
      <c r="O440" s="73"/>
      <c r="P440" s="74"/>
      <c r="Q440" s="73"/>
      <c r="R440" s="74"/>
      <c r="S440" s="75"/>
      <c r="T440" s="73"/>
      <c r="U440" s="73"/>
      <c r="V440" s="73"/>
      <c r="W440" s="73"/>
      <c r="X440" s="73"/>
      <c r="Y440" s="73"/>
      <c r="Z440" s="73"/>
      <c r="AA440" s="73"/>
      <c r="AB440" s="74"/>
      <c r="AC440" s="73"/>
      <c r="AD440" s="76"/>
      <c r="AE440" s="73"/>
      <c r="AF440" s="73"/>
      <c r="AG440" s="73"/>
      <c r="AH440" s="73"/>
      <c r="AI440" s="73"/>
    </row>
    <row r="441" customFormat="false" ht="15" hidden="false" customHeight="false" outlineLevel="0" collapsed="false">
      <c r="A441" s="71" t="str">
        <f aca="false">IF(D441="","",ROW()-1)</f>
        <v/>
      </c>
      <c r="B441" s="72"/>
      <c r="C441" s="72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4"/>
      <c r="O441" s="73"/>
      <c r="P441" s="74"/>
      <c r="Q441" s="73"/>
      <c r="R441" s="74"/>
      <c r="S441" s="75"/>
      <c r="T441" s="73"/>
      <c r="U441" s="73"/>
      <c r="V441" s="73"/>
      <c r="W441" s="73"/>
      <c r="X441" s="73"/>
      <c r="Y441" s="73"/>
      <c r="Z441" s="73"/>
      <c r="AA441" s="73"/>
      <c r="AB441" s="74"/>
      <c r="AC441" s="73"/>
      <c r="AD441" s="76"/>
      <c r="AE441" s="73"/>
      <c r="AF441" s="73"/>
      <c r="AG441" s="73"/>
      <c r="AH441" s="73"/>
      <c r="AI441" s="73"/>
    </row>
    <row r="442" customFormat="false" ht="15" hidden="false" customHeight="false" outlineLevel="0" collapsed="false">
      <c r="A442" s="71" t="str">
        <f aca="false">IF(D442="","",ROW()-1)</f>
        <v/>
      </c>
      <c r="B442" s="72"/>
      <c r="C442" s="72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4"/>
      <c r="O442" s="73"/>
      <c r="P442" s="74"/>
      <c r="Q442" s="73"/>
      <c r="R442" s="74"/>
      <c r="S442" s="75"/>
      <c r="T442" s="73"/>
      <c r="U442" s="73"/>
      <c r="V442" s="73"/>
      <c r="W442" s="73"/>
      <c r="X442" s="73"/>
      <c r="Y442" s="73"/>
      <c r="Z442" s="73"/>
      <c r="AA442" s="73"/>
      <c r="AB442" s="74"/>
      <c r="AC442" s="73"/>
      <c r="AD442" s="76"/>
      <c r="AE442" s="73"/>
      <c r="AF442" s="73"/>
      <c r="AG442" s="73"/>
      <c r="AH442" s="73"/>
      <c r="AI442" s="73"/>
    </row>
    <row r="443" customFormat="false" ht="15" hidden="false" customHeight="false" outlineLevel="0" collapsed="false">
      <c r="A443" s="71" t="str">
        <f aca="false">IF(D443="","",ROW()-1)</f>
        <v/>
      </c>
      <c r="B443" s="72"/>
      <c r="C443" s="72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4"/>
      <c r="O443" s="73"/>
      <c r="P443" s="74"/>
      <c r="Q443" s="73"/>
      <c r="R443" s="74"/>
      <c r="S443" s="75"/>
      <c r="T443" s="73"/>
      <c r="U443" s="73"/>
      <c r="V443" s="73"/>
      <c r="W443" s="73"/>
      <c r="X443" s="73"/>
      <c r="Y443" s="73"/>
      <c r="Z443" s="73"/>
      <c r="AA443" s="73"/>
      <c r="AB443" s="74"/>
      <c r="AC443" s="73"/>
      <c r="AD443" s="76"/>
      <c r="AE443" s="73"/>
      <c r="AF443" s="73"/>
      <c r="AG443" s="73"/>
      <c r="AH443" s="73"/>
      <c r="AI443" s="73"/>
    </row>
    <row r="444" customFormat="false" ht="15" hidden="false" customHeight="false" outlineLevel="0" collapsed="false">
      <c r="A444" s="71" t="str">
        <f aca="false">IF(D444="","",ROW()-1)</f>
        <v/>
      </c>
      <c r="B444" s="72"/>
      <c r="C444" s="72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4"/>
      <c r="O444" s="73"/>
      <c r="P444" s="74"/>
      <c r="Q444" s="73"/>
      <c r="R444" s="74"/>
      <c r="S444" s="75"/>
      <c r="T444" s="73"/>
      <c r="U444" s="73"/>
      <c r="V444" s="73"/>
      <c r="W444" s="73"/>
      <c r="X444" s="73"/>
      <c r="Y444" s="73"/>
      <c r="Z444" s="73"/>
      <c r="AA444" s="73"/>
      <c r="AB444" s="74"/>
      <c r="AC444" s="73"/>
      <c r="AD444" s="76"/>
      <c r="AE444" s="73"/>
      <c r="AF444" s="73"/>
      <c r="AG444" s="73"/>
      <c r="AH444" s="73"/>
      <c r="AI444" s="73"/>
    </row>
    <row r="445" customFormat="false" ht="15" hidden="false" customHeight="false" outlineLevel="0" collapsed="false">
      <c r="A445" s="71" t="str">
        <f aca="false">IF(D445="","",ROW()-1)</f>
        <v/>
      </c>
      <c r="B445" s="72"/>
      <c r="C445" s="72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4"/>
      <c r="O445" s="73"/>
      <c r="P445" s="74"/>
      <c r="Q445" s="73"/>
      <c r="R445" s="74"/>
      <c r="S445" s="75"/>
      <c r="T445" s="73"/>
      <c r="U445" s="73"/>
      <c r="V445" s="73"/>
      <c r="W445" s="73"/>
      <c r="X445" s="73"/>
      <c r="Y445" s="73"/>
      <c r="Z445" s="73"/>
      <c r="AA445" s="73"/>
      <c r="AB445" s="74"/>
      <c r="AC445" s="73"/>
      <c r="AD445" s="76"/>
      <c r="AE445" s="73"/>
      <c r="AF445" s="73"/>
      <c r="AG445" s="73"/>
      <c r="AH445" s="73"/>
      <c r="AI445" s="73"/>
    </row>
    <row r="446" customFormat="false" ht="15" hidden="false" customHeight="false" outlineLevel="0" collapsed="false">
      <c r="A446" s="71" t="str">
        <f aca="false">IF(D446="","",ROW()-1)</f>
        <v/>
      </c>
      <c r="B446" s="72"/>
      <c r="C446" s="72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4"/>
      <c r="O446" s="73"/>
      <c r="P446" s="74"/>
      <c r="Q446" s="73"/>
      <c r="R446" s="74"/>
      <c r="S446" s="75"/>
      <c r="T446" s="73"/>
      <c r="U446" s="73"/>
      <c r="V446" s="73"/>
      <c r="W446" s="73"/>
      <c r="X446" s="73"/>
      <c r="Y446" s="73"/>
      <c r="Z446" s="73"/>
      <c r="AA446" s="73"/>
      <c r="AB446" s="74"/>
      <c r="AC446" s="73"/>
      <c r="AD446" s="76"/>
      <c r="AE446" s="73"/>
      <c r="AF446" s="73"/>
      <c r="AG446" s="73"/>
      <c r="AH446" s="73"/>
      <c r="AI446" s="73"/>
    </row>
    <row r="447" customFormat="false" ht="15" hidden="false" customHeight="false" outlineLevel="0" collapsed="false">
      <c r="A447" s="71" t="str">
        <f aca="false">IF(D447="","",ROW()-1)</f>
        <v/>
      </c>
      <c r="B447" s="72"/>
      <c r="C447" s="72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4"/>
      <c r="O447" s="73"/>
      <c r="P447" s="74"/>
      <c r="Q447" s="73"/>
      <c r="R447" s="74"/>
      <c r="S447" s="75"/>
      <c r="T447" s="73"/>
      <c r="U447" s="73"/>
      <c r="V447" s="73"/>
      <c r="W447" s="73"/>
      <c r="X447" s="73"/>
      <c r="Y447" s="73"/>
      <c r="Z447" s="73"/>
      <c r="AA447" s="73"/>
      <c r="AB447" s="74"/>
      <c r="AC447" s="73"/>
      <c r="AD447" s="76"/>
      <c r="AE447" s="73"/>
      <c r="AF447" s="73"/>
      <c r="AG447" s="73"/>
      <c r="AH447" s="73"/>
      <c r="AI447" s="73"/>
    </row>
    <row r="448" customFormat="false" ht="15" hidden="false" customHeight="false" outlineLevel="0" collapsed="false">
      <c r="A448" s="71" t="str">
        <f aca="false">IF(D448="","",ROW()-1)</f>
        <v/>
      </c>
      <c r="B448" s="72"/>
      <c r="C448" s="72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4"/>
      <c r="O448" s="73"/>
      <c r="P448" s="74"/>
      <c r="Q448" s="73"/>
      <c r="R448" s="74"/>
      <c r="S448" s="75"/>
      <c r="T448" s="73"/>
      <c r="U448" s="73"/>
      <c r="V448" s="73"/>
      <c r="W448" s="73"/>
      <c r="X448" s="73"/>
      <c r="Y448" s="73"/>
      <c r="Z448" s="73"/>
      <c r="AA448" s="73"/>
      <c r="AB448" s="74"/>
      <c r="AC448" s="73"/>
      <c r="AD448" s="76"/>
      <c r="AE448" s="73"/>
      <c r="AF448" s="73"/>
      <c r="AG448" s="73"/>
      <c r="AH448" s="73"/>
      <c r="AI448" s="73"/>
    </row>
    <row r="449" customFormat="false" ht="15" hidden="false" customHeight="false" outlineLevel="0" collapsed="false">
      <c r="A449" s="71" t="str">
        <f aca="false">IF(D449="","",ROW()-1)</f>
        <v/>
      </c>
      <c r="B449" s="72"/>
      <c r="C449" s="72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4"/>
      <c r="O449" s="73"/>
      <c r="P449" s="74"/>
      <c r="Q449" s="73"/>
      <c r="R449" s="74"/>
      <c r="S449" s="75"/>
      <c r="T449" s="73"/>
      <c r="U449" s="73"/>
      <c r="V449" s="73"/>
      <c r="W449" s="73"/>
      <c r="X449" s="73"/>
      <c r="Y449" s="73"/>
      <c r="Z449" s="73"/>
      <c r="AA449" s="73"/>
      <c r="AB449" s="74"/>
      <c r="AC449" s="73"/>
      <c r="AD449" s="76"/>
      <c r="AE449" s="73"/>
      <c r="AF449" s="73"/>
      <c r="AG449" s="73"/>
      <c r="AH449" s="73"/>
      <c r="AI449" s="73"/>
    </row>
    <row r="450" customFormat="false" ht="15" hidden="false" customHeight="false" outlineLevel="0" collapsed="false">
      <c r="A450" s="71" t="str">
        <f aca="false">IF(D450="","",ROW()-1)</f>
        <v/>
      </c>
      <c r="B450" s="72"/>
      <c r="C450" s="72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4"/>
      <c r="O450" s="73"/>
      <c r="P450" s="74"/>
      <c r="Q450" s="73"/>
      <c r="R450" s="74"/>
      <c r="S450" s="75"/>
      <c r="T450" s="73"/>
      <c r="U450" s="73"/>
      <c r="V450" s="73"/>
      <c r="W450" s="73"/>
      <c r="X450" s="73"/>
      <c r="Y450" s="73"/>
      <c r="Z450" s="73"/>
      <c r="AA450" s="73"/>
      <c r="AB450" s="74"/>
      <c r="AC450" s="73"/>
      <c r="AD450" s="76"/>
      <c r="AE450" s="73"/>
      <c r="AF450" s="73"/>
      <c r="AG450" s="73"/>
      <c r="AH450" s="73"/>
      <c r="AI450" s="73"/>
    </row>
    <row r="451" customFormat="false" ht="15" hidden="false" customHeight="false" outlineLevel="0" collapsed="false">
      <c r="A451" s="71" t="str">
        <f aca="false">IF(D451="","",ROW()-1)</f>
        <v/>
      </c>
      <c r="B451" s="72"/>
      <c r="C451" s="72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4"/>
      <c r="O451" s="73"/>
      <c r="P451" s="74"/>
      <c r="Q451" s="73"/>
      <c r="R451" s="74"/>
      <c r="S451" s="75"/>
      <c r="T451" s="73"/>
      <c r="U451" s="73"/>
      <c r="V451" s="73"/>
      <c r="W451" s="73"/>
      <c r="X451" s="73"/>
      <c r="Y451" s="73"/>
      <c r="Z451" s="73"/>
      <c r="AA451" s="73"/>
      <c r="AB451" s="74"/>
      <c r="AC451" s="73"/>
      <c r="AD451" s="76"/>
      <c r="AE451" s="73"/>
      <c r="AF451" s="73"/>
      <c r="AG451" s="73"/>
      <c r="AH451" s="73"/>
      <c r="AI451" s="73"/>
    </row>
    <row r="452" customFormat="false" ht="15" hidden="false" customHeight="false" outlineLevel="0" collapsed="false">
      <c r="A452" s="71" t="str">
        <f aca="false">IF(D452="","",ROW()-1)</f>
        <v/>
      </c>
      <c r="B452" s="72"/>
      <c r="C452" s="72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4"/>
      <c r="O452" s="73"/>
      <c r="P452" s="74"/>
      <c r="Q452" s="73"/>
      <c r="R452" s="74"/>
      <c r="S452" s="75"/>
      <c r="T452" s="73"/>
      <c r="U452" s="73"/>
      <c r="V452" s="73"/>
      <c r="W452" s="73"/>
      <c r="X452" s="73"/>
      <c r="Y452" s="73"/>
      <c r="Z452" s="73"/>
      <c r="AA452" s="73"/>
      <c r="AB452" s="74"/>
      <c r="AC452" s="73"/>
      <c r="AD452" s="76"/>
      <c r="AE452" s="73"/>
      <c r="AF452" s="73"/>
      <c r="AG452" s="73"/>
      <c r="AH452" s="73"/>
      <c r="AI452" s="73"/>
    </row>
    <row r="453" customFormat="false" ht="15" hidden="false" customHeight="false" outlineLevel="0" collapsed="false">
      <c r="A453" s="71" t="str">
        <f aca="false">IF(D453="","",ROW()-1)</f>
        <v/>
      </c>
      <c r="B453" s="72"/>
      <c r="C453" s="72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4"/>
      <c r="O453" s="73"/>
      <c r="P453" s="74"/>
      <c r="Q453" s="73"/>
      <c r="R453" s="74"/>
      <c r="S453" s="75"/>
      <c r="T453" s="73"/>
      <c r="U453" s="73"/>
      <c r="V453" s="73"/>
      <c r="W453" s="73"/>
      <c r="X453" s="73"/>
      <c r="Y453" s="73"/>
      <c r="Z453" s="73"/>
      <c r="AA453" s="73"/>
      <c r="AB453" s="74"/>
      <c r="AC453" s="73"/>
      <c r="AD453" s="76"/>
      <c r="AE453" s="73"/>
      <c r="AF453" s="73"/>
      <c r="AG453" s="73"/>
      <c r="AH453" s="73"/>
      <c r="AI453" s="73"/>
    </row>
    <row r="454" customFormat="false" ht="15" hidden="false" customHeight="false" outlineLevel="0" collapsed="false">
      <c r="A454" s="71" t="str">
        <f aca="false">IF(D454="","",ROW()-1)</f>
        <v/>
      </c>
      <c r="B454" s="72"/>
      <c r="C454" s="72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4"/>
      <c r="O454" s="73"/>
      <c r="P454" s="74"/>
      <c r="Q454" s="73"/>
      <c r="R454" s="74"/>
      <c r="S454" s="75"/>
      <c r="T454" s="73"/>
      <c r="U454" s="73"/>
      <c r="V454" s="73"/>
      <c r="W454" s="73"/>
      <c r="X454" s="73"/>
      <c r="Y454" s="73"/>
      <c r="Z454" s="73"/>
      <c r="AA454" s="73"/>
      <c r="AB454" s="74"/>
      <c r="AC454" s="73"/>
      <c r="AD454" s="76"/>
      <c r="AE454" s="73"/>
      <c r="AF454" s="73"/>
      <c r="AG454" s="73"/>
      <c r="AH454" s="73"/>
      <c r="AI454" s="73"/>
    </row>
    <row r="455" customFormat="false" ht="15" hidden="false" customHeight="false" outlineLevel="0" collapsed="false">
      <c r="A455" s="71" t="str">
        <f aca="false">IF(D455="","",ROW()-1)</f>
        <v/>
      </c>
      <c r="B455" s="72"/>
      <c r="C455" s="72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4"/>
      <c r="O455" s="73"/>
      <c r="P455" s="74"/>
      <c r="Q455" s="73"/>
      <c r="R455" s="74"/>
      <c r="S455" s="75"/>
      <c r="T455" s="73"/>
      <c r="U455" s="73"/>
      <c r="V455" s="73"/>
      <c r="W455" s="73"/>
      <c r="X455" s="73"/>
      <c r="Y455" s="73"/>
      <c r="Z455" s="73"/>
      <c r="AA455" s="73"/>
      <c r="AB455" s="74"/>
      <c r="AC455" s="73"/>
      <c r="AD455" s="76"/>
      <c r="AE455" s="73"/>
      <c r="AF455" s="73"/>
      <c r="AG455" s="73"/>
      <c r="AH455" s="73"/>
      <c r="AI455" s="73"/>
    </row>
    <row r="456" customFormat="false" ht="15" hidden="false" customHeight="false" outlineLevel="0" collapsed="false">
      <c r="A456" s="71" t="str">
        <f aca="false">IF(D456="","",ROW()-1)</f>
        <v/>
      </c>
      <c r="B456" s="72"/>
      <c r="C456" s="72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4"/>
      <c r="O456" s="73"/>
      <c r="P456" s="74"/>
      <c r="Q456" s="73"/>
      <c r="R456" s="74"/>
      <c r="S456" s="75"/>
      <c r="T456" s="73"/>
      <c r="U456" s="73"/>
      <c r="V456" s="73"/>
      <c r="W456" s="73"/>
      <c r="X456" s="73"/>
      <c r="Y456" s="73"/>
      <c r="Z456" s="73"/>
      <c r="AA456" s="73"/>
      <c r="AB456" s="74"/>
      <c r="AC456" s="73"/>
      <c r="AD456" s="76"/>
      <c r="AE456" s="73"/>
      <c r="AF456" s="73"/>
      <c r="AG456" s="73"/>
      <c r="AH456" s="73"/>
      <c r="AI456" s="73"/>
    </row>
    <row r="457" customFormat="false" ht="15" hidden="false" customHeight="false" outlineLevel="0" collapsed="false">
      <c r="A457" s="71" t="str">
        <f aca="false">IF(D457="","",ROW()-1)</f>
        <v/>
      </c>
      <c r="B457" s="72"/>
      <c r="C457" s="72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4"/>
      <c r="O457" s="73"/>
      <c r="P457" s="74"/>
      <c r="Q457" s="73"/>
      <c r="R457" s="74"/>
      <c r="S457" s="75"/>
      <c r="T457" s="73"/>
      <c r="U457" s="73"/>
      <c r="V457" s="73"/>
      <c r="W457" s="73"/>
      <c r="X457" s="73"/>
      <c r="Y457" s="73"/>
      <c r="Z457" s="73"/>
      <c r="AA457" s="73"/>
      <c r="AB457" s="74"/>
      <c r="AC457" s="73"/>
      <c r="AD457" s="76"/>
      <c r="AE457" s="73"/>
      <c r="AF457" s="73"/>
      <c r="AG457" s="73"/>
      <c r="AH457" s="73"/>
      <c r="AI457" s="73"/>
    </row>
    <row r="458" customFormat="false" ht="15" hidden="false" customHeight="false" outlineLevel="0" collapsed="false">
      <c r="A458" s="71" t="str">
        <f aca="false">IF(D458="","",ROW()-1)</f>
        <v/>
      </c>
      <c r="B458" s="72"/>
      <c r="C458" s="72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4"/>
      <c r="O458" s="73"/>
      <c r="P458" s="74"/>
      <c r="Q458" s="73"/>
      <c r="R458" s="74"/>
      <c r="S458" s="75"/>
      <c r="T458" s="73"/>
      <c r="U458" s="73"/>
      <c r="V458" s="73"/>
      <c r="W458" s="73"/>
      <c r="X458" s="73"/>
      <c r="Y458" s="73"/>
      <c r="Z458" s="73"/>
      <c r="AA458" s="73"/>
      <c r="AB458" s="74"/>
      <c r="AC458" s="73"/>
      <c r="AD458" s="76"/>
      <c r="AE458" s="73"/>
      <c r="AF458" s="73"/>
      <c r="AG458" s="73"/>
      <c r="AH458" s="73"/>
      <c r="AI458" s="73"/>
    </row>
    <row r="459" customFormat="false" ht="15" hidden="false" customHeight="false" outlineLevel="0" collapsed="false">
      <c r="A459" s="71" t="str">
        <f aca="false">IF(D459="","",ROW()-1)</f>
        <v/>
      </c>
      <c r="B459" s="72"/>
      <c r="C459" s="72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4"/>
      <c r="O459" s="73"/>
      <c r="P459" s="74"/>
      <c r="Q459" s="73"/>
      <c r="R459" s="74"/>
      <c r="S459" s="75"/>
      <c r="T459" s="73"/>
      <c r="U459" s="73"/>
      <c r="V459" s="73"/>
      <c r="W459" s="73"/>
      <c r="X459" s="73"/>
      <c r="Y459" s="73"/>
      <c r="Z459" s="73"/>
      <c r="AA459" s="73"/>
      <c r="AB459" s="74"/>
      <c r="AC459" s="73"/>
      <c r="AD459" s="76"/>
      <c r="AE459" s="73"/>
      <c r="AF459" s="73"/>
      <c r="AG459" s="73"/>
      <c r="AH459" s="73"/>
      <c r="AI459" s="73"/>
    </row>
    <row r="460" customFormat="false" ht="15" hidden="false" customHeight="false" outlineLevel="0" collapsed="false">
      <c r="A460" s="71" t="str">
        <f aca="false">IF(D460="","",ROW()-1)</f>
        <v/>
      </c>
      <c r="B460" s="72"/>
      <c r="C460" s="72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4"/>
      <c r="O460" s="73"/>
      <c r="P460" s="74"/>
      <c r="Q460" s="73"/>
      <c r="R460" s="74"/>
      <c r="S460" s="75"/>
      <c r="T460" s="73"/>
      <c r="U460" s="73"/>
      <c r="V460" s="73"/>
      <c r="W460" s="73"/>
      <c r="X460" s="73"/>
      <c r="Y460" s="73"/>
      <c r="Z460" s="73"/>
      <c r="AA460" s="73"/>
      <c r="AB460" s="74"/>
      <c r="AC460" s="73"/>
      <c r="AD460" s="76"/>
      <c r="AE460" s="73"/>
      <c r="AF460" s="73"/>
      <c r="AG460" s="73"/>
      <c r="AH460" s="73"/>
      <c r="AI460" s="73"/>
    </row>
    <row r="461" customFormat="false" ht="15" hidden="false" customHeight="false" outlineLevel="0" collapsed="false">
      <c r="A461" s="71" t="str">
        <f aca="false">IF(D461="","",ROW()-1)</f>
        <v/>
      </c>
      <c r="B461" s="72"/>
      <c r="C461" s="72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4"/>
      <c r="O461" s="73"/>
      <c r="P461" s="74"/>
      <c r="Q461" s="73"/>
      <c r="R461" s="74"/>
      <c r="S461" s="75"/>
      <c r="T461" s="73"/>
      <c r="U461" s="73"/>
      <c r="V461" s="73"/>
      <c r="W461" s="73"/>
      <c r="X461" s="73"/>
      <c r="Y461" s="73"/>
      <c r="Z461" s="73"/>
      <c r="AA461" s="73"/>
      <c r="AB461" s="74"/>
      <c r="AC461" s="73"/>
      <c r="AD461" s="76"/>
      <c r="AE461" s="73"/>
      <c r="AF461" s="73"/>
      <c r="AG461" s="73"/>
      <c r="AH461" s="73"/>
      <c r="AI461" s="73"/>
    </row>
    <row r="462" customFormat="false" ht="15" hidden="false" customHeight="false" outlineLevel="0" collapsed="false">
      <c r="A462" s="71" t="str">
        <f aca="false">IF(D462="","",ROW()-1)</f>
        <v/>
      </c>
      <c r="B462" s="72"/>
      <c r="C462" s="72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4"/>
      <c r="O462" s="73"/>
      <c r="P462" s="74"/>
      <c r="Q462" s="73"/>
      <c r="R462" s="74"/>
      <c r="S462" s="75"/>
      <c r="T462" s="73"/>
      <c r="U462" s="73"/>
      <c r="V462" s="73"/>
      <c r="W462" s="73"/>
      <c r="X462" s="73"/>
      <c r="Y462" s="73"/>
      <c r="Z462" s="73"/>
      <c r="AA462" s="73"/>
      <c r="AB462" s="74"/>
      <c r="AC462" s="73"/>
      <c r="AD462" s="76"/>
      <c r="AE462" s="73"/>
      <c r="AF462" s="73"/>
      <c r="AG462" s="73"/>
      <c r="AH462" s="73"/>
      <c r="AI462" s="73"/>
    </row>
    <row r="463" customFormat="false" ht="15" hidden="false" customHeight="false" outlineLevel="0" collapsed="false">
      <c r="A463" s="71" t="str">
        <f aca="false">IF(D463="","",ROW()-1)</f>
        <v/>
      </c>
      <c r="B463" s="72"/>
      <c r="C463" s="72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4"/>
      <c r="O463" s="73"/>
      <c r="P463" s="74"/>
      <c r="Q463" s="73"/>
      <c r="R463" s="74"/>
      <c r="S463" s="75"/>
      <c r="T463" s="73"/>
      <c r="U463" s="73"/>
      <c r="V463" s="73"/>
      <c r="W463" s="73"/>
      <c r="X463" s="73"/>
      <c r="Y463" s="73"/>
      <c r="Z463" s="73"/>
      <c r="AA463" s="73"/>
      <c r="AB463" s="74"/>
      <c r="AC463" s="73"/>
      <c r="AD463" s="76"/>
      <c r="AE463" s="73"/>
      <c r="AF463" s="73"/>
      <c r="AG463" s="73"/>
      <c r="AH463" s="73"/>
      <c r="AI463" s="73"/>
    </row>
    <row r="464" customFormat="false" ht="15" hidden="false" customHeight="false" outlineLevel="0" collapsed="false">
      <c r="A464" s="71" t="str">
        <f aca="false">IF(D464="","",ROW()-1)</f>
        <v/>
      </c>
      <c r="B464" s="72"/>
      <c r="C464" s="72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4"/>
      <c r="O464" s="73"/>
      <c r="P464" s="74"/>
      <c r="Q464" s="73"/>
      <c r="R464" s="74"/>
      <c r="S464" s="75"/>
      <c r="T464" s="73"/>
      <c r="U464" s="73"/>
      <c r="V464" s="73"/>
      <c r="W464" s="73"/>
      <c r="X464" s="73"/>
      <c r="Y464" s="73"/>
      <c r="Z464" s="73"/>
      <c r="AA464" s="73"/>
      <c r="AB464" s="74"/>
      <c r="AC464" s="73"/>
      <c r="AD464" s="76"/>
      <c r="AE464" s="73"/>
      <c r="AF464" s="73"/>
      <c r="AG464" s="73"/>
      <c r="AH464" s="73"/>
      <c r="AI464" s="73"/>
    </row>
    <row r="465" customFormat="false" ht="15" hidden="false" customHeight="false" outlineLevel="0" collapsed="false">
      <c r="A465" s="71" t="str">
        <f aca="false">IF(D465="","",ROW()-1)</f>
        <v/>
      </c>
      <c r="B465" s="72"/>
      <c r="C465" s="72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4"/>
      <c r="O465" s="73"/>
      <c r="P465" s="74"/>
      <c r="Q465" s="73"/>
      <c r="R465" s="74"/>
      <c r="S465" s="75"/>
      <c r="T465" s="73"/>
      <c r="U465" s="73"/>
      <c r="V465" s="73"/>
      <c r="W465" s="73"/>
      <c r="X465" s="73"/>
      <c r="Y465" s="73"/>
      <c r="Z465" s="73"/>
      <c r="AA465" s="73"/>
      <c r="AB465" s="74"/>
      <c r="AC465" s="73"/>
      <c r="AD465" s="76"/>
      <c r="AE465" s="73"/>
      <c r="AF465" s="73"/>
      <c r="AG465" s="73"/>
      <c r="AH465" s="73"/>
      <c r="AI465" s="73"/>
    </row>
    <row r="466" customFormat="false" ht="15" hidden="false" customHeight="false" outlineLevel="0" collapsed="false">
      <c r="A466" s="71" t="str">
        <f aca="false">IF(D466="","",ROW()-1)</f>
        <v/>
      </c>
      <c r="B466" s="72"/>
      <c r="C466" s="72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4"/>
      <c r="O466" s="73"/>
      <c r="P466" s="74"/>
      <c r="Q466" s="73"/>
      <c r="R466" s="74"/>
      <c r="S466" s="75"/>
      <c r="T466" s="73"/>
      <c r="U466" s="73"/>
      <c r="V466" s="73"/>
      <c r="W466" s="73"/>
      <c r="X466" s="73"/>
      <c r="Y466" s="73"/>
      <c r="Z466" s="73"/>
      <c r="AA466" s="73"/>
      <c r="AB466" s="74"/>
      <c r="AC466" s="73"/>
      <c r="AD466" s="76"/>
      <c r="AE466" s="73"/>
      <c r="AF466" s="73"/>
      <c r="AG466" s="73"/>
      <c r="AH466" s="73"/>
      <c r="AI466" s="73"/>
    </row>
    <row r="467" customFormat="false" ht="15" hidden="false" customHeight="false" outlineLevel="0" collapsed="false">
      <c r="A467" s="71" t="str">
        <f aca="false">IF(D467="","",ROW()-1)</f>
        <v/>
      </c>
      <c r="B467" s="72"/>
      <c r="C467" s="72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4"/>
      <c r="O467" s="73"/>
      <c r="P467" s="74"/>
      <c r="Q467" s="73"/>
      <c r="R467" s="74"/>
      <c r="S467" s="75"/>
      <c r="T467" s="73"/>
      <c r="U467" s="73"/>
      <c r="V467" s="73"/>
      <c r="W467" s="73"/>
      <c r="X467" s="73"/>
      <c r="Y467" s="73"/>
      <c r="Z467" s="73"/>
      <c r="AA467" s="73"/>
      <c r="AB467" s="74"/>
      <c r="AC467" s="73"/>
      <c r="AD467" s="76"/>
      <c r="AE467" s="73"/>
      <c r="AF467" s="73"/>
      <c r="AG467" s="73"/>
      <c r="AH467" s="73"/>
      <c r="AI467" s="73"/>
    </row>
    <row r="468" customFormat="false" ht="15" hidden="false" customHeight="false" outlineLevel="0" collapsed="false">
      <c r="A468" s="71" t="str">
        <f aca="false">IF(D468="","",ROW()-1)</f>
        <v/>
      </c>
      <c r="B468" s="72"/>
      <c r="C468" s="72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4"/>
      <c r="O468" s="73"/>
      <c r="P468" s="74"/>
      <c r="Q468" s="73"/>
      <c r="R468" s="74"/>
      <c r="S468" s="75"/>
      <c r="T468" s="73"/>
      <c r="U468" s="73"/>
      <c r="V468" s="73"/>
      <c r="W468" s="73"/>
      <c r="X468" s="73"/>
      <c r="Y468" s="73"/>
      <c r="Z468" s="73"/>
      <c r="AA468" s="73"/>
      <c r="AB468" s="74"/>
      <c r="AC468" s="73"/>
      <c r="AD468" s="76"/>
      <c r="AE468" s="73"/>
      <c r="AF468" s="73"/>
      <c r="AG468" s="73"/>
      <c r="AH468" s="73"/>
      <c r="AI468" s="73"/>
    </row>
    <row r="469" customFormat="false" ht="15" hidden="false" customHeight="false" outlineLevel="0" collapsed="false">
      <c r="A469" s="71" t="str">
        <f aca="false">IF(D469="","",ROW()-1)</f>
        <v/>
      </c>
      <c r="B469" s="72"/>
      <c r="C469" s="72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4"/>
      <c r="O469" s="73"/>
      <c r="P469" s="74"/>
      <c r="Q469" s="73"/>
      <c r="R469" s="74"/>
      <c r="S469" s="75"/>
      <c r="T469" s="73"/>
      <c r="U469" s="73"/>
      <c r="V469" s="73"/>
      <c r="W469" s="73"/>
      <c r="X469" s="73"/>
      <c r="Y469" s="73"/>
      <c r="Z469" s="73"/>
      <c r="AA469" s="73"/>
      <c r="AB469" s="74"/>
      <c r="AC469" s="73"/>
      <c r="AD469" s="76"/>
      <c r="AE469" s="73"/>
      <c r="AF469" s="73"/>
      <c r="AG469" s="73"/>
      <c r="AH469" s="73"/>
      <c r="AI469" s="73"/>
    </row>
    <row r="470" customFormat="false" ht="15" hidden="false" customHeight="false" outlineLevel="0" collapsed="false">
      <c r="A470" s="71" t="str">
        <f aca="false">IF(D470="","",ROW()-1)</f>
        <v/>
      </c>
      <c r="B470" s="72"/>
      <c r="C470" s="72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4"/>
      <c r="O470" s="73"/>
      <c r="P470" s="74"/>
      <c r="Q470" s="73"/>
      <c r="R470" s="74"/>
      <c r="S470" s="75"/>
      <c r="T470" s="73"/>
      <c r="U470" s="73"/>
      <c r="V470" s="73"/>
      <c r="W470" s="73"/>
      <c r="X470" s="73"/>
      <c r="Y470" s="73"/>
      <c r="Z470" s="73"/>
      <c r="AA470" s="73"/>
      <c r="AB470" s="74"/>
      <c r="AC470" s="73"/>
      <c r="AD470" s="76"/>
      <c r="AE470" s="73"/>
      <c r="AF470" s="73"/>
      <c r="AG470" s="73"/>
      <c r="AH470" s="73"/>
      <c r="AI470" s="73"/>
    </row>
    <row r="471" customFormat="false" ht="15" hidden="false" customHeight="false" outlineLevel="0" collapsed="false">
      <c r="A471" s="71" t="str">
        <f aca="false">IF(D471="","",ROW()-1)</f>
        <v/>
      </c>
      <c r="B471" s="72"/>
      <c r="C471" s="72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4"/>
      <c r="O471" s="73"/>
      <c r="P471" s="74"/>
      <c r="Q471" s="73"/>
      <c r="R471" s="74"/>
      <c r="S471" s="75"/>
      <c r="T471" s="73"/>
      <c r="U471" s="73"/>
      <c r="V471" s="73"/>
      <c r="W471" s="73"/>
      <c r="X471" s="73"/>
      <c r="Y471" s="73"/>
      <c r="Z471" s="73"/>
      <c r="AA471" s="73"/>
      <c r="AB471" s="74"/>
      <c r="AC471" s="73"/>
      <c r="AD471" s="76"/>
      <c r="AE471" s="73"/>
      <c r="AF471" s="73"/>
      <c r="AG471" s="73"/>
      <c r="AH471" s="73"/>
      <c r="AI471" s="73"/>
    </row>
    <row r="472" customFormat="false" ht="15" hidden="false" customHeight="false" outlineLevel="0" collapsed="false">
      <c r="A472" s="71" t="str">
        <f aca="false">IF(D472="","",ROW()-1)</f>
        <v/>
      </c>
      <c r="B472" s="72"/>
      <c r="C472" s="72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4"/>
      <c r="O472" s="73"/>
      <c r="P472" s="74"/>
      <c r="Q472" s="73"/>
      <c r="R472" s="74"/>
      <c r="S472" s="75"/>
      <c r="T472" s="73"/>
      <c r="U472" s="73"/>
      <c r="V472" s="73"/>
      <c r="W472" s="73"/>
      <c r="X472" s="73"/>
      <c r="Y472" s="73"/>
      <c r="Z472" s="73"/>
      <c r="AA472" s="73"/>
      <c r="AB472" s="74"/>
      <c r="AC472" s="73"/>
      <c r="AD472" s="76"/>
      <c r="AE472" s="73"/>
      <c r="AF472" s="73"/>
      <c r="AG472" s="73"/>
      <c r="AH472" s="73"/>
      <c r="AI472" s="73"/>
    </row>
    <row r="473" customFormat="false" ht="15" hidden="false" customHeight="false" outlineLevel="0" collapsed="false">
      <c r="A473" s="71" t="str">
        <f aca="false">IF(D473="","",ROW()-1)</f>
        <v/>
      </c>
      <c r="B473" s="72"/>
      <c r="C473" s="72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4"/>
      <c r="O473" s="73"/>
      <c r="P473" s="74"/>
      <c r="Q473" s="73"/>
      <c r="R473" s="74"/>
      <c r="S473" s="75"/>
      <c r="T473" s="73"/>
      <c r="U473" s="73"/>
      <c r="V473" s="73"/>
      <c r="W473" s="73"/>
      <c r="X473" s="73"/>
      <c r="Y473" s="73"/>
      <c r="Z473" s="73"/>
      <c r="AA473" s="73"/>
      <c r="AB473" s="74"/>
      <c r="AC473" s="73"/>
      <c r="AD473" s="76"/>
      <c r="AE473" s="73"/>
      <c r="AF473" s="73"/>
      <c r="AG473" s="73"/>
      <c r="AH473" s="73"/>
      <c r="AI473" s="73"/>
    </row>
    <row r="474" customFormat="false" ht="15" hidden="false" customHeight="false" outlineLevel="0" collapsed="false">
      <c r="A474" s="71" t="str">
        <f aca="false">IF(D474="","",ROW()-1)</f>
        <v/>
      </c>
      <c r="B474" s="72"/>
      <c r="C474" s="72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4"/>
      <c r="O474" s="73"/>
      <c r="P474" s="74"/>
      <c r="Q474" s="73"/>
      <c r="R474" s="74"/>
      <c r="S474" s="75"/>
      <c r="T474" s="73"/>
      <c r="U474" s="73"/>
      <c r="V474" s="73"/>
      <c r="W474" s="73"/>
      <c r="X474" s="73"/>
      <c r="Y474" s="73"/>
      <c r="Z474" s="73"/>
      <c r="AA474" s="73"/>
      <c r="AB474" s="74"/>
      <c r="AC474" s="73"/>
      <c r="AD474" s="76"/>
      <c r="AE474" s="73"/>
      <c r="AF474" s="73"/>
      <c r="AG474" s="73"/>
      <c r="AH474" s="73"/>
      <c r="AI474" s="73"/>
    </row>
    <row r="475" customFormat="false" ht="15" hidden="false" customHeight="false" outlineLevel="0" collapsed="false">
      <c r="A475" s="71" t="str">
        <f aca="false">IF(D475="","",ROW()-1)</f>
        <v/>
      </c>
      <c r="B475" s="72"/>
      <c r="C475" s="72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4"/>
      <c r="O475" s="73"/>
      <c r="P475" s="74"/>
      <c r="Q475" s="73"/>
      <c r="R475" s="74"/>
      <c r="S475" s="75"/>
      <c r="T475" s="73"/>
      <c r="U475" s="73"/>
      <c r="V475" s="73"/>
      <c r="W475" s="73"/>
      <c r="X475" s="73"/>
      <c r="Y475" s="73"/>
      <c r="Z475" s="73"/>
      <c r="AA475" s="73"/>
      <c r="AB475" s="74"/>
      <c r="AC475" s="73"/>
      <c r="AD475" s="76"/>
      <c r="AE475" s="73"/>
      <c r="AF475" s="73"/>
      <c r="AG475" s="73"/>
      <c r="AH475" s="73"/>
      <c r="AI475" s="73"/>
    </row>
    <row r="476" customFormat="false" ht="15" hidden="false" customHeight="false" outlineLevel="0" collapsed="false">
      <c r="A476" s="71" t="str">
        <f aca="false">IF(D476="","",ROW()-1)</f>
        <v/>
      </c>
      <c r="B476" s="72"/>
      <c r="C476" s="72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4"/>
      <c r="O476" s="73"/>
      <c r="P476" s="74"/>
      <c r="Q476" s="73"/>
      <c r="R476" s="74"/>
      <c r="S476" s="75"/>
      <c r="T476" s="73"/>
      <c r="U476" s="73"/>
      <c r="V476" s="73"/>
      <c r="W476" s="73"/>
      <c r="X476" s="73"/>
      <c r="Y476" s="73"/>
      <c r="Z476" s="73"/>
      <c r="AA476" s="73"/>
      <c r="AB476" s="74"/>
      <c r="AC476" s="73"/>
      <c r="AD476" s="76"/>
      <c r="AE476" s="73"/>
      <c r="AF476" s="73"/>
      <c r="AG476" s="73"/>
      <c r="AH476" s="73"/>
      <c r="AI476" s="73"/>
    </row>
    <row r="477" customFormat="false" ht="15" hidden="false" customHeight="false" outlineLevel="0" collapsed="false">
      <c r="A477" s="71" t="str">
        <f aca="false">IF(D477="","",ROW()-1)</f>
        <v/>
      </c>
      <c r="B477" s="72"/>
      <c r="C477" s="72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4"/>
      <c r="O477" s="73"/>
      <c r="P477" s="74"/>
      <c r="Q477" s="73"/>
      <c r="R477" s="74"/>
      <c r="S477" s="75"/>
      <c r="T477" s="73"/>
      <c r="U477" s="73"/>
      <c r="V477" s="73"/>
      <c r="W477" s="73"/>
      <c r="X477" s="73"/>
      <c r="Y477" s="73"/>
      <c r="Z477" s="73"/>
      <c r="AA477" s="73"/>
      <c r="AB477" s="74"/>
      <c r="AC477" s="73"/>
      <c r="AD477" s="76"/>
      <c r="AE477" s="73"/>
      <c r="AF477" s="73"/>
      <c r="AG477" s="73"/>
      <c r="AH477" s="73"/>
      <c r="AI477" s="73"/>
    </row>
    <row r="478" customFormat="false" ht="15" hidden="false" customHeight="false" outlineLevel="0" collapsed="false">
      <c r="A478" s="71" t="str">
        <f aca="false">IF(D478="","",ROW()-1)</f>
        <v/>
      </c>
      <c r="B478" s="72"/>
      <c r="C478" s="72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4"/>
      <c r="O478" s="73"/>
      <c r="P478" s="74"/>
      <c r="Q478" s="73"/>
      <c r="R478" s="74"/>
      <c r="S478" s="75"/>
      <c r="T478" s="73"/>
      <c r="U478" s="73"/>
      <c r="V478" s="73"/>
      <c r="W478" s="73"/>
      <c r="X478" s="73"/>
      <c r="Y478" s="73"/>
      <c r="Z478" s="73"/>
      <c r="AA478" s="73"/>
      <c r="AB478" s="74"/>
      <c r="AC478" s="73"/>
      <c r="AD478" s="76"/>
      <c r="AE478" s="73"/>
      <c r="AF478" s="73"/>
      <c r="AG478" s="73"/>
      <c r="AH478" s="73"/>
      <c r="AI478" s="73"/>
    </row>
    <row r="479" customFormat="false" ht="15" hidden="false" customHeight="false" outlineLevel="0" collapsed="false">
      <c r="A479" s="71" t="str">
        <f aca="false">IF(D479="","",ROW()-1)</f>
        <v/>
      </c>
      <c r="B479" s="72"/>
      <c r="C479" s="72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4"/>
      <c r="O479" s="73"/>
      <c r="P479" s="74"/>
      <c r="Q479" s="73"/>
      <c r="R479" s="74"/>
      <c r="S479" s="75"/>
      <c r="T479" s="73"/>
      <c r="U479" s="73"/>
      <c r="V479" s="73"/>
      <c r="W479" s="73"/>
      <c r="X479" s="73"/>
      <c r="Y479" s="73"/>
      <c r="Z479" s="73"/>
      <c r="AA479" s="73"/>
      <c r="AB479" s="74"/>
      <c r="AC479" s="73"/>
      <c r="AD479" s="76"/>
      <c r="AE479" s="73"/>
      <c r="AF479" s="73"/>
      <c r="AG479" s="73"/>
      <c r="AH479" s="73"/>
      <c r="AI479" s="73"/>
    </row>
    <row r="480" customFormat="false" ht="15" hidden="false" customHeight="false" outlineLevel="0" collapsed="false">
      <c r="A480" s="71" t="str">
        <f aca="false">IF(D480="","",ROW()-1)</f>
        <v/>
      </c>
      <c r="B480" s="72"/>
      <c r="C480" s="72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4"/>
      <c r="O480" s="73"/>
      <c r="P480" s="74"/>
      <c r="Q480" s="73"/>
      <c r="R480" s="74"/>
      <c r="S480" s="75"/>
      <c r="T480" s="73"/>
      <c r="U480" s="73"/>
      <c r="V480" s="73"/>
      <c r="W480" s="73"/>
      <c r="X480" s="73"/>
      <c r="Y480" s="73"/>
      <c r="Z480" s="73"/>
      <c r="AA480" s="73"/>
      <c r="AB480" s="74"/>
      <c r="AC480" s="73"/>
      <c r="AD480" s="76"/>
      <c r="AE480" s="73"/>
      <c r="AF480" s="73"/>
      <c r="AG480" s="73"/>
      <c r="AH480" s="73"/>
      <c r="AI480" s="73"/>
    </row>
    <row r="481" customFormat="false" ht="15" hidden="false" customHeight="false" outlineLevel="0" collapsed="false">
      <c r="A481" s="71" t="str">
        <f aca="false">IF(D481="","",ROW()-1)</f>
        <v/>
      </c>
      <c r="B481" s="72"/>
      <c r="C481" s="72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4"/>
      <c r="O481" s="73"/>
      <c r="P481" s="74"/>
      <c r="Q481" s="73"/>
      <c r="R481" s="74"/>
      <c r="S481" s="75"/>
      <c r="T481" s="73"/>
      <c r="U481" s="73"/>
      <c r="V481" s="73"/>
      <c r="W481" s="73"/>
      <c r="X481" s="73"/>
      <c r="Y481" s="73"/>
      <c r="Z481" s="73"/>
      <c r="AA481" s="73"/>
      <c r="AB481" s="74"/>
      <c r="AC481" s="73"/>
      <c r="AD481" s="76"/>
      <c r="AE481" s="73"/>
      <c r="AF481" s="73"/>
      <c r="AG481" s="73"/>
      <c r="AH481" s="73"/>
      <c r="AI481" s="73"/>
    </row>
    <row r="482" customFormat="false" ht="15" hidden="false" customHeight="false" outlineLevel="0" collapsed="false">
      <c r="A482" s="71" t="str">
        <f aca="false">IF(D482="","",ROW()-1)</f>
        <v/>
      </c>
      <c r="B482" s="72"/>
      <c r="C482" s="72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4"/>
      <c r="O482" s="73"/>
      <c r="P482" s="74"/>
      <c r="Q482" s="73"/>
      <c r="R482" s="74"/>
      <c r="S482" s="75"/>
      <c r="T482" s="73"/>
      <c r="U482" s="73"/>
      <c r="V482" s="73"/>
      <c r="W482" s="73"/>
      <c r="X482" s="73"/>
      <c r="Y482" s="73"/>
      <c r="Z482" s="73"/>
      <c r="AA482" s="73"/>
      <c r="AB482" s="74"/>
      <c r="AC482" s="73"/>
      <c r="AD482" s="76"/>
      <c r="AE482" s="73"/>
      <c r="AF482" s="73"/>
      <c r="AG482" s="73"/>
      <c r="AH482" s="73"/>
      <c r="AI482" s="73"/>
    </row>
    <row r="483" customFormat="false" ht="15" hidden="false" customHeight="false" outlineLevel="0" collapsed="false">
      <c r="A483" s="71" t="str">
        <f aca="false">IF(D483="","",ROW()-1)</f>
        <v/>
      </c>
      <c r="B483" s="72"/>
      <c r="C483" s="72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4"/>
      <c r="O483" s="73"/>
      <c r="P483" s="74"/>
      <c r="Q483" s="73"/>
      <c r="R483" s="74"/>
      <c r="S483" s="75"/>
      <c r="T483" s="73"/>
      <c r="U483" s="73"/>
      <c r="V483" s="73"/>
      <c r="W483" s="73"/>
      <c r="X483" s="73"/>
      <c r="Y483" s="73"/>
      <c r="Z483" s="73"/>
      <c r="AA483" s="73"/>
      <c r="AB483" s="74"/>
      <c r="AC483" s="73"/>
      <c r="AD483" s="76"/>
      <c r="AE483" s="73"/>
      <c r="AF483" s="73"/>
      <c r="AG483" s="73"/>
      <c r="AH483" s="73"/>
      <c r="AI483" s="73"/>
    </row>
    <row r="484" customFormat="false" ht="15" hidden="false" customHeight="false" outlineLevel="0" collapsed="false">
      <c r="A484" s="71" t="str">
        <f aca="false">IF(D484="","",ROW()-1)</f>
        <v/>
      </c>
      <c r="B484" s="72"/>
      <c r="C484" s="72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4"/>
      <c r="O484" s="73"/>
      <c r="P484" s="74"/>
      <c r="Q484" s="73"/>
      <c r="R484" s="74"/>
      <c r="S484" s="75"/>
      <c r="T484" s="73"/>
      <c r="U484" s="73"/>
      <c r="V484" s="73"/>
      <c r="W484" s="73"/>
      <c r="X484" s="73"/>
      <c r="Y484" s="73"/>
      <c r="Z484" s="73"/>
      <c r="AA484" s="73"/>
      <c r="AB484" s="74"/>
      <c r="AC484" s="73"/>
      <c r="AD484" s="76"/>
      <c r="AE484" s="73"/>
      <c r="AF484" s="73"/>
      <c r="AG484" s="73"/>
      <c r="AH484" s="73"/>
      <c r="AI484" s="73"/>
    </row>
    <row r="485" customFormat="false" ht="15" hidden="false" customHeight="false" outlineLevel="0" collapsed="false">
      <c r="A485" s="71" t="str">
        <f aca="false">IF(D485="","",ROW()-1)</f>
        <v/>
      </c>
      <c r="B485" s="72"/>
      <c r="C485" s="72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4"/>
      <c r="O485" s="73"/>
      <c r="P485" s="74"/>
      <c r="Q485" s="73"/>
      <c r="R485" s="74"/>
      <c r="S485" s="75"/>
      <c r="T485" s="73"/>
      <c r="U485" s="73"/>
      <c r="V485" s="73"/>
      <c r="W485" s="73"/>
      <c r="X485" s="73"/>
      <c r="Y485" s="73"/>
      <c r="Z485" s="73"/>
      <c r="AA485" s="73"/>
      <c r="AB485" s="74"/>
      <c r="AC485" s="73"/>
      <c r="AD485" s="76"/>
      <c r="AE485" s="73"/>
      <c r="AF485" s="73"/>
      <c r="AG485" s="73"/>
      <c r="AH485" s="73"/>
      <c r="AI485" s="73"/>
    </row>
    <row r="486" customFormat="false" ht="15" hidden="false" customHeight="false" outlineLevel="0" collapsed="false">
      <c r="A486" s="71" t="str">
        <f aca="false">IF(D486="","",ROW()-1)</f>
        <v/>
      </c>
      <c r="B486" s="72"/>
      <c r="C486" s="72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4"/>
      <c r="O486" s="73"/>
      <c r="P486" s="74"/>
      <c r="Q486" s="73"/>
      <c r="R486" s="74"/>
      <c r="S486" s="75"/>
      <c r="T486" s="73"/>
      <c r="U486" s="73"/>
      <c r="V486" s="73"/>
      <c r="W486" s="73"/>
      <c r="X486" s="73"/>
      <c r="Y486" s="73"/>
      <c r="Z486" s="73"/>
      <c r="AA486" s="73"/>
      <c r="AB486" s="74"/>
      <c r="AC486" s="73"/>
      <c r="AD486" s="76"/>
      <c r="AE486" s="73"/>
      <c r="AF486" s="73"/>
      <c r="AG486" s="73"/>
      <c r="AH486" s="73"/>
      <c r="AI486" s="73"/>
    </row>
    <row r="487" customFormat="false" ht="15" hidden="false" customHeight="false" outlineLevel="0" collapsed="false">
      <c r="A487" s="71" t="str">
        <f aca="false">IF(D487="","",ROW()-1)</f>
        <v/>
      </c>
      <c r="B487" s="72"/>
      <c r="C487" s="72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4"/>
      <c r="O487" s="73"/>
      <c r="P487" s="74"/>
      <c r="Q487" s="73"/>
      <c r="R487" s="74"/>
      <c r="S487" s="75"/>
      <c r="T487" s="73"/>
      <c r="U487" s="73"/>
      <c r="V487" s="73"/>
      <c r="W487" s="73"/>
      <c r="X487" s="73"/>
      <c r="Y487" s="73"/>
      <c r="Z487" s="73"/>
      <c r="AA487" s="73"/>
      <c r="AB487" s="74"/>
      <c r="AC487" s="73"/>
      <c r="AD487" s="76"/>
      <c r="AE487" s="73"/>
      <c r="AF487" s="73"/>
      <c r="AG487" s="73"/>
      <c r="AH487" s="73"/>
      <c r="AI487" s="73"/>
    </row>
    <row r="488" customFormat="false" ht="15" hidden="false" customHeight="false" outlineLevel="0" collapsed="false">
      <c r="A488" s="71" t="str">
        <f aca="false">IF(D488="","",ROW()-1)</f>
        <v/>
      </c>
      <c r="B488" s="72"/>
      <c r="C488" s="72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4"/>
      <c r="O488" s="73"/>
      <c r="P488" s="74"/>
      <c r="Q488" s="73"/>
      <c r="R488" s="74"/>
      <c r="S488" s="75"/>
      <c r="T488" s="73"/>
      <c r="U488" s="73"/>
      <c r="V488" s="73"/>
      <c r="W488" s="73"/>
      <c r="X488" s="73"/>
      <c r="Y488" s="73"/>
      <c r="Z488" s="73"/>
      <c r="AA488" s="73"/>
      <c r="AB488" s="74"/>
      <c r="AC488" s="73"/>
      <c r="AD488" s="76"/>
      <c r="AE488" s="73"/>
      <c r="AF488" s="73"/>
      <c r="AG488" s="73"/>
      <c r="AH488" s="73"/>
      <c r="AI488" s="73"/>
    </row>
    <row r="489" customFormat="false" ht="15" hidden="false" customHeight="false" outlineLevel="0" collapsed="false">
      <c r="A489" s="71" t="str">
        <f aca="false">IF(D489="","",ROW()-1)</f>
        <v/>
      </c>
      <c r="B489" s="72"/>
      <c r="C489" s="72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4"/>
      <c r="O489" s="73"/>
      <c r="P489" s="74"/>
      <c r="Q489" s="73"/>
      <c r="R489" s="74"/>
      <c r="S489" s="75"/>
      <c r="T489" s="73"/>
      <c r="U489" s="73"/>
      <c r="V489" s="73"/>
      <c r="W489" s="73"/>
      <c r="X489" s="73"/>
      <c r="Y489" s="73"/>
      <c r="Z489" s="73"/>
      <c r="AA489" s="73"/>
      <c r="AB489" s="74"/>
      <c r="AC489" s="73"/>
      <c r="AD489" s="76"/>
      <c r="AE489" s="73"/>
      <c r="AF489" s="73"/>
      <c r="AG489" s="73"/>
      <c r="AH489" s="73"/>
      <c r="AI489" s="73"/>
    </row>
    <row r="490" customFormat="false" ht="15" hidden="false" customHeight="false" outlineLevel="0" collapsed="false">
      <c r="A490" s="71" t="str">
        <f aca="false">IF(D490="","",ROW()-1)</f>
        <v/>
      </c>
      <c r="B490" s="72"/>
      <c r="C490" s="72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4"/>
      <c r="O490" s="73"/>
      <c r="P490" s="74"/>
      <c r="Q490" s="73"/>
      <c r="R490" s="74"/>
      <c r="S490" s="75"/>
      <c r="T490" s="73"/>
      <c r="U490" s="73"/>
      <c r="V490" s="73"/>
      <c r="W490" s="73"/>
      <c r="X490" s="73"/>
      <c r="Y490" s="73"/>
      <c r="Z490" s="73"/>
      <c r="AA490" s="73"/>
      <c r="AB490" s="74"/>
      <c r="AC490" s="73"/>
      <c r="AD490" s="76"/>
      <c r="AE490" s="73"/>
      <c r="AF490" s="73"/>
      <c r="AG490" s="73"/>
      <c r="AH490" s="73"/>
      <c r="AI490" s="73"/>
    </row>
    <row r="491" customFormat="false" ht="15" hidden="false" customHeight="false" outlineLevel="0" collapsed="false">
      <c r="A491" s="71" t="str">
        <f aca="false">IF(D491="","",ROW()-1)</f>
        <v/>
      </c>
      <c r="B491" s="72"/>
      <c r="C491" s="72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4"/>
      <c r="O491" s="73"/>
      <c r="P491" s="74"/>
      <c r="Q491" s="73"/>
      <c r="R491" s="74"/>
      <c r="S491" s="75"/>
      <c r="T491" s="73"/>
      <c r="U491" s="73"/>
      <c r="V491" s="73"/>
      <c r="W491" s="73"/>
      <c r="X491" s="73"/>
      <c r="Y491" s="73"/>
      <c r="Z491" s="73"/>
      <c r="AA491" s="73"/>
      <c r="AB491" s="74"/>
      <c r="AC491" s="73"/>
      <c r="AD491" s="76"/>
      <c r="AE491" s="73"/>
      <c r="AF491" s="73"/>
      <c r="AG491" s="73"/>
      <c r="AH491" s="73"/>
      <c r="AI491" s="73"/>
    </row>
    <row r="492" customFormat="false" ht="15" hidden="false" customHeight="false" outlineLevel="0" collapsed="false">
      <c r="A492" s="71" t="str">
        <f aca="false">IF(D492="","",ROW()-1)</f>
        <v/>
      </c>
      <c r="B492" s="72"/>
      <c r="C492" s="72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4"/>
      <c r="O492" s="73"/>
      <c r="P492" s="74"/>
      <c r="Q492" s="73"/>
      <c r="R492" s="74"/>
      <c r="S492" s="75"/>
      <c r="T492" s="73"/>
      <c r="U492" s="73"/>
      <c r="V492" s="73"/>
      <c r="W492" s="73"/>
      <c r="X492" s="73"/>
      <c r="Y492" s="73"/>
      <c r="Z492" s="73"/>
      <c r="AA492" s="73"/>
      <c r="AB492" s="74"/>
      <c r="AC492" s="73"/>
      <c r="AD492" s="76"/>
      <c r="AE492" s="73"/>
      <c r="AF492" s="73"/>
      <c r="AG492" s="73"/>
      <c r="AH492" s="73"/>
      <c r="AI492" s="73"/>
    </row>
    <row r="493" customFormat="false" ht="15" hidden="false" customHeight="false" outlineLevel="0" collapsed="false">
      <c r="A493" s="71" t="str">
        <f aca="false">IF(D493="","",ROW()-1)</f>
        <v/>
      </c>
      <c r="B493" s="72"/>
      <c r="C493" s="72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4"/>
      <c r="O493" s="73"/>
      <c r="P493" s="74"/>
      <c r="Q493" s="73"/>
      <c r="R493" s="74"/>
      <c r="S493" s="75"/>
      <c r="T493" s="73"/>
      <c r="U493" s="73"/>
      <c r="V493" s="73"/>
      <c r="W493" s="73"/>
      <c r="X493" s="73"/>
      <c r="Y493" s="73"/>
      <c r="Z493" s="73"/>
      <c r="AA493" s="73"/>
      <c r="AB493" s="74"/>
      <c r="AC493" s="73"/>
      <c r="AD493" s="76"/>
      <c r="AE493" s="73"/>
      <c r="AF493" s="73"/>
      <c r="AG493" s="73"/>
      <c r="AH493" s="73"/>
      <c r="AI493" s="73"/>
    </row>
    <row r="494" customFormat="false" ht="15" hidden="false" customHeight="false" outlineLevel="0" collapsed="false">
      <c r="A494" s="71" t="str">
        <f aca="false">IF(D494="","",ROW()-1)</f>
        <v/>
      </c>
      <c r="B494" s="72"/>
      <c r="C494" s="72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4"/>
      <c r="O494" s="73"/>
      <c r="P494" s="74"/>
      <c r="Q494" s="73"/>
      <c r="R494" s="74"/>
      <c r="S494" s="75"/>
      <c r="T494" s="73"/>
      <c r="U494" s="73"/>
      <c r="V494" s="73"/>
      <c r="W494" s="73"/>
      <c r="X494" s="73"/>
      <c r="Y494" s="73"/>
      <c r="Z494" s="73"/>
      <c r="AA494" s="73"/>
      <c r="AB494" s="74"/>
      <c r="AC494" s="73"/>
      <c r="AD494" s="76"/>
      <c r="AE494" s="73"/>
      <c r="AF494" s="73"/>
      <c r="AG494" s="73"/>
      <c r="AH494" s="73"/>
      <c r="AI494" s="73"/>
    </row>
    <row r="495" customFormat="false" ht="15" hidden="false" customHeight="false" outlineLevel="0" collapsed="false">
      <c r="A495" s="71" t="str">
        <f aca="false">IF(D495="","",ROW()-1)</f>
        <v/>
      </c>
      <c r="B495" s="72"/>
      <c r="C495" s="72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4"/>
      <c r="O495" s="73"/>
      <c r="P495" s="74"/>
      <c r="Q495" s="73"/>
      <c r="R495" s="74"/>
      <c r="S495" s="75"/>
      <c r="T495" s="73"/>
      <c r="U495" s="73"/>
      <c r="V495" s="73"/>
      <c r="W495" s="73"/>
      <c r="X495" s="73"/>
      <c r="Y495" s="73"/>
      <c r="Z495" s="73"/>
      <c r="AA495" s="73"/>
      <c r="AB495" s="74"/>
      <c r="AC495" s="73"/>
      <c r="AD495" s="76"/>
      <c r="AE495" s="73"/>
      <c r="AF495" s="73"/>
      <c r="AG495" s="73"/>
      <c r="AH495" s="73"/>
      <c r="AI495" s="73"/>
    </row>
    <row r="496" customFormat="false" ht="15" hidden="false" customHeight="false" outlineLevel="0" collapsed="false">
      <c r="A496" s="71" t="str">
        <f aca="false">IF(D496="","",ROW()-1)</f>
        <v/>
      </c>
      <c r="B496" s="72"/>
      <c r="C496" s="72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4"/>
      <c r="O496" s="73"/>
      <c r="P496" s="74"/>
      <c r="Q496" s="73"/>
      <c r="R496" s="74"/>
      <c r="S496" s="75"/>
      <c r="T496" s="73"/>
      <c r="U496" s="73"/>
      <c r="V496" s="73"/>
      <c r="W496" s="73"/>
      <c r="X496" s="73"/>
      <c r="Y496" s="73"/>
      <c r="Z496" s="73"/>
      <c r="AA496" s="73"/>
      <c r="AB496" s="74"/>
      <c r="AC496" s="73"/>
      <c r="AD496" s="76"/>
      <c r="AE496" s="73"/>
      <c r="AF496" s="73"/>
      <c r="AG496" s="73"/>
      <c r="AH496" s="73"/>
      <c r="AI496" s="73"/>
    </row>
    <row r="497" customFormat="false" ht="15" hidden="false" customHeight="false" outlineLevel="0" collapsed="false">
      <c r="A497" s="71" t="str">
        <f aca="false">IF(D497="","",ROW()-1)</f>
        <v/>
      </c>
      <c r="B497" s="72"/>
      <c r="C497" s="72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4"/>
      <c r="O497" s="73"/>
      <c r="P497" s="74"/>
      <c r="Q497" s="73"/>
      <c r="R497" s="74"/>
      <c r="S497" s="75"/>
      <c r="T497" s="73"/>
      <c r="U497" s="73"/>
      <c r="V497" s="73"/>
      <c r="W497" s="73"/>
      <c r="X497" s="73"/>
      <c r="Y497" s="73"/>
      <c r="Z497" s="73"/>
      <c r="AA497" s="73"/>
      <c r="AB497" s="74"/>
      <c r="AC497" s="73"/>
      <c r="AD497" s="76"/>
      <c r="AE497" s="73"/>
      <c r="AF497" s="73"/>
      <c r="AG497" s="73"/>
      <c r="AH497" s="73"/>
      <c r="AI497" s="73"/>
    </row>
    <row r="498" customFormat="false" ht="15" hidden="false" customHeight="false" outlineLevel="0" collapsed="false">
      <c r="A498" s="71" t="str">
        <f aca="false">IF(D498="","",ROW()-1)</f>
        <v/>
      </c>
      <c r="B498" s="72"/>
      <c r="C498" s="72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4"/>
      <c r="O498" s="73"/>
      <c r="P498" s="74"/>
      <c r="Q498" s="73"/>
      <c r="R498" s="74"/>
      <c r="S498" s="75"/>
      <c r="T498" s="73"/>
      <c r="U498" s="73"/>
      <c r="V498" s="73"/>
      <c r="W498" s="73"/>
      <c r="X498" s="73"/>
      <c r="Y498" s="73"/>
      <c r="Z498" s="73"/>
      <c r="AA498" s="73"/>
      <c r="AB498" s="74"/>
      <c r="AC498" s="73"/>
      <c r="AD498" s="76"/>
      <c r="AE498" s="73"/>
      <c r="AF498" s="73"/>
      <c r="AG498" s="73"/>
      <c r="AH498" s="73"/>
      <c r="AI498" s="73"/>
    </row>
    <row r="499" customFormat="false" ht="15" hidden="false" customHeight="false" outlineLevel="0" collapsed="false">
      <c r="A499" s="71" t="str">
        <f aca="false">IF(D499="","",ROW()-1)</f>
        <v/>
      </c>
      <c r="B499" s="72"/>
      <c r="C499" s="72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4"/>
      <c r="O499" s="73"/>
      <c r="P499" s="74"/>
      <c r="Q499" s="73"/>
      <c r="R499" s="74"/>
      <c r="S499" s="75"/>
      <c r="T499" s="73"/>
      <c r="U499" s="73"/>
      <c r="V499" s="73"/>
      <c r="W499" s="73"/>
      <c r="X499" s="73"/>
      <c r="Y499" s="73"/>
      <c r="Z499" s="73"/>
      <c r="AA499" s="73"/>
      <c r="AB499" s="74"/>
      <c r="AC499" s="73"/>
      <c r="AD499" s="76"/>
      <c r="AE499" s="73"/>
      <c r="AF499" s="73"/>
      <c r="AG499" s="73"/>
      <c r="AH499" s="73"/>
      <c r="AI499" s="73"/>
    </row>
    <row r="500" customFormat="false" ht="15" hidden="false" customHeight="false" outlineLevel="0" collapsed="false">
      <c r="A500" s="71" t="str">
        <f aca="false">IF(D500="","",ROW()-1)</f>
        <v/>
      </c>
      <c r="B500" s="72"/>
      <c r="C500" s="72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4"/>
      <c r="O500" s="73"/>
      <c r="P500" s="74"/>
      <c r="Q500" s="73"/>
      <c r="R500" s="74"/>
      <c r="S500" s="75"/>
      <c r="T500" s="73"/>
      <c r="U500" s="73"/>
      <c r="V500" s="73"/>
      <c r="W500" s="73"/>
      <c r="X500" s="73"/>
      <c r="Y500" s="73"/>
      <c r="Z500" s="73"/>
      <c r="AA500" s="73"/>
      <c r="AB500" s="74"/>
      <c r="AC500" s="73"/>
      <c r="AD500" s="76"/>
      <c r="AE500" s="73"/>
      <c r="AF500" s="73"/>
      <c r="AG500" s="73"/>
      <c r="AH500" s="73"/>
      <c r="AI500" s="73"/>
    </row>
    <row r="501" customFormat="false" ht="15" hidden="false" customHeight="false" outlineLevel="0" collapsed="false">
      <c r="A501" s="71" t="str">
        <f aca="false">IF(D501="","",ROW()-1)</f>
        <v/>
      </c>
      <c r="B501" s="72"/>
      <c r="C501" s="72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4"/>
      <c r="O501" s="73"/>
      <c r="P501" s="74"/>
      <c r="Q501" s="73"/>
      <c r="R501" s="74"/>
      <c r="S501" s="75"/>
      <c r="T501" s="73"/>
      <c r="U501" s="73"/>
      <c r="V501" s="73"/>
      <c r="W501" s="73"/>
      <c r="X501" s="73"/>
      <c r="Y501" s="73"/>
      <c r="Z501" s="73"/>
      <c r="AA501" s="73"/>
      <c r="AB501" s="74"/>
      <c r="AC501" s="73"/>
      <c r="AD501" s="76"/>
      <c r="AE501" s="73"/>
      <c r="AF501" s="73"/>
      <c r="AG501" s="73"/>
      <c r="AH501" s="73"/>
      <c r="AI501" s="73"/>
    </row>
  </sheetData>
  <autoFilter ref="A1:AI501"/>
  <dataValidations count="22">
    <dataValidation allowBlank="true" errorStyle="stop" operator="between" showDropDown="false" showErrorMessage="false" showInputMessage="false" sqref="F2:F501" type="list">
      <formula1>マスタ!$H$2:$H$60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H2:H501" type="list">
      <formula1>マスタ!$S$2:$S$60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I2:I501" type="list">
      <formula1>マスタ!$S$2:$S$60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K2:K501" type="list">
      <formula1>マスタ!$T$2:$T$60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L2:L501" type="list">
      <formula1>マスタ!$I$2:$I$60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M2:M501" type="list">
      <formula1>マスタ!$B$2:$B$60</formula1>
      <formula2>0</formula2>
    </dataValidation>
    <dataValidation allowBlank="true" error="日付を入力してください（例：2026/11/05）" errorStyle="stop" errorTitle="入力エラー" operator="greaterThan" showDropDown="false" showErrorMessage="false" showInputMessage="false" sqref="N2:N501 P2:P501 R2:R501 AB2:AB501" type="date">
      <formula1>36526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O2:O501" type="list">
      <formula1>マスタ!$C$2:$C$60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Q2:Q501" type="list">
      <formula1>マスタ!$J$2:$J$60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T2:T501" type="list">
      <formula1>マスタ!$K$2:$K$60</formula1>
      <formula2>0</formula2>
    </dataValidation>
    <dataValidation allowBlank="true" errorStyle="stop" operator="between" showDropDown="false" showErrorMessage="false" showInputMessage="false" sqref="U2:U501" type="list">
      <formula1>マスタ!$D$2:$D$60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V2:V501" type="list">
      <formula1>マスタ!$L$2:$L$60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W2:W501" type="list">
      <formula1>マスタ!$M$2:$M$60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X2:X501" type="list">
      <formula1>マスタ!$N$2:$N$60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Z2:Z501" type="list">
      <formula1>マスタ!$P$2:$P$60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A2:AA501" type="list">
      <formula1>マスタ!$Q$2:$Q$60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C2:AC501" type="list">
      <formula1>マスタ!$R$2:$R$60</formula1>
      <formula2>0</formula2>
    </dataValidation>
    <dataValidation allowBlank="true" errorStyle="stop" operator="between" showDropDown="false" showErrorMessage="false" showInputMessage="false" sqref="AD2:AD501" type="list">
      <formula1>マスタ!$Y$2:$Y$60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E2:AE501" type="list">
      <formula1>マスタ!$R$2:$R$60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F2:AF501" type="list">
      <formula1>マスタ!$N$2:$N$60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G2:AG501" type="list">
      <formula1>マスタ!$U$2:$U$60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AH2:AH501" type="list">
      <formula1>マスタ!$V$2:$V$60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70" t="s">
        <v>223</v>
      </c>
      <c r="B1" s="8" t="s">
        <v>226</v>
      </c>
      <c r="C1" s="8" t="s">
        <v>240</v>
      </c>
      <c r="D1" s="8" t="s">
        <v>243</v>
      </c>
      <c r="E1" s="8" t="s">
        <v>245</v>
      </c>
      <c r="F1" s="8" t="s">
        <v>246</v>
      </c>
      <c r="G1" s="8" t="s">
        <v>247</v>
      </c>
      <c r="H1" s="8" t="s">
        <v>248</v>
      </c>
      <c r="I1" s="8" t="s">
        <v>249</v>
      </c>
      <c r="J1" s="8" t="s">
        <v>250</v>
      </c>
      <c r="K1" s="8" t="s">
        <v>107</v>
      </c>
      <c r="L1" s="8" t="s">
        <v>251</v>
      </c>
      <c r="M1" s="8" t="s">
        <v>257</v>
      </c>
      <c r="N1" s="8" t="s">
        <v>252</v>
      </c>
      <c r="O1" s="8" t="s">
        <v>253</v>
      </c>
      <c r="P1" s="8" t="s">
        <v>258</v>
      </c>
      <c r="Q1" s="8" t="s">
        <v>170</v>
      </c>
      <c r="R1" s="8" t="s">
        <v>256</v>
      </c>
    </row>
    <row r="2" customFormat="false" ht="15" hidden="false" customHeight="false" outlineLevel="0" collapsed="false">
      <c r="A2" s="71" t="str">
        <f aca="false">IF(B2="","",ROW()-1)</f>
        <v/>
      </c>
      <c r="B2" s="73"/>
      <c r="C2" s="74"/>
      <c r="D2" s="73"/>
      <c r="E2" s="73"/>
      <c r="F2" s="73"/>
      <c r="G2" s="73"/>
      <c r="H2" s="73"/>
      <c r="I2" s="73"/>
      <c r="J2" s="74"/>
      <c r="K2" s="73"/>
      <c r="L2" s="76"/>
      <c r="M2" s="76"/>
      <c r="N2" s="73"/>
      <c r="O2" s="73"/>
      <c r="P2" s="73"/>
      <c r="Q2" s="73"/>
      <c r="R2" s="73"/>
    </row>
    <row r="3" customFormat="false" ht="15" hidden="false" customHeight="false" outlineLevel="0" collapsed="false">
      <c r="A3" s="71" t="str">
        <f aca="false">IF(B3="","",ROW()-1)</f>
        <v/>
      </c>
      <c r="B3" s="73"/>
      <c r="C3" s="74"/>
      <c r="D3" s="73"/>
      <c r="E3" s="73"/>
      <c r="F3" s="73"/>
      <c r="G3" s="73"/>
      <c r="H3" s="73"/>
      <c r="I3" s="73"/>
      <c r="J3" s="74"/>
      <c r="K3" s="73"/>
      <c r="L3" s="76"/>
      <c r="M3" s="76"/>
      <c r="N3" s="73"/>
      <c r="O3" s="73"/>
      <c r="P3" s="73"/>
      <c r="Q3" s="73"/>
      <c r="R3" s="73"/>
    </row>
    <row r="4" customFormat="false" ht="15" hidden="false" customHeight="false" outlineLevel="0" collapsed="false">
      <c r="A4" s="71" t="str">
        <f aca="false">IF(B4="","",ROW()-1)</f>
        <v/>
      </c>
      <c r="B4" s="73"/>
      <c r="C4" s="74"/>
      <c r="D4" s="73"/>
      <c r="E4" s="73"/>
      <c r="F4" s="73"/>
      <c r="G4" s="73"/>
      <c r="H4" s="73"/>
      <c r="I4" s="73"/>
      <c r="J4" s="74"/>
      <c r="K4" s="73"/>
      <c r="L4" s="76"/>
      <c r="M4" s="76"/>
      <c r="N4" s="73"/>
      <c r="O4" s="73"/>
      <c r="P4" s="73"/>
      <c r="Q4" s="73"/>
      <c r="R4" s="73"/>
    </row>
    <row r="5" customFormat="false" ht="15" hidden="false" customHeight="false" outlineLevel="0" collapsed="false">
      <c r="A5" s="71" t="str">
        <f aca="false">IF(B5="","",ROW()-1)</f>
        <v/>
      </c>
      <c r="B5" s="73"/>
      <c r="C5" s="74"/>
      <c r="D5" s="73"/>
      <c r="E5" s="73"/>
      <c r="F5" s="73"/>
      <c r="G5" s="73"/>
      <c r="H5" s="73"/>
      <c r="I5" s="73"/>
      <c r="J5" s="74"/>
      <c r="K5" s="73"/>
      <c r="L5" s="76"/>
      <c r="M5" s="76"/>
      <c r="N5" s="73"/>
      <c r="O5" s="73"/>
      <c r="P5" s="73"/>
      <c r="Q5" s="73"/>
      <c r="R5" s="73"/>
    </row>
    <row r="6" customFormat="false" ht="15" hidden="false" customHeight="false" outlineLevel="0" collapsed="false">
      <c r="A6" s="71" t="str">
        <f aca="false">IF(B6="","",ROW()-1)</f>
        <v/>
      </c>
      <c r="B6" s="73"/>
      <c r="C6" s="74"/>
      <c r="D6" s="73"/>
      <c r="E6" s="73"/>
      <c r="F6" s="73"/>
      <c r="G6" s="73"/>
      <c r="H6" s="73"/>
      <c r="I6" s="73"/>
      <c r="J6" s="74"/>
      <c r="K6" s="73"/>
      <c r="L6" s="76"/>
      <c r="M6" s="76"/>
      <c r="N6" s="73"/>
      <c r="O6" s="73"/>
      <c r="P6" s="73"/>
      <c r="Q6" s="73"/>
      <c r="R6" s="73"/>
    </row>
    <row r="7" customFormat="false" ht="15" hidden="false" customHeight="false" outlineLevel="0" collapsed="false">
      <c r="A7" s="71" t="str">
        <f aca="false">IF(B7="","",ROW()-1)</f>
        <v/>
      </c>
      <c r="B7" s="73"/>
      <c r="C7" s="74"/>
      <c r="D7" s="73"/>
      <c r="E7" s="73"/>
      <c r="F7" s="73"/>
      <c r="G7" s="73"/>
      <c r="H7" s="73"/>
      <c r="I7" s="73"/>
      <c r="J7" s="74"/>
      <c r="K7" s="73"/>
      <c r="L7" s="76"/>
      <c r="M7" s="76"/>
      <c r="N7" s="73"/>
      <c r="O7" s="73"/>
      <c r="P7" s="73"/>
      <c r="Q7" s="73"/>
      <c r="R7" s="73"/>
    </row>
    <row r="8" customFormat="false" ht="15" hidden="false" customHeight="false" outlineLevel="0" collapsed="false">
      <c r="A8" s="71" t="str">
        <f aca="false">IF(B8="","",ROW()-1)</f>
        <v/>
      </c>
      <c r="B8" s="73"/>
      <c r="C8" s="74"/>
      <c r="D8" s="73"/>
      <c r="E8" s="73"/>
      <c r="F8" s="73"/>
      <c r="G8" s="73"/>
      <c r="H8" s="73"/>
      <c r="I8" s="73"/>
      <c r="J8" s="74"/>
      <c r="K8" s="73"/>
      <c r="L8" s="76"/>
      <c r="M8" s="76"/>
      <c r="N8" s="73"/>
      <c r="O8" s="73"/>
      <c r="P8" s="73"/>
      <c r="Q8" s="73"/>
      <c r="R8" s="73"/>
    </row>
    <row r="9" customFormat="false" ht="15" hidden="false" customHeight="false" outlineLevel="0" collapsed="false">
      <c r="A9" s="71" t="str">
        <f aca="false">IF(B9="","",ROW()-1)</f>
        <v/>
      </c>
      <c r="B9" s="73"/>
      <c r="C9" s="74"/>
      <c r="D9" s="73"/>
      <c r="E9" s="73"/>
      <c r="F9" s="73"/>
      <c r="G9" s="73"/>
      <c r="H9" s="73"/>
      <c r="I9" s="73"/>
      <c r="J9" s="74"/>
      <c r="K9" s="73"/>
      <c r="L9" s="76"/>
      <c r="M9" s="76"/>
      <c r="N9" s="73"/>
      <c r="O9" s="73"/>
      <c r="P9" s="73"/>
      <c r="Q9" s="73"/>
      <c r="R9" s="73"/>
    </row>
    <row r="10" customFormat="false" ht="15" hidden="false" customHeight="false" outlineLevel="0" collapsed="false">
      <c r="A10" s="71" t="str">
        <f aca="false">IF(B10="","",ROW()-1)</f>
        <v/>
      </c>
      <c r="B10" s="73"/>
      <c r="C10" s="74"/>
      <c r="D10" s="73"/>
      <c r="E10" s="73"/>
      <c r="F10" s="73"/>
      <c r="G10" s="73"/>
      <c r="H10" s="73"/>
      <c r="I10" s="73"/>
      <c r="J10" s="74"/>
      <c r="K10" s="73"/>
      <c r="L10" s="76"/>
      <c r="M10" s="76"/>
      <c r="N10" s="73"/>
      <c r="O10" s="73"/>
      <c r="P10" s="73"/>
      <c r="Q10" s="73"/>
      <c r="R10" s="73"/>
    </row>
    <row r="11" customFormat="false" ht="15" hidden="false" customHeight="false" outlineLevel="0" collapsed="false">
      <c r="A11" s="71" t="str">
        <f aca="false">IF(B11="","",ROW()-1)</f>
        <v/>
      </c>
      <c r="B11" s="73"/>
      <c r="C11" s="74"/>
      <c r="D11" s="73"/>
      <c r="E11" s="73"/>
      <c r="F11" s="73"/>
      <c r="G11" s="73"/>
      <c r="H11" s="73"/>
      <c r="I11" s="73"/>
      <c r="J11" s="74"/>
      <c r="K11" s="73"/>
      <c r="L11" s="76"/>
      <c r="M11" s="76"/>
      <c r="N11" s="73"/>
      <c r="O11" s="73"/>
      <c r="P11" s="73"/>
      <c r="Q11" s="73"/>
      <c r="R11" s="73"/>
    </row>
    <row r="12" customFormat="false" ht="15" hidden="false" customHeight="false" outlineLevel="0" collapsed="false">
      <c r="A12" s="71" t="str">
        <f aca="false">IF(B12="","",ROW()-1)</f>
        <v/>
      </c>
      <c r="B12" s="73"/>
      <c r="C12" s="74"/>
      <c r="D12" s="73"/>
      <c r="E12" s="73"/>
      <c r="F12" s="73"/>
      <c r="G12" s="73"/>
      <c r="H12" s="73"/>
      <c r="I12" s="73"/>
      <c r="J12" s="74"/>
      <c r="K12" s="73"/>
      <c r="L12" s="76"/>
      <c r="M12" s="76"/>
      <c r="N12" s="73"/>
      <c r="O12" s="73"/>
      <c r="P12" s="73"/>
      <c r="Q12" s="73"/>
      <c r="R12" s="73"/>
    </row>
    <row r="13" customFormat="false" ht="15" hidden="false" customHeight="false" outlineLevel="0" collapsed="false">
      <c r="A13" s="71" t="str">
        <f aca="false">IF(B13="","",ROW()-1)</f>
        <v/>
      </c>
      <c r="B13" s="73"/>
      <c r="C13" s="74"/>
      <c r="D13" s="73"/>
      <c r="E13" s="73"/>
      <c r="F13" s="73"/>
      <c r="G13" s="73"/>
      <c r="H13" s="73"/>
      <c r="I13" s="73"/>
      <c r="J13" s="74"/>
      <c r="K13" s="73"/>
      <c r="L13" s="76"/>
      <c r="M13" s="76"/>
      <c r="N13" s="73"/>
      <c r="O13" s="73"/>
      <c r="P13" s="73"/>
      <c r="Q13" s="73"/>
      <c r="R13" s="73"/>
    </row>
    <row r="14" customFormat="false" ht="15" hidden="false" customHeight="false" outlineLevel="0" collapsed="false">
      <c r="A14" s="71" t="str">
        <f aca="false">IF(B14="","",ROW()-1)</f>
        <v/>
      </c>
      <c r="B14" s="73"/>
      <c r="C14" s="74"/>
      <c r="D14" s="73"/>
      <c r="E14" s="73"/>
      <c r="F14" s="73"/>
      <c r="G14" s="73"/>
      <c r="H14" s="73"/>
      <c r="I14" s="73"/>
      <c r="J14" s="74"/>
      <c r="K14" s="73"/>
      <c r="L14" s="76"/>
      <c r="M14" s="76"/>
      <c r="N14" s="73"/>
      <c r="O14" s="73"/>
      <c r="P14" s="73"/>
      <c r="Q14" s="73"/>
      <c r="R14" s="73"/>
    </row>
    <row r="15" customFormat="false" ht="15" hidden="false" customHeight="false" outlineLevel="0" collapsed="false">
      <c r="A15" s="71" t="str">
        <f aca="false">IF(B15="","",ROW()-1)</f>
        <v/>
      </c>
      <c r="B15" s="73"/>
      <c r="C15" s="74"/>
      <c r="D15" s="73"/>
      <c r="E15" s="73"/>
      <c r="F15" s="73"/>
      <c r="G15" s="73"/>
      <c r="H15" s="73"/>
      <c r="I15" s="73"/>
      <c r="J15" s="74"/>
      <c r="K15" s="73"/>
      <c r="L15" s="76"/>
      <c r="M15" s="76"/>
      <c r="N15" s="73"/>
      <c r="O15" s="73"/>
      <c r="P15" s="73"/>
      <c r="Q15" s="73"/>
      <c r="R15" s="73"/>
    </row>
    <row r="16" customFormat="false" ht="15" hidden="false" customHeight="false" outlineLevel="0" collapsed="false">
      <c r="A16" s="71" t="str">
        <f aca="false">IF(B16="","",ROW()-1)</f>
        <v/>
      </c>
      <c r="B16" s="73"/>
      <c r="C16" s="74"/>
      <c r="D16" s="73"/>
      <c r="E16" s="73"/>
      <c r="F16" s="73"/>
      <c r="G16" s="73"/>
      <c r="H16" s="73"/>
      <c r="I16" s="73"/>
      <c r="J16" s="74"/>
      <c r="K16" s="73"/>
      <c r="L16" s="76"/>
      <c r="M16" s="76"/>
      <c r="N16" s="73"/>
      <c r="O16" s="73"/>
      <c r="P16" s="73"/>
      <c r="Q16" s="73"/>
      <c r="R16" s="73"/>
    </row>
    <row r="17" customFormat="false" ht="15" hidden="false" customHeight="false" outlineLevel="0" collapsed="false">
      <c r="A17" s="71" t="str">
        <f aca="false">IF(B17="","",ROW()-1)</f>
        <v/>
      </c>
      <c r="B17" s="73"/>
      <c r="C17" s="74"/>
      <c r="D17" s="73"/>
      <c r="E17" s="73"/>
      <c r="F17" s="73"/>
      <c r="G17" s="73"/>
      <c r="H17" s="73"/>
      <c r="I17" s="73"/>
      <c r="J17" s="74"/>
      <c r="K17" s="73"/>
      <c r="L17" s="76"/>
      <c r="M17" s="76"/>
      <c r="N17" s="73"/>
      <c r="O17" s="73"/>
      <c r="P17" s="73"/>
      <c r="Q17" s="73"/>
      <c r="R17" s="73"/>
    </row>
    <row r="18" customFormat="false" ht="15" hidden="false" customHeight="false" outlineLevel="0" collapsed="false">
      <c r="A18" s="71" t="str">
        <f aca="false">IF(B18="","",ROW()-1)</f>
        <v/>
      </c>
      <c r="B18" s="73"/>
      <c r="C18" s="74"/>
      <c r="D18" s="73"/>
      <c r="E18" s="73"/>
      <c r="F18" s="73"/>
      <c r="G18" s="73"/>
      <c r="H18" s="73"/>
      <c r="I18" s="73"/>
      <c r="J18" s="74"/>
      <c r="K18" s="73"/>
      <c r="L18" s="76"/>
      <c r="M18" s="76"/>
      <c r="N18" s="73"/>
      <c r="O18" s="73"/>
      <c r="P18" s="73"/>
      <c r="Q18" s="73"/>
      <c r="R18" s="73"/>
    </row>
    <row r="19" customFormat="false" ht="15" hidden="false" customHeight="false" outlineLevel="0" collapsed="false">
      <c r="A19" s="71" t="str">
        <f aca="false">IF(B19="","",ROW()-1)</f>
        <v/>
      </c>
      <c r="B19" s="73"/>
      <c r="C19" s="74"/>
      <c r="D19" s="73"/>
      <c r="E19" s="73"/>
      <c r="F19" s="73"/>
      <c r="G19" s="73"/>
      <c r="H19" s="73"/>
      <c r="I19" s="73"/>
      <c r="J19" s="74"/>
      <c r="K19" s="73"/>
      <c r="L19" s="76"/>
      <c r="M19" s="76"/>
      <c r="N19" s="73"/>
      <c r="O19" s="73"/>
      <c r="P19" s="73"/>
      <c r="Q19" s="73"/>
      <c r="R19" s="73"/>
    </row>
    <row r="20" customFormat="false" ht="15" hidden="false" customHeight="false" outlineLevel="0" collapsed="false">
      <c r="A20" s="71" t="str">
        <f aca="false">IF(B20="","",ROW()-1)</f>
        <v/>
      </c>
      <c r="B20" s="73"/>
      <c r="C20" s="74"/>
      <c r="D20" s="73"/>
      <c r="E20" s="73"/>
      <c r="F20" s="73"/>
      <c r="G20" s="73"/>
      <c r="H20" s="73"/>
      <c r="I20" s="73"/>
      <c r="J20" s="74"/>
      <c r="K20" s="73"/>
      <c r="L20" s="76"/>
      <c r="M20" s="76"/>
      <c r="N20" s="73"/>
      <c r="O20" s="73"/>
      <c r="P20" s="73"/>
      <c r="Q20" s="73"/>
      <c r="R20" s="73"/>
    </row>
    <row r="21" customFormat="false" ht="15" hidden="false" customHeight="false" outlineLevel="0" collapsed="false">
      <c r="A21" s="71" t="str">
        <f aca="false">IF(B21="","",ROW()-1)</f>
        <v/>
      </c>
      <c r="B21" s="73"/>
      <c r="C21" s="74"/>
      <c r="D21" s="73"/>
      <c r="E21" s="73"/>
      <c r="F21" s="73"/>
      <c r="G21" s="73"/>
      <c r="H21" s="73"/>
      <c r="I21" s="73"/>
      <c r="J21" s="74"/>
      <c r="K21" s="73"/>
      <c r="L21" s="76"/>
      <c r="M21" s="76"/>
      <c r="N21" s="73"/>
      <c r="O21" s="73"/>
      <c r="P21" s="73"/>
      <c r="Q21" s="73"/>
      <c r="R21" s="73"/>
    </row>
    <row r="22" customFormat="false" ht="15" hidden="false" customHeight="false" outlineLevel="0" collapsed="false">
      <c r="A22" s="71" t="str">
        <f aca="false">IF(B22="","",ROW()-1)</f>
        <v/>
      </c>
      <c r="B22" s="73"/>
      <c r="C22" s="74"/>
      <c r="D22" s="73"/>
      <c r="E22" s="73"/>
      <c r="F22" s="73"/>
      <c r="G22" s="73"/>
      <c r="H22" s="73"/>
      <c r="I22" s="73"/>
      <c r="J22" s="74"/>
      <c r="K22" s="73"/>
      <c r="L22" s="76"/>
      <c r="M22" s="76"/>
      <c r="N22" s="73"/>
      <c r="O22" s="73"/>
      <c r="P22" s="73"/>
      <c r="Q22" s="73"/>
      <c r="R22" s="73"/>
    </row>
    <row r="23" customFormat="false" ht="15" hidden="false" customHeight="false" outlineLevel="0" collapsed="false">
      <c r="A23" s="71" t="str">
        <f aca="false">IF(B23="","",ROW()-1)</f>
        <v/>
      </c>
      <c r="B23" s="73"/>
      <c r="C23" s="74"/>
      <c r="D23" s="73"/>
      <c r="E23" s="73"/>
      <c r="F23" s="73"/>
      <c r="G23" s="73"/>
      <c r="H23" s="73"/>
      <c r="I23" s="73"/>
      <c r="J23" s="74"/>
      <c r="K23" s="73"/>
      <c r="L23" s="76"/>
      <c r="M23" s="76"/>
      <c r="N23" s="73"/>
      <c r="O23" s="73"/>
      <c r="P23" s="73"/>
      <c r="Q23" s="73"/>
      <c r="R23" s="73"/>
    </row>
    <row r="24" customFormat="false" ht="15" hidden="false" customHeight="false" outlineLevel="0" collapsed="false">
      <c r="A24" s="71" t="str">
        <f aca="false">IF(B24="","",ROW()-1)</f>
        <v/>
      </c>
      <c r="B24" s="73"/>
      <c r="C24" s="74"/>
      <c r="D24" s="73"/>
      <c r="E24" s="73"/>
      <c r="F24" s="73"/>
      <c r="G24" s="73"/>
      <c r="H24" s="73"/>
      <c r="I24" s="73"/>
      <c r="J24" s="74"/>
      <c r="K24" s="73"/>
      <c r="L24" s="76"/>
      <c r="M24" s="76"/>
      <c r="N24" s="73"/>
      <c r="O24" s="73"/>
      <c r="P24" s="73"/>
      <c r="Q24" s="73"/>
      <c r="R24" s="73"/>
    </row>
    <row r="25" customFormat="false" ht="15" hidden="false" customHeight="false" outlineLevel="0" collapsed="false">
      <c r="A25" s="71" t="str">
        <f aca="false">IF(B25="","",ROW()-1)</f>
        <v/>
      </c>
      <c r="B25" s="73"/>
      <c r="C25" s="74"/>
      <c r="D25" s="73"/>
      <c r="E25" s="73"/>
      <c r="F25" s="73"/>
      <c r="G25" s="73"/>
      <c r="H25" s="73"/>
      <c r="I25" s="73"/>
      <c r="J25" s="74"/>
      <c r="K25" s="73"/>
      <c r="L25" s="76"/>
      <c r="M25" s="76"/>
      <c r="N25" s="73"/>
      <c r="O25" s="73"/>
      <c r="P25" s="73"/>
      <c r="Q25" s="73"/>
      <c r="R25" s="73"/>
    </row>
    <row r="26" customFormat="false" ht="15" hidden="false" customHeight="false" outlineLevel="0" collapsed="false">
      <c r="A26" s="71" t="str">
        <f aca="false">IF(B26="","",ROW()-1)</f>
        <v/>
      </c>
      <c r="B26" s="73"/>
      <c r="C26" s="74"/>
      <c r="D26" s="73"/>
      <c r="E26" s="73"/>
      <c r="F26" s="73"/>
      <c r="G26" s="73"/>
      <c r="H26" s="73"/>
      <c r="I26" s="73"/>
      <c r="J26" s="74"/>
      <c r="K26" s="73"/>
      <c r="L26" s="76"/>
      <c r="M26" s="76"/>
      <c r="N26" s="73"/>
      <c r="O26" s="73"/>
      <c r="P26" s="73"/>
      <c r="Q26" s="73"/>
      <c r="R26" s="73"/>
    </row>
    <row r="27" customFormat="false" ht="15" hidden="false" customHeight="false" outlineLevel="0" collapsed="false">
      <c r="A27" s="71" t="str">
        <f aca="false">IF(B27="","",ROW()-1)</f>
        <v/>
      </c>
      <c r="B27" s="73"/>
      <c r="C27" s="74"/>
      <c r="D27" s="73"/>
      <c r="E27" s="73"/>
      <c r="F27" s="73"/>
      <c r="G27" s="73"/>
      <c r="H27" s="73"/>
      <c r="I27" s="73"/>
      <c r="J27" s="74"/>
      <c r="K27" s="73"/>
      <c r="L27" s="76"/>
      <c r="M27" s="76"/>
      <c r="N27" s="73"/>
      <c r="O27" s="73"/>
      <c r="P27" s="73"/>
      <c r="Q27" s="73"/>
      <c r="R27" s="73"/>
    </row>
    <row r="28" customFormat="false" ht="15" hidden="false" customHeight="false" outlineLevel="0" collapsed="false">
      <c r="A28" s="71" t="str">
        <f aca="false">IF(B28="","",ROW()-1)</f>
        <v/>
      </c>
      <c r="B28" s="73"/>
      <c r="C28" s="74"/>
      <c r="D28" s="73"/>
      <c r="E28" s="73"/>
      <c r="F28" s="73"/>
      <c r="G28" s="73"/>
      <c r="H28" s="73"/>
      <c r="I28" s="73"/>
      <c r="J28" s="74"/>
      <c r="K28" s="73"/>
      <c r="L28" s="76"/>
      <c r="M28" s="76"/>
      <c r="N28" s="73"/>
      <c r="O28" s="73"/>
      <c r="P28" s="73"/>
      <c r="Q28" s="73"/>
      <c r="R28" s="73"/>
    </row>
    <row r="29" customFormat="false" ht="15" hidden="false" customHeight="false" outlineLevel="0" collapsed="false">
      <c r="A29" s="71" t="str">
        <f aca="false">IF(B29="","",ROW()-1)</f>
        <v/>
      </c>
      <c r="B29" s="73"/>
      <c r="C29" s="74"/>
      <c r="D29" s="73"/>
      <c r="E29" s="73"/>
      <c r="F29" s="73"/>
      <c r="G29" s="73"/>
      <c r="H29" s="73"/>
      <c r="I29" s="73"/>
      <c r="J29" s="74"/>
      <c r="K29" s="73"/>
      <c r="L29" s="76"/>
      <c r="M29" s="76"/>
      <c r="N29" s="73"/>
      <c r="O29" s="73"/>
      <c r="P29" s="73"/>
      <c r="Q29" s="73"/>
      <c r="R29" s="73"/>
    </row>
    <row r="30" customFormat="false" ht="15" hidden="false" customHeight="false" outlineLevel="0" collapsed="false">
      <c r="A30" s="71" t="str">
        <f aca="false">IF(B30="","",ROW()-1)</f>
        <v/>
      </c>
      <c r="B30" s="73"/>
      <c r="C30" s="74"/>
      <c r="D30" s="73"/>
      <c r="E30" s="73"/>
      <c r="F30" s="73"/>
      <c r="G30" s="73"/>
      <c r="H30" s="73"/>
      <c r="I30" s="73"/>
      <c r="J30" s="74"/>
      <c r="K30" s="73"/>
      <c r="L30" s="76"/>
      <c r="M30" s="76"/>
      <c r="N30" s="73"/>
      <c r="O30" s="73"/>
      <c r="P30" s="73"/>
      <c r="Q30" s="73"/>
      <c r="R30" s="73"/>
    </row>
    <row r="31" customFormat="false" ht="15" hidden="false" customHeight="false" outlineLevel="0" collapsed="false">
      <c r="A31" s="71" t="str">
        <f aca="false">IF(B31="","",ROW()-1)</f>
        <v/>
      </c>
      <c r="B31" s="73"/>
      <c r="C31" s="74"/>
      <c r="D31" s="73"/>
      <c r="E31" s="73"/>
      <c r="F31" s="73"/>
      <c r="G31" s="73"/>
      <c r="H31" s="73"/>
      <c r="I31" s="73"/>
      <c r="J31" s="74"/>
      <c r="K31" s="73"/>
      <c r="L31" s="76"/>
      <c r="M31" s="76"/>
      <c r="N31" s="73"/>
      <c r="O31" s="73"/>
      <c r="P31" s="73"/>
      <c r="Q31" s="73"/>
      <c r="R31" s="73"/>
    </row>
    <row r="32" customFormat="false" ht="15" hidden="false" customHeight="false" outlineLevel="0" collapsed="false">
      <c r="A32" s="71" t="str">
        <f aca="false">IF(B32="","",ROW()-1)</f>
        <v/>
      </c>
      <c r="B32" s="73"/>
      <c r="C32" s="74"/>
      <c r="D32" s="73"/>
      <c r="E32" s="73"/>
      <c r="F32" s="73"/>
      <c r="G32" s="73"/>
      <c r="H32" s="73"/>
      <c r="I32" s="73"/>
      <c r="J32" s="74"/>
      <c r="K32" s="73"/>
      <c r="L32" s="76"/>
      <c r="M32" s="76"/>
      <c r="N32" s="73"/>
      <c r="O32" s="73"/>
      <c r="P32" s="73"/>
      <c r="Q32" s="73"/>
      <c r="R32" s="73"/>
    </row>
    <row r="33" customFormat="false" ht="15" hidden="false" customHeight="false" outlineLevel="0" collapsed="false">
      <c r="A33" s="71" t="str">
        <f aca="false">IF(B33="","",ROW()-1)</f>
        <v/>
      </c>
      <c r="B33" s="73"/>
      <c r="C33" s="74"/>
      <c r="D33" s="73"/>
      <c r="E33" s="73"/>
      <c r="F33" s="73"/>
      <c r="G33" s="73"/>
      <c r="H33" s="73"/>
      <c r="I33" s="73"/>
      <c r="J33" s="74"/>
      <c r="K33" s="73"/>
      <c r="L33" s="76"/>
      <c r="M33" s="76"/>
      <c r="N33" s="73"/>
      <c r="O33" s="73"/>
      <c r="P33" s="73"/>
      <c r="Q33" s="73"/>
      <c r="R33" s="73"/>
    </row>
    <row r="34" customFormat="false" ht="15" hidden="false" customHeight="false" outlineLevel="0" collapsed="false">
      <c r="A34" s="71" t="str">
        <f aca="false">IF(B34="","",ROW()-1)</f>
        <v/>
      </c>
      <c r="B34" s="73"/>
      <c r="C34" s="74"/>
      <c r="D34" s="73"/>
      <c r="E34" s="73"/>
      <c r="F34" s="73"/>
      <c r="G34" s="73"/>
      <c r="H34" s="73"/>
      <c r="I34" s="73"/>
      <c r="J34" s="74"/>
      <c r="K34" s="73"/>
      <c r="L34" s="76"/>
      <c r="M34" s="76"/>
      <c r="N34" s="73"/>
      <c r="O34" s="73"/>
      <c r="P34" s="73"/>
      <c r="Q34" s="73"/>
      <c r="R34" s="73"/>
    </row>
    <row r="35" customFormat="false" ht="15" hidden="false" customHeight="false" outlineLevel="0" collapsed="false">
      <c r="A35" s="71" t="str">
        <f aca="false">IF(B35="","",ROW()-1)</f>
        <v/>
      </c>
      <c r="B35" s="73"/>
      <c r="C35" s="74"/>
      <c r="D35" s="73"/>
      <c r="E35" s="73"/>
      <c r="F35" s="73"/>
      <c r="G35" s="73"/>
      <c r="H35" s="73"/>
      <c r="I35" s="73"/>
      <c r="J35" s="74"/>
      <c r="K35" s="73"/>
      <c r="L35" s="76"/>
      <c r="M35" s="76"/>
      <c r="N35" s="73"/>
      <c r="O35" s="73"/>
      <c r="P35" s="73"/>
      <c r="Q35" s="73"/>
      <c r="R35" s="73"/>
    </row>
    <row r="36" customFormat="false" ht="15" hidden="false" customHeight="false" outlineLevel="0" collapsed="false">
      <c r="A36" s="71" t="str">
        <f aca="false">IF(B36="","",ROW()-1)</f>
        <v/>
      </c>
      <c r="B36" s="73"/>
      <c r="C36" s="74"/>
      <c r="D36" s="73"/>
      <c r="E36" s="73"/>
      <c r="F36" s="73"/>
      <c r="G36" s="73"/>
      <c r="H36" s="73"/>
      <c r="I36" s="73"/>
      <c r="J36" s="74"/>
      <c r="K36" s="73"/>
      <c r="L36" s="76"/>
      <c r="M36" s="76"/>
      <c r="N36" s="73"/>
      <c r="O36" s="73"/>
      <c r="P36" s="73"/>
      <c r="Q36" s="73"/>
      <c r="R36" s="73"/>
    </row>
    <row r="37" customFormat="false" ht="15" hidden="false" customHeight="false" outlineLevel="0" collapsed="false">
      <c r="A37" s="71" t="str">
        <f aca="false">IF(B37="","",ROW()-1)</f>
        <v/>
      </c>
      <c r="B37" s="73"/>
      <c r="C37" s="74"/>
      <c r="D37" s="73"/>
      <c r="E37" s="73"/>
      <c r="F37" s="73"/>
      <c r="G37" s="73"/>
      <c r="H37" s="73"/>
      <c r="I37" s="73"/>
      <c r="J37" s="74"/>
      <c r="K37" s="73"/>
      <c r="L37" s="76"/>
      <c r="M37" s="76"/>
      <c r="N37" s="73"/>
      <c r="O37" s="73"/>
      <c r="P37" s="73"/>
      <c r="Q37" s="73"/>
      <c r="R37" s="73"/>
    </row>
    <row r="38" customFormat="false" ht="15" hidden="false" customHeight="false" outlineLevel="0" collapsed="false">
      <c r="A38" s="71" t="str">
        <f aca="false">IF(B38="","",ROW()-1)</f>
        <v/>
      </c>
      <c r="B38" s="73"/>
      <c r="C38" s="74"/>
      <c r="D38" s="73"/>
      <c r="E38" s="73"/>
      <c r="F38" s="73"/>
      <c r="G38" s="73"/>
      <c r="H38" s="73"/>
      <c r="I38" s="73"/>
      <c r="J38" s="74"/>
      <c r="K38" s="73"/>
      <c r="L38" s="76"/>
      <c r="M38" s="76"/>
      <c r="N38" s="73"/>
      <c r="O38" s="73"/>
      <c r="P38" s="73"/>
      <c r="Q38" s="73"/>
      <c r="R38" s="73"/>
    </row>
    <row r="39" customFormat="false" ht="15" hidden="false" customHeight="false" outlineLevel="0" collapsed="false">
      <c r="A39" s="71" t="str">
        <f aca="false">IF(B39="","",ROW()-1)</f>
        <v/>
      </c>
      <c r="B39" s="73"/>
      <c r="C39" s="74"/>
      <c r="D39" s="73"/>
      <c r="E39" s="73"/>
      <c r="F39" s="73"/>
      <c r="G39" s="73"/>
      <c r="H39" s="73"/>
      <c r="I39" s="73"/>
      <c r="J39" s="74"/>
      <c r="K39" s="73"/>
      <c r="L39" s="76"/>
      <c r="M39" s="76"/>
      <c r="N39" s="73"/>
      <c r="O39" s="73"/>
      <c r="P39" s="73"/>
      <c r="Q39" s="73"/>
      <c r="R39" s="73"/>
    </row>
    <row r="40" customFormat="false" ht="15" hidden="false" customHeight="false" outlineLevel="0" collapsed="false">
      <c r="A40" s="71" t="str">
        <f aca="false">IF(B40="","",ROW()-1)</f>
        <v/>
      </c>
      <c r="B40" s="73"/>
      <c r="C40" s="74"/>
      <c r="D40" s="73"/>
      <c r="E40" s="73"/>
      <c r="F40" s="73"/>
      <c r="G40" s="73"/>
      <c r="H40" s="73"/>
      <c r="I40" s="73"/>
      <c r="J40" s="74"/>
      <c r="K40" s="73"/>
      <c r="L40" s="76"/>
      <c r="M40" s="76"/>
      <c r="N40" s="73"/>
      <c r="O40" s="73"/>
      <c r="P40" s="73"/>
      <c r="Q40" s="73"/>
      <c r="R40" s="73"/>
    </row>
    <row r="41" customFormat="false" ht="15" hidden="false" customHeight="false" outlineLevel="0" collapsed="false">
      <c r="A41" s="71" t="str">
        <f aca="false">IF(B41="","",ROW()-1)</f>
        <v/>
      </c>
      <c r="B41" s="73"/>
      <c r="C41" s="74"/>
      <c r="D41" s="73"/>
      <c r="E41" s="73"/>
      <c r="F41" s="73"/>
      <c r="G41" s="73"/>
      <c r="H41" s="73"/>
      <c r="I41" s="73"/>
      <c r="J41" s="74"/>
      <c r="K41" s="73"/>
      <c r="L41" s="76"/>
      <c r="M41" s="76"/>
      <c r="N41" s="73"/>
      <c r="O41" s="73"/>
      <c r="P41" s="73"/>
      <c r="Q41" s="73"/>
      <c r="R41" s="73"/>
    </row>
    <row r="42" customFormat="false" ht="15" hidden="false" customHeight="false" outlineLevel="0" collapsed="false">
      <c r="A42" s="71" t="str">
        <f aca="false">IF(B42="","",ROW()-1)</f>
        <v/>
      </c>
      <c r="B42" s="73"/>
      <c r="C42" s="74"/>
      <c r="D42" s="73"/>
      <c r="E42" s="73"/>
      <c r="F42" s="73"/>
      <c r="G42" s="73"/>
      <c r="H42" s="73"/>
      <c r="I42" s="73"/>
      <c r="J42" s="74"/>
      <c r="K42" s="73"/>
      <c r="L42" s="76"/>
      <c r="M42" s="76"/>
      <c r="N42" s="73"/>
      <c r="O42" s="73"/>
      <c r="P42" s="73"/>
      <c r="Q42" s="73"/>
      <c r="R42" s="73"/>
    </row>
    <row r="43" customFormat="false" ht="15" hidden="false" customHeight="false" outlineLevel="0" collapsed="false">
      <c r="A43" s="71" t="str">
        <f aca="false">IF(B43="","",ROW()-1)</f>
        <v/>
      </c>
      <c r="B43" s="73"/>
      <c r="C43" s="74"/>
      <c r="D43" s="73"/>
      <c r="E43" s="73"/>
      <c r="F43" s="73"/>
      <c r="G43" s="73"/>
      <c r="H43" s="73"/>
      <c r="I43" s="73"/>
      <c r="J43" s="74"/>
      <c r="K43" s="73"/>
      <c r="L43" s="76"/>
      <c r="M43" s="76"/>
      <c r="N43" s="73"/>
      <c r="O43" s="73"/>
      <c r="P43" s="73"/>
      <c r="Q43" s="73"/>
      <c r="R43" s="73"/>
    </row>
    <row r="44" customFormat="false" ht="15" hidden="false" customHeight="false" outlineLevel="0" collapsed="false">
      <c r="A44" s="71" t="str">
        <f aca="false">IF(B44="","",ROW()-1)</f>
        <v/>
      </c>
      <c r="B44" s="73"/>
      <c r="C44" s="74"/>
      <c r="D44" s="73"/>
      <c r="E44" s="73"/>
      <c r="F44" s="73"/>
      <c r="G44" s="73"/>
      <c r="H44" s="73"/>
      <c r="I44" s="73"/>
      <c r="J44" s="74"/>
      <c r="K44" s="73"/>
      <c r="L44" s="76"/>
      <c r="M44" s="76"/>
      <c r="N44" s="73"/>
      <c r="O44" s="73"/>
      <c r="P44" s="73"/>
      <c r="Q44" s="73"/>
      <c r="R44" s="73"/>
    </row>
    <row r="45" customFormat="false" ht="15" hidden="false" customHeight="false" outlineLevel="0" collapsed="false">
      <c r="A45" s="71" t="str">
        <f aca="false">IF(B45="","",ROW()-1)</f>
        <v/>
      </c>
      <c r="B45" s="73"/>
      <c r="C45" s="74"/>
      <c r="D45" s="73"/>
      <c r="E45" s="73"/>
      <c r="F45" s="73"/>
      <c r="G45" s="73"/>
      <c r="H45" s="73"/>
      <c r="I45" s="73"/>
      <c r="J45" s="74"/>
      <c r="K45" s="73"/>
      <c r="L45" s="76"/>
      <c r="M45" s="76"/>
      <c r="N45" s="73"/>
      <c r="O45" s="73"/>
      <c r="P45" s="73"/>
      <c r="Q45" s="73"/>
      <c r="R45" s="73"/>
    </row>
    <row r="46" customFormat="false" ht="15" hidden="false" customHeight="false" outlineLevel="0" collapsed="false">
      <c r="A46" s="71" t="str">
        <f aca="false">IF(B46="","",ROW()-1)</f>
        <v/>
      </c>
      <c r="B46" s="73"/>
      <c r="C46" s="74"/>
      <c r="D46" s="73"/>
      <c r="E46" s="73"/>
      <c r="F46" s="73"/>
      <c r="G46" s="73"/>
      <c r="H46" s="73"/>
      <c r="I46" s="73"/>
      <c r="J46" s="74"/>
      <c r="K46" s="73"/>
      <c r="L46" s="76"/>
      <c r="M46" s="76"/>
      <c r="N46" s="73"/>
      <c r="O46" s="73"/>
      <c r="P46" s="73"/>
      <c r="Q46" s="73"/>
      <c r="R46" s="73"/>
    </row>
    <row r="47" customFormat="false" ht="15" hidden="false" customHeight="false" outlineLevel="0" collapsed="false">
      <c r="A47" s="71" t="str">
        <f aca="false">IF(B47="","",ROW()-1)</f>
        <v/>
      </c>
      <c r="B47" s="73"/>
      <c r="C47" s="74"/>
      <c r="D47" s="73"/>
      <c r="E47" s="73"/>
      <c r="F47" s="73"/>
      <c r="G47" s="73"/>
      <c r="H47" s="73"/>
      <c r="I47" s="73"/>
      <c r="J47" s="74"/>
      <c r="K47" s="73"/>
      <c r="L47" s="76"/>
      <c r="M47" s="76"/>
      <c r="N47" s="73"/>
      <c r="O47" s="73"/>
      <c r="P47" s="73"/>
      <c r="Q47" s="73"/>
      <c r="R47" s="73"/>
    </row>
    <row r="48" customFormat="false" ht="15" hidden="false" customHeight="false" outlineLevel="0" collapsed="false">
      <c r="A48" s="71" t="str">
        <f aca="false">IF(B48="","",ROW()-1)</f>
        <v/>
      </c>
      <c r="B48" s="73"/>
      <c r="C48" s="74"/>
      <c r="D48" s="73"/>
      <c r="E48" s="73"/>
      <c r="F48" s="73"/>
      <c r="G48" s="73"/>
      <c r="H48" s="73"/>
      <c r="I48" s="73"/>
      <c r="J48" s="74"/>
      <c r="K48" s="73"/>
      <c r="L48" s="76"/>
      <c r="M48" s="76"/>
      <c r="N48" s="73"/>
      <c r="O48" s="73"/>
      <c r="P48" s="73"/>
      <c r="Q48" s="73"/>
      <c r="R48" s="73"/>
    </row>
    <row r="49" customFormat="false" ht="15" hidden="false" customHeight="false" outlineLevel="0" collapsed="false">
      <c r="A49" s="71" t="str">
        <f aca="false">IF(B49="","",ROW()-1)</f>
        <v/>
      </c>
      <c r="B49" s="73"/>
      <c r="C49" s="74"/>
      <c r="D49" s="73"/>
      <c r="E49" s="73"/>
      <c r="F49" s="73"/>
      <c r="G49" s="73"/>
      <c r="H49" s="73"/>
      <c r="I49" s="73"/>
      <c r="J49" s="74"/>
      <c r="K49" s="73"/>
      <c r="L49" s="76"/>
      <c r="M49" s="76"/>
      <c r="N49" s="73"/>
      <c r="O49" s="73"/>
      <c r="P49" s="73"/>
      <c r="Q49" s="73"/>
      <c r="R49" s="73"/>
    </row>
    <row r="50" customFormat="false" ht="15" hidden="false" customHeight="false" outlineLevel="0" collapsed="false">
      <c r="A50" s="71" t="str">
        <f aca="false">IF(B50="","",ROW()-1)</f>
        <v/>
      </c>
      <c r="B50" s="73"/>
      <c r="C50" s="74"/>
      <c r="D50" s="73"/>
      <c r="E50" s="73"/>
      <c r="F50" s="73"/>
      <c r="G50" s="73"/>
      <c r="H50" s="73"/>
      <c r="I50" s="73"/>
      <c r="J50" s="74"/>
      <c r="K50" s="73"/>
      <c r="L50" s="76"/>
      <c r="M50" s="76"/>
      <c r="N50" s="73"/>
      <c r="O50" s="73"/>
      <c r="P50" s="73"/>
      <c r="Q50" s="73"/>
      <c r="R50" s="73"/>
    </row>
    <row r="51" customFormat="false" ht="15" hidden="false" customHeight="false" outlineLevel="0" collapsed="false">
      <c r="A51" s="71" t="str">
        <f aca="false">IF(B51="","",ROW()-1)</f>
        <v/>
      </c>
      <c r="B51" s="73"/>
      <c r="C51" s="74"/>
      <c r="D51" s="73"/>
      <c r="E51" s="73"/>
      <c r="F51" s="73"/>
      <c r="G51" s="73"/>
      <c r="H51" s="73"/>
      <c r="I51" s="73"/>
      <c r="J51" s="74"/>
      <c r="K51" s="73"/>
      <c r="L51" s="76"/>
      <c r="M51" s="76"/>
      <c r="N51" s="73"/>
      <c r="O51" s="73"/>
      <c r="P51" s="73"/>
      <c r="Q51" s="73"/>
      <c r="R51" s="73"/>
    </row>
    <row r="52" customFormat="false" ht="15" hidden="false" customHeight="false" outlineLevel="0" collapsed="false">
      <c r="A52" s="71" t="str">
        <f aca="false">IF(B52="","",ROW()-1)</f>
        <v/>
      </c>
      <c r="B52" s="73"/>
      <c r="C52" s="74"/>
      <c r="D52" s="73"/>
      <c r="E52" s="73"/>
      <c r="F52" s="73"/>
      <c r="G52" s="73"/>
      <c r="H52" s="73"/>
      <c r="I52" s="73"/>
      <c r="J52" s="74"/>
      <c r="K52" s="73"/>
      <c r="L52" s="76"/>
      <c r="M52" s="76"/>
      <c r="N52" s="73"/>
      <c r="O52" s="73"/>
      <c r="P52" s="73"/>
      <c r="Q52" s="73"/>
      <c r="R52" s="73"/>
    </row>
    <row r="53" customFormat="false" ht="15" hidden="false" customHeight="false" outlineLevel="0" collapsed="false">
      <c r="A53" s="71" t="str">
        <f aca="false">IF(B53="","",ROW()-1)</f>
        <v/>
      </c>
      <c r="B53" s="73"/>
      <c r="C53" s="74"/>
      <c r="D53" s="73"/>
      <c r="E53" s="73"/>
      <c r="F53" s="73"/>
      <c r="G53" s="73"/>
      <c r="H53" s="73"/>
      <c r="I53" s="73"/>
      <c r="J53" s="74"/>
      <c r="K53" s="73"/>
      <c r="L53" s="76"/>
      <c r="M53" s="76"/>
      <c r="N53" s="73"/>
      <c r="O53" s="73"/>
      <c r="P53" s="73"/>
      <c r="Q53" s="73"/>
      <c r="R53" s="73"/>
    </row>
    <row r="54" customFormat="false" ht="15" hidden="false" customHeight="false" outlineLevel="0" collapsed="false">
      <c r="A54" s="71" t="str">
        <f aca="false">IF(B54="","",ROW()-1)</f>
        <v/>
      </c>
      <c r="B54" s="73"/>
      <c r="C54" s="74"/>
      <c r="D54" s="73"/>
      <c r="E54" s="73"/>
      <c r="F54" s="73"/>
      <c r="G54" s="73"/>
      <c r="H54" s="73"/>
      <c r="I54" s="73"/>
      <c r="J54" s="74"/>
      <c r="K54" s="73"/>
      <c r="L54" s="76"/>
      <c r="M54" s="76"/>
      <c r="N54" s="73"/>
      <c r="O54" s="73"/>
      <c r="P54" s="73"/>
      <c r="Q54" s="73"/>
      <c r="R54" s="73"/>
    </row>
    <row r="55" customFormat="false" ht="15" hidden="false" customHeight="false" outlineLevel="0" collapsed="false">
      <c r="A55" s="71" t="str">
        <f aca="false">IF(B55="","",ROW()-1)</f>
        <v/>
      </c>
      <c r="B55" s="73"/>
      <c r="C55" s="74"/>
      <c r="D55" s="73"/>
      <c r="E55" s="73"/>
      <c r="F55" s="73"/>
      <c r="G55" s="73"/>
      <c r="H55" s="73"/>
      <c r="I55" s="73"/>
      <c r="J55" s="74"/>
      <c r="K55" s="73"/>
      <c r="L55" s="76"/>
      <c r="M55" s="76"/>
      <c r="N55" s="73"/>
      <c r="O55" s="73"/>
      <c r="P55" s="73"/>
      <c r="Q55" s="73"/>
      <c r="R55" s="73"/>
    </row>
    <row r="56" customFormat="false" ht="15" hidden="false" customHeight="false" outlineLevel="0" collapsed="false">
      <c r="A56" s="71" t="str">
        <f aca="false">IF(B56="","",ROW()-1)</f>
        <v/>
      </c>
      <c r="B56" s="73"/>
      <c r="C56" s="74"/>
      <c r="D56" s="73"/>
      <c r="E56" s="73"/>
      <c r="F56" s="73"/>
      <c r="G56" s="73"/>
      <c r="H56" s="73"/>
      <c r="I56" s="73"/>
      <c r="J56" s="74"/>
      <c r="K56" s="73"/>
      <c r="L56" s="76"/>
      <c r="M56" s="76"/>
      <c r="N56" s="73"/>
      <c r="O56" s="73"/>
      <c r="P56" s="73"/>
      <c r="Q56" s="73"/>
      <c r="R56" s="73"/>
    </row>
    <row r="57" customFormat="false" ht="15" hidden="false" customHeight="false" outlineLevel="0" collapsed="false">
      <c r="A57" s="71" t="str">
        <f aca="false">IF(B57="","",ROW()-1)</f>
        <v/>
      </c>
      <c r="B57" s="73"/>
      <c r="C57" s="74"/>
      <c r="D57" s="73"/>
      <c r="E57" s="73"/>
      <c r="F57" s="73"/>
      <c r="G57" s="73"/>
      <c r="H57" s="73"/>
      <c r="I57" s="73"/>
      <c r="J57" s="74"/>
      <c r="K57" s="73"/>
      <c r="L57" s="76"/>
      <c r="M57" s="76"/>
      <c r="N57" s="73"/>
      <c r="O57" s="73"/>
      <c r="P57" s="73"/>
      <c r="Q57" s="73"/>
      <c r="R57" s="73"/>
    </row>
    <row r="58" customFormat="false" ht="15" hidden="false" customHeight="false" outlineLevel="0" collapsed="false">
      <c r="A58" s="71" t="str">
        <f aca="false">IF(B58="","",ROW()-1)</f>
        <v/>
      </c>
      <c r="B58" s="73"/>
      <c r="C58" s="74"/>
      <c r="D58" s="73"/>
      <c r="E58" s="73"/>
      <c r="F58" s="73"/>
      <c r="G58" s="73"/>
      <c r="H58" s="73"/>
      <c r="I58" s="73"/>
      <c r="J58" s="74"/>
      <c r="K58" s="73"/>
      <c r="L58" s="76"/>
      <c r="M58" s="76"/>
      <c r="N58" s="73"/>
      <c r="O58" s="73"/>
      <c r="P58" s="73"/>
      <c r="Q58" s="73"/>
      <c r="R58" s="73"/>
    </row>
    <row r="59" customFormat="false" ht="15" hidden="false" customHeight="false" outlineLevel="0" collapsed="false">
      <c r="A59" s="71" t="str">
        <f aca="false">IF(B59="","",ROW()-1)</f>
        <v/>
      </c>
      <c r="B59" s="73"/>
      <c r="C59" s="74"/>
      <c r="D59" s="73"/>
      <c r="E59" s="73"/>
      <c r="F59" s="73"/>
      <c r="G59" s="73"/>
      <c r="H59" s="73"/>
      <c r="I59" s="73"/>
      <c r="J59" s="74"/>
      <c r="K59" s="73"/>
      <c r="L59" s="76"/>
      <c r="M59" s="76"/>
      <c r="N59" s="73"/>
      <c r="O59" s="73"/>
      <c r="P59" s="73"/>
      <c r="Q59" s="73"/>
      <c r="R59" s="73"/>
    </row>
    <row r="60" customFormat="false" ht="15" hidden="false" customHeight="false" outlineLevel="0" collapsed="false">
      <c r="A60" s="71" t="str">
        <f aca="false">IF(B60="","",ROW()-1)</f>
        <v/>
      </c>
      <c r="B60" s="73"/>
      <c r="C60" s="74"/>
      <c r="D60" s="73"/>
      <c r="E60" s="73"/>
      <c r="F60" s="73"/>
      <c r="G60" s="73"/>
      <c r="H60" s="73"/>
      <c r="I60" s="73"/>
      <c r="J60" s="74"/>
      <c r="K60" s="73"/>
      <c r="L60" s="76"/>
      <c r="M60" s="76"/>
      <c r="N60" s="73"/>
      <c r="O60" s="73"/>
      <c r="P60" s="73"/>
      <c r="Q60" s="73"/>
      <c r="R60" s="73"/>
    </row>
    <row r="61" customFormat="false" ht="15" hidden="false" customHeight="false" outlineLevel="0" collapsed="false">
      <c r="A61" s="71" t="str">
        <f aca="false">IF(B61="","",ROW()-1)</f>
        <v/>
      </c>
      <c r="B61" s="73"/>
      <c r="C61" s="74"/>
      <c r="D61" s="73"/>
      <c r="E61" s="73"/>
      <c r="F61" s="73"/>
      <c r="G61" s="73"/>
      <c r="H61" s="73"/>
      <c r="I61" s="73"/>
      <c r="J61" s="74"/>
      <c r="K61" s="73"/>
      <c r="L61" s="76"/>
      <c r="M61" s="76"/>
      <c r="N61" s="73"/>
      <c r="O61" s="73"/>
      <c r="P61" s="73"/>
      <c r="Q61" s="73"/>
      <c r="R61" s="73"/>
    </row>
    <row r="62" customFormat="false" ht="15" hidden="false" customHeight="false" outlineLevel="0" collapsed="false">
      <c r="A62" s="71" t="str">
        <f aca="false">IF(B62="","",ROW()-1)</f>
        <v/>
      </c>
      <c r="B62" s="73"/>
      <c r="C62" s="74"/>
      <c r="D62" s="73"/>
      <c r="E62" s="73"/>
      <c r="F62" s="73"/>
      <c r="G62" s="73"/>
      <c r="H62" s="73"/>
      <c r="I62" s="73"/>
      <c r="J62" s="74"/>
      <c r="K62" s="73"/>
      <c r="L62" s="76"/>
      <c r="M62" s="76"/>
      <c r="N62" s="73"/>
      <c r="O62" s="73"/>
      <c r="P62" s="73"/>
      <c r="Q62" s="73"/>
      <c r="R62" s="73"/>
    </row>
    <row r="63" customFormat="false" ht="15" hidden="false" customHeight="false" outlineLevel="0" collapsed="false">
      <c r="A63" s="71" t="str">
        <f aca="false">IF(B63="","",ROW()-1)</f>
        <v/>
      </c>
      <c r="B63" s="73"/>
      <c r="C63" s="74"/>
      <c r="D63" s="73"/>
      <c r="E63" s="73"/>
      <c r="F63" s="73"/>
      <c r="G63" s="73"/>
      <c r="H63" s="73"/>
      <c r="I63" s="73"/>
      <c r="J63" s="74"/>
      <c r="K63" s="73"/>
      <c r="L63" s="76"/>
      <c r="M63" s="76"/>
      <c r="N63" s="73"/>
      <c r="O63" s="73"/>
      <c r="P63" s="73"/>
      <c r="Q63" s="73"/>
      <c r="R63" s="73"/>
    </row>
    <row r="64" customFormat="false" ht="15" hidden="false" customHeight="false" outlineLevel="0" collapsed="false">
      <c r="A64" s="71" t="str">
        <f aca="false">IF(B64="","",ROW()-1)</f>
        <v/>
      </c>
      <c r="B64" s="73"/>
      <c r="C64" s="74"/>
      <c r="D64" s="73"/>
      <c r="E64" s="73"/>
      <c r="F64" s="73"/>
      <c r="G64" s="73"/>
      <c r="H64" s="73"/>
      <c r="I64" s="73"/>
      <c r="J64" s="74"/>
      <c r="K64" s="73"/>
      <c r="L64" s="76"/>
      <c r="M64" s="76"/>
      <c r="N64" s="73"/>
      <c r="O64" s="73"/>
      <c r="P64" s="73"/>
      <c r="Q64" s="73"/>
      <c r="R64" s="73"/>
    </row>
    <row r="65" customFormat="false" ht="15" hidden="false" customHeight="false" outlineLevel="0" collapsed="false">
      <c r="A65" s="71" t="str">
        <f aca="false">IF(B65="","",ROW()-1)</f>
        <v/>
      </c>
      <c r="B65" s="73"/>
      <c r="C65" s="74"/>
      <c r="D65" s="73"/>
      <c r="E65" s="73"/>
      <c r="F65" s="73"/>
      <c r="G65" s="73"/>
      <c r="H65" s="73"/>
      <c r="I65" s="73"/>
      <c r="J65" s="74"/>
      <c r="K65" s="73"/>
      <c r="L65" s="76"/>
      <c r="M65" s="76"/>
      <c r="N65" s="73"/>
      <c r="O65" s="73"/>
      <c r="P65" s="73"/>
      <c r="Q65" s="73"/>
      <c r="R65" s="73"/>
    </row>
    <row r="66" customFormat="false" ht="15" hidden="false" customHeight="false" outlineLevel="0" collapsed="false">
      <c r="A66" s="71" t="str">
        <f aca="false">IF(B66="","",ROW()-1)</f>
        <v/>
      </c>
      <c r="B66" s="73"/>
      <c r="C66" s="74"/>
      <c r="D66" s="73"/>
      <c r="E66" s="73"/>
      <c r="F66" s="73"/>
      <c r="G66" s="73"/>
      <c r="H66" s="73"/>
      <c r="I66" s="73"/>
      <c r="J66" s="74"/>
      <c r="K66" s="73"/>
      <c r="L66" s="76"/>
      <c r="M66" s="76"/>
      <c r="N66" s="73"/>
      <c r="O66" s="73"/>
      <c r="P66" s="73"/>
      <c r="Q66" s="73"/>
      <c r="R66" s="73"/>
    </row>
    <row r="67" customFormat="false" ht="15" hidden="false" customHeight="false" outlineLevel="0" collapsed="false">
      <c r="A67" s="71" t="str">
        <f aca="false">IF(B67="","",ROW()-1)</f>
        <v/>
      </c>
      <c r="B67" s="73"/>
      <c r="C67" s="74"/>
      <c r="D67" s="73"/>
      <c r="E67" s="73"/>
      <c r="F67" s="73"/>
      <c r="G67" s="73"/>
      <c r="H67" s="73"/>
      <c r="I67" s="73"/>
      <c r="J67" s="74"/>
      <c r="K67" s="73"/>
      <c r="L67" s="76"/>
      <c r="M67" s="76"/>
      <c r="N67" s="73"/>
      <c r="O67" s="73"/>
      <c r="P67" s="73"/>
      <c r="Q67" s="73"/>
      <c r="R67" s="73"/>
    </row>
    <row r="68" customFormat="false" ht="15" hidden="false" customHeight="false" outlineLevel="0" collapsed="false">
      <c r="A68" s="71" t="str">
        <f aca="false">IF(B68="","",ROW()-1)</f>
        <v/>
      </c>
      <c r="B68" s="73"/>
      <c r="C68" s="74"/>
      <c r="D68" s="73"/>
      <c r="E68" s="73"/>
      <c r="F68" s="73"/>
      <c r="G68" s="73"/>
      <c r="H68" s="73"/>
      <c r="I68" s="73"/>
      <c r="J68" s="74"/>
      <c r="K68" s="73"/>
      <c r="L68" s="76"/>
      <c r="M68" s="76"/>
      <c r="N68" s="73"/>
      <c r="O68" s="73"/>
      <c r="P68" s="73"/>
      <c r="Q68" s="73"/>
      <c r="R68" s="73"/>
    </row>
    <row r="69" customFormat="false" ht="15" hidden="false" customHeight="false" outlineLevel="0" collapsed="false">
      <c r="A69" s="71" t="str">
        <f aca="false">IF(B69="","",ROW()-1)</f>
        <v/>
      </c>
      <c r="B69" s="73"/>
      <c r="C69" s="74"/>
      <c r="D69" s="73"/>
      <c r="E69" s="73"/>
      <c r="F69" s="73"/>
      <c r="G69" s="73"/>
      <c r="H69" s="73"/>
      <c r="I69" s="73"/>
      <c r="J69" s="74"/>
      <c r="K69" s="73"/>
      <c r="L69" s="76"/>
      <c r="M69" s="76"/>
      <c r="N69" s="73"/>
      <c r="O69" s="73"/>
      <c r="P69" s="73"/>
      <c r="Q69" s="73"/>
      <c r="R69" s="73"/>
    </row>
    <row r="70" customFormat="false" ht="15" hidden="false" customHeight="false" outlineLevel="0" collapsed="false">
      <c r="A70" s="71" t="str">
        <f aca="false">IF(B70="","",ROW()-1)</f>
        <v/>
      </c>
      <c r="B70" s="73"/>
      <c r="C70" s="74"/>
      <c r="D70" s="73"/>
      <c r="E70" s="73"/>
      <c r="F70" s="73"/>
      <c r="G70" s="73"/>
      <c r="H70" s="73"/>
      <c r="I70" s="73"/>
      <c r="J70" s="74"/>
      <c r="K70" s="73"/>
      <c r="L70" s="76"/>
      <c r="M70" s="76"/>
      <c r="N70" s="73"/>
      <c r="O70" s="73"/>
      <c r="P70" s="73"/>
      <c r="Q70" s="73"/>
      <c r="R70" s="73"/>
    </row>
    <row r="71" customFormat="false" ht="15" hidden="false" customHeight="false" outlineLevel="0" collapsed="false">
      <c r="A71" s="71" t="str">
        <f aca="false">IF(B71="","",ROW()-1)</f>
        <v/>
      </c>
      <c r="B71" s="73"/>
      <c r="C71" s="74"/>
      <c r="D71" s="73"/>
      <c r="E71" s="73"/>
      <c r="F71" s="73"/>
      <c r="G71" s="73"/>
      <c r="H71" s="73"/>
      <c r="I71" s="73"/>
      <c r="J71" s="74"/>
      <c r="K71" s="73"/>
      <c r="L71" s="76"/>
      <c r="M71" s="76"/>
      <c r="N71" s="73"/>
      <c r="O71" s="73"/>
      <c r="P71" s="73"/>
      <c r="Q71" s="73"/>
      <c r="R71" s="73"/>
    </row>
    <row r="72" customFormat="false" ht="15" hidden="false" customHeight="false" outlineLevel="0" collapsed="false">
      <c r="A72" s="71" t="str">
        <f aca="false">IF(B72="","",ROW()-1)</f>
        <v/>
      </c>
      <c r="B72" s="73"/>
      <c r="C72" s="74"/>
      <c r="D72" s="73"/>
      <c r="E72" s="73"/>
      <c r="F72" s="73"/>
      <c r="G72" s="73"/>
      <c r="H72" s="73"/>
      <c r="I72" s="73"/>
      <c r="J72" s="74"/>
      <c r="K72" s="73"/>
      <c r="L72" s="76"/>
      <c r="M72" s="76"/>
      <c r="N72" s="73"/>
      <c r="O72" s="73"/>
      <c r="P72" s="73"/>
      <c r="Q72" s="73"/>
      <c r="R72" s="73"/>
    </row>
    <row r="73" customFormat="false" ht="15" hidden="false" customHeight="false" outlineLevel="0" collapsed="false">
      <c r="A73" s="71" t="str">
        <f aca="false">IF(B73="","",ROW()-1)</f>
        <v/>
      </c>
      <c r="B73" s="73"/>
      <c r="C73" s="74"/>
      <c r="D73" s="73"/>
      <c r="E73" s="73"/>
      <c r="F73" s="73"/>
      <c r="G73" s="73"/>
      <c r="H73" s="73"/>
      <c r="I73" s="73"/>
      <c r="J73" s="74"/>
      <c r="K73" s="73"/>
      <c r="L73" s="76"/>
      <c r="M73" s="76"/>
      <c r="N73" s="73"/>
      <c r="O73" s="73"/>
      <c r="P73" s="73"/>
      <c r="Q73" s="73"/>
      <c r="R73" s="73"/>
    </row>
    <row r="74" customFormat="false" ht="15" hidden="false" customHeight="false" outlineLevel="0" collapsed="false">
      <c r="A74" s="71" t="str">
        <f aca="false">IF(B74="","",ROW()-1)</f>
        <v/>
      </c>
      <c r="B74" s="73"/>
      <c r="C74" s="74"/>
      <c r="D74" s="73"/>
      <c r="E74" s="73"/>
      <c r="F74" s="73"/>
      <c r="G74" s="73"/>
      <c r="H74" s="73"/>
      <c r="I74" s="73"/>
      <c r="J74" s="74"/>
      <c r="K74" s="73"/>
      <c r="L74" s="76"/>
      <c r="M74" s="76"/>
      <c r="N74" s="73"/>
      <c r="O74" s="73"/>
      <c r="P74" s="73"/>
      <c r="Q74" s="73"/>
      <c r="R74" s="73"/>
    </row>
    <row r="75" customFormat="false" ht="15" hidden="false" customHeight="false" outlineLevel="0" collapsed="false">
      <c r="A75" s="71" t="str">
        <f aca="false">IF(B75="","",ROW()-1)</f>
        <v/>
      </c>
      <c r="B75" s="73"/>
      <c r="C75" s="74"/>
      <c r="D75" s="73"/>
      <c r="E75" s="73"/>
      <c r="F75" s="73"/>
      <c r="G75" s="73"/>
      <c r="H75" s="73"/>
      <c r="I75" s="73"/>
      <c r="J75" s="74"/>
      <c r="K75" s="73"/>
      <c r="L75" s="76"/>
      <c r="M75" s="76"/>
      <c r="N75" s="73"/>
      <c r="O75" s="73"/>
      <c r="P75" s="73"/>
      <c r="Q75" s="73"/>
      <c r="R75" s="73"/>
    </row>
    <row r="76" customFormat="false" ht="15" hidden="false" customHeight="false" outlineLevel="0" collapsed="false">
      <c r="A76" s="71" t="str">
        <f aca="false">IF(B76="","",ROW()-1)</f>
        <v/>
      </c>
      <c r="B76" s="73"/>
      <c r="C76" s="74"/>
      <c r="D76" s="73"/>
      <c r="E76" s="73"/>
      <c r="F76" s="73"/>
      <c r="G76" s="73"/>
      <c r="H76" s="73"/>
      <c r="I76" s="73"/>
      <c r="J76" s="74"/>
      <c r="K76" s="73"/>
      <c r="L76" s="76"/>
      <c r="M76" s="76"/>
      <c r="N76" s="73"/>
      <c r="O76" s="73"/>
      <c r="P76" s="73"/>
      <c r="Q76" s="73"/>
      <c r="R76" s="73"/>
    </row>
    <row r="77" customFormat="false" ht="15" hidden="false" customHeight="false" outlineLevel="0" collapsed="false">
      <c r="A77" s="71" t="str">
        <f aca="false">IF(B77="","",ROW()-1)</f>
        <v/>
      </c>
      <c r="B77" s="73"/>
      <c r="C77" s="74"/>
      <c r="D77" s="73"/>
      <c r="E77" s="73"/>
      <c r="F77" s="73"/>
      <c r="G77" s="73"/>
      <c r="H77" s="73"/>
      <c r="I77" s="73"/>
      <c r="J77" s="74"/>
      <c r="K77" s="73"/>
      <c r="L77" s="76"/>
      <c r="M77" s="76"/>
      <c r="N77" s="73"/>
      <c r="O77" s="73"/>
      <c r="P77" s="73"/>
      <c r="Q77" s="73"/>
      <c r="R77" s="73"/>
    </row>
    <row r="78" customFormat="false" ht="15" hidden="false" customHeight="false" outlineLevel="0" collapsed="false">
      <c r="A78" s="71" t="str">
        <f aca="false">IF(B78="","",ROW()-1)</f>
        <v/>
      </c>
      <c r="B78" s="73"/>
      <c r="C78" s="74"/>
      <c r="D78" s="73"/>
      <c r="E78" s="73"/>
      <c r="F78" s="73"/>
      <c r="G78" s="73"/>
      <c r="H78" s="73"/>
      <c r="I78" s="73"/>
      <c r="J78" s="74"/>
      <c r="K78" s="73"/>
      <c r="L78" s="76"/>
      <c r="M78" s="76"/>
      <c r="N78" s="73"/>
      <c r="O78" s="73"/>
      <c r="P78" s="73"/>
      <c r="Q78" s="73"/>
      <c r="R78" s="73"/>
    </row>
    <row r="79" customFormat="false" ht="15" hidden="false" customHeight="false" outlineLevel="0" collapsed="false">
      <c r="A79" s="71" t="str">
        <f aca="false">IF(B79="","",ROW()-1)</f>
        <v/>
      </c>
      <c r="B79" s="73"/>
      <c r="C79" s="74"/>
      <c r="D79" s="73"/>
      <c r="E79" s="73"/>
      <c r="F79" s="73"/>
      <c r="G79" s="73"/>
      <c r="H79" s="73"/>
      <c r="I79" s="73"/>
      <c r="J79" s="74"/>
      <c r="K79" s="73"/>
      <c r="L79" s="76"/>
      <c r="M79" s="76"/>
      <c r="N79" s="73"/>
      <c r="O79" s="73"/>
      <c r="P79" s="73"/>
      <c r="Q79" s="73"/>
      <c r="R79" s="73"/>
    </row>
    <row r="80" customFormat="false" ht="15" hidden="false" customHeight="false" outlineLevel="0" collapsed="false">
      <c r="A80" s="71" t="str">
        <f aca="false">IF(B80="","",ROW()-1)</f>
        <v/>
      </c>
      <c r="B80" s="73"/>
      <c r="C80" s="74"/>
      <c r="D80" s="73"/>
      <c r="E80" s="73"/>
      <c r="F80" s="73"/>
      <c r="G80" s="73"/>
      <c r="H80" s="73"/>
      <c r="I80" s="73"/>
      <c r="J80" s="74"/>
      <c r="K80" s="73"/>
      <c r="L80" s="76"/>
      <c r="M80" s="76"/>
      <c r="N80" s="73"/>
      <c r="O80" s="73"/>
      <c r="P80" s="73"/>
      <c r="Q80" s="73"/>
      <c r="R80" s="73"/>
    </row>
    <row r="81" customFormat="false" ht="15" hidden="false" customHeight="false" outlineLevel="0" collapsed="false">
      <c r="A81" s="71" t="str">
        <f aca="false">IF(B81="","",ROW()-1)</f>
        <v/>
      </c>
      <c r="B81" s="73"/>
      <c r="C81" s="74"/>
      <c r="D81" s="73"/>
      <c r="E81" s="73"/>
      <c r="F81" s="73"/>
      <c r="G81" s="73"/>
      <c r="H81" s="73"/>
      <c r="I81" s="73"/>
      <c r="J81" s="74"/>
      <c r="K81" s="73"/>
      <c r="L81" s="76"/>
      <c r="M81" s="76"/>
      <c r="N81" s="73"/>
      <c r="O81" s="73"/>
      <c r="P81" s="73"/>
      <c r="Q81" s="73"/>
      <c r="R81" s="73"/>
    </row>
    <row r="82" customFormat="false" ht="15" hidden="false" customHeight="false" outlineLevel="0" collapsed="false">
      <c r="A82" s="71" t="str">
        <f aca="false">IF(B82="","",ROW()-1)</f>
        <v/>
      </c>
      <c r="B82" s="73"/>
      <c r="C82" s="74"/>
      <c r="D82" s="73"/>
      <c r="E82" s="73"/>
      <c r="F82" s="73"/>
      <c r="G82" s="73"/>
      <c r="H82" s="73"/>
      <c r="I82" s="73"/>
      <c r="J82" s="74"/>
      <c r="K82" s="73"/>
      <c r="L82" s="76"/>
      <c r="M82" s="76"/>
      <c r="N82" s="73"/>
      <c r="O82" s="73"/>
      <c r="P82" s="73"/>
      <c r="Q82" s="73"/>
      <c r="R82" s="73"/>
    </row>
    <row r="83" customFormat="false" ht="15" hidden="false" customHeight="false" outlineLevel="0" collapsed="false">
      <c r="A83" s="71" t="str">
        <f aca="false">IF(B83="","",ROW()-1)</f>
        <v/>
      </c>
      <c r="B83" s="73"/>
      <c r="C83" s="74"/>
      <c r="D83" s="73"/>
      <c r="E83" s="73"/>
      <c r="F83" s="73"/>
      <c r="G83" s="73"/>
      <c r="H83" s="73"/>
      <c r="I83" s="73"/>
      <c r="J83" s="74"/>
      <c r="K83" s="73"/>
      <c r="L83" s="76"/>
      <c r="M83" s="76"/>
      <c r="N83" s="73"/>
      <c r="O83" s="73"/>
      <c r="P83" s="73"/>
      <c r="Q83" s="73"/>
      <c r="R83" s="73"/>
    </row>
    <row r="84" customFormat="false" ht="15" hidden="false" customHeight="false" outlineLevel="0" collapsed="false">
      <c r="A84" s="71" t="str">
        <f aca="false">IF(B84="","",ROW()-1)</f>
        <v/>
      </c>
      <c r="B84" s="73"/>
      <c r="C84" s="74"/>
      <c r="D84" s="73"/>
      <c r="E84" s="73"/>
      <c r="F84" s="73"/>
      <c r="G84" s="73"/>
      <c r="H84" s="73"/>
      <c r="I84" s="73"/>
      <c r="J84" s="74"/>
      <c r="K84" s="73"/>
      <c r="L84" s="76"/>
      <c r="M84" s="76"/>
      <c r="N84" s="73"/>
      <c r="O84" s="73"/>
      <c r="P84" s="73"/>
      <c r="Q84" s="73"/>
      <c r="R84" s="73"/>
    </row>
    <row r="85" customFormat="false" ht="15" hidden="false" customHeight="false" outlineLevel="0" collapsed="false">
      <c r="A85" s="71" t="str">
        <f aca="false">IF(B85="","",ROW()-1)</f>
        <v/>
      </c>
      <c r="B85" s="73"/>
      <c r="C85" s="74"/>
      <c r="D85" s="73"/>
      <c r="E85" s="73"/>
      <c r="F85" s="73"/>
      <c r="G85" s="73"/>
      <c r="H85" s="73"/>
      <c r="I85" s="73"/>
      <c r="J85" s="74"/>
      <c r="K85" s="73"/>
      <c r="L85" s="76"/>
      <c r="M85" s="76"/>
      <c r="N85" s="73"/>
      <c r="O85" s="73"/>
      <c r="P85" s="73"/>
      <c r="Q85" s="73"/>
      <c r="R85" s="73"/>
    </row>
    <row r="86" customFormat="false" ht="15" hidden="false" customHeight="false" outlineLevel="0" collapsed="false">
      <c r="A86" s="71" t="str">
        <f aca="false">IF(B86="","",ROW()-1)</f>
        <v/>
      </c>
      <c r="B86" s="73"/>
      <c r="C86" s="74"/>
      <c r="D86" s="73"/>
      <c r="E86" s="73"/>
      <c r="F86" s="73"/>
      <c r="G86" s="73"/>
      <c r="H86" s="73"/>
      <c r="I86" s="73"/>
      <c r="J86" s="74"/>
      <c r="K86" s="73"/>
      <c r="L86" s="76"/>
      <c r="M86" s="76"/>
      <c r="N86" s="73"/>
      <c r="O86" s="73"/>
      <c r="P86" s="73"/>
      <c r="Q86" s="73"/>
      <c r="R86" s="73"/>
    </row>
    <row r="87" customFormat="false" ht="15" hidden="false" customHeight="false" outlineLevel="0" collapsed="false">
      <c r="A87" s="71" t="str">
        <f aca="false">IF(B87="","",ROW()-1)</f>
        <v/>
      </c>
      <c r="B87" s="73"/>
      <c r="C87" s="74"/>
      <c r="D87" s="73"/>
      <c r="E87" s="73"/>
      <c r="F87" s="73"/>
      <c r="G87" s="73"/>
      <c r="H87" s="73"/>
      <c r="I87" s="73"/>
      <c r="J87" s="74"/>
      <c r="K87" s="73"/>
      <c r="L87" s="76"/>
      <c r="M87" s="76"/>
      <c r="N87" s="73"/>
      <c r="O87" s="73"/>
      <c r="P87" s="73"/>
      <c r="Q87" s="73"/>
      <c r="R87" s="73"/>
    </row>
    <row r="88" customFormat="false" ht="15" hidden="false" customHeight="false" outlineLevel="0" collapsed="false">
      <c r="A88" s="71" t="str">
        <f aca="false">IF(B88="","",ROW()-1)</f>
        <v/>
      </c>
      <c r="B88" s="73"/>
      <c r="C88" s="74"/>
      <c r="D88" s="73"/>
      <c r="E88" s="73"/>
      <c r="F88" s="73"/>
      <c r="G88" s="73"/>
      <c r="H88" s="73"/>
      <c r="I88" s="73"/>
      <c r="J88" s="74"/>
      <c r="K88" s="73"/>
      <c r="L88" s="76"/>
      <c r="M88" s="76"/>
      <c r="N88" s="73"/>
      <c r="O88" s="73"/>
      <c r="P88" s="73"/>
      <c r="Q88" s="73"/>
      <c r="R88" s="73"/>
    </row>
    <row r="89" customFormat="false" ht="15" hidden="false" customHeight="false" outlineLevel="0" collapsed="false">
      <c r="A89" s="71" t="str">
        <f aca="false">IF(B89="","",ROW()-1)</f>
        <v/>
      </c>
      <c r="B89" s="73"/>
      <c r="C89" s="74"/>
      <c r="D89" s="73"/>
      <c r="E89" s="73"/>
      <c r="F89" s="73"/>
      <c r="G89" s="73"/>
      <c r="H89" s="73"/>
      <c r="I89" s="73"/>
      <c r="J89" s="74"/>
      <c r="K89" s="73"/>
      <c r="L89" s="76"/>
      <c r="M89" s="76"/>
      <c r="N89" s="73"/>
      <c r="O89" s="73"/>
      <c r="P89" s="73"/>
      <c r="Q89" s="73"/>
      <c r="R89" s="73"/>
    </row>
    <row r="90" customFormat="false" ht="15" hidden="false" customHeight="false" outlineLevel="0" collapsed="false">
      <c r="A90" s="71" t="str">
        <f aca="false">IF(B90="","",ROW()-1)</f>
        <v/>
      </c>
      <c r="B90" s="73"/>
      <c r="C90" s="74"/>
      <c r="D90" s="73"/>
      <c r="E90" s="73"/>
      <c r="F90" s="73"/>
      <c r="G90" s="73"/>
      <c r="H90" s="73"/>
      <c r="I90" s="73"/>
      <c r="J90" s="74"/>
      <c r="K90" s="73"/>
      <c r="L90" s="76"/>
      <c r="M90" s="76"/>
      <c r="N90" s="73"/>
      <c r="O90" s="73"/>
      <c r="P90" s="73"/>
      <c r="Q90" s="73"/>
      <c r="R90" s="73"/>
    </row>
    <row r="91" customFormat="false" ht="15" hidden="false" customHeight="false" outlineLevel="0" collapsed="false">
      <c r="A91" s="71" t="str">
        <f aca="false">IF(B91="","",ROW()-1)</f>
        <v/>
      </c>
      <c r="B91" s="73"/>
      <c r="C91" s="74"/>
      <c r="D91" s="73"/>
      <c r="E91" s="73"/>
      <c r="F91" s="73"/>
      <c r="G91" s="73"/>
      <c r="H91" s="73"/>
      <c r="I91" s="73"/>
      <c r="J91" s="74"/>
      <c r="K91" s="73"/>
      <c r="L91" s="76"/>
      <c r="M91" s="76"/>
      <c r="N91" s="73"/>
      <c r="O91" s="73"/>
      <c r="P91" s="73"/>
      <c r="Q91" s="73"/>
      <c r="R91" s="73"/>
    </row>
    <row r="92" customFormat="false" ht="15" hidden="false" customHeight="false" outlineLevel="0" collapsed="false">
      <c r="A92" s="71" t="str">
        <f aca="false">IF(B92="","",ROW()-1)</f>
        <v/>
      </c>
      <c r="B92" s="73"/>
      <c r="C92" s="74"/>
      <c r="D92" s="73"/>
      <c r="E92" s="73"/>
      <c r="F92" s="73"/>
      <c r="G92" s="73"/>
      <c r="H92" s="73"/>
      <c r="I92" s="73"/>
      <c r="J92" s="74"/>
      <c r="K92" s="73"/>
      <c r="L92" s="76"/>
      <c r="M92" s="76"/>
      <c r="N92" s="73"/>
      <c r="O92" s="73"/>
      <c r="P92" s="73"/>
      <c r="Q92" s="73"/>
      <c r="R92" s="73"/>
    </row>
    <row r="93" customFormat="false" ht="15" hidden="false" customHeight="false" outlineLevel="0" collapsed="false">
      <c r="A93" s="71" t="str">
        <f aca="false">IF(B93="","",ROW()-1)</f>
        <v/>
      </c>
      <c r="B93" s="73"/>
      <c r="C93" s="74"/>
      <c r="D93" s="73"/>
      <c r="E93" s="73"/>
      <c r="F93" s="73"/>
      <c r="G93" s="73"/>
      <c r="H93" s="73"/>
      <c r="I93" s="73"/>
      <c r="J93" s="74"/>
      <c r="K93" s="73"/>
      <c r="L93" s="76"/>
      <c r="M93" s="76"/>
      <c r="N93" s="73"/>
      <c r="O93" s="73"/>
      <c r="P93" s="73"/>
      <c r="Q93" s="73"/>
      <c r="R93" s="73"/>
    </row>
    <row r="94" customFormat="false" ht="15" hidden="false" customHeight="false" outlineLevel="0" collapsed="false">
      <c r="A94" s="71" t="str">
        <f aca="false">IF(B94="","",ROW()-1)</f>
        <v/>
      </c>
      <c r="B94" s="73"/>
      <c r="C94" s="74"/>
      <c r="D94" s="73"/>
      <c r="E94" s="73"/>
      <c r="F94" s="73"/>
      <c r="G94" s="73"/>
      <c r="H94" s="73"/>
      <c r="I94" s="73"/>
      <c r="J94" s="74"/>
      <c r="K94" s="73"/>
      <c r="L94" s="76"/>
      <c r="M94" s="76"/>
      <c r="N94" s="73"/>
      <c r="O94" s="73"/>
      <c r="P94" s="73"/>
      <c r="Q94" s="73"/>
      <c r="R94" s="73"/>
    </row>
    <row r="95" customFormat="false" ht="15" hidden="false" customHeight="false" outlineLevel="0" collapsed="false">
      <c r="A95" s="71" t="str">
        <f aca="false">IF(B95="","",ROW()-1)</f>
        <v/>
      </c>
      <c r="B95" s="73"/>
      <c r="C95" s="74"/>
      <c r="D95" s="73"/>
      <c r="E95" s="73"/>
      <c r="F95" s="73"/>
      <c r="G95" s="73"/>
      <c r="H95" s="73"/>
      <c r="I95" s="73"/>
      <c r="J95" s="74"/>
      <c r="K95" s="73"/>
      <c r="L95" s="76"/>
      <c r="M95" s="76"/>
      <c r="N95" s="73"/>
      <c r="O95" s="73"/>
      <c r="P95" s="73"/>
      <c r="Q95" s="73"/>
      <c r="R95" s="73"/>
    </row>
    <row r="96" customFormat="false" ht="15" hidden="false" customHeight="false" outlineLevel="0" collapsed="false">
      <c r="A96" s="71" t="str">
        <f aca="false">IF(B96="","",ROW()-1)</f>
        <v/>
      </c>
      <c r="B96" s="73"/>
      <c r="C96" s="74"/>
      <c r="D96" s="73"/>
      <c r="E96" s="73"/>
      <c r="F96" s="73"/>
      <c r="G96" s="73"/>
      <c r="H96" s="73"/>
      <c r="I96" s="73"/>
      <c r="J96" s="74"/>
      <c r="K96" s="73"/>
      <c r="L96" s="76"/>
      <c r="M96" s="76"/>
      <c r="N96" s="73"/>
      <c r="O96" s="73"/>
      <c r="P96" s="73"/>
      <c r="Q96" s="73"/>
      <c r="R96" s="73"/>
    </row>
    <row r="97" customFormat="false" ht="15" hidden="false" customHeight="false" outlineLevel="0" collapsed="false">
      <c r="A97" s="71" t="str">
        <f aca="false">IF(B97="","",ROW()-1)</f>
        <v/>
      </c>
      <c r="B97" s="73"/>
      <c r="C97" s="74"/>
      <c r="D97" s="73"/>
      <c r="E97" s="73"/>
      <c r="F97" s="73"/>
      <c r="G97" s="73"/>
      <c r="H97" s="73"/>
      <c r="I97" s="73"/>
      <c r="J97" s="74"/>
      <c r="K97" s="73"/>
      <c r="L97" s="76"/>
      <c r="M97" s="76"/>
      <c r="N97" s="73"/>
      <c r="O97" s="73"/>
      <c r="P97" s="73"/>
      <c r="Q97" s="73"/>
      <c r="R97" s="73"/>
    </row>
    <row r="98" customFormat="false" ht="15" hidden="false" customHeight="false" outlineLevel="0" collapsed="false">
      <c r="A98" s="71" t="str">
        <f aca="false">IF(B98="","",ROW()-1)</f>
        <v/>
      </c>
      <c r="B98" s="73"/>
      <c r="C98" s="74"/>
      <c r="D98" s="73"/>
      <c r="E98" s="73"/>
      <c r="F98" s="73"/>
      <c r="G98" s="73"/>
      <c r="H98" s="73"/>
      <c r="I98" s="73"/>
      <c r="J98" s="74"/>
      <c r="K98" s="73"/>
      <c r="L98" s="76"/>
      <c r="M98" s="76"/>
      <c r="N98" s="73"/>
      <c r="O98" s="73"/>
      <c r="P98" s="73"/>
      <c r="Q98" s="73"/>
      <c r="R98" s="73"/>
    </row>
    <row r="99" customFormat="false" ht="15" hidden="false" customHeight="false" outlineLevel="0" collapsed="false">
      <c r="A99" s="71" t="str">
        <f aca="false">IF(B99="","",ROW()-1)</f>
        <v/>
      </c>
      <c r="B99" s="73"/>
      <c r="C99" s="74"/>
      <c r="D99" s="73"/>
      <c r="E99" s="73"/>
      <c r="F99" s="73"/>
      <c r="G99" s="73"/>
      <c r="H99" s="73"/>
      <c r="I99" s="73"/>
      <c r="J99" s="74"/>
      <c r="K99" s="73"/>
      <c r="L99" s="76"/>
      <c r="M99" s="76"/>
      <c r="N99" s="73"/>
      <c r="O99" s="73"/>
      <c r="P99" s="73"/>
      <c r="Q99" s="73"/>
      <c r="R99" s="73"/>
    </row>
    <row r="100" customFormat="false" ht="15" hidden="false" customHeight="false" outlineLevel="0" collapsed="false">
      <c r="A100" s="71" t="str">
        <f aca="false">IF(B100="","",ROW()-1)</f>
        <v/>
      </c>
      <c r="B100" s="73"/>
      <c r="C100" s="74"/>
      <c r="D100" s="73"/>
      <c r="E100" s="73"/>
      <c r="F100" s="73"/>
      <c r="G100" s="73"/>
      <c r="H100" s="73"/>
      <c r="I100" s="73"/>
      <c r="J100" s="74"/>
      <c r="K100" s="73"/>
      <c r="L100" s="76"/>
      <c r="M100" s="76"/>
      <c r="N100" s="73"/>
      <c r="O100" s="73"/>
      <c r="P100" s="73"/>
      <c r="Q100" s="73"/>
      <c r="R100" s="73"/>
    </row>
    <row r="101" customFormat="false" ht="15" hidden="false" customHeight="false" outlineLevel="0" collapsed="false">
      <c r="A101" s="71" t="str">
        <f aca="false">IF(B101="","",ROW()-1)</f>
        <v/>
      </c>
      <c r="B101" s="73"/>
      <c r="C101" s="74"/>
      <c r="D101" s="73"/>
      <c r="E101" s="73"/>
      <c r="F101" s="73"/>
      <c r="G101" s="73"/>
      <c r="H101" s="73"/>
      <c r="I101" s="73"/>
      <c r="J101" s="74"/>
      <c r="K101" s="73"/>
      <c r="L101" s="76"/>
      <c r="M101" s="76"/>
      <c r="N101" s="73"/>
      <c r="O101" s="73"/>
      <c r="P101" s="73"/>
      <c r="Q101" s="73"/>
      <c r="R101" s="73"/>
    </row>
    <row r="102" customFormat="false" ht="15" hidden="false" customHeight="false" outlineLevel="0" collapsed="false">
      <c r="A102" s="71" t="str">
        <f aca="false">IF(B102="","",ROW()-1)</f>
        <v/>
      </c>
      <c r="B102" s="73"/>
      <c r="C102" s="74"/>
      <c r="D102" s="73"/>
      <c r="E102" s="73"/>
      <c r="F102" s="73"/>
      <c r="G102" s="73"/>
      <c r="H102" s="73"/>
      <c r="I102" s="73"/>
      <c r="J102" s="74"/>
      <c r="K102" s="73"/>
      <c r="L102" s="76"/>
      <c r="M102" s="76"/>
      <c r="N102" s="73"/>
      <c r="O102" s="73"/>
      <c r="P102" s="73"/>
      <c r="Q102" s="73"/>
      <c r="R102" s="73"/>
    </row>
    <row r="103" customFormat="false" ht="15" hidden="false" customHeight="false" outlineLevel="0" collapsed="false">
      <c r="A103" s="71" t="str">
        <f aca="false">IF(B103="","",ROW()-1)</f>
        <v/>
      </c>
      <c r="B103" s="73"/>
      <c r="C103" s="74"/>
      <c r="D103" s="73"/>
      <c r="E103" s="73"/>
      <c r="F103" s="73"/>
      <c r="G103" s="73"/>
      <c r="H103" s="73"/>
      <c r="I103" s="73"/>
      <c r="J103" s="74"/>
      <c r="K103" s="73"/>
      <c r="L103" s="76"/>
      <c r="M103" s="76"/>
      <c r="N103" s="73"/>
      <c r="O103" s="73"/>
      <c r="P103" s="73"/>
      <c r="Q103" s="73"/>
      <c r="R103" s="73"/>
    </row>
    <row r="104" customFormat="false" ht="15" hidden="false" customHeight="false" outlineLevel="0" collapsed="false">
      <c r="A104" s="71" t="str">
        <f aca="false">IF(B104="","",ROW()-1)</f>
        <v/>
      </c>
      <c r="B104" s="73"/>
      <c r="C104" s="74"/>
      <c r="D104" s="73"/>
      <c r="E104" s="73"/>
      <c r="F104" s="73"/>
      <c r="G104" s="73"/>
      <c r="H104" s="73"/>
      <c r="I104" s="73"/>
      <c r="J104" s="74"/>
      <c r="K104" s="73"/>
      <c r="L104" s="76"/>
      <c r="M104" s="76"/>
      <c r="N104" s="73"/>
      <c r="O104" s="73"/>
      <c r="P104" s="73"/>
      <c r="Q104" s="73"/>
      <c r="R104" s="73"/>
    </row>
    <row r="105" customFormat="false" ht="15" hidden="false" customHeight="false" outlineLevel="0" collapsed="false">
      <c r="A105" s="71" t="str">
        <f aca="false">IF(B105="","",ROW()-1)</f>
        <v/>
      </c>
      <c r="B105" s="73"/>
      <c r="C105" s="74"/>
      <c r="D105" s="73"/>
      <c r="E105" s="73"/>
      <c r="F105" s="73"/>
      <c r="G105" s="73"/>
      <c r="H105" s="73"/>
      <c r="I105" s="73"/>
      <c r="J105" s="74"/>
      <c r="K105" s="73"/>
      <c r="L105" s="76"/>
      <c r="M105" s="76"/>
      <c r="N105" s="73"/>
      <c r="O105" s="73"/>
      <c r="P105" s="73"/>
      <c r="Q105" s="73"/>
      <c r="R105" s="73"/>
    </row>
    <row r="106" customFormat="false" ht="15" hidden="false" customHeight="false" outlineLevel="0" collapsed="false">
      <c r="A106" s="71" t="str">
        <f aca="false">IF(B106="","",ROW()-1)</f>
        <v/>
      </c>
      <c r="B106" s="73"/>
      <c r="C106" s="74"/>
      <c r="D106" s="73"/>
      <c r="E106" s="73"/>
      <c r="F106" s="73"/>
      <c r="G106" s="73"/>
      <c r="H106" s="73"/>
      <c r="I106" s="73"/>
      <c r="J106" s="74"/>
      <c r="K106" s="73"/>
      <c r="L106" s="76"/>
      <c r="M106" s="76"/>
      <c r="N106" s="73"/>
      <c r="O106" s="73"/>
      <c r="P106" s="73"/>
      <c r="Q106" s="73"/>
      <c r="R106" s="73"/>
    </row>
    <row r="107" customFormat="false" ht="15" hidden="false" customHeight="false" outlineLevel="0" collapsed="false">
      <c r="A107" s="71" t="str">
        <f aca="false">IF(B107="","",ROW()-1)</f>
        <v/>
      </c>
      <c r="B107" s="73"/>
      <c r="C107" s="74"/>
      <c r="D107" s="73"/>
      <c r="E107" s="73"/>
      <c r="F107" s="73"/>
      <c r="G107" s="73"/>
      <c r="H107" s="73"/>
      <c r="I107" s="73"/>
      <c r="J107" s="74"/>
      <c r="K107" s="73"/>
      <c r="L107" s="76"/>
      <c r="M107" s="76"/>
      <c r="N107" s="73"/>
      <c r="O107" s="73"/>
      <c r="P107" s="73"/>
      <c r="Q107" s="73"/>
      <c r="R107" s="73"/>
    </row>
    <row r="108" customFormat="false" ht="15" hidden="false" customHeight="false" outlineLevel="0" collapsed="false">
      <c r="A108" s="71" t="str">
        <f aca="false">IF(B108="","",ROW()-1)</f>
        <v/>
      </c>
      <c r="B108" s="73"/>
      <c r="C108" s="74"/>
      <c r="D108" s="73"/>
      <c r="E108" s="73"/>
      <c r="F108" s="73"/>
      <c r="G108" s="73"/>
      <c r="H108" s="73"/>
      <c r="I108" s="73"/>
      <c r="J108" s="74"/>
      <c r="K108" s="73"/>
      <c r="L108" s="76"/>
      <c r="M108" s="76"/>
      <c r="N108" s="73"/>
      <c r="O108" s="73"/>
      <c r="P108" s="73"/>
      <c r="Q108" s="73"/>
      <c r="R108" s="73"/>
    </row>
    <row r="109" customFormat="false" ht="15" hidden="false" customHeight="false" outlineLevel="0" collapsed="false">
      <c r="A109" s="71" t="str">
        <f aca="false">IF(B109="","",ROW()-1)</f>
        <v/>
      </c>
      <c r="B109" s="73"/>
      <c r="C109" s="74"/>
      <c r="D109" s="73"/>
      <c r="E109" s="73"/>
      <c r="F109" s="73"/>
      <c r="G109" s="73"/>
      <c r="H109" s="73"/>
      <c r="I109" s="73"/>
      <c r="J109" s="74"/>
      <c r="K109" s="73"/>
      <c r="L109" s="76"/>
      <c r="M109" s="76"/>
      <c r="N109" s="73"/>
      <c r="O109" s="73"/>
      <c r="P109" s="73"/>
      <c r="Q109" s="73"/>
      <c r="R109" s="73"/>
    </row>
    <row r="110" customFormat="false" ht="15" hidden="false" customHeight="false" outlineLevel="0" collapsed="false">
      <c r="A110" s="71" t="str">
        <f aca="false">IF(B110="","",ROW()-1)</f>
        <v/>
      </c>
      <c r="B110" s="73"/>
      <c r="C110" s="74"/>
      <c r="D110" s="73"/>
      <c r="E110" s="73"/>
      <c r="F110" s="73"/>
      <c r="G110" s="73"/>
      <c r="H110" s="73"/>
      <c r="I110" s="73"/>
      <c r="J110" s="74"/>
      <c r="K110" s="73"/>
      <c r="L110" s="76"/>
      <c r="M110" s="76"/>
      <c r="N110" s="73"/>
      <c r="O110" s="73"/>
      <c r="P110" s="73"/>
      <c r="Q110" s="73"/>
      <c r="R110" s="73"/>
    </row>
    <row r="111" customFormat="false" ht="15" hidden="false" customHeight="false" outlineLevel="0" collapsed="false">
      <c r="A111" s="71" t="str">
        <f aca="false">IF(B111="","",ROW()-1)</f>
        <v/>
      </c>
      <c r="B111" s="73"/>
      <c r="C111" s="74"/>
      <c r="D111" s="73"/>
      <c r="E111" s="73"/>
      <c r="F111" s="73"/>
      <c r="G111" s="73"/>
      <c r="H111" s="73"/>
      <c r="I111" s="73"/>
      <c r="J111" s="74"/>
      <c r="K111" s="73"/>
      <c r="L111" s="76"/>
      <c r="M111" s="76"/>
      <c r="N111" s="73"/>
      <c r="O111" s="73"/>
      <c r="P111" s="73"/>
      <c r="Q111" s="73"/>
      <c r="R111" s="73"/>
    </row>
    <row r="112" customFormat="false" ht="15" hidden="false" customHeight="false" outlineLevel="0" collapsed="false">
      <c r="A112" s="71" t="str">
        <f aca="false">IF(B112="","",ROW()-1)</f>
        <v/>
      </c>
      <c r="B112" s="73"/>
      <c r="C112" s="74"/>
      <c r="D112" s="73"/>
      <c r="E112" s="73"/>
      <c r="F112" s="73"/>
      <c r="G112" s="73"/>
      <c r="H112" s="73"/>
      <c r="I112" s="73"/>
      <c r="J112" s="74"/>
      <c r="K112" s="73"/>
      <c r="L112" s="76"/>
      <c r="M112" s="76"/>
      <c r="N112" s="73"/>
      <c r="O112" s="73"/>
      <c r="P112" s="73"/>
      <c r="Q112" s="73"/>
      <c r="R112" s="73"/>
    </row>
    <row r="113" customFormat="false" ht="15" hidden="false" customHeight="false" outlineLevel="0" collapsed="false">
      <c r="A113" s="71" t="str">
        <f aca="false">IF(B113="","",ROW()-1)</f>
        <v/>
      </c>
      <c r="B113" s="73"/>
      <c r="C113" s="74"/>
      <c r="D113" s="73"/>
      <c r="E113" s="73"/>
      <c r="F113" s="73"/>
      <c r="G113" s="73"/>
      <c r="H113" s="73"/>
      <c r="I113" s="73"/>
      <c r="J113" s="74"/>
      <c r="K113" s="73"/>
      <c r="L113" s="76"/>
      <c r="M113" s="76"/>
      <c r="N113" s="73"/>
      <c r="O113" s="73"/>
      <c r="P113" s="73"/>
      <c r="Q113" s="73"/>
      <c r="R113" s="73"/>
    </row>
    <row r="114" customFormat="false" ht="15" hidden="false" customHeight="false" outlineLevel="0" collapsed="false">
      <c r="A114" s="71" t="str">
        <f aca="false">IF(B114="","",ROW()-1)</f>
        <v/>
      </c>
      <c r="B114" s="73"/>
      <c r="C114" s="74"/>
      <c r="D114" s="73"/>
      <c r="E114" s="73"/>
      <c r="F114" s="73"/>
      <c r="G114" s="73"/>
      <c r="H114" s="73"/>
      <c r="I114" s="73"/>
      <c r="J114" s="74"/>
      <c r="K114" s="73"/>
      <c r="L114" s="76"/>
      <c r="M114" s="76"/>
      <c r="N114" s="73"/>
      <c r="O114" s="73"/>
      <c r="P114" s="73"/>
      <c r="Q114" s="73"/>
      <c r="R114" s="73"/>
    </row>
    <row r="115" customFormat="false" ht="15" hidden="false" customHeight="false" outlineLevel="0" collapsed="false">
      <c r="A115" s="71" t="str">
        <f aca="false">IF(B115="","",ROW()-1)</f>
        <v/>
      </c>
      <c r="B115" s="73"/>
      <c r="C115" s="74"/>
      <c r="D115" s="73"/>
      <c r="E115" s="73"/>
      <c r="F115" s="73"/>
      <c r="G115" s="73"/>
      <c r="H115" s="73"/>
      <c r="I115" s="73"/>
      <c r="J115" s="74"/>
      <c r="K115" s="73"/>
      <c r="L115" s="76"/>
      <c r="M115" s="76"/>
      <c r="N115" s="73"/>
      <c r="O115" s="73"/>
      <c r="P115" s="73"/>
      <c r="Q115" s="73"/>
      <c r="R115" s="73"/>
    </row>
    <row r="116" customFormat="false" ht="15" hidden="false" customHeight="false" outlineLevel="0" collapsed="false">
      <c r="A116" s="71" t="str">
        <f aca="false">IF(B116="","",ROW()-1)</f>
        <v/>
      </c>
      <c r="B116" s="73"/>
      <c r="C116" s="74"/>
      <c r="D116" s="73"/>
      <c r="E116" s="73"/>
      <c r="F116" s="73"/>
      <c r="G116" s="73"/>
      <c r="H116" s="73"/>
      <c r="I116" s="73"/>
      <c r="J116" s="74"/>
      <c r="K116" s="73"/>
      <c r="L116" s="76"/>
      <c r="M116" s="76"/>
      <c r="N116" s="73"/>
      <c r="O116" s="73"/>
      <c r="P116" s="73"/>
      <c r="Q116" s="73"/>
      <c r="R116" s="73"/>
    </row>
    <row r="117" customFormat="false" ht="15" hidden="false" customHeight="false" outlineLevel="0" collapsed="false">
      <c r="A117" s="71" t="str">
        <f aca="false">IF(B117="","",ROW()-1)</f>
        <v/>
      </c>
      <c r="B117" s="73"/>
      <c r="C117" s="74"/>
      <c r="D117" s="73"/>
      <c r="E117" s="73"/>
      <c r="F117" s="73"/>
      <c r="G117" s="73"/>
      <c r="H117" s="73"/>
      <c r="I117" s="73"/>
      <c r="J117" s="74"/>
      <c r="K117" s="73"/>
      <c r="L117" s="76"/>
      <c r="M117" s="76"/>
      <c r="N117" s="73"/>
      <c r="O117" s="73"/>
      <c r="P117" s="73"/>
      <c r="Q117" s="73"/>
      <c r="R117" s="73"/>
    </row>
    <row r="118" customFormat="false" ht="15" hidden="false" customHeight="false" outlineLevel="0" collapsed="false">
      <c r="A118" s="71" t="str">
        <f aca="false">IF(B118="","",ROW()-1)</f>
        <v/>
      </c>
      <c r="B118" s="73"/>
      <c r="C118" s="74"/>
      <c r="D118" s="73"/>
      <c r="E118" s="73"/>
      <c r="F118" s="73"/>
      <c r="G118" s="73"/>
      <c r="H118" s="73"/>
      <c r="I118" s="73"/>
      <c r="J118" s="74"/>
      <c r="K118" s="73"/>
      <c r="L118" s="76"/>
      <c r="M118" s="76"/>
      <c r="N118" s="73"/>
      <c r="O118" s="73"/>
      <c r="P118" s="73"/>
      <c r="Q118" s="73"/>
      <c r="R118" s="73"/>
    </row>
    <row r="119" customFormat="false" ht="15" hidden="false" customHeight="false" outlineLevel="0" collapsed="false">
      <c r="A119" s="71" t="str">
        <f aca="false">IF(B119="","",ROW()-1)</f>
        <v/>
      </c>
      <c r="B119" s="73"/>
      <c r="C119" s="74"/>
      <c r="D119" s="73"/>
      <c r="E119" s="73"/>
      <c r="F119" s="73"/>
      <c r="G119" s="73"/>
      <c r="H119" s="73"/>
      <c r="I119" s="73"/>
      <c r="J119" s="74"/>
      <c r="K119" s="73"/>
      <c r="L119" s="76"/>
      <c r="M119" s="76"/>
      <c r="N119" s="73"/>
      <c r="O119" s="73"/>
      <c r="P119" s="73"/>
      <c r="Q119" s="73"/>
      <c r="R119" s="73"/>
    </row>
    <row r="120" customFormat="false" ht="15" hidden="false" customHeight="false" outlineLevel="0" collapsed="false">
      <c r="A120" s="71" t="str">
        <f aca="false">IF(B120="","",ROW()-1)</f>
        <v/>
      </c>
      <c r="B120" s="73"/>
      <c r="C120" s="74"/>
      <c r="D120" s="73"/>
      <c r="E120" s="73"/>
      <c r="F120" s="73"/>
      <c r="G120" s="73"/>
      <c r="H120" s="73"/>
      <c r="I120" s="73"/>
      <c r="J120" s="74"/>
      <c r="K120" s="73"/>
      <c r="L120" s="76"/>
      <c r="M120" s="76"/>
      <c r="N120" s="73"/>
      <c r="O120" s="73"/>
      <c r="P120" s="73"/>
      <c r="Q120" s="73"/>
      <c r="R120" s="73"/>
    </row>
    <row r="121" customFormat="false" ht="15" hidden="false" customHeight="false" outlineLevel="0" collapsed="false">
      <c r="A121" s="71" t="str">
        <f aca="false">IF(B121="","",ROW()-1)</f>
        <v/>
      </c>
      <c r="B121" s="73"/>
      <c r="C121" s="74"/>
      <c r="D121" s="73"/>
      <c r="E121" s="73"/>
      <c r="F121" s="73"/>
      <c r="G121" s="73"/>
      <c r="H121" s="73"/>
      <c r="I121" s="73"/>
      <c r="J121" s="74"/>
      <c r="K121" s="73"/>
      <c r="L121" s="76"/>
      <c r="M121" s="76"/>
      <c r="N121" s="73"/>
      <c r="O121" s="73"/>
      <c r="P121" s="73"/>
      <c r="Q121" s="73"/>
      <c r="R121" s="73"/>
    </row>
    <row r="122" customFormat="false" ht="15" hidden="false" customHeight="false" outlineLevel="0" collapsed="false">
      <c r="A122" s="71" t="str">
        <f aca="false">IF(B122="","",ROW()-1)</f>
        <v/>
      </c>
      <c r="B122" s="73"/>
      <c r="C122" s="74"/>
      <c r="D122" s="73"/>
      <c r="E122" s="73"/>
      <c r="F122" s="73"/>
      <c r="G122" s="73"/>
      <c r="H122" s="73"/>
      <c r="I122" s="73"/>
      <c r="J122" s="74"/>
      <c r="K122" s="73"/>
      <c r="L122" s="76"/>
      <c r="M122" s="76"/>
      <c r="N122" s="73"/>
      <c r="O122" s="73"/>
      <c r="P122" s="73"/>
      <c r="Q122" s="73"/>
      <c r="R122" s="73"/>
    </row>
    <row r="123" customFormat="false" ht="15" hidden="false" customHeight="false" outlineLevel="0" collapsed="false">
      <c r="A123" s="71" t="str">
        <f aca="false">IF(B123="","",ROW()-1)</f>
        <v/>
      </c>
      <c r="B123" s="73"/>
      <c r="C123" s="74"/>
      <c r="D123" s="73"/>
      <c r="E123" s="73"/>
      <c r="F123" s="73"/>
      <c r="G123" s="73"/>
      <c r="H123" s="73"/>
      <c r="I123" s="73"/>
      <c r="J123" s="74"/>
      <c r="K123" s="73"/>
      <c r="L123" s="76"/>
      <c r="M123" s="76"/>
      <c r="N123" s="73"/>
      <c r="O123" s="73"/>
      <c r="P123" s="73"/>
      <c r="Q123" s="73"/>
      <c r="R123" s="73"/>
    </row>
    <row r="124" customFormat="false" ht="15" hidden="false" customHeight="false" outlineLevel="0" collapsed="false">
      <c r="A124" s="71" t="str">
        <f aca="false">IF(B124="","",ROW()-1)</f>
        <v/>
      </c>
      <c r="B124" s="73"/>
      <c r="C124" s="74"/>
      <c r="D124" s="73"/>
      <c r="E124" s="73"/>
      <c r="F124" s="73"/>
      <c r="G124" s="73"/>
      <c r="H124" s="73"/>
      <c r="I124" s="73"/>
      <c r="J124" s="74"/>
      <c r="K124" s="73"/>
      <c r="L124" s="76"/>
      <c r="M124" s="76"/>
      <c r="N124" s="73"/>
      <c r="O124" s="73"/>
      <c r="P124" s="73"/>
      <c r="Q124" s="73"/>
      <c r="R124" s="73"/>
    </row>
    <row r="125" customFormat="false" ht="15" hidden="false" customHeight="false" outlineLevel="0" collapsed="false">
      <c r="A125" s="71" t="str">
        <f aca="false">IF(B125="","",ROW()-1)</f>
        <v/>
      </c>
      <c r="B125" s="73"/>
      <c r="C125" s="74"/>
      <c r="D125" s="73"/>
      <c r="E125" s="73"/>
      <c r="F125" s="73"/>
      <c r="G125" s="73"/>
      <c r="H125" s="73"/>
      <c r="I125" s="73"/>
      <c r="J125" s="74"/>
      <c r="K125" s="73"/>
      <c r="L125" s="76"/>
      <c r="M125" s="76"/>
      <c r="N125" s="73"/>
      <c r="O125" s="73"/>
      <c r="P125" s="73"/>
      <c r="Q125" s="73"/>
      <c r="R125" s="73"/>
    </row>
    <row r="126" customFormat="false" ht="15" hidden="false" customHeight="false" outlineLevel="0" collapsed="false">
      <c r="A126" s="71" t="str">
        <f aca="false">IF(B126="","",ROW()-1)</f>
        <v/>
      </c>
      <c r="B126" s="73"/>
      <c r="C126" s="74"/>
      <c r="D126" s="73"/>
      <c r="E126" s="73"/>
      <c r="F126" s="73"/>
      <c r="G126" s="73"/>
      <c r="H126" s="73"/>
      <c r="I126" s="73"/>
      <c r="J126" s="74"/>
      <c r="K126" s="73"/>
      <c r="L126" s="76"/>
      <c r="M126" s="76"/>
      <c r="N126" s="73"/>
      <c r="O126" s="73"/>
      <c r="P126" s="73"/>
      <c r="Q126" s="73"/>
      <c r="R126" s="73"/>
    </row>
    <row r="127" customFormat="false" ht="15" hidden="false" customHeight="false" outlineLevel="0" collapsed="false">
      <c r="A127" s="71" t="str">
        <f aca="false">IF(B127="","",ROW()-1)</f>
        <v/>
      </c>
      <c r="B127" s="73"/>
      <c r="C127" s="74"/>
      <c r="D127" s="73"/>
      <c r="E127" s="73"/>
      <c r="F127" s="73"/>
      <c r="G127" s="73"/>
      <c r="H127" s="73"/>
      <c r="I127" s="73"/>
      <c r="J127" s="74"/>
      <c r="K127" s="73"/>
      <c r="L127" s="76"/>
      <c r="M127" s="76"/>
      <c r="N127" s="73"/>
      <c r="O127" s="73"/>
      <c r="P127" s="73"/>
      <c r="Q127" s="73"/>
      <c r="R127" s="73"/>
    </row>
    <row r="128" customFormat="false" ht="15" hidden="false" customHeight="false" outlineLevel="0" collapsed="false">
      <c r="A128" s="71" t="str">
        <f aca="false">IF(B128="","",ROW()-1)</f>
        <v/>
      </c>
      <c r="B128" s="73"/>
      <c r="C128" s="74"/>
      <c r="D128" s="73"/>
      <c r="E128" s="73"/>
      <c r="F128" s="73"/>
      <c r="G128" s="73"/>
      <c r="H128" s="73"/>
      <c r="I128" s="73"/>
      <c r="J128" s="74"/>
      <c r="K128" s="73"/>
      <c r="L128" s="76"/>
      <c r="M128" s="76"/>
      <c r="N128" s="73"/>
      <c r="O128" s="73"/>
      <c r="P128" s="73"/>
      <c r="Q128" s="73"/>
      <c r="R128" s="73"/>
    </row>
    <row r="129" customFormat="false" ht="15" hidden="false" customHeight="false" outlineLevel="0" collapsed="false">
      <c r="A129" s="71" t="str">
        <f aca="false">IF(B129="","",ROW()-1)</f>
        <v/>
      </c>
      <c r="B129" s="73"/>
      <c r="C129" s="74"/>
      <c r="D129" s="73"/>
      <c r="E129" s="73"/>
      <c r="F129" s="73"/>
      <c r="G129" s="73"/>
      <c r="H129" s="73"/>
      <c r="I129" s="73"/>
      <c r="J129" s="74"/>
      <c r="K129" s="73"/>
      <c r="L129" s="76"/>
      <c r="M129" s="76"/>
      <c r="N129" s="73"/>
      <c r="O129" s="73"/>
      <c r="P129" s="73"/>
      <c r="Q129" s="73"/>
      <c r="R129" s="73"/>
    </row>
    <row r="130" customFormat="false" ht="15" hidden="false" customHeight="false" outlineLevel="0" collapsed="false">
      <c r="A130" s="71" t="str">
        <f aca="false">IF(B130="","",ROW()-1)</f>
        <v/>
      </c>
      <c r="B130" s="73"/>
      <c r="C130" s="74"/>
      <c r="D130" s="73"/>
      <c r="E130" s="73"/>
      <c r="F130" s="73"/>
      <c r="G130" s="73"/>
      <c r="H130" s="73"/>
      <c r="I130" s="73"/>
      <c r="J130" s="74"/>
      <c r="K130" s="73"/>
      <c r="L130" s="76"/>
      <c r="M130" s="76"/>
      <c r="N130" s="73"/>
      <c r="O130" s="73"/>
      <c r="P130" s="73"/>
      <c r="Q130" s="73"/>
      <c r="R130" s="73"/>
    </row>
    <row r="131" customFormat="false" ht="15" hidden="false" customHeight="false" outlineLevel="0" collapsed="false">
      <c r="A131" s="71" t="str">
        <f aca="false">IF(B131="","",ROW()-1)</f>
        <v/>
      </c>
      <c r="B131" s="73"/>
      <c r="C131" s="74"/>
      <c r="D131" s="73"/>
      <c r="E131" s="73"/>
      <c r="F131" s="73"/>
      <c r="G131" s="73"/>
      <c r="H131" s="73"/>
      <c r="I131" s="73"/>
      <c r="J131" s="74"/>
      <c r="K131" s="73"/>
      <c r="L131" s="76"/>
      <c r="M131" s="76"/>
      <c r="N131" s="73"/>
      <c r="O131" s="73"/>
      <c r="P131" s="73"/>
      <c r="Q131" s="73"/>
      <c r="R131" s="73"/>
    </row>
    <row r="132" customFormat="false" ht="15" hidden="false" customHeight="false" outlineLevel="0" collapsed="false">
      <c r="A132" s="71" t="str">
        <f aca="false">IF(B132="","",ROW()-1)</f>
        <v/>
      </c>
      <c r="B132" s="73"/>
      <c r="C132" s="74"/>
      <c r="D132" s="73"/>
      <c r="E132" s="73"/>
      <c r="F132" s="73"/>
      <c r="G132" s="73"/>
      <c r="H132" s="73"/>
      <c r="I132" s="73"/>
      <c r="J132" s="74"/>
      <c r="K132" s="73"/>
      <c r="L132" s="76"/>
      <c r="M132" s="76"/>
      <c r="N132" s="73"/>
      <c r="O132" s="73"/>
      <c r="P132" s="73"/>
      <c r="Q132" s="73"/>
      <c r="R132" s="73"/>
    </row>
    <row r="133" customFormat="false" ht="15" hidden="false" customHeight="false" outlineLevel="0" collapsed="false">
      <c r="A133" s="71" t="str">
        <f aca="false">IF(B133="","",ROW()-1)</f>
        <v/>
      </c>
      <c r="B133" s="73"/>
      <c r="C133" s="74"/>
      <c r="D133" s="73"/>
      <c r="E133" s="73"/>
      <c r="F133" s="73"/>
      <c r="G133" s="73"/>
      <c r="H133" s="73"/>
      <c r="I133" s="73"/>
      <c r="J133" s="74"/>
      <c r="K133" s="73"/>
      <c r="L133" s="76"/>
      <c r="M133" s="76"/>
      <c r="N133" s="73"/>
      <c r="O133" s="73"/>
      <c r="P133" s="73"/>
      <c r="Q133" s="73"/>
      <c r="R133" s="73"/>
    </row>
    <row r="134" customFormat="false" ht="15" hidden="false" customHeight="false" outlineLevel="0" collapsed="false">
      <c r="A134" s="71" t="str">
        <f aca="false">IF(B134="","",ROW()-1)</f>
        <v/>
      </c>
      <c r="B134" s="73"/>
      <c r="C134" s="74"/>
      <c r="D134" s="73"/>
      <c r="E134" s="73"/>
      <c r="F134" s="73"/>
      <c r="G134" s="73"/>
      <c r="H134" s="73"/>
      <c r="I134" s="73"/>
      <c r="J134" s="74"/>
      <c r="K134" s="73"/>
      <c r="L134" s="76"/>
      <c r="M134" s="76"/>
      <c r="N134" s="73"/>
      <c r="O134" s="73"/>
      <c r="P134" s="73"/>
      <c r="Q134" s="73"/>
      <c r="R134" s="73"/>
    </row>
    <row r="135" customFormat="false" ht="15" hidden="false" customHeight="false" outlineLevel="0" collapsed="false">
      <c r="A135" s="71" t="str">
        <f aca="false">IF(B135="","",ROW()-1)</f>
        <v/>
      </c>
      <c r="B135" s="73"/>
      <c r="C135" s="74"/>
      <c r="D135" s="73"/>
      <c r="E135" s="73"/>
      <c r="F135" s="73"/>
      <c r="G135" s="73"/>
      <c r="H135" s="73"/>
      <c r="I135" s="73"/>
      <c r="J135" s="74"/>
      <c r="K135" s="73"/>
      <c r="L135" s="76"/>
      <c r="M135" s="76"/>
      <c r="N135" s="73"/>
      <c r="O135" s="73"/>
      <c r="P135" s="73"/>
      <c r="Q135" s="73"/>
      <c r="R135" s="73"/>
    </row>
    <row r="136" customFormat="false" ht="15" hidden="false" customHeight="false" outlineLevel="0" collapsed="false">
      <c r="A136" s="71" t="str">
        <f aca="false">IF(B136="","",ROW()-1)</f>
        <v/>
      </c>
      <c r="B136" s="73"/>
      <c r="C136" s="74"/>
      <c r="D136" s="73"/>
      <c r="E136" s="73"/>
      <c r="F136" s="73"/>
      <c r="G136" s="73"/>
      <c r="H136" s="73"/>
      <c r="I136" s="73"/>
      <c r="J136" s="74"/>
      <c r="K136" s="73"/>
      <c r="L136" s="76"/>
      <c r="M136" s="76"/>
      <c r="N136" s="73"/>
      <c r="O136" s="73"/>
      <c r="P136" s="73"/>
      <c r="Q136" s="73"/>
      <c r="R136" s="73"/>
    </row>
    <row r="137" customFormat="false" ht="15" hidden="false" customHeight="false" outlineLevel="0" collapsed="false">
      <c r="A137" s="71" t="str">
        <f aca="false">IF(B137="","",ROW()-1)</f>
        <v/>
      </c>
      <c r="B137" s="73"/>
      <c r="C137" s="74"/>
      <c r="D137" s="73"/>
      <c r="E137" s="73"/>
      <c r="F137" s="73"/>
      <c r="G137" s="73"/>
      <c r="H137" s="73"/>
      <c r="I137" s="73"/>
      <c r="J137" s="74"/>
      <c r="K137" s="73"/>
      <c r="L137" s="76"/>
      <c r="M137" s="76"/>
      <c r="N137" s="73"/>
      <c r="O137" s="73"/>
      <c r="P137" s="73"/>
      <c r="Q137" s="73"/>
      <c r="R137" s="73"/>
    </row>
    <row r="138" customFormat="false" ht="15" hidden="false" customHeight="false" outlineLevel="0" collapsed="false">
      <c r="A138" s="71" t="str">
        <f aca="false">IF(B138="","",ROW()-1)</f>
        <v/>
      </c>
      <c r="B138" s="73"/>
      <c r="C138" s="74"/>
      <c r="D138" s="73"/>
      <c r="E138" s="73"/>
      <c r="F138" s="73"/>
      <c r="G138" s="73"/>
      <c r="H138" s="73"/>
      <c r="I138" s="73"/>
      <c r="J138" s="74"/>
      <c r="K138" s="73"/>
      <c r="L138" s="76"/>
      <c r="M138" s="76"/>
      <c r="N138" s="73"/>
      <c r="O138" s="73"/>
      <c r="P138" s="73"/>
      <c r="Q138" s="73"/>
      <c r="R138" s="73"/>
    </row>
    <row r="139" customFormat="false" ht="15" hidden="false" customHeight="false" outlineLevel="0" collapsed="false">
      <c r="A139" s="71" t="str">
        <f aca="false">IF(B139="","",ROW()-1)</f>
        <v/>
      </c>
      <c r="B139" s="73"/>
      <c r="C139" s="74"/>
      <c r="D139" s="73"/>
      <c r="E139" s="73"/>
      <c r="F139" s="73"/>
      <c r="G139" s="73"/>
      <c r="H139" s="73"/>
      <c r="I139" s="73"/>
      <c r="J139" s="74"/>
      <c r="K139" s="73"/>
      <c r="L139" s="76"/>
      <c r="M139" s="76"/>
      <c r="N139" s="73"/>
      <c r="O139" s="73"/>
      <c r="P139" s="73"/>
      <c r="Q139" s="73"/>
      <c r="R139" s="73"/>
    </row>
    <row r="140" customFormat="false" ht="15" hidden="false" customHeight="false" outlineLevel="0" collapsed="false">
      <c r="A140" s="71" t="str">
        <f aca="false">IF(B140="","",ROW()-1)</f>
        <v/>
      </c>
      <c r="B140" s="73"/>
      <c r="C140" s="74"/>
      <c r="D140" s="73"/>
      <c r="E140" s="73"/>
      <c r="F140" s="73"/>
      <c r="G140" s="73"/>
      <c r="H140" s="73"/>
      <c r="I140" s="73"/>
      <c r="J140" s="74"/>
      <c r="K140" s="73"/>
      <c r="L140" s="76"/>
      <c r="M140" s="76"/>
      <c r="N140" s="73"/>
      <c r="O140" s="73"/>
      <c r="P140" s="73"/>
      <c r="Q140" s="73"/>
      <c r="R140" s="73"/>
    </row>
    <row r="141" customFormat="false" ht="15" hidden="false" customHeight="false" outlineLevel="0" collapsed="false">
      <c r="A141" s="71" t="str">
        <f aca="false">IF(B141="","",ROW()-1)</f>
        <v/>
      </c>
      <c r="B141" s="73"/>
      <c r="C141" s="74"/>
      <c r="D141" s="73"/>
      <c r="E141" s="73"/>
      <c r="F141" s="73"/>
      <c r="G141" s="73"/>
      <c r="H141" s="73"/>
      <c r="I141" s="73"/>
      <c r="J141" s="74"/>
      <c r="K141" s="73"/>
      <c r="L141" s="76"/>
      <c r="M141" s="76"/>
      <c r="N141" s="73"/>
      <c r="O141" s="73"/>
      <c r="P141" s="73"/>
      <c r="Q141" s="73"/>
      <c r="R141" s="73"/>
    </row>
    <row r="142" customFormat="false" ht="15" hidden="false" customHeight="false" outlineLevel="0" collapsed="false">
      <c r="A142" s="71" t="str">
        <f aca="false">IF(B142="","",ROW()-1)</f>
        <v/>
      </c>
      <c r="B142" s="73"/>
      <c r="C142" s="74"/>
      <c r="D142" s="73"/>
      <c r="E142" s="73"/>
      <c r="F142" s="73"/>
      <c r="G142" s="73"/>
      <c r="H142" s="73"/>
      <c r="I142" s="73"/>
      <c r="J142" s="74"/>
      <c r="K142" s="73"/>
      <c r="L142" s="76"/>
      <c r="M142" s="76"/>
      <c r="N142" s="73"/>
      <c r="O142" s="73"/>
      <c r="P142" s="73"/>
      <c r="Q142" s="73"/>
      <c r="R142" s="73"/>
    </row>
    <row r="143" customFormat="false" ht="15" hidden="false" customHeight="false" outlineLevel="0" collapsed="false">
      <c r="A143" s="71" t="str">
        <f aca="false">IF(B143="","",ROW()-1)</f>
        <v/>
      </c>
      <c r="B143" s="73"/>
      <c r="C143" s="74"/>
      <c r="D143" s="73"/>
      <c r="E143" s="73"/>
      <c r="F143" s="73"/>
      <c r="G143" s="73"/>
      <c r="H143" s="73"/>
      <c r="I143" s="73"/>
      <c r="J143" s="74"/>
      <c r="K143" s="73"/>
      <c r="L143" s="76"/>
      <c r="M143" s="76"/>
      <c r="N143" s="73"/>
      <c r="O143" s="73"/>
      <c r="P143" s="73"/>
      <c r="Q143" s="73"/>
      <c r="R143" s="73"/>
    </row>
    <row r="144" customFormat="false" ht="15" hidden="false" customHeight="false" outlineLevel="0" collapsed="false">
      <c r="A144" s="71" t="str">
        <f aca="false">IF(B144="","",ROW()-1)</f>
        <v/>
      </c>
      <c r="B144" s="73"/>
      <c r="C144" s="74"/>
      <c r="D144" s="73"/>
      <c r="E144" s="73"/>
      <c r="F144" s="73"/>
      <c r="G144" s="73"/>
      <c r="H144" s="73"/>
      <c r="I144" s="73"/>
      <c r="J144" s="74"/>
      <c r="K144" s="73"/>
      <c r="L144" s="76"/>
      <c r="M144" s="76"/>
      <c r="N144" s="73"/>
      <c r="O144" s="73"/>
      <c r="P144" s="73"/>
      <c r="Q144" s="73"/>
      <c r="R144" s="73"/>
    </row>
    <row r="145" customFormat="false" ht="15" hidden="false" customHeight="false" outlineLevel="0" collapsed="false">
      <c r="A145" s="71" t="str">
        <f aca="false">IF(B145="","",ROW()-1)</f>
        <v/>
      </c>
      <c r="B145" s="73"/>
      <c r="C145" s="74"/>
      <c r="D145" s="73"/>
      <c r="E145" s="73"/>
      <c r="F145" s="73"/>
      <c r="G145" s="73"/>
      <c r="H145" s="73"/>
      <c r="I145" s="73"/>
      <c r="J145" s="74"/>
      <c r="K145" s="73"/>
      <c r="L145" s="76"/>
      <c r="M145" s="76"/>
      <c r="N145" s="73"/>
      <c r="O145" s="73"/>
      <c r="P145" s="73"/>
      <c r="Q145" s="73"/>
      <c r="R145" s="73"/>
    </row>
    <row r="146" customFormat="false" ht="15" hidden="false" customHeight="false" outlineLevel="0" collapsed="false">
      <c r="A146" s="71" t="str">
        <f aca="false">IF(B146="","",ROW()-1)</f>
        <v/>
      </c>
      <c r="B146" s="73"/>
      <c r="C146" s="74"/>
      <c r="D146" s="73"/>
      <c r="E146" s="73"/>
      <c r="F146" s="73"/>
      <c r="G146" s="73"/>
      <c r="H146" s="73"/>
      <c r="I146" s="73"/>
      <c r="J146" s="74"/>
      <c r="K146" s="73"/>
      <c r="L146" s="76"/>
      <c r="M146" s="76"/>
      <c r="N146" s="73"/>
      <c r="O146" s="73"/>
      <c r="P146" s="73"/>
      <c r="Q146" s="73"/>
      <c r="R146" s="73"/>
    </row>
    <row r="147" customFormat="false" ht="15" hidden="false" customHeight="false" outlineLevel="0" collapsed="false">
      <c r="A147" s="71" t="str">
        <f aca="false">IF(B147="","",ROW()-1)</f>
        <v/>
      </c>
      <c r="B147" s="73"/>
      <c r="C147" s="74"/>
      <c r="D147" s="73"/>
      <c r="E147" s="73"/>
      <c r="F147" s="73"/>
      <c r="G147" s="73"/>
      <c r="H147" s="73"/>
      <c r="I147" s="73"/>
      <c r="J147" s="74"/>
      <c r="K147" s="73"/>
      <c r="L147" s="76"/>
      <c r="M147" s="76"/>
      <c r="N147" s="73"/>
      <c r="O147" s="73"/>
      <c r="P147" s="73"/>
      <c r="Q147" s="73"/>
      <c r="R147" s="73"/>
    </row>
    <row r="148" customFormat="false" ht="15" hidden="false" customHeight="false" outlineLevel="0" collapsed="false">
      <c r="A148" s="71" t="str">
        <f aca="false">IF(B148="","",ROW()-1)</f>
        <v/>
      </c>
      <c r="B148" s="73"/>
      <c r="C148" s="74"/>
      <c r="D148" s="73"/>
      <c r="E148" s="73"/>
      <c r="F148" s="73"/>
      <c r="G148" s="73"/>
      <c r="H148" s="73"/>
      <c r="I148" s="73"/>
      <c r="J148" s="74"/>
      <c r="K148" s="73"/>
      <c r="L148" s="76"/>
      <c r="M148" s="76"/>
      <c r="N148" s="73"/>
      <c r="O148" s="73"/>
      <c r="P148" s="73"/>
      <c r="Q148" s="73"/>
      <c r="R148" s="73"/>
    </row>
    <row r="149" customFormat="false" ht="15" hidden="false" customHeight="false" outlineLevel="0" collapsed="false">
      <c r="A149" s="71" t="str">
        <f aca="false">IF(B149="","",ROW()-1)</f>
        <v/>
      </c>
      <c r="B149" s="73"/>
      <c r="C149" s="74"/>
      <c r="D149" s="73"/>
      <c r="E149" s="73"/>
      <c r="F149" s="73"/>
      <c r="G149" s="73"/>
      <c r="H149" s="73"/>
      <c r="I149" s="73"/>
      <c r="J149" s="74"/>
      <c r="K149" s="73"/>
      <c r="L149" s="76"/>
      <c r="M149" s="76"/>
      <c r="N149" s="73"/>
      <c r="O149" s="73"/>
      <c r="P149" s="73"/>
      <c r="Q149" s="73"/>
      <c r="R149" s="73"/>
    </row>
    <row r="150" customFormat="false" ht="15" hidden="false" customHeight="false" outlineLevel="0" collapsed="false">
      <c r="A150" s="71" t="str">
        <f aca="false">IF(B150="","",ROW()-1)</f>
        <v/>
      </c>
      <c r="B150" s="73"/>
      <c r="C150" s="74"/>
      <c r="D150" s="73"/>
      <c r="E150" s="73"/>
      <c r="F150" s="73"/>
      <c r="G150" s="73"/>
      <c r="H150" s="73"/>
      <c r="I150" s="73"/>
      <c r="J150" s="74"/>
      <c r="K150" s="73"/>
      <c r="L150" s="76"/>
      <c r="M150" s="76"/>
      <c r="N150" s="73"/>
      <c r="O150" s="73"/>
      <c r="P150" s="73"/>
      <c r="Q150" s="73"/>
      <c r="R150" s="73"/>
    </row>
    <row r="151" customFormat="false" ht="15" hidden="false" customHeight="false" outlineLevel="0" collapsed="false">
      <c r="A151" s="71" t="str">
        <f aca="false">IF(B151="","",ROW()-1)</f>
        <v/>
      </c>
      <c r="B151" s="73"/>
      <c r="C151" s="74"/>
      <c r="D151" s="73"/>
      <c r="E151" s="73"/>
      <c r="F151" s="73"/>
      <c r="G151" s="73"/>
      <c r="H151" s="73"/>
      <c r="I151" s="73"/>
      <c r="J151" s="74"/>
      <c r="K151" s="73"/>
      <c r="L151" s="76"/>
      <c r="M151" s="76"/>
      <c r="N151" s="73"/>
      <c r="O151" s="73"/>
      <c r="P151" s="73"/>
      <c r="Q151" s="73"/>
      <c r="R151" s="73"/>
    </row>
    <row r="152" customFormat="false" ht="15" hidden="false" customHeight="false" outlineLevel="0" collapsed="false">
      <c r="A152" s="71" t="str">
        <f aca="false">IF(B152="","",ROW()-1)</f>
        <v/>
      </c>
      <c r="B152" s="73"/>
      <c r="C152" s="74"/>
      <c r="D152" s="73"/>
      <c r="E152" s="73"/>
      <c r="F152" s="73"/>
      <c r="G152" s="73"/>
      <c r="H152" s="73"/>
      <c r="I152" s="73"/>
      <c r="J152" s="74"/>
      <c r="K152" s="73"/>
      <c r="L152" s="76"/>
      <c r="M152" s="76"/>
      <c r="N152" s="73"/>
      <c r="O152" s="73"/>
      <c r="P152" s="73"/>
      <c r="Q152" s="73"/>
      <c r="R152" s="73"/>
    </row>
    <row r="153" customFormat="false" ht="15" hidden="false" customHeight="false" outlineLevel="0" collapsed="false">
      <c r="A153" s="71" t="str">
        <f aca="false">IF(B153="","",ROW()-1)</f>
        <v/>
      </c>
      <c r="B153" s="73"/>
      <c r="C153" s="74"/>
      <c r="D153" s="73"/>
      <c r="E153" s="73"/>
      <c r="F153" s="73"/>
      <c r="G153" s="73"/>
      <c r="H153" s="73"/>
      <c r="I153" s="73"/>
      <c r="J153" s="74"/>
      <c r="K153" s="73"/>
      <c r="L153" s="76"/>
      <c r="M153" s="76"/>
      <c r="N153" s="73"/>
      <c r="O153" s="73"/>
      <c r="P153" s="73"/>
      <c r="Q153" s="73"/>
      <c r="R153" s="73"/>
    </row>
    <row r="154" customFormat="false" ht="15" hidden="false" customHeight="false" outlineLevel="0" collapsed="false">
      <c r="A154" s="71" t="str">
        <f aca="false">IF(B154="","",ROW()-1)</f>
        <v/>
      </c>
      <c r="B154" s="73"/>
      <c r="C154" s="74"/>
      <c r="D154" s="73"/>
      <c r="E154" s="73"/>
      <c r="F154" s="73"/>
      <c r="G154" s="73"/>
      <c r="H154" s="73"/>
      <c r="I154" s="73"/>
      <c r="J154" s="74"/>
      <c r="K154" s="73"/>
      <c r="L154" s="76"/>
      <c r="M154" s="76"/>
      <c r="N154" s="73"/>
      <c r="O154" s="73"/>
      <c r="P154" s="73"/>
      <c r="Q154" s="73"/>
      <c r="R154" s="73"/>
    </row>
    <row r="155" customFormat="false" ht="15" hidden="false" customHeight="false" outlineLevel="0" collapsed="false">
      <c r="A155" s="71" t="str">
        <f aca="false">IF(B155="","",ROW()-1)</f>
        <v/>
      </c>
      <c r="B155" s="73"/>
      <c r="C155" s="74"/>
      <c r="D155" s="73"/>
      <c r="E155" s="73"/>
      <c r="F155" s="73"/>
      <c r="G155" s="73"/>
      <c r="H155" s="73"/>
      <c r="I155" s="73"/>
      <c r="J155" s="74"/>
      <c r="K155" s="73"/>
      <c r="L155" s="76"/>
      <c r="M155" s="76"/>
      <c r="N155" s="73"/>
      <c r="O155" s="73"/>
      <c r="P155" s="73"/>
      <c r="Q155" s="73"/>
      <c r="R155" s="73"/>
    </row>
    <row r="156" customFormat="false" ht="15" hidden="false" customHeight="false" outlineLevel="0" collapsed="false">
      <c r="A156" s="71" t="str">
        <f aca="false">IF(B156="","",ROW()-1)</f>
        <v/>
      </c>
      <c r="B156" s="73"/>
      <c r="C156" s="74"/>
      <c r="D156" s="73"/>
      <c r="E156" s="73"/>
      <c r="F156" s="73"/>
      <c r="G156" s="73"/>
      <c r="H156" s="73"/>
      <c r="I156" s="73"/>
      <c r="J156" s="74"/>
      <c r="K156" s="73"/>
      <c r="L156" s="76"/>
      <c r="M156" s="76"/>
      <c r="N156" s="73"/>
      <c r="O156" s="73"/>
      <c r="P156" s="73"/>
      <c r="Q156" s="73"/>
      <c r="R156" s="73"/>
    </row>
    <row r="157" customFormat="false" ht="15" hidden="false" customHeight="false" outlineLevel="0" collapsed="false">
      <c r="A157" s="71" t="str">
        <f aca="false">IF(B157="","",ROW()-1)</f>
        <v/>
      </c>
      <c r="B157" s="73"/>
      <c r="C157" s="74"/>
      <c r="D157" s="73"/>
      <c r="E157" s="73"/>
      <c r="F157" s="73"/>
      <c r="G157" s="73"/>
      <c r="H157" s="73"/>
      <c r="I157" s="73"/>
      <c r="J157" s="74"/>
      <c r="K157" s="73"/>
      <c r="L157" s="76"/>
      <c r="M157" s="76"/>
      <c r="N157" s="73"/>
      <c r="O157" s="73"/>
      <c r="P157" s="73"/>
      <c r="Q157" s="73"/>
      <c r="R157" s="73"/>
    </row>
    <row r="158" customFormat="false" ht="15" hidden="false" customHeight="false" outlineLevel="0" collapsed="false">
      <c r="A158" s="71" t="str">
        <f aca="false">IF(B158="","",ROW()-1)</f>
        <v/>
      </c>
      <c r="B158" s="73"/>
      <c r="C158" s="74"/>
      <c r="D158" s="73"/>
      <c r="E158" s="73"/>
      <c r="F158" s="73"/>
      <c r="G158" s="73"/>
      <c r="H158" s="73"/>
      <c r="I158" s="73"/>
      <c r="J158" s="74"/>
      <c r="K158" s="73"/>
      <c r="L158" s="76"/>
      <c r="M158" s="76"/>
      <c r="N158" s="73"/>
      <c r="O158" s="73"/>
      <c r="P158" s="73"/>
      <c r="Q158" s="73"/>
      <c r="R158" s="73"/>
    </row>
    <row r="159" customFormat="false" ht="15" hidden="false" customHeight="false" outlineLevel="0" collapsed="false">
      <c r="A159" s="71" t="str">
        <f aca="false">IF(B159="","",ROW()-1)</f>
        <v/>
      </c>
      <c r="B159" s="73"/>
      <c r="C159" s="74"/>
      <c r="D159" s="73"/>
      <c r="E159" s="73"/>
      <c r="F159" s="73"/>
      <c r="G159" s="73"/>
      <c r="H159" s="73"/>
      <c r="I159" s="73"/>
      <c r="J159" s="74"/>
      <c r="K159" s="73"/>
      <c r="L159" s="76"/>
      <c r="M159" s="76"/>
      <c r="N159" s="73"/>
      <c r="O159" s="73"/>
      <c r="P159" s="73"/>
      <c r="Q159" s="73"/>
      <c r="R159" s="73"/>
    </row>
    <row r="160" customFormat="false" ht="15" hidden="false" customHeight="false" outlineLevel="0" collapsed="false">
      <c r="A160" s="71" t="str">
        <f aca="false">IF(B160="","",ROW()-1)</f>
        <v/>
      </c>
      <c r="B160" s="73"/>
      <c r="C160" s="74"/>
      <c r="D160" s="73"/>
      <c r="E160" s="73"/>
      <c r="F160" s="73"/>
      <c r="G160" s="73"/>
      <c r="H160" s="73"/>
      <c r="I160" s="73"/>
      <c r="J160" s="74"/>
      <c r="K160" s="73"/>
      <c r="L160" s="76"/>
      <c r="M160" s="76"/>
      <c r="N160" s="73"/>
      <c r="O160" s="73"/>
      <c r="P160" s="73"/>
      <c r="Q160" s="73"/>
      <c r="R160" s="73"/>
    </row>
    <row r="161" customFormat="false" ht="15" hidden="false" customHeight="false" outlineLevel="0" collapsed="false">
      <c r="A161" s="71" t="str">
        <f aca="false">IF(B161="","",ROW()-1)</f>
        <v/>
      </c>
      <c r="B161" s="73"/>
      <c r="C161" s="74"/>
      <c r="D161" s="73"/>
      <c r="E161" s="73"/>
      <c r="F161" s="73"/>
      <c r="G161" s="73"/>
      <c r="H161" s="73"/>
      <c r="I161" s="73"/>
      <c r="J161" s="74"/>
      <c r="K161" s="73"/>
      <c r="L161" s="76"/>
      <c r="M161" s="76"/>
      <c r="N161" s="73"/>
      <c r="O161" s="73"/>
      <c r="P161" s="73"/>
      <c r="Q161" s="73"/>
      <c r="R161" s="73"/>
    </row>
    <row r="162" customFormat="false" ht="15" hidden="false" customHeight="false" outlineLevel="0" collapsed="false">
      <c r="A162" s="71" t="str">
        <f aca="false">IF(B162="","",ROW()-1)</f>
        <v/>
      </c>
      <c r="B162" s="73"/>
      <c r="C162" s="74"/>
      <c r="D162" s="73"/>
      <c r="E162" s="73"/>
      <c r="F162" s="73"/>
      <c r="G162" s="73"/>
      <c r="H162" s="73"/>
      <c r="I162" s="73"/>
      <c r="J162" s="74"/>
      <c r="K162" s="73"/>
      <c r="L162" s="76"/>
      <c r="M162" s="76"/>
      <c r="N162" s="73"/>
      <c r="O162" s="73"/>
      <c r="P162" s="73"/>
      <c r="Q162" s="73"/>
      <c r="R162" s="73"/>
    </row>
    <row r="163" customFormat="false" ht="15" hidden="false" customHeight="false" outlineLevel="0" collapsed="false">
      <c r="A163" s="71" t="str">
        <f aca="false">IF(B163="","",ROW()-1)</f>
        <v/>
      </c>
      <c r="B163" s="73"/>
      <c r="C163" s="74"/>
      <c r="D163" s="73"/>
      <c r="E163" s="73"/>
      <c r="F163" s="73"/>
      <c r="G163" s="73"/>
      <c r="H163" s="73"/>
      <c r="I163" s="73"/>
      <c r="J163" s="74"/>
      <c r="K163" s="73"/>
      <c r="L163" s="76"/>
      <c r="M163" s="76"/>
      <c r="N163" s="73"/>
      <c r="O163" s="73"/>
      <c r="P163" s="73"/>
      <c r="Q163" s="73"/>
      <c r="R163" s="73"/>
    </row>
    <row r="164" customFormat="false" ht="15" hidden="false" customHeight="false" outlineLevel="0" collapsed="false">
      <c r="A164" s="71" t="str">
        <f aca="false">IF(B164="","",ROW()-1)</f>
        <v/>
      </c>
      <c r="B164" s="73"/>
      <c r="C164" s="74"/>
      <c r="D164" s="73"/>
      <c r="E164" s="73"/>
      <c r="F164" s="73"/>
      <c r="G164" s="73"/>
      <c r="H164" s="73"/>
      <c r="I164" s="73"/>
      <c r="J164" s="74"/>
      <c r="K164" s="73"/>
      <c r="L164" s="76"/>
      <c r="M164" s="76"/>
      <c r="N164" s="73"/>
      <c r="O164" s="73"/>
      <c r="P164" s="73"/>
      <c r="Q164" s="73"/>
      <c r="R164" s="73"/>
    </row>
    <row r="165" customFormat="false" ht="15" hidden="false" customHeight="false" outlineLevel="0" collapsed="false">
      <c r="A165" s="71" t="str">
        <f aca="false">IF(B165="","",ROW()-1)</f>
        <v/>
      </c>
      <c r="B165" s="73"/>
      <c r="C165" s="74"/>
      <c r="D165" s="73"/>
      <c r="E165" s="73"/>
      <c r="F165" s="73"/>
      <c r="G165" s="73"/>
      <c r="H165" s="73"/>
      <c r="I165" s="73"/>
      <c r="J165" s="74"/>
      <c r="K165" s="73"/>
      <c r="L165" s="76"/>
      <c r="M165" s="76"/>
      <c r="N165" s="73"/>
      <c r="O165" s="73"/>
      <c r="P165" s="73"/>
      <c r="Q165" s="73"/>
      <c r="R165" s="73"/>
    </row>
    <row r="166" customFormat="false" ht="15" hidden="false" customHeight="false" outlineLevel="0" collapsed="false">
      <c r="A166" s="71" t="str">
        <f aca="false">IF(B166="","",ROW()-1)</f>
        <v/>
      </c>
      <c r="B166" s="73"/>
      <c r="C166" s="74"/>
      <c r="D166" s="73"/>
      <c r="E166" s="73"/>
      <c r="F166" s="73"/>
      <c r="G166" s="73"/>
      <c r="H166" s="73"/>
      <c r="I166" s="73"/>
      <c r="J166" s="74"/>
      <c r="K166" s="73"/>
      <c r="L166" s="76"/>
      <c r="M166" s="76"/>
      <c r="N166" s="73"/>
      <c r="O166" s="73"/>
      <c r="P166" s="73"/>
      <c r="Q166" s="73"/>
      <c r="R166" s="73"/>
    </row>
    <row r="167" customFormat="false" ht="15" hidden="false" customHeight="false" outlineLevel="0" collapsed="false">
      <c r="A167" s="71" t="str">
        <f aca="false">IF(B167="","",ROW()-1)</f>
        <v/>
      </c>
      <c r="B167" s="73"/>
      <c r="C167" s="74"/>
      <c r="D167" s="73"/>
      <c r="E167" s="73"/>
      <c r="F167" s="73"/>
      <c r="G167" s="73"/>
      <c r="H167" s="73"/>
      <c r="I167" s="73"/>
      <c r="J167" s="74"/>
      <c r="K167" s="73"/>
      <c r="L167" s="76"/>
      <c r="M167" s="76"/>
      <c r="N167" s="73"/>
      <c r="O167" s="73"/>
      <c r="P167" s="73"/>
      <c r="Q167" s="73"/>
      <c r="R167" s="73"/>
    </row>
    <row r="168" customFormat="false" ht="15" hidden="false" customHeight="false" outlineLevel="0" collapsed="false">
      <c r="A168" s="71" t="str">
        <f aca="false">IF(B168="","",ROW()-1)</f>
        <v/>
      </c>
      <c r="B168" s="73"/>
      <c r="C168" s="74"/>
      <c r="D168" s="73"/>
      <c r="E168" s="73"/>
      <c r="F168" s="73"/>
      <c r="G168" s="73"/>
      <c r="H168" s="73"/>
      <c r="I168" s="73"/>
      <c r="J168" s="74"/>
      <c r="K168" s="73"/>
      <c r="L168" s="76"/>
      <c r="M168" s="76"/>
      <c r="N168" s="73"/>
      <c r="O168" s="73"/>
      <c r="P168" s="73"/>
      <c r="Q168" s="73"/>
      <c r="R168" s="73"/>
    </row>
    <row r="169" customFormat="false" ht="15" hidden="false" customHeight="false" outlineLevel="0" collapsed="false">
      <c r="A169" s="71" t="str">
        <f aca="false">IF(B169="","",ROW()-1)</f>
        <v/>
      </c>
      <c r="B169" s="73"/>
      <c r="C169" s="74"/>
      <c r="D169" s="73"/>
      <c r="E169" s="73"/>
      <c r="F169" s="73"/>
      <c r="G169" s="73"/>
      <c r="H169" s="73"/>
      <c r="I169" s="73"/>
      <c r="J169" s="74"/>
      <c r="K169" s="73"/>
      <c r="L169" s="76"/>
      <c r="M169" s="76"/>
      <c r="N169" s="73"/>
      <c r="O169" s="73"/>
      <c r="P169" s="73"/>
      <c r="Q169" s="73"/>
      <c r="R169" s="73"/>
    </row>
    <row r="170" customFormat="false" ht="15" hidden="false" customHeight="false" outlineLevel="0" collapsed="false">
      <c r="A170" s="71" t="str">
        <f aca="false">IF(B170="","",ROW()-1)</f>
        <v/>
      </c>
      <c r="B170" s="73"/>
      <c r="C170" s="74"/>
      <c r="D170" s="73"/>
      <c r="E170" s="73"/>
      <c r="F170" s="73"/>
      <c r="G170" s="73"/>
      <c r="H170" s="73"/>
      <c r="I170" s="73"/>
      <c r="J170" s="74"/>
      <c r="K170" s="73"/>
      <c r="L170" s="76"/>
      <c r="M170" s="76"/>
      <c r="N170" s="73"/>
      <c r="O170" s="73"/>
      <c r="P170" s="73"/>
      <c r="Q170" s="73"/>
      <c r="R170" s="73"/>
    </row>
    <row r="171" customFormat="false" ht="15" hidden="false" customHeight="false" outlineLevel="0" collapsed="false">
      <c r="A171" s="71" t="str">
        <f aca="false">IF(B171="","",ROW()-1)</f>
        <v/>
      </c>
      <c r="B171" s="73"/>
      <c r="C171" s="74"/>
      <c r="D171" s="73"/>
      <c r="E171" s="73"/>
      <c r="F171" s="73"/>
      <c r="G171" s="73"/>
      <c r="H171" s="73"/>
      <c r="I171" s="73"/>
      <c r="J171" s="74"/>
      <c r="K171" s="73"/>
      <c r="L171" s="76"/>
      <c r="M171" s="76"/>
      <c r="N171" s="73"/>
      <c r="O171" s="73"/>
      <c r="P171" s="73"/>
      <c r="Q171" s="73"/>
      <c r="R171" s="73"/>
    </row>
    <row r="172" customFormat="false" ht="15" hidden="false" customHeight="false" outlineLevel="0" collapsed="false">
      <c r="A172" s="71" t="str">
        <f aca="false">IF(B172="","",ROW()-1)</f>
        <v/>
      </c>
      <c r="B172" s="73"/>
      <c r="C172" s="74"/>
      <c r="D172" s="73"/>
      <c r="E172" s="73"/>
      <c r="F172" s="73"/>
      <c r="G172" s="73"/>
      <c r="H172" s="73"/>
      <c r="I172" s="73"/>
      <c r="J172" s="74"/>
      <c r="K172" s="73"/>
      <c r="L172" s="76"/>
      <c r="M172" s="76"/>
      <c r="N172" s="73"/>
      <c r="O172" s="73"/>
      <c r="P172" s="73"/>
      <c r="Q172" s="73"/>
      <c r="R172" s="73"/>
    </row>
    <row r="173" customFormat="false" ht="15" hidden="false" customHeight="false" outlineLevel="0" collapsed="false">
      <c r="A173" s="71" t="str">
        <f aca="false">IF(B173="","",ROW()-1)</f>
        <v/>
      </c>
      <c r="B173" s="73"/>
      <c r="C173" s="74"/>
      <c r="D173" s="73"/>
      <c r="E173" s="73"/>
      <c r="F173" s="73"/>
      <c r="G173" s="73"/>
      <c r="H173" s="73"/>
      <c r="I173" s="73"/>
      <c r="J173" s="74"/>
      <c r="K173" s="73"/>
      <c r="L173" s="76"/>
      <c r="M173" s="76"/>
      <c r="N173" s="73"/>
      <c r="O173" s="73"/>
      <c r="P173" s="73"/>
      <c r="Q173" s="73"/>
      <c r="R173" s="73"/>
    </row>
    <row r="174" customFormat="false" ht="15" hidden="false" customHeight="false" outlineLevel="0" collapsed="false">
      <c r="A174" s="71" t="str">
        <f aca="false">IF(B174="","",ROW()-1)</f>
        <v/>
      </c>
      <c r="B174" s="73"/>
      <c r="C174" s="74"/>
      <c r="D174" s="73"/>
      <c r="E174" s="73"/>
      <c r="F174" s="73"/>
      <c r="G174" s="73"/>
      <c r="H174" s="73"/>
      <c r="I174" s="73"/>
      <c r="J174" s="74"/>
      <c r="K174" s="73"/>
      <c r="L174" s="76"/>
      <c r="M174" s="76"/>
      <c r="N174" s="73"/>
      <c r="O174" s="73"/>
      <c r="P174" s="73"/>
      <c r="Q174" s="73"/>
      <c r="R174" s="73"/>
    </row>
    <row r="175" customFormat="false" ht="15" hidden="false" customHeight="false" outlineLevel="0" collapsed="false">
      <c r="A175" s="71" t="str">
        <f aca="false">IF(B175="","",ROW()-1)</f>
        <v/>
      </c>
      <c r="B175" s="73"/>
      <c r="C175" s="74"/>
      <c r="D175" s="73"/>
      <c r="E175" s="73"/>
      <c r="F175" s="73"/>
      <c r="G175" s="73"/>
      <c r="H175" s="73"/>
      <c r="I175" s="73"/>
      <c r="J175" s="74"/>
      <c r="K175" s="73"/>
      <c r="L175" s="76"/>
      <c r="M175" s="76"/>
      <c r="N175" s="73"/>
      <c r="O175" s="73"/>
      <c r="P175" s="73"/>
      <c r="Q175" s="73"/>
      <c r="R175" s="73"/>
    </row>
    <row r="176" customFormat="false" ht="15" hidden="false" customHeight="false" outlineLevel="0" collapsed="false">
      <c r="A176" s="71" t="str">
        <f aca="false">IF(B176="","",ROW()-1)</f>
        <v/>
      </c>
      <c r="B176" s="73"/>
      <c r="C176" s="74"/>
      <c r="D176" s="73"/>
      <c r="E176" s="73"/>
      <c r="F176" s="73"/>
      <c r="G176" s="73"/>
      <c r="H176" s="73"/>
      <c r="I176" s="73"/>
      <c r="J176" s="74"/>
      <c r="K176" s="73"/>
      <c r="L176" s="76"/>
      <c r="M176" s="76"/>
      <c r="N176" s="73"/>
      <c r="O176" s="73"/>
      <c r="P176" s="73"/>
      <c r="Q176" s="73"/>
      <c r="R176" s="73"/>
    </row>
    <row r="177" customFormat="false" ht="15" hidden="false" customHeight="false" outlineLevel="0" collapsed="false">
      <c r="A177" s="71" t="str">
        <f aca="false">IF(B177="","",ROW()-1)</f>
        <v/>
      </c>
      <c r="B177" s="73"/>
      <c r="C177" s="74"/>
      <c r="D177" s="73"/>
      <c r="E177" s="73"/>
      <c r="F177" s="73"/>
      <c r="G177" s="73"/>
      <c r="H177" s="73"/>
      <c r="I177" s="73"/>
      <c r="J177" s="74"/>
      <c r="K177" s="73"/>
      <c r="L177" s="76"/>
      <c r="M177" s="76"/>
      <c r="N177" s="73"/>
      <c r="O177" s="73"/>
      <c r="P177" s="73"/>
      <c r="Q177" s="73"/>
      <c r="R177" s="73"/>
    </row>
    <row r="178" customFormat="false" ht="15" hidden="false" customHeight="false" outlineLevel="0" collapsed="false">
      <c r="A178" s="71" t="str">
        <f aca="false">IF(B178="","",ROW()-1)</f>
        <v/>
      </c>
      <c r="B178" s="73"/>
      <c r="C178" s="74"/>
      <c r="D178" s="73"/>
      <c r="E178" s="73"/>
      <c r="F178" s="73"/>
      <c r="G178" s="73"/>
      <c r="H178" s="73"/>
      <c r="I178" s="73"/>
      <c r="J178" s="74"/>
      <c r="K178" s="73"/>
      <c r="L178" s="76"/>
      <c r="M178" s="76"/>
      <c r="N178" s="73"/>
      <c r="O178" s="73"/>
      <c r="P178" s="73"/>
      <c r="Q178" s="73"/>
      <c r="R178" s="73"/>
    </row>
    <row r="179" customFormat="false" ht="15" hidden="false" customHeight="false" outlineLevel="0" collapsed="false">
      <c r="A179" s="71" t="str">
        <f aca="false">IF(B179="","",ROW()-1)</f>
        <v/>
      </c>
      <c r="B179" s="73"/>
      <c r="C179" s="74"/>
      <c r="D179" s="73"/>
      <c r="E179" s="73"/>
      <c r="F179" s="73"/>
      <c r="G179" s="73"/>
      <c r="H179" s="73"/>
      <c r="I179" s="73"/>
      <c r="J179" s="74"/>
      <c r="K179" s="73"/>
      <c r="L179" s="76"/>
      <c r="M179" s="76"/>
      <c r="N179" s="73"/>
      <c r="O179" s="73"/>
      <c r="P179" s="73"/>
      <c r="Q179" s="73"/>
      <c r="R179" s="73"/>
    </row>
    <row r="180" customFormat="false" ht="15" hidden="false" customHeight="false" outlineLevel="0" collapsed="false">
      <c r="A180" s="71" t="str">
        <f aca="false">IF(B180="","",ROW()-1)</f>
        <v/>
      </c>
      <c r="B180" s="73"/>
      <c r="C180" s="74"/>
      <c r="D180" s="73"/>
      <c r="E180" s="73"/>
      <c r="F180" s="73"/>
      <c r="G180" s="73"/>
      <c r="H180" s="73"/>
      <c r="I180" s="73"/>
      <c r="J180" s="74"/>
      <c r="K180" s="73"/>
      <c r="L180" s="76"/>
      <c r="M180" s="76"/>
      <c r="N180" s="73"/>
      <c r="O180" s="73"/>
      <c r="P180" s="73"/>
      <c r="Q180" s="73"/>
      <c r="R180" s="73"/>
    </row>
    <row r="181" customFormat="false" ht="15" hidden="false" customHeight="false" outlineLevel="0" collapsed="false">
      <c r="A181" s="71" t="str">
        <f aca="false">IF(B181="","",ROW()-1)</f>
        <v/>
      </c>
      <c r="B181" s="73"/>
      <c r="C181" s="74"/>
      <c r="D181" s="73"/>
      <c r="E181" s="73"/>
      <c r="F181" s="73"/>
      <c r="G181" s="73"/>
      <c r="H181" s="73"/>
      <c r="I181" s="73"/>
      <c r="J181" s="74"/>
      <c r="K181" s="73"/>
      <c r="L181" s="76"/>
      <c r="M181" s="76"/>
      <c r="N181" s="73"/>
      <c r="O181" s="73"/>
      <c r="P181" s="73"/>
      <c r="Q181" s="73"/>
      <c r="R181" s="73"/>
    </row>
    <row r="182" customFormat="false" ht="15" hidden="false" customHeight="false" outlineLevel="0" collapsed="false">
      <c r="A182" s="71" t="str">
        <f aca="false">IF(B182="","",ROW()-1)</f>
        <v/>
      </c>
      <c r="B182" s="73"/>
      <c r="C182" s="74"/>
      <c r="D182" s="73"/>
      <c r="E182" s="73"/>
      <c r="F182" s="73"/>
      <c r="G182" s="73"/>
      <c r="H182" s="73"/>
      <c r="I182" s="73"/>
      <c r="J182" s="74"/>
      <c r="K182" s="73"/>
      <c r="L182" s="76"/>
      <c r="M182" s="76"/>
      <c r="N182" s="73"/>
      <c r="O182" s="73"/>
      <c r="P182" s="73"/>
      <c r="Q182" s="73"/>
      <c r="R182" s="73"/>
    </row>
    <row r="183" customFormat="false" ht="15" hidden="false" customHeight="false" outlineLevel="0" collapsed="false">
      <c r="A183" s="71" t="str">
        <f aca="false">IF(B183="","",ROW()-1)</f>
        <v/>
      </c>
      <c r="B183" s="73"/>
      <c r="C183" s="74"/>
      <c r="D183" s="73"/>
      <c r="E183" s="73"/>
      <c r="F183" s="73"/>
      <c r="G183" s="73"/>
      <c r="H183" s="73"/>
      <c r="I183" s="73"/>
      <c r="J183" s="74"/>
      <c r="K183" s="73"/>
      <c r="L183" s="76"/>
      <c r="M183" s="76"/>
      <c r="N183" s="73"/>
      <c r="O183" s="73"/>
      <c r="P183" s="73"/>
      <c r="Q183" s="73"/>
      <c r="R183" s="73"/>
    </row>
    <row r="184" customFormat="false" ht="15" hidden="false" customHeight="false" outlineLevel="0" collapsed="false">
      <c r="A184" s="71" t="str">
        <f aca="false">IF(B184="","",ROW()-1)</f>
        <v/>
      </c>
      <c r="B184" s="73"/>
      <c r="C184" s="74"/>
      <c r="D184" s="73"/>
      <c r="E184" s="73"/>
      <c r="F184" s="73"/>
      <c r="G184" s="73"/>
      <c r="H184" s="73"/>
      <c r="I184" s="73"/>
      <c r="J184" s="74"/>
      <c r="K184" s="73"/>
      <c r="L184" s="76"/>
      <c r="M184" s="76"/>
      <c r="N184" s="73"/>
      <c r="O184" s="73"/>
      <c r="P184" s="73"/>
      <c r="Q184" s="73"/>
      <c r="R184" s="73"/>
    </row>
    <row r="185" customFormat="false" ht="15" hidden="false" customHeight="false" outlineLevel="0" collapsed="false">
      <c r="A185" s="71" t="str">
        <f aca="false">IF(B185="","",ROW()-1)</f>
        <v/>
      </c>
      <c r="B185" s="73"/>
      <c r="C185" s="74"/>
      <c r="D185" s="73"/>
      <c r="E185" s="73"/>
      <c r="F185" s="73"/>
      <c r="G185" s="73"/>
      <c r="H185" s="73"/>
      <c r="I185" s="73"/>
      <c r="J185" s="74"/>
      <c r="K185" s="73"/>
      <c r="L185" s="76"/>
      <c r="M185" s="76"/>
      <c r="N185" s="73"/>
      <c r="O185" s="73"/>
      <c r="P185" s="73"/>
      <c r="Q185" s="73"/>
      <c r="R185" s="73"/>
    </row>
    <row r="186" customFormat="false" ht="15" hidden="false" customHeight="false" outlineLevel="0" collapsed="false">
      <c r="A186" s="71" t="str">
        <f aca="false">IF(B186="","",ROW()-1)</f>
        <v/>
      </c>
      <c r="B186" s="73"/>
      <c r="C186" s="74"/>
      <c r="D186" s="73"/>
      <c r="E186" s="73"/>
      <c r="F186" s="73"/>
      <c r="G186" s="73"/>
      <c r="H186" s="73"/>
      <c r="I186" s="73"/>
      <c r="J186" s="74"/>
      <c r="K186" s="73"/>
      <c r="L186" s="76"/>
      <c r="M186" s="76"/>
      <c r="N186" s="73"/>
      <c r="O186" s="73"/>
      <c r="P186" s="73"/>
      <c r="Q186" s="73"/>
      <c r="R186" s="73"/>
    </row>
    <row r="187" customFormat="false" ht="15" hidden="false" customHeight="false" outlineLevel="0" collapsed="false">
      <c r="A187" s="71" t="str">
        <f aca="false">IF(B187="","",ROW()-1)</f>
        <v/>
      </c>
      <c r="B187" s="73"/>
      <c r="C187" s="74"/>
      <c r="D187" s="73"/>
      <c r="E187" s="73"/>
      <c r="F187" s="73"/>
      <c r="G187" s="73"/>
      <c r="H187" s="73"/>
      <c r="I187" s="73"/>
      <c r="J187" s="74"/>
      <c r="K187" s="73"/>
      <c r="L187" s="76"/>
      <c r="M187" s="76"/>
      <c r="N187" s="73"/>
      <c r="O187" s="73"/>
      <c r="P187" s="73"/>
      <c r="Q187" s="73"/>
      <c r="R187" s="73"/>
    </row>
    <row r="188" customFormat="false" ht="15" hidden="false" customHeight="false" outlineLevel="0" collapsed="false">
      <c r="A188" s="71" t="str">
        <f aca="false">IF(B188="","",ROW()-1)</f>
        <v/>
      </c>
      <c r="B188" s="73"/>
      <c r="C188" s="74"/>
      <c r="D188" s="73"/>
      <c r="E188" s="73"/>
      <c r="F188" s="73"/>
      <c r="G188" s="73"/>
      <c r="H188" s="73"/>
      <c r="I188" s="73"/>
      <c r="J188" s="74"/>
      <c r="K188" s="73"/>
      <c r="L188" s="76"/>
      <c r="M188" s="76"/>
      <c r="N188" s="73"/>
      <c r="O188" s="73"/>
      <c r="P188" s="73"/>
      <c r="Q188" s="73"/>
      <c r="R188" s="73"/>
    </row>
    <row r="189" customFormat="false" ht="15" hidden="false" customHeight="false" outlineLevel="0" collapsed="false">
      <c r="A189" s="71" t="str">
        <f aca="false">IF(B189="","",ROW()-1)</f>
        <v/>
      </c>
      <c r="B189" s="73"/>
      <c r="C189" s="74"/>
      <c r="D189" s="73"/>
      <c r="E189" s="73"/>
      <c r="F189" s="73"/>
      <c r="G189" s="73"/>
      <c r="H189" s="73"/>
      <c r="I189" s="73"/>
      <c r="J189" s="74"/>
      <c r="K189" s="73"/>
      <c r="L189" s="76"/>
      <c r="M189" s="76"/>
      <c r="N189" s="73"/>
      <c r="O189" s="73"/>
      <c r="P189" s="73"/>
      <c r="Q189" s="73"/>
      <c r="R189" s="73"/>
    </row>
    <row r="190" customFormat="false" ht="15" hidden="false" customHeight="false" outlineLevel="0" collapsed="false">
      <c r="A190" s="71" t="str">
        <f aca="false">IF(B190="","",ROW()-1)</f>
        <v/>
      </c>
      <c r="B190" s="73"/>
      <c r="C190" s="74"/>
      <c r="D190" s="73"/>
      <c r="E190" s="73"/>
      <c r="F190" s="73"/>
      <c r="G190" s="73"/>
      <c r="H190" s="73"/>
      <c r="I190" s="73"/>
      <c r="J190" s="74"/>
      <c r="K190" s="73"/>
      <c r="L190" s="76"/>
      <c r="M190" s="76"/>
      <c r="N190" s="73"/>
      <c r="O190" s="73"/>
      <c r="P190" s="73"/>
      <c r="Q190" s="73"/>
      <c r="R190" s="73"/>
    </row>
    <row r="191" customFormat="false" ht="15" hidden="false" customHeight="false" outlineLevel="0" collapsed="false">
      <c r="A191" s="71" t="str">
        <f aca="false">IF(B191="","",ROW()-1)</f>
        <v/>
      </c>
      <c r="B191" s="73"/>
      <c r="C191" s="74"/>
      <c r="D191" s="73"/>
      <c r="E191" s="73"/>
      <c r="F191" s="73"/>
      <c r="G191" s="73"/>
      <c r="H191" s="73"/>
      <c r="I191" s="73"/>
      <c r="J191" s="74"/>
      <c r="K191" s="73"/>
      <c r="L191" s="76"/>
      <c r="M191" s="76"/>
      <c r="N191" s="73"/>
      <c r="O191" s="73"/>
      <c r="P191" s="73"/>
      <c r="Q191" s="73"/>
      <c r="R191" s="73"/>
    </row>
    <row r="192" customFormat="false" ht="15" hidden="false" customHeight="false" outlineLevel="0" collapsed="false">
      <c r="A192" s="71" t="str">
        <f aca="false">IF(B192="","",ROW()-1)</f>
        <v/>
      </c>
      <c r="B192" s="73"/>
      <c r="C192" s="74"/>
      <c r="D192" s="73"/>
      <c r="E192" s="73"/>
      <c r="F192" s="73"/>
      <c r="G192" s="73"/>
      <c r="H192" s="73"/>
      <c r="I192" s="73"/>
      <c r="J192" s="74"/>
      <c r="K192" s="73"/>
      <c r="L192" s="76"/>
      <c r="M192" s="76"/>
      <c r="N192" s="73"/>
      <c r="O192" s="73"/>
      <c r="P192" s="73"/>
      <c r="Q192" s="73"/>
      <c r="R192" s="73"/>
    </row>
    <row r="193" customFormat="false" ht="15" hidden="false" customHeight="false" outlineLevel="0" collapsed="false">
      <c r="A193" s="71" t="str">
        <f aca="false">IF(B193="","",ROW()-1)</f>
        <v/>
      </c>
      <c r="B193" s="73"/>
      <c r="C193" s="74"/>
      <c r="D193" s="73"/>
      <c r="E193" s="73"/>
      <c r="F193" s="73"/>
      <c r="G193" s="73"/>
      <c r="H193" s="73"/>
      <c r="I193" s="73"/>
      <c r="J193" s="74"/>
      <c r="K193" s="73"/>
      <c r="L193" s="76"/>
      <c r="M193" s="76"/>
      <c r="N193" s="73"/>
      <c r="O193" s="73"/>
      <c r="P193" s="73"/>
      <c r="Q193" s="73"/>
      <c r="R193" s="73"/>
    </row>
    <row r="194" customFormat="false" ht="15" hidden="false" customHeight="false" outlineLevel="0" collapsed="false">
      <c r="A194" s="71" t="str">
        <f aca="false">IF(B194="","",ROW()-1)</f>
        <v/>
      </c>
      <c r="B194" s="73"/>
      <c r="C194" s="74"/>
      <c r="D194" s="73"/>
      <c r="E194" s="73"/>
      <c r="F194" s="73"/>
      <c r="G194" s="73"/>
      <c r="H194" s="73"/>
      <c r="I194" s="73"/>
      <c r="J194" s="74"/>
      <c r="K194" s="73"/>
      <c r="L194" s="76"/>
      <c r="M194" s="76"/>
      <c r="N194" s="73"/>
      <c r="O194" s="73"/>
      <c r="P194" s="73"/>
      <c r="Q194" s="73"/>
      <c r="R194" s="73"/>
    </row>
    <row r="195" customFormat="false" ht="15" hidden="false" customHeight="false" outlineLevel="0" collapsed="false">
      <c r="A195" s="71" t="str">
        <f aca="false">IF(B195="","",ROW()-1)</f>
        <v/>
      </c>
      <c r="B195" s="73"/>
      <c r="C195" s="74"/>
      <c r="D195" s="73"/>
      <c r="E195" s="73"/>
      <c r="F195" s="73"/>
      <c r="G195" s="73"/>
      <c r="H195" s="73"/>
      <c r="I195" s="73"/>
      <c r="J195" s="74"/>
      <c r="K195" s="73"/>
      <c r="L195" s="76"/>
      <c r="M195" s="76"/>
      <c r="N195" s="73"/>
      <c r="O195" s="73"/>
      <c r="P195" s="73"/>
      <c r="Q195" s="73"/>
      <c r="R195" s="73"/>
    </row>
    <row r="196" customFormat="false" ht="15" hidden="false" customHeight="false" outlineLevel="0" collapsed="false">
      <c r="A196" s="71" t="str">
        <f aca="false">IF(B196="","",ROW()-1)</f>
        <v/>
      </c>
      <c r="B196" s="73"/>
      <c r="C196" s="74"/>
      <c r="D196" s="73"/>
      <c r="E196" s="73"/>
      <c r="F196" s="73"/>
      <c r="G196" s="73"/>
      <c r="H196" s="73"/>
      <c r="I196" s="73"/>
      <c r="J196" s="74"/>
      <c r="K196" s="73"/>
      <c r="L196" s="76"/>
      <c r="M196" s="76"/>
      <c r="N196" s="73"/>
      <c r="O196" s="73"/>
      <c r="P196" s="73"/>
      <c r="Q196" s="73"/>
      <c r="R196" s="73"/>
    </row>
    <row r="197" customFormat="false" ht="15" hidden="false" customHeight="false" outlineLevel="0" collapsed="false">
      <c r="A197" s="71" t="str">
        <f aca="false">IF(B197="","",ROW()-1)</f>
        <v/>
      </c>
      <c r="B197" s="73"/>
      <c r="C197" s="74"/>
      <c r="D197" s="73"/>
      <c r="E197" s="73"/>
      <c r="F197" s="73"/>
      <c r="G197" s="73"/>
      <c r="H197" s="73"/>
      <c r="I197" s="73"/>
      <c r="J197" s="74"/>
      <c r="K197" s="73"/>
      <c r="L197" s="76"/>
      <c r="M197" s="76"/>
      <c r="N197" s="73"/>
      <c r="O197" s="73"/>
      <c r="P197" s="73"/>
      <c r="Q197" s="73"/>
      <c r="R197" s="73"/>
    </row>
    <row r="198" customFormat="false" ht="15" hidden="false" customHeight="false" outlineLevel="0" collapsed="false">
      <c r="A198" s="71" t="str">
        <f aca="false">IF(B198="","",ROW()-1)</f>
        <v/>
      </c>
      <c r="B198" s="73"/>
      <c r="C198" s="74"/>
      <c r="D198" s="73"/>
      <c r="E198" s="73"/>
      <c r="F198" s="73"/>
      <c r="G198" s="73"/>
      <c r="H198" s="73"/>
      <c r="I198" s="73"/>
      <c r="J198" s="74"/>
      <c r="K198" s="73"/>
      <c r="L198" s="76"/>
      <c r="M198" s="76"/>
      <c r="N198" s="73"/>
      <c r="O198" s="73"/>
      <c r="P198" s="73"/>
      <c r="Q198" s="73"/>
      <c r="R198" s="73"/>
    </row>
    <row r="199" customFormat="false" ht="15" hidden="false" customHeight="false" outlineLevel="0" collapsed="false">
      <c r="A199" s="71" t="str">
        <f aca="false">IF(B199="","",ROW()-1)</f>
        <v/>
      </c>
      <c r="B199" s="73"/>
      <c r="C199" s="74"/>
      <c r="D199" s="73"/>
      <c r="E199" s="73"/>
      <c r="F199" s="73"/>
      <c r="G199" s="73"/>
      <c r="H199" s="73"/>
      <c r="I199" s="73"/>
      <c r="J199" s="74"/>
      <c r="K199" s="73"/>
      <c r="L199" s="76"/>
      <c r="M199" s="76"/>
      <c r="N199" s="73"/>
      <c r="O199" s="73"/>
      <c r="P199" s="73"/>
      <c r="Q199" s="73"/>
      <c r="R199" s="73"/>
    </row>
    <row r="200" customFormat="false" ht="15" hidden="false" customHeight="false" outlineLevel="0" collapsed="false">
      <c r="A200" s="71" t="str">
        <f aca="false">IF(B200="","",ROW()-1)</f>
        <v/>
      </c>
      <c r="B200" s="73"/>
      <c r="C200" s="74"/>
      <c r="D200" s="73"/>
      <c r="E200" s="73"/>
      <c r="F200" s="73"/>
      <c r="G200" s="73"/>
      <c r="H200" s="73"/>
      <c r="I200" s="73"/>
      <c r="J200" s="74"/>
      <c r="K200" s="73"/>
      <c r="L200" s="76"/>
      <c r="M200" s="76"/>
      <c r="N200" s="73"/>
      <c r="O200" s="73"/>
      <c r="P200" s="73"/>
      <c r="Q200" s="73"/>
      <c r="R200" s="73"/>
    </row>
    <row r="201" customFormat="false" ht="15" hidden="false" customHeight="false" outlineLevel="0" collapsed="false">
      <c r="A201" s="71" t="str">
        <f aca="false">IF(B201="","",ROW()-1)</f>
        <v/>
      </c>
      <c r="B201" s="73"/>
      <c r="C201" s="74"/>
      <c r="D201" s="73"/>
      <c r="E201" s="73"/>
      <c r="F201" s="73"/>
      <c r="G201" s="73"/>
      <c r="H201" s="73"/>
      <c r="I201" s="73"/>
      <c r="J201" s="74"/>
      <c r="K201" s="73"/>
      <c r="L201" s="76"/>
      <c r="M201" s="76"/>
      <c r="N201" s="73"/>
      <c r="O201" s="73"/>
      <c r="P201" s="73"/>
      <c r="Q201" s="73"/>
      <c r="R201" s="73"/>
    </row>
    <row r="202" customFormat="false" ht="15" hidden="false" customHeight="false" outlineLevel="0" collapsed="false">
      <c r="A202" s="71" t="str">
        <f aca="false">IF(B202="","",ROW()-1)</f>
        <v/>
      </c>
      <c r="B202" s="73"/>
      <c r="C202" s="74"/>
      <c r="D202" s="73"/>
      <c r="E202" s="73"/>
      <c r="F202" s="73"/>
      <c r="G202" s="73"/>
      <c r="H202" s="73"/>
      <c r="I202" s="73"/>
      <c r="J202" s="74"/>
      <c r="K202" s="73"/>
      <c r="L202" s="76"/>
      <c r="M202" s="76"/>
      <c r="N202" s="73"/>
      <c r="O202" s="73"/>
      <c r="P202" s="73"/>
      <c r="Q202" s="73"/>
      <c r="R202" s="73"/>
    </row>
    <row r="203" customFormat="false" ht="15" hidden="false" customHeight="false" outlineLevel="0" collapsed="false">
      <c r="A203" s="71" t="str">
        <f aca="false">IF(B203="","",ROW()-1)</f>
        <v/>
      </c>
      <c r="B203" s="73"/>
      <c r="C203" s="74"/>
      <c r="D203" s="73"/>
      <c r="E203" s="73"/>
      <c r="F203" s="73"/>
      <c r="G203" s="73"/>
      <c r="H203" s="73"/>
      <c r="I203" s="73"/>
      <c r="J203" s="74"/>
      <c r="K203" s="73"/>
      <c r="L203" s="76"/>
      <c r="M203" s="76"/>
      <c r="N203" s="73"/>
      <c r="O203" s="73"/>
      <c r="P203" s="73"/>
      <c r="Q203" s="73"/>
      <c r="R203" s="73"/>
    </row>
    <row r="204" customFormat="false" ht="15" hidden="false" customHeight="false" outlineLevel="0" collapsed="false">
      <c r="A204" s="71" t="str">
        <f aca="false">IF(B204="","",ROW()-1)</f>
        <v/>
      </c>
      <c r="B204" s="73"/>
      <c r="C204" s="74"/>
      <c r="D204" s="73"/>
      <c r="E204" s="73"/>
      <c r="F204" s="73"/>
      <c r="G204" s="73"/>
      <c r="H204" s="73"/>
      <c r="I204" s="73"/>
      <c r="J204" s="74"/>
      <c r="K204" s="73"/>
      <c r="L204" s="76"/>
      <c r="M204" s="76"/>
      <c r="N204" s="73"/>
      <c r="O204" s="73"/>
      <c r="P204" s="73"/>
      <c r="Q204" s="73"/>
      <c r="R204" s="73"/>
    </row>
    <row r="205" customFormat="false" ht="15" hidden="false" customHeight="false" outlineLevel="0" collapsed="false">
      <c r="A205" s="71" t="str">
        <f aca="false">IF(B205="","",ROW()-1)</f>
        <v/>
      </c>
      <c r="B205" s="73"/>
      <c r="C205" s="74"/>
      <c r="D205" s="73"/>
      <c r="E205" s="73"/>
      <c r="F205" s="73"/>
      <c r="G205" s="73"/>
      <c r="H205" s="73"/>
      <c r="I205" s="73"/>
      <c r="J205" s="74"/>
      <c r="K205" s="73"/>
      <c r="L205" s="76"/>
      <c r="M205" s="76"/>
      <c r="N205" s="73"/>
      <c r="O205" s="73"/>
      <c r="P205" s="73"/>
      <c r="Q205" s="73"/>
      <c r="R205" s="73"/>
    </row>
    <row r="206" customFormat="false" ht="15" hidden="false" customHeight="false" outlineLevel="0" collapsed="false">
      <c r="A206" s="71" t="str">
        <f aca="false">IF(B206="","",ROW()-1)</f>
        <v/>
      </c>
      <c r="B206" s="73"/>
      <c r="C206" s="74"/>
      <c r="D206" s="73"/>
      <c r="E206" s="73"/>
      <c r="F206" s="73"/>
      <c r="G206" s="73"/>
      <c r="H206" s="73"/>
      <c r="I206" s="73"/>
      <c r="J206" s="74"/>
      <c r="K206" s="73"/>
      <c r="L206" s="76"/>
      <c r="M206" s="76"/>
      <c r="N206" s="73"/>
      <c r="O206" s="73"/>
      <c r="P206" s="73"/>
      <c r="Q206" s="73"/>
      <c r="R206" s="73"/>
    </row>
    <row r="207" customFormat="false" ht="15" hidden="false" customHeight="false" outlineLevel="0" collapsed="false">
      <c r="A207" s="71" t="str">
        <f aca="false">IF(B207="","",ROW()-1)</f>
        <v/>
      </c>
      <c r="B207" s="73"/>
      <c r="C207" s="74"/>
      <c r="D207" s="73"/>
      <c r="E207" s="73"/>
      <c r="F207" s="73"/>
      <c r="G207" s="73"/>
      <c r="H207" s="73"/>
      <c r="I207" s="73"/>
      <c r="J207" s="74"/>
      <c r="K207" s="73"/>
      <c r="L207" s="76"/>
      <c r="M207" s="76"/>
      <c r="N207" s="73"/>
      <c r="O207" s="73"/>
      <c r="P207" s="73"/>
      <c r="Q207" s="73"/>
      <c r="R207" s="73"/>
    </row>
    <row r="208" customFormat="false" ht="15" hidden="false" customHeight="false" outlineLevel="0" collapsed="false">
      <c r="A208" s="71" t="str">
        <f aca="false">IF(B208="","",ROW()-1)</f>
        <v/>
      </c>
      <c r="B208" s="73"/>
      <c r="C208" s="74"/>
      <c r="D208" s="73"/>
      <c r="E208" s="73"/>
      <c r="F208" s="73"/>
      <c r="G208" s="73"/>
      <c r="H208" s="73"/>
      <c r="I208" s="73"/>
      <c r="J208" s="74"/>
      <c r="K208" s="73"/>
      <c r="L208" s="76"/>
      <c r="M208" s="76"/>
      <c r="N208" s="73"/>
      <c r="O208" s="73"/>
      <c r="P208" s="73"/>
      <c r="Q208" s="73"/>
      <c r="R208" s="73"/>
    </row>
    <row r="209" customFormat="false" ht="15" hidden="false" customHeight="false" outlineLevel="0" collapsed="false">
      <c r="A209" s="71" t="str">
        <f aca="false">IF(B209="","",ROW()-1)</f>
        <v/>
      </c>
      <c r="B209" s="73"/>
      <c r="C209" s="74"/>
      <c r="D209" s="73"/>
      <c r="E209" s="73"/>
      <c r="F209" s="73"/>
      <c r="G209" s="73"/>
      <c r="H209" s="73"/>
      <c r="I209" s="73"/>
      <c r="J209" s="74"/>
      <c r="K209" s="73"/>
      <c r="L209" s="76"/>
      <c r="M209" s="76"/>
      <c r="N209" s="73"/>
      <c r="O209" s="73"/>
      <c r="P209" s="73"/>
      <c r="Q209" s="73"/>
      <c r="R209" s="73"/>
    </row>
    <row r="210" customFormat="false" ht="15" hidden="false" customHeight="false" outlineLevel="0" collapsed="false">
      <c r="A210" s="71" t="str">
        <f aca="false">IF(B210="","",ROW()-1)</f>
        <v/>
      </c>
      <c r="B210" s="73"/>
      <c r="C210" s="74"/>
      <c r="D210" s="73"/>
      <c r="E210" s="73"/>
      <c r="F210" s="73"/>
      <c r="G210" s="73"/>
      <c r="H210" s="73"/>
      <c r="I210" s="73"/>
      <c r="J210" s="74"/>
      <c r="K210" s="73"/>
      <c r="L210" s="76"/>
      <c r="M210" s="76"/>
      <c r="N210" s="73"/>
      <c r="O210" s="73"/>
      <c r="P210" s="73"/>
      <c r="Q210" s="73"/>
      <c r="R210" s="73"/>
    </row>
    <row r="211" customFormat="false" ht="15" hidden="false" customHeight="false" outlineLevel="0" collapsed="false">
      <c r="A211" s="71" t="str">
        <f aca="false">IF(B211="","",ROW()-1)</f>
        <v/>
      </c>
      <c r="B211" s="73"/>
      <c r="C211" s="74"/>
      <c r="D211" s="73"/>
      <c r="E211" s="73"/>
      <c r="F211" s="73"/>
      <c r="G211" s="73"/>
      <c r="H211" s="73"/>
      <c r="I211" s="73"/>
      <c r="J211" s="74"/>
      <c r="K211" s="73"/>
      <c r="L211" s="76"/>
      <c r="M211" s="76"/>
      <c r="N211" s="73"/>
      <c r="O211" s="73"/>
      <c r="P211" s="73"/>
      <c r="Q211" s="73"/>
      <c r="R211" s="73"/>
    </row>
    <row r="212" customFormat="false" ht="15" hidden="false" customHeight="false" outlineLevel="0" collapsed="false">
      <c r="A212" s="71" t="str">
        <f aca="false">IF(B212="","",ROW()-1)</f>
        <v/>
      </c>
      <c r="B212" s="73"/>
      <c r="C212" s="74"/>
      <c r="D212" s="73"/>
      <c r="E212" s="73"/>
      <c r="F212" s="73"/>
      <c r="G212" s="73"/>
      <c r="H212" s="73"/>
      <c r="I212" s="73"/>
      <c r="J212" s="74"/>
      <c r="K212" s="73"/>
      <c r="L212" s="76"/>
      <c r="M212" s="76"/>
      <c r="N212" s="73"/>
      <c r="O212" s="73"/>
      <c r="P212" s="73"/>
      <c r="Q212" s="73"/>
      <c r="R212" s="73"/>
    </row>
    <row r="213" customFormat="false" ht="15" hidden="false" customHeight="false" outlineLevel="0" collapsed="false">
      <c r="A213" s="71" t="str">
        <f aca="false">IF(B213="","",ROW()-1)</f>
        <v/>
      </c>
      <c r="B213" s="73"/>
      <c r="C213" s="74"/>
      <c r="D213" s="73"/>
      <c r="E213" s="73"/>
      <c r="F213" s="73"/>
      <c r="G213" s="73"/>
      <c r="H213" s="73"/>
      <c r="I213" s="73"/>
      <c r="J213" s="74"/>
      <c r="K213" s="73"/>
      <c r="L213" s="76"/>
      <c r="M213" s="76"/>
      <c r="N213" s="73"/>
      <c r="O213" s="73"/>
      <c r="P213" s="73"/>
      <c r="Q213" s="73"/>
      <c r="R213" s="73"/>
    </row>
    <row r="214" customFormat="false" ht="15" hidden="false" customHeight="false" outlineLevel="0" collapsed="false">
      <c r="A214" s="71" t="str">
        <f aca="false">IF(B214="","",ROW()-1)</f>
        <v/>
      </c>
      <c r="B214" s="73"/>
      <c r="C214" s="74"/>
      <c r="D214" s="73"/>
      <c r="E214" s="73"/>
      <c r="F214" s="73"/>
      <c r="G214" s="73"/>
      <c r="H214" s="73"/>
      <c r="I214" s="73"/>
      <c r="J214" s="74"/>
      <c r="K214" s="73"/>
      <c r="L214" s="76"/>
      <c r="M214" s="76"/>
      <c r="N214" s="73"/>
      <c r="O214" s="73"/>
      <c r="P214" s="73"/>
      <c r="Q214" s="73"/>
      <c r="R214" s="73"/>
    </row>
    <row r="215" customFormat="false" ht="15" hidden="false" customHeight="false" outlineLevel="0" collapsed="false">
      <c r="A215" s="71" t="str">
        <f aca="false">IF(B215="","",ROW()-1)</f>
        <v/>
      </c>
      <c r="B215" s="73"/>
      <c r="C215" s="74"/>
      <c r="D215" s="73"/>
      <c r="E215" s="73"/>
      <c r="F215" s="73"/>
      <c r="G215" s="73"/>
      <c r="H215" s="73"/>
      <c r="I215" s="73"/>
      <c r="J215" s="74"/>
      <c r="K215" s="73"/>
      <c r="L215" s="76"/>
      <c r="M215" s="76"/>
      <c r="N215" s="73"/>
      <c r="O215" s="73"/>
      <c r="P215" s="73"/>
      <c r="Q215" s="73"/>
      <c r="R215" s="73"/>
    </row>
    <row r="216" customFormat="false" ht="15" hidden="false" customHeight="false" outlineLevel="0" collapsed="false">
      <c r="A216" s="71" t="str">
        <f aca="false">IF(B216="","",ROW()-1)</f>
        <v/>
      </c>
      <c r="B216" s="73"/>
      <c r="C216" s="74"/>
      <c r="D216" s="73"/>
      <c r="E216" s="73"/>
      <c r="F216" s="73"/>
      <c r="G216" s="73"/>
      <c r="H216" s="73"/>
      <c r="I216" s="73"/>
      <c r="J216" s="74"/>
      <c r="K216" s="73"/>
      <c r="L216" s="76"/>
      <c r="M216" s="76"/>
      <c r="N216" s="73"/>
      <c r="O216" s="73"/>
      <c r="P216" s="73"/>
      <c r="Q216" s="73"/>
      <c r="R216" s="73"/>
    </row>
    <row r="217" customFormat="false" ht="15" hidden="false" customHeight="false" outlineLevel="0" collapsed="false">
      <c r="A217" s="71" t="str">
        <f aca="false">IF(B217="","",ROW()-1)</f>
        <v/>
      </c>
      <c r="B217" s="73"/>
      <c r="C217" s="74"/>
      <c r="D217" s="73"/>
      <c r="E217" s="73"/>
      <c r="F217" s="73"/>
      <c r="G217" s="73"/>
      <c r="H217" s="73"/>
      <c r="I217" s="73"/>
      <c r="J217" s="74"/>
      <c r="K217" s="73"/>
      <c r="L217" s="76"/>
      <c r="M217" s="76"/>
      <c r="N217" s="73"/>
      <c r="O217" s="73"/>
      <c r="P217" s="73"/>
      <c r="Q217" s="73"/>
      <c r="R217" s="73"/>
    </row>
    <row r="218" customFormat="false" ht="15" hidden="false" customHeight="false" outlineLevel="0" collapsed="false">
      <c r="A218" s="71" t="str">
        <f aca="false">IF(B218="","",ROW()-1)</f>
        <v/>
      </c>
      <c r="B218" s="73"/>
      <c r="C218" s="74"/>
      <c r="D218" s="73"/>
      <c r="E218" s="73"/>
      <c r="F218" s="73"/>
      <c r="G218" s="73"/>
      <c r="H218" s="73"/>
      <c r="I218" s="73"/>
      <c r="J218" s="74"/>
      <c r="K218" s="73"/>
      <c r="L218" s="76"/>
      <c r="M218" s="76"/>
      <c r="N218" s="73"/>
      <c r="O218" s="73"/>
      <c r="P218" s="73"/>
      <c r="Q218" s="73"/>
      <c r="R218" s="73"/>
    </row>
    <row r="219" customFormat="false" ht="15" hidden="false" customHeight="false" outlineLevel="0" collapsed="false">
      <c r="A219" s="71" t="str">
        <f aca="false">IF(B219="","",ROW()-1)</f>
        <v/>
      </c>
      <c r="B219" s="73"/>
      <c r="C219" s="74"/>
      <c r="D219" s="73"/>
      <c r="E219" s="73"/>
      <c r="F219" s="73"/>
      <c r="G219" s="73"/>
      <c r="H219" s="73"/>
      <c r="I219" s="73"/>
      <c r="J219" s="74"/>
      <c r="K219" s="73"/>
      <c r="L219" s="76"/>
      <c r="M219" s="76"/>
      <c r="N219" s="73"/>
      <c r="O219" s="73"/>
      <c r="P219" s="73"/>
      <c r="Q219" s="73"/>
      <c r="R219" s="73"/>
    </row>
    <row r="220" customFormat="false" ht="15" hidden="false" customHeight="false" outlineLevel="0" collapsed="false">
      <c r="A220" s="71" t="str">
        <f aca="false">IF(B220="","",ROW()-1)</f>
        <v/>
      </c>
      <c r="B220" s="73"/>
      <c r="C220" s="74"/>
      <c r="D220" s="73"/>
      <c r="E220" s="73"/>
      <c r="F220" s="73"/>
      <c r="G220" s="73"/>
      <c r="H220" s="73"/>
      <c r="I220" s="73"/>
      <c r="J220" s="74"/>
      <c r="K220" s="73"/>
      <c r="L220" s="76"/>
      <c r="M220" s="76"/>
      <c r="N220" s="73"/>
      <c r="O220" s="73"/>
      <c r="P220" s="73"/>
      <c r="Q220" s="73"/>
      <c r="R220" s="73"/>
    </row>
    <row r="221" customFormat="false" ht="15" hidden="false" customHeight="false" outlineLevel="0" collapsed="false">
      <c r="A221" s="71" t="str">
        <f aca="false">IF(B221="","",ROW()-1)</f>
        <v/>
      </c>
      <c r="B221" s="73"/>
      <c r="C221" s="74"/>
      <c r="D221" s="73"/>
      <c r="E221" s="73"/>
      <c r="F221" s="73"/>
      <c r="G221" s="73"/>
      <c r="H221" s="73"/>
      <c r="I221" s="73"/>
      <c r="J221" s="74"/>
      <c r="K221" s="73"/>
      <c r="L221" s="76"/>
      <c r="M221" s="76"/>
      <c r="N221" s="73"/>
      <c r="O221" s="73"/>
      <c r="P221" s="73"/>
      <c r="Q221" s="73"/>
      <c r="R221" s="73"/>
    </row>
    <row r="222" customFormat="false" ht="15" hidden="false" customHeight="false" outlineLevel="0" collapsed="false">
      <c r="A222" s="71" t="str">
        <f aca="false">IF(B222="","",ROW()-1)</f>
        <v/>
      </c>
      <c r="B222" s="73"/>
      <c r="C222" s="74"/>
      <c r="D222" s="73"/>
      <c r="E222" s="73"/>
      <c r="F222" s="73"/>
      <c r="G222" s="73"/>
      <c r="H222" s="73"/>
      <c r="I222" s="73"/>
      <c r="J222" s="74"/>
      <c r="K222" s="73"/>
      <c r="L222" s="76"/>
      <c r="M222" s="76"/>
      <c r="N222" s="73"/>
      <c r="O222" s="73"/>
      <c r="P222" s="73"/>
      <c r="Q222" s="73"/>
      <c r="R222" s="73"/>
    </row>
    <row r="223" customFormat="false" ht="15" hidden="false" customHeight="false" outlineLevel="0" collapsed="false">
      <c r="A223" s="71" t="str">
        <f aca="false">IF(B223="","",ROW()-1)</f>
        <v/>
      </c>
      <c r="B223" s="73"/>
      <c r="C223" s="74"/>
      <c r="D223" s="73"/>
      <c r="E223" s="73"/>
      <c r="F223" s="73"/>
      <c r="G223" s="73"/>
      <c r="H223" s="73"/>
      <c r="I223" s="73"/>
      <c r="J223" s="74"/>
      <c r="K223" s="73"/>
      <c r="L223" s="76"/>
      <c r="M223" s="76"/>
      <c r="N223" s="73"/>
      <c r="O223" s="73"/>
      <c r="P223" s="73"/>
      <c r="Q223" s="73"/>
      <c r="R223" s="73"/>
    </row>
    <row r="224" customFormat="false" ht="15" hidden="false" customHeight="false" outlineLevel="0" collapsed="false">
      <c r="A224" s="71" t="str">
        <f aca="false">IF(B224="","",ROW()-1)</f>
        <v/>
      </c>
      <c r="B224" s="73"/>
      <c r="C224" s="74"/>
      <c r="D224" s="73"/>
      <c r="E224" s="73"/>
      <c r="F224" s="73"/>
      <c r="G224" s="73"/>
      <c r="H224" s="73"/>
      <c r="I224" s="73"/>
      <c r="J224" s="74"/>
      <c r="K224" s="73"/>
      <c r="L224" s="76"/>
      <c r="M224" s="76"/>
      <c r="N224" s="73"/>
      <c r="O224" s="73"/>
      <c r="P224" s="73"/>
      <c r="Q224" s="73"/>
      <c r="R224" s="73"/>
    </row>
    <row r="225" customFormat="false" ht="15" hidden="false" customHeight="false" outlineLevel="0" collapsed="false">
      <c r="A225" s="71" t="str">
        <f aca="false">IF(B225="","",ROW()-1)</f>
        <v/>
      </c>
      <c r="B225" s="73"/>
      <c r="C225" s="74"/>
      <c r="D225" s="73"/>
      <c r="E225" s="73"/>
      <c r="F225" s="73"/>
      <c r="G225" s="73"/>
      <c r="H225" s="73"/>
      <c r="I225" s="73"/>
      <c r="J225" s="74"/>
      <c r="K225" s="73"/>
      <c r="L225" s="76"/>
      <c r="M225" s="76"/>
      <c r="N225" s="73"/>
      <c r="O225" s="73"/>
      <c r="P225" s="73"/>
      <c r="Q225" s="73"/>
      <c r="R225" s="73"/>
    </row>
    <row r="226" customFormat="false" ht="15" hidden="false" customHeight="false" outlineLevel="0" collapsed="false">
      <c r="A226" s="71" t="str">
        <f aca="false">IF(B226="","",ROW()-1)</f>
        <v/>
      </c>
      <c r="B226" s="73"/>
      <c r="C226" s="74"/>
      <c r="D226" s="73"/>
      <c r="E226" s="73"/>
      <c r="F226" s="73"/>
      <c r="G226" s="73"/>
      <c r="H226" s="73"/>
      <c r="I226" s="73"/>
      <c r="J226" s="74"/>
      <c r="K226" s="73"/>
      <c r="L226" s="76"/>
      <c r="M226" s="76"/>
      <c r="N226" s="73"/>
      <c r="O226" s="73"/>
      <c r="P226" s="73"/>
      <c r="Q226" s="73"/>
      <c r="R226" s="73"/>
    </row>
    <row r="227" customFormat="false" ht="15" hidden="false" customHeight="false" outlineLevel="0" collapsed="false">
      <c r="A227" s="71" t="str">
        <f aca="false">IF(B227="","",ROW()-1)</f>
        <v/>
      </c>
      <c r="B227" s="73"/>
      <c r="C227" s="74"/>
      <c r="D227" s="73"/>
      <c r="E227" s="73"/>
      <c r="F227" s="73"/>
      <c r="G227" s="73"/>
      <c r="H227" s="73"/>
      <c r="I227" s="73"/>
      <c r="J227" s="74"/>
      <c r="K227" s="73"/>
      <c r="L227" s="76"/>
      <c r="M227" s="76"/>
      <c r="N227" s="73"/>
      <c r="O227" s="73"/>
      <c r="P227" s="73"/>
      <c r="Q227" s="73"/>
      <c r="R227" s="73"/>
    </row>
    <row r="228" customFormat="false" ht="15" hidden="false" customHeight="false" outlineLevel="0" collapsed="false">
      <c r="A228" s="71" t="str">
        <f aca="false">IF(B228="","",ROW()-1)</f>
        <v/>
      </c>
      <c r="B228" s="73"/>
      <c r="C228" s="74"/>
      <c r="D228" s="73"/>
      <c r="E228" s="73"/>
      <c r="F228" s="73"/>
      <c r="G228" s="73"/>
      <c r="H228" s="73"/>
      <c r="I228" s="73"/>
      <c r="J228" s="74"/>
      <c r="K228" s="73"/>
      <c r="L228" s="76"/>
      <c r="M228" s="76"/>
      <c r="N228" s="73"/>
      <c r="O228" s="73"/>
      <c r="P228" s="73"/>
      <c r="Q228" s="73"/>
      <c r="R228" s="73"/>
    </row>
    <row r="229" customFormat="false" ht="15" hidden="false" customHeight="false" outlineLevel="0" collapsed="false">
      <c r="A229" s="71" t="str">
        <f aca="false">IF(B229="","",ROW()-1)</f>
        <v/>
      </c>
      <c r="B229" s="73"/>
      <c r="C229" s="74"/>
      <c r="D229" s="73"/>
      <c r="E229" s="73"/>
      <c r="F229" s="73"/>
      <c r="G229" s="73"/>
      <c r="H229" s="73"/>
      <c r="I229" s="73"/>
      <c r="J229" s="74"/>
      <c r="K229" s="73"/>
      <c r="L229" s="76"/>
      <c r="M229" s="76"/>
      <c r="N229" s="73"/>
      <c r="O229" s="73"/>
      <c r="P229" s="73"/>
      <c r="Q229" s="73"/>
      <c r="R229" s="73"/>
    </row>
    <row r="230" customFormat="false" ht="15" hidden="false" customHeight="false" outlineLevel="0" collapsed="false">
      <c r="A230" s="71" t="str">
        <f aca="false">IF(B230="","",ROW()-1)</f>
        <v/>
      </c>
      <c r="B230" s="73"/>
      <c r="C230" s="74"/>
      <c r="D230" s="73"/>
      <c r="E230" s="73"/>
      <c r="F230" s="73"/>
      <c r="G230" s="73"/>
      <c r="H230" s="73"/>
      <c r="I230" s="73"/>
      <c r="J230" s="74"/>
      <c r="K230" s="73"/>
      <c r="L230" s="76"/>
      <c r="M230" s="76"/>
      <c r="N230" s="73"/>
      <c r="O230" s="73"/>
      <c r="P230" s="73"/>
      <c r="Q230" s="73"/>
      <c r="R230" s="73"/>
    </row>
    <row r="231" customFormat="false" ht="15" hidden="false" customHeight="false" outlineLevel="0" collapsed="false">
      <c r="A231" s="71" t="str">
        <f aca="false">IF(B231="","",ROW()-1)</f>
        <v/>
      </c>
      <c r="B231" s="73"/>
      <c r="C231" s="74"/>
      <c r="D231" s="73"/>
      <c r="E231" s="73"/>
      <c r="F231" s="73"/>
      <c r="G231" s="73"/>
      <c r="H231" s="73"/>
      <c r="I231" s="73"/>
      <c r="J231" s="74"/>
      <c r="K231" s="73"/>
      <c r="L231" s="76"/>
      <c r="M231" s="76"/>
      <c r="N231" s="73"/>
      <c r="O231" s="73"/>
      <c r="P231" s="73"/>
      <c r="Q231" s="73"/>
      <c r="R231" s="73"/>
    </row>
    <row r="232" customFormat="false" ht="15" hidden="false" customHeight="false" outlineLevel="0" collapsed="false">
      <c r="A232" s="71" t="str">
        <f aca="false">IF(B232="","",ROW()-1)</f>
        <v/>
      </c>
      <c r="B232" s="73"/>
      <c r="C232" s="74"/>
      <c r="D232" s="73"/>
      <c r="E232" s="73"/>
      <c r="F232" s="73"/>
      <c r="G232" s="73"/>
      <c r="H232" s="73"/>
      <c r="I232" s="73"/>
      <c r="J232" s="74"/>
      <c r="K232" s="73"/>
      <c r="L232" s="76"/>
      <c r="M232" s="76"/>
      <c r="N232" s="73"/>
      <c r="O232" s="73"/>
      <c r="P232" s="73"/>
      <c r="Q232" s="73"/>
      <c r="R232" s="73"/>
    </row>
    <row r="233" customFormat="false" ht="15" hidden="false" customHeight="false" outlineLevel="0" collapsed="false">
      <c r="A233" s="71" t="str">
        <f aca="false">IF(B233="","",ROW()-1)</f>
        <v/>
      </c>
      <c r="B233" s="73"/>
      <c r="C233" s="74"/>
      <c r="D233" s="73"/>
      <c r="E233" s="73"/>
      <c r="F233" s="73"/>
      <c r="G233" s="73"/>
      <c r="H233" s="73"/>
      <c r="I233" s="73"/>
      <c r="J233" s="74"/>
      <c r="K233" s="73"/>
      <c r="L233" s="76"/>
      <c r="M233" s="76"/>
      <c r="N233" s="73"/>
      <c r="O233" s="73"/>
      <c r="P233" s="73"/>
      <c r="Q233" s="73"/>
      <c r="R233" s="73"/>
    </row>
    <row r="234" customFormat="false" ht="15" hidden="false" customHeight="false" outlineLevel="0" collapsed="false">
      <c r="A234" s="71" t="str">
        <f aca="false">IF(B234="","",ROW()-1)</f>
        <v/>
      </c>
      <c r="B234" s="73"/>
      <c r="C234" s="74"/>
      <c r="D234" s="73"/>
      <c r="E234" s="73"/>
      <c r="F234" s="73"/>
      <c r="G234" s="73"/>
      <c r="H234" s="73"/>
      <c r="I234" s="73"/>
      <c r="J234" s="74"/>
      <c r="K234" s="73"/>
      <c r="L234" s="76"/>
      <c r="M234" s="76"/>
      <c r="N234" s="73"/>
      <c r="O234" s="73"/>
      <c r="P234" s="73"/>
      <c r="Q234" s="73"/>
      <c r="R234" s="73"/>
    </row>
    <row r="235" customFormat="false" ht="15" hidden="false" customHeight="false" outlineLevel="0" collapsed="false">
      <c r="A235" s="71" t="str">
        <f aca="false">IF(B235="","",ROW()-1)</f>
        <v/>
      </c>
      <c r="B235" s="73"/>
      <c r="C235" s="74"/>
      <c r="D235" s="73"/>
      <c r="E235" s="73"/>
      <c r="F235" s="73"/>
      <c r="G235" s="73"/>
      <c r="H235" s="73"/>
      <c r="I235" s="73"/>
      <c r="J235" s="74"/>
      <c r="K235" s="73"/>
      <c r="L235" s="76"/>
      <c r="M235" s="76"/>
      <c r="N235" s="73"/>
      <c r="O235" s="73"/>
      <c r="P235" s="73"/>
      <c r="Q235" s="73"/>
      <c r="R235" s="73"/>
    </row>
    <row r="236" customFormat="false" ht="15" hidden="false" customHeight="false" outlineLevel="0" collapsed="false">
      <c r="A236" s="71" t="str">
        <f aca="false">IF(B236="","",ROW()-1)</f>
        <v/>
      </c>
      <c r="B236" s="73"/>
      <c r="C236" s="74"/>
      <c r="D236" s="73"/>
      <c r="E236" s="73"/>
      <c r="F236" s="73"/>
      <c r="G236" s="73"/>
      <c r="H236" s="73"/>
      <c r="I236" s="73"/>
      <c r="J236" s="74"/>
      <c r="K236" s="73"/>
      <c r="L236" s="76"/>
      <c r="M236" s="76"/>
      <c r="N236" s="73"/>
      <c r="O236" s="73"/>
      <c r="P236" s="73"/>
      <c r="Q236" s="73"/>
      <c r="R236" s="73"/>
    </row>
    <row r="237" customFormat="false" ht="15" hidden="false" customHeight="false" outlineLevel="0" collapsed="false">
      <c r="A237" s="71" t="str">
        <f aca="false">IF(B237="","",ROW()-1)</f>
        <v/>
      </c>
      <c r="B237" s="73"/>
      <c r="C237" s="74"/>
      <c r="D237" s="73"/>
      <c r="E237" s="73"/>
      <c r="F237" s="73"/>
      <c r="G237" s="73"/>
      <c r="H237" s="73"/>
      <c r="I237" s="73"/>
      <c r="J237" s="74"/>
      <c r="K237" s="73"/>
      <c r="L237" s="76"/>
      <c r="M237" s="76"/>
      <c r="N237" s="73"/>
      <c r="O237" s="73"/>
      <c r="P237" s="73"/>
      <c r="Q237" s="73"/>
      <c r="R237" s="73"/>
    </row>
    <row r="238" customFormat="false" ht="15" hidden="false" customHeight="false" outlineLevel="0" collapsed="false">
      <c r="A238" s="71" t="str">
        <f aca="false">IF(B238="","",ROW()-1)</f>
        <v/>
      </c>
      <c r="B238" s="73"/>
      <c r="C238" s="74"/>
      <c r="D238" s="73"/>
      <c r="E238" s="73"/>
      <c r="F238" s="73"/>
      <c r="G238" s="73"/>
      <c r="H238" s="73"/>
      <c r="I238" s="73"/>
      <c r="J238" s="74"/>
      <c r="K238" s="73"/>
      <c r="L238" s="76"/>
      <c r="M238" s="76"/>
      <c r="N238" s="73"/>
      <c r="O238" s="73"/>
      <c r="P238" s="73"/>
      <c r="Q238" s="73"/>
      <c r="R238" s="73"/>
    </row>
    <row r="239" customFormat="false" ht="15" hidden="false" customHeight="false" outlineLevel="0" collapsed="false">
      <c r="A239" s="71" t="str">
        <f aca="false">IF(B239="","",ROW()-1)</f>
        <v/>
      </c>
      <c r="B239" s="73"/>
      <c r="C239" s="74"/>
      <c r="D239" s="73"/>
      <c r="E239" s="73"/>
      <c r="F239" s="73"/>
      <c r="G239" s="73"/>
      <c r="H239" s="73"/>
      <c r="I239" s="73"/>
      <c r="J239" s="74"/>
      <c r="K239" s="73"/>
      <c r="L239" s="76"/>
      <c r="M239" s="76"/>
      <c r="N239" s="73"/>
      <c r="O239" s="73"/>
      <c r="P239" s="73"/>
      <c r="Q239" s="73"/>
      <c r="R239" s="73"/>
    </row>
    <row r="240" customFormat="false" ht="15" hidden="false" customHeight="false" outlineLevel="0" collapsed="false">
      <c r="A240" s="71" t="str">
        <f aca="false">IF(B240="","",ROW()-1)</f>
        <v/>
      </c>
      <c r="B240" s="73"/>
      <c r="C240" s="74"/>
      <c r="D240" s="73"/>
      <c r="E240" s="73"/>
      <c r="F240" s="73"/>
      <c r="G240" s="73"/>
      <c r="H240" s="73"/>
      <c r="I240" s="73"/>
      <c r="J240" s="74"/>
      <c r="K240" s="73"/>
      <c r="L240" s="76"/>
      <c r="M240" s="76"/>
      <c r="N240" s="73"/>
      <c r="O240" s="73"/>
      <c r="P240" s="73"/>
      <c r="Q240" s="73"/>
      <c r="R240" s="73"/>
    </row>
    <row r="241" customFormat="false" ht="15" hidden="false" customHeight="false" outlineLevel="0" collapsed="false">
      <c r="A241" s="71" t="str">
        <f aca="false">IF(B241="","",ROW()-1)</f>
        <v/>
      </c>
      <c r="B241" s="73"/>
      <c r="C241" s="74"/>
      <c r="D241" s="73"/>
      <c r="E241" s="73"/>
      <c r="F241" s="73"/>
      <c r="G241" s="73"/>
      <c r="H241" s="73"/>
      <c r="I241" s="73"/>
      <c r="J241" s="74"/>
      <c r="K241" s="73"/>
      <c r="L241" s="76"/>
      <c r="M241" s="76"/>
      <c r="N241" s="73"/>
      <c r="O241" s="73"/>
      <c r="P241" s="73"/>
      <c r="Q241" s="73"/>
      <c r="R241" s="73"/>
    </row>
    <row r="242" customFormat="false" ht="15" hidden="false" customHeight="false" outlineLevel="0" collapsed="false">
      <c r="A242" s="71" t="str">
        <f aca="false">IF(B242="","",ROW()-1)</f>
        <v/>
      </c>
      <c r="B242" s="73"/>
      <c r="C242" s="74"/>
      <c r="D242" s="73"/>
      <c r="E242" s="73"/>
      <c r="F242" s="73"/>
      <c r="G242" s="73"/>
      <c r="H242" s="73"/>
      <c r="I242" s="73"/>
      <c r="J242" s="74"/>
      <c r="K242" s="73"/>
      <c r="L242" s="76"/>
      <c r="M242" s="76"/>
      <c r="N242" s="73"/>
      <c r="O242" s="73"/>
      <c r="P242" s="73"/>
      <c r="Q242" s="73"/>
      <c r="R242" s="73"/>
    </row>
    <row r="243" customFormat="false" ht="15" hidden="false" customHeight="false" outlineLevel="0" collapsed="false">
      <c r="A243" s="71" t="str">
        <f aca="false">IF(B243="","",ROW()-1)</f>
        <v/>
      </c>
      <c r="B243" s="73"/>
      <c r="C243" s="74"/>
      <c r="D243" s="73"/>
      <c r="E243" s="73"/>
      <c r="F243" s="73"/>
      <c r="G243" s="73"/>
      <c r="H243" s="73"/>
      <c r="I243" s="73"/>
      <c r="J243" s="74"/>
      <c r="K243" s="73"/>
      <c r="L243" s="76"/>
      <c r="M243" s="76"/>
      <c r="N243" s="73"/>
      <c r="O243" s="73"/>
      <c r="P243" s="73"/>
      <c r="Q243" s="73"/>
      <c r="R243" s="73"/>
    </row>
    <row r="244" customFormat="false" ht="15" hidden="false" customHeight="false" outlineLevel="0" collapsed="false">
      <c r="A244" s="71" t="str">
        <f aca="false">IF(B244="","",ROW()-1)</f>
        <v/>
      </c>
      <c r="B244" s="73"/>
      <c r="C244" s="74"/>
      <c r="D244" s="73"/>
      <c r="E244" s="73"/>
      <c r="F244" s="73"/>
      <c r="G244" s="73"/>
      <c r="H244" s="73"/>
      <c r="I244" s="73"/>
      <c r="J244" s="74"/>
      <c r="K244" s="73"/>
      <c r="L244" s="76"/>
      <c r="M244" s="76"/>
      <c r="N244" s="73"/>
      <c r="O244" s="73"/>
      <c r="P244" s="73"/>
      <c r="Q244" s="73"/>
      <c r="R244" s="73"/>
    </row>
    <row r="245" customFormat="false" ht="15" hidden="false" customHeight="false" outlineLevel="0" collapsed="false">
      <c r="A245" s="71" t="str">
        <f aca="false">IF(B245="","",ROW()-1)</f>
        <v/>
      </c>
      <c r="B245" s="73"/>
      <c r="C245" s="74"/>
      <c r="D245" s="73"/>
      <c r="E245" s="73"/>
      <c r="F245" s="73"/>
      <c r="G245" s="73"/>
      <c r="H245" s="73"/>
      <c r="I245" s="73"/>
      <c r="J245" s="74"/>
      <c r="K245" s="73"/>
      <c r="L245" s="76"/>
      <c r="M245" s="76"/>
      <c r="N245" s="73"/>
      <c r="O245" s="73"/>
      <c r="P245" s="73"/>
      <c r="Q245" s="73"/>
      <c r="R245" s="73"/>
    </row>
    <row r="246" customFormat="false" ht="15" hidden="false" customHeight="false" outlineLevel="0" collapsed="false">
      <c r="A246" s="71" t="str">
        <f aca="false">IF(B246="","",ROW()-1)</f>
        <v/>
      </c>
      <c r="B246" s="73"/>
      <c r="C246" s="74"/>
      <c r="D246" s="73"/>
      <c r="E246" s="73"/>
      <c r="F246" s="73"/>
      <c r="G246" s="73"/>
      <c r="H246" s="73"/>
      <c r="I246" s="73"/>
      <c r="J246" s="74"/>
      <c r="K246" s="73"/>
      <c r="L246" s="76"/>
      <c r="M246" s="76"/>
      <c r="N246" s="73"/>
      <c r="O246" s="73"/>
      <c r="P246" s="73"/>
      <c r="Q246" s="73"/>
      <c r="R246" s="73"/>
    </row>
    <row r="247" customFormat="false" ht="15" hidden="false" customHeight="false" outlineLevel="0" collapsed="false">
      <c r="A247" s="71" t="str">
        <f aca="false">IF(B247="","",ROW()-1)</f>
        <v/>
      </c>
      <c r="B247" s="73"/>
      <c r="C247" s="74"/>
      <c r="D247" s="73"/>
      <c r="E247" s="73"/>
      <c r="F247" s="73"/>
      <c r="G247" s="73"/>
      <c r="H247" s="73"/>
      <c r="I247" s="73"/>
      <c r="J247" s="74"/>
      <c r="K247" s="73"/>
      <c r="L247" s="76"/>
      <c r="M247" s="76"/>
      <c r="N247" s="73"/>
      <c r="O247" s="73"/>
      <c r="P247" s="73"/>
      <c r="Q247" s="73"/>
      <c r="R247" s="73"/>
    </row>
    <row r="248" customFormat="false" ht="15" hidden="false" customHeight="false" outlineLevel="0" collapsed="false">
      <c r="A248" s="71" t="str">
        <f aca="false">IF(B248="","",ROW()-1)</f>
        <v/>
      </c>
      <c r="B248" s="73"/>
      <c r="C248" s="74"/>
      <c r="D248" s="73"/>
      <c r="E248" s="73"/>
      <c r="F248" s="73"/>
      <c r="G248" s="73"/>
      <c r="H248" s="73"/>
      <c r="I248" s="73"/>
      <c r="J248" s="74"/>
      <c r="K248" s="73"/>
      <c r="L248" s="76"/>
      <c r="M248" s="76"/>
      <c r="N248" s="73"/>
      <c r="O248" s="73"/>
      <c r="P248" s="73"/>
      <c r="Q248" s="73"/>
      <c r="R248" s="73"/>
    </row>
    <row r="249" customFormat="false" ht="15" hidden="false" customHeight="false" outlineLevel="0" collapsed="false">
      <c r="A249" s="71" t="str">
        <f aca="false">IF(B249="","",ROW()-1)</f>
        <v/>
      </c>
      <c r="B249" s="73"/>
      <c r="C249" s="74"/>
      <c r="D249" s="73"/>
      <c r="E249" s="73"/>
      <c r="F249" s="73"/>
      <c r="G249" s="73"/>
      <c r="H249" s="73"/>
      <c r="I249" s="73"/>
      <c r="J249" s="74"/>
      <c r="K249" s="73"/>
      <c r="L249" s="76"/>
      <c r="M249" s="76"/>
      <c r="N249" s="73"/>
      <c r="O249" s="73"/>
      <c r="P249" s="73"/>
      <c r="Q249" s="73"/>
      <c r="R249" s="73"/>
    </row>
    <row r="250" customFormat="false" ht="15" hidden="false" customHeight="false" outlineLevel="0" collapsed="false">
      <c r="A250" s="71" t="str">
        <f aca="false">IF(B250="","",ROW()-1)</f>
        <v/>
      </c>
      <c r="B250" s="73"/>
      <c r="C250" s="74"/>
      <c r="D250" s="73"/>
      <c r="E250" s="73"/>
      <c r="F250" s="73"/>
      <c r="G250" s="73"/>
      <c r="H250" s="73"/>
      <c r="I250" s="73"/>
      <c r="J250" s="74"/>
      <c r="K250" s="73"/>
      <c r="L250" s="76"/>
      <c r="M250" s="76"/>
      <c r="N250" s="73"/>
      <c r="O250" s="73"/>
      <c r="P250" s="73"/>
      <c r="Q250" s="73"/>
      <c r="R250" s="73"/>
    </row>
    <row r="251" customFormat="false" ht="15" hidden="false" customHeight="false" outlineLevel="0" collapsed="false">
      <c r="A251" s="71" t="str">
        <f aca="false">IF(B251="","",ROW()-1)</f>
        <v/>
      </c>
      <c r="B251" s="73"/>
      <c r="C251" s="74"/>
      <c r="D251" s="73"/>
      <c r="E251" s="73"/>
      <c r="F251" s="73"/>
      <c r="G251" s="73"/>
      <c r="H251" s="73"/>
      <c r="I251" s="73"/>
      <c r="J251" s="74"/>
      <c r="K251" s="73"/>
      <c r="L251" s="76"/>
      <c r="M251" s="76"/>
      <c r="N251" s="73"/>
      <c r="O251" s="73"/>
      <c r="P251" s="73"/>
      <c r="Q251" s="73"/>
      <c r="R251" s="73"/>
    </row>
    <row r="252" customFormat="false" ht="15" hidden="false" customHeight="false" outlineLevel="0" collapsed="false">
      <c r="A252" s="71" t="str">
        <f aca="false">IF(B252="","",ROW()-1)</f>
        <v/>
      </c>
      <c r="B252" s="73"/>
      <c r="C252" s="74"/>
      <c r="D252" s="73"/>
      <c r="E252" s="73"/>
      <c r="F252" s="73"/>
      <c r="G252" s="73"/>
      <c r="H252" s="73"/>
      <c r="I252" s="73"/>
      <c r="J252" s="74"/>
      <c r="K252" s="73"/>
      <c r="L252" s="76"/>
      <c r="M252" s="76"/>
      <c r="N252" s="73"/>
      <c r="O252" s="73"/>
      <c r="P252" s="73"/>
      <c r="Q252" s="73"/>
      <c r="R252" s="73"/>
    </row>
    <row r="253" customFormat="false" ht="15" hidden="false" customHeight="false" outlineLevel="0" collapsed="false">
      <c r="A253" s="71" t="str">
        <f aca="false">IF(B253="","",ROW()-1)</f>
        <v/>
      </c>
      <c r="B253" s="73"/>
      <c r="C253" s="74"/>
      <c r="D253" s="73"/>
      <c r="E253" s="73"/>
      <c r="F253" s="73"/>
      <c r="G253" s="73"/>
      <c r="H253" s="73"/>
      <c r="I253" s="73"/>
      <c r="J253" s="74"/>
      <c r="K253" s="73"/>
      <c r="L253" s="76"/>
      <c r="M253" s="76"/>
      <c r="N253" s="73"/>
      <c r="O253" s="73"/>
      <c r="P253" s="73"/>
      <c r="Q253" s="73"/>
      <c r="R253" s="73"/>
    </row>
    <row r="254" customFormat="false" ht="15" hidden="false" customHeight="false" outlineLevel="0" collapsed="false">
      <c r="A254" s="71" t="str">
        <f aca="false">IF(B254="","",ROW()-1)</f>
        <v/>
      </c>
      <c r="B254" s="73"/>
      <c r="C254" s="74"/>
      <c r="D254" s="73"/>
      <c r="E254" s="73"/>
      <c r="F254" s="73"/>
      <c r="G254" s="73"/>
      <c r="H254" s="73"/>
      <c r="I254" s="73"/>
      <c r="J254" s="74"/>
      <c r="K254" s="73"/>
      <c r="L254" s="76"/>
      <c r="M254" s="76"/>
      <c r="N254" s="73"/>
      <c r="O254" s="73"/>
      <c r="P254" s="73"/>
      <c r="Q254" s="73"/>
      <c r="R254" s="73"/>
    </row>
    <row r="255" customFormat="false" ht="15" hidden="false" customHeight="false" outlineLevel="0" collapsed="false">
      <c r="A255" s="71" t="str">
        <f aca="false">IF(B255="","",ROW()-1)</f>
        <v/>
      </c>
      <c r="B255" s="73"/>
      <c r="C255" s="74"/>
      <c r="D255" s="73"/>
      <c r="E255" s="73"/>
      <c r="F255" s="73"/>
      <c r="G255" s="73"/>
      <c r="H255" s="73"/>
      <c r="I255" s="73"/>
      <c r="J255" s="74"/>
      <c r="K255" s="73"/>
      <c r="L255" s="76"/>
      <c r="M255" s="76"/>
      <c r="N255" s="73"/>
      <c r="O255" s="73"/>
      <c r="P255" s="73"/>
      <c r="Q255" s="73"/>
      <c r="R255" s="73"/>
    </row>
    <row r="256" customFormat="false" ht="15" hidden="false" customHeight="false" outlineLevel="0" collapsed="false">
      <c r="A256" s="71" t="str">
        <f aca="false">IF(B256="","",ROW()-1)</f>
        <v/>
      </c>
      <c r="B256" s="73"/>
      <c r="C256" s="74"/>
      <c r="D256" s="73"/>
      <c r="E256" s="73"/>
      <c r="F256" s="73"/>
      <c r="G256" s="73"/>
      <c r="H256" s="73"/>
      <c r="I256" s="73"/>
      <c r="J256" s="74"/>
      <c r="K256" s="73"/>
      <c r="L256" s="76"/>
      <c r="M256" s="76"/>
      <c r="N256" s="73"/>
      <c r="O256" s="73"/>
      <c r="P256" s="73"/>
      <c r="Q256" s="73"/>
      <c r="R256" s="73"/>
    </row>
    <row r="257" customFormat="false" ht="15" hidden="false" customHeight="false" outlineLevel="0" collapsed="false">
      <c r="A257" s="71" t="str">
        <f aca="false">IF(B257="","",ROW()-1)</f>
        <v/>
      </c>
      <c r="B257" s="73"/>
      <c r="C257" s="74"/>
      <c r="D257" s="73"/>
      <c r="E257" s="73"/>
      <c r="F257" s="73"/>
      <c r="G257" s="73"/>
      <c r="H257" s="73"/>
      <c r="I257" s="73"/>
      <c r="J257" s="74"/>
      <c r="K257" s="73"/>
      <c r="L257" s="76"/>
      <c r="M257" s="76"/>
      <c r="N257" s="73"/>
      <c r="O257" s="73"/>
      <c r="P257" s="73"/>
      <c r="Q257" s="73"/>
      <c r="R257" s="73"/>
    </row>
    <row r="258" customFormat="false" ht="15" hidden="false" customHeight="false" outlineLevel="0" collapsed="false">
      <c r="A258" s="71" t="str">
        <f aca="false">IF(B258="","",ROW()-1)</f>
        <v/>
      </c>
      <c r="B258" s="73"/>
      <c r="C258" s="74"/>
      <c r="D258" s="73"/>
      <c r="E258" s="73"/>
      <c r="F258" s="73"/>
      <c r="G258" s="73"/>
      <c r="H258" s="73"/>
      <c r="I258" s="73"/>
      <c r="J258" s="74"/>
      <c r="K258" s="73"/>
      <c r="L258" s="76"/>
      <c r="M258" s="76"/>
      <c r="N258" s="73"/>
      <c r="O258" s="73"/>
      <c r="P258" s="73"/>
      <c r="Q258" s="73"/>
      <c r="R258" s="73"/>
    </row>
    <row r="259" customFormat="false" ht="15" hidden="false" customHeight="false" outlineLevel="0" collapsed="false">
      <c r="A259" s="71" t="str">
        <f aca="false">IF(B259="","",ROW()-1)</f>
        <v/>
      </c>
      <c r="B259" s="73"/>
      <c r="C259" s="74"/>
      <c r="D259" s="73"/>
      <c r="E259" s="73"/>
      <c r="F259" s="73"/>
      <c r="G259" s="73"/>
      <c r="H259" s="73"/>
      <c r="I259" s="73"/>
      <c r="J259" s="74"/>
      <c r="K259" s="73"/>
      <c r="L259" s="76"/>
      <c r="M259" s="76"/>
      <c r="N259" s="73"/>
      <c r="O259" s="73"/>
      <c r="P259" s="73"/>
      <c r="Q259" s="73"/>
      <c r="R259" s="73"/>
    </row>
    <row r="260" customFormat="false" ht="15" hidden="false" customHeight="false" outlineLevel="0" collapsed="false">
      <c r="A260" s="71" t="str">
        <f aca="false">IF(B260="","",ROW()-1)</f>
        <v/>
      </c>
      <c r="B260" s="73"/>
      <c r="C260" s="74"/>
      <c r="D260" s="73"/>
      <c r="E260" s="73"/>
      <c r="F260" s="73"/>
      <c r="G260" s="73"/>
      <c r="H260" s="73"/>
      <c r="I260" s="73"/>
      <c r="J260" s="74"/>
      <c r="K260" s="73"/>
      <c r="L260" s="76"/>
      <c r="M260" s="76"/>
      <c r="N260" s="73"/>
      <c r="O260" s="73"/>
      <c r="P260" s="73"/>
      <c r="Q260" s="73"/>
      <c r="R260" s="73"/>
    </row>
    <row r="261" customFormat="false" ht="15" hidden="false" customHeight="false" outlineLevel="0" collapsed="false">
      <c r="A261" s="71" t="str">
        <f aca="false">IF(B261="","",ROW()-1)</f>
        <v/>
      </c>
      <c r="B261" s="73"/>
      <c r="C261" s="74"/>
      <c r="D261" s="73"/>
      <c r="E261" s="73"/>
      <c r="F261" s="73"/>
      <c r="G261" s="73"/>
      <c r="H261" s="73"/>
      <c r="I261" s="73"/>
      <c r="J261" s="74"/>
      <c r="K261" s="73"/>
      <c r="L261" s="76"/>
      <c r="M261" s="76"/>
      <c r="N261" s="73"/>
      <c r="O261" s="73"/>
      <c r="P261" s="73"/>
      <c r="Q261" s="73"/>
      <c r="R261" s="73"/>
    </row>
    <row r="262" customFormat="false" ht="15" hidden="false" customHeight="false" outlineLevel="0" collapsed="false">
      <c r="A262" s="71" t="str">
        <f aca="false">IF(B262="","",ROW()-1)</f>
        <v/>
      </c>
      <c r="B262" s="73"/>
      <c r="C262" s="74"/>
      <c r="D262" s="73"/>
      <c r="E262" s="73"/>
      <c r="F262" s="73"/>
      <c r="G262" s="73"/>
      <c r="H262" s="73"/>
      <c r="I262" s="73"/>
      <c r="J262" s="74"/>
      <c r="K262" s="73"/>
      <c r="L262" s="76"/>
      <c r="M262" s="76"/>
      <c r="N262" s="73"/>
      <c r="O262" s="73"/>
      <c r="P262" s="73"/>
      <c r="Q262" s="73"/>
      <c r="R262" s="73"/>
    </row>
    <row r="263" customFormat="false" ht="15" hidden="false" customHeight="false" outlineLevel="0" collapsed="false">
      <c r="A263" s="71" t="str">
        <f aca="false">IF(B263="","",ROW()-1)</f>
        <v/>
      </c>
      <c r="B263" s="73"/>
      <c r="C263" s="74"/>
      <c r="D263" s="73"/>
      <c r="E263" s="73"/>
      <c r="F263" s="73"/>
      <c r="G263" s="73"/>
      <c r="H263" s="73"/>
      <c r="I263" s="73"/>
      <c r="J263" s="74"/>
      <c r="K263" s="73"/>
      <c r="L263" s="76"/>
      <c r="M263" s="76"/>
      <c r="N263" s="73"/>
      <c r="O263" s="73"/>
      <c r="P263" s="73"/>
      <c r="Q263" s="73"/>
      <c r="R263" s="73"/>
    </row>
    <row r="264" customFormat="false" ht="15" hidden="false" customHeight="false" outlineLevel="0" collapsed="false">
      <c r="A264" s="71" t="str">
        <f aca="false">IF(B264="","",ROW()-1)</f>
        <v/>
      </c>
      <c r="B264" s="73"/>
      <c r="C264" s="74"/>
      <c r="D264" s="73"/>
      <c r="E264" s="73"/>
      <c r="F264" s="73"/>
      <c r="G264" s="73"/>
      <c r="H264" s="73"/>
      <c r="I264" s="73"/>
      <c r="J264" s="74"/>
      <c r="K264" s="73"/>
      <c r="L264" s="76"/>
      <c r="M264" s="76"/>
      <c r="N264" s="73"/>
      <c r="O264" s="73"/>
      <c r="P264" s="73"/>
      <c r="Q264" s="73"/>
      <c r="R264" s="73"/>
    </row>
    <row r="265" customFormat="false" ht="15" hidden="false" customHeight="false" outlineLevel="0" collapsed="false">
      <c r="A265" s="71" t="str">
        <f aca="false">IF(B265="","",ROW()-1)</f>
        <v/>
      </c>
      <c r="B265" s="73"/>
      <c r="C265" s="74"/>
      <c r="D265" s="73"/>
      <c r="E265" s="73"/>
      <c r="F265" s="73"/>
      <c r="G265" s="73"/>
      <c r="H265" s="73"/>
      <c r="I265" s="73"/>
      <c r="J265" s="74"/>
      <c r="K265" s="73"/>
      <c r="L265" s="76"/>
      <c r="M265" s="76"/>
      <c r="N265" s="73"/>
      <c r="O265" s="73"/>
      <c r="P265" s="73"/>
      <c r="Q265" s="73"/>
      <c r="R265" s="73"/>
    </row>
    <row r="266" customFormat="false" ht="15" hidden="false" customHeight="false" outlineLevel="0" collapsed="false">
      <c r="A266" s="71" t="str">
        <f aca="false">IF(B266="","",ROW()-1)</f>
        <v/>
      </c>
      <c r="B266" s="73"/>
      <c r="C266" s="74"/>
      <c r="D266" s="73"/>
      <c r="E266" s="73"/>
      <c r="F266" s="73"/>
      <c r="G266" s="73"/>
      <c r="H266" s="73"/>
      <c r="I266" s="73"/>
      <c r="J266" s="74"/>
      <c r="K266" s="73"/>
      <c r="L266" s="76"/>
      <c r="M266" s="76"/>
      <c r="N266" s="73"/>
      <c r="O266" s="73"/>
      <c r="P266" s="73"/>
      <c r="Q266" s="73"/>
      <c r="R266" s="73"/>
    </row>
    <row r="267" customFormat="false" ht="15" hidden="false" customHeight="false" outlineLevel="0" collapsed="false">
      <c r="A267" s="71" t="str">
        <f aca="false">IF(B267="","",ROW()-1)</f>
        <v/>
      </c>
      <c r="B267" s="73"/>
      <c r="C267" s="74"/>
      <c r="D267" s="73"/>
      <c r="E267" s="73"/>
      <c r="F267" s="73"/>
      <c r="G267" s="73"/>
      <c r="H267" s="73"/>
      <c r="I267" s="73"/>
      <c r="J267" s="74"/>
      <c r="K267" s="73"/>
      <c r="L267" s="76"/>
      <c r="M267" s="76"/>
      <c r="N267" s="73"/>
      <c r="O267" s="73"/>
      <c r="P267" s="73"/>
      <c r="Q267" s="73"/>
      <c r="R267" s="73"/>
    </row>
    <row r="268" customFormat="false" ht="15" hidden="false" customHeight="false" outlineLevel="0" collapsed="false">
      <c r="A268" s="71" t="str">
        <f aca="false">IF(B268="","",ROW()-1)</f>
        <v/>
      </c>
      <c r="B268" s="73"/>
      <c r="C268" s="74"/>
      <c r="D268" s="73"/>
      <c r="E268" s="73"/>
      <c r="F268" s="73"/>
      <c r="G268" s="73"/>
      <c r="H268" s="73"/>
      <c r="I268" s="73"/>
      <c r="J268" s="74"/>
      <c r="K268" s="73"/>
      <c r="L268" s="76"/>
      <c r="M268" s="76"/>
      <c r="N268" s="73"/>
      <c r="O268" s="73"/>
      <c r="P268" s="73"/>
      <c r="Q268" s="73"/>
      <c r="R268" s="73"/>
    </row>
    <row r="269" customFormat="false" ht="15" hidden="false" customHeight="false" outlineLevel="0" collapsed="false">
      <c r="A269" s="71" t="str">
        <f aca="false">IF(B269="","",ROW()-1)</f>
        <v/>
      </c>
      <c r="B269" s="73"/>
      <c r="C269" s="74"/>
      <c r="D269" s="73"/>
      <c r="E269" s="73"/>
      <c r="F269" s="73"/>
      <c r="G269" s="73"/>
      <c r="H269" s="73"/>
      <c r="I269" s="73"/>
      <c r="J269" s="74"/>
      <c r="K269" s="73"/>
      <c r="L269" s="76"/>
      <c r="M269" s="76"/>
      <c r="N269" s="73"/>
      <c r="O269" s="73"/>
      <c r="P269" s="73"/>
      <c r="Q269" s="73"/>
      <c r="R269" s="73"/>
    </row>
    <row r="270" customFormat="false" ht="15" hidden="false" customHeight="false" outlineLevel="0" collapsed="false">
      <c r="A270" s="71" t="str">
        <f aca="false">IF(B270="","",ROW()-1)</f>
        <v/>
      </c>
      <c r="B270" s="73"/>
      <c r="C270" s="74"/>
      <c r="D270" s="73"/>
      <c r="E270" s="73"/>
      <c r="F270" s="73"/>
      <c r="G270" s="73"/>
      <c r="H270" s="73"/>
      <c r="I270" s="73"/>
      <c r="J270" s="74"/>
      <c r="K270" s="73"/>
      <c r="L270" s="76"/>
      <c r="M270" s="76"/>
      <c r="N270" s="73"/>
      <c r="O270" s="73"/>
      <c r="P270" s="73"/>
      <c r="Q270" s="73"/>
      <c r="R270" s="73"/>
    </row>
    <row r="271" customFormat="false" ht="15" hidden="false" customHeight="false" outlineLevel="0" collapsed="false">
      <c r="A271" s="71" t="str">
        <f aca="false">IF(B271="","",ROW()-1)</f>
        <v/>
      </c>
      <c r="B271" s="73"/>
      <c r="C271" s="74"/>
      <c r="D271" s="73"/>
      <c r="E271" s="73"/>
      <c r="F271" s="73"/>
      <c r="G271" s="73"/>
      <c r="H271" s="73"/>
      <c r="I271" s="73"/>
      <c r="J271" s="74"/>
      <c r="K271" s="73"/>
      <c r="L271" s="76"/>
      <c r="M271" s="76"/>
      <c r="N271" s="73"/>
      <c r="O271" s="73"/>
      <c r="P271" s="73"/>
      <c r="Q271" s="73"/>
      <c r="R271" s="73"/>
    </row>
    <row r="272" customFormat="false" ht="15" hidden="false" customHeight="false" outlineLevel="0" collapsed="false">
      <c r="A272" s="71" t="str">
        <f aca="false">IF(B272="","",ROW()-1)</f>
        <v/>
      </c>
      <c r="B272" s="73"/>
      <c r="C272" s="74"/>
      <c r="D272" s="73"/>
      <c r="E272" s="73"/>
      <c r="F272" s="73"/>
      <c r="G272" s="73"/>
      <c r="H272" s="73"/>
      <c r="I272" s="73"/>
      <c r="J272" s="74"/>
      <c r="K272" s="73"/>
      <c r="L272" s="76"/>
      <c r="M272" s="76"/>
      <c r="N272" s="73"/>
      <c r="O272" s="73"/>
      <c r="P272" s="73"/>
      <c r="Q272" s="73"/>
      <c r="R272" s="73"/>
    </row>
    <row r="273" customFormat="false" ht="15" hidden="false" customHeight="false" outlineLevel="0" collapsed="false">
      <c r="A273" s="71" t="str">
        <f aca="false">IF(B273="","",ROW()-1)</f>
        <v/>
      </c>
      <c r="B273" s="73"/>
      <c r="C273" s="74"/>
      <c r="D273" s="73"/>
      <c r="E273" s="73"/>
      <c r="F273" s="73"/>
      <c r="G273" s="73"/>
      <c r="H273" s="73"/>
      <c r="I273" s="73"/>
      <c r="J273" s="74"/>
      <c r="K273" s="73"/>
      <c r="L273" s="76"/>
      <c r="M273" s="76"/>
      <c r="N273" s="73"/>
      <c r="O273" s="73"/>
      <c r="P273" s="73"/>
      <c r="Q273" s="73"/>
      <c r="R273" s="73"/>
    </row>
    <row r="274" customFormat="false" ht="15" hidden="false" customHeight="false" outlineLevel="0" collapsed="false">
      <c r="A274" s="71" t="str">
        <f aca="false">IF(B274="","",ROW()-1)</f>
        <v/>
      </c>
      <c r="B274" s="73"/>
      <c r="C274" s="74"/>
      <c r="D274" s="73"/>
      <c r="E274" s="73"/>
      <c r="F274" s="73"/>
      <c r="G274" s="73"/>
      <c r="H274" s="73"/>
      <c r="I274" s="73"/>
      <c r="J274" s="74"/>
      <c r="K274" s="73"/>
      <c r="L274" s="76"/>
      <c r="M274" s="76"/>
      <c r="N274" s="73"/>
      <c r="O274" s="73"/>
      <c r="P274" s="73"/>
      <c r="Q274" s="73"/>
      <c r="R274" s="73"/>
    </row>
    <row r="275" customFormat="false" ht="15" hidden="false" customHeight="false" outlineLevel="0" collapsed="false">
      <c r="A275" s="71" t="str">
        <f aca="false">IF(B275="","",ROW()-1)</f>
        <v/>
      </c>
      <c r="B275" s="73"/>
      <c r="C275" s="74"/>
      <c r="D275" s="73"/>
      <c r="E275" s="73"/>
      <c r="F275" s="73"/>
      <c r="G275" s="73"/>
      <c r="H275" s="73"/>
      <c r="I275" s="73"/>
      <c r="J275" s="74"/>
      <c r="K275" s="73"/>
      <c r="L275" s="76"/>
      <c r="M275" s="76"/>
      <c r="N275" s="73"/>
      <c r="O275" s="73"/>
      <c r="P275" s="73"/>
      <c r="Q275" s="73"/>
      <c r="R275" s="73"/>
    </row>
    <row r="276" customFormat="false" ht="15" hidden="false" customHeight="false" outlineLevel="0" collapsed="false">
      <c r="A276" s="71" t="str">
        <f aca="false">IF(B276="","",ROW()-1)</f>
        <v/>
      </c>
      <c r="B276" s="73"/>
      <c r="C276" s="74"/>
      <c r="D276" s="73"/>
      <c r="E276" s="73"/>
      <c r="F276" s="73"/>
      <c r="G276" s="73"/>
      <c r="H276" s="73"/>
      <c r="I276" s="73"/>
      <c r="J276" s="74"/>
      <c r="K276" s="73"/>
      <c r="L276" s="76"/>
      <c r="M276" s="76"/>
      <c r="N276" s="73"/>
      <c r="O276" s="73"/>
      <c r="P276" s="73"/>
      <c r="Q276" s="73"/>
      <c r="R276" s="73"/>
    </row>
    <row r="277" customFormat="false" ht="15" hidden="false" customHeight="false" outlineLevel="0" collapsed="false">
      <c r="A277" s="71" t="str">
        <f aca="false">IF(B277="","",ROW()-1)</f>
        <v/>
      </c>
      <c r="B277" s="73"/>
      <c r="C277" s="74"/>
      <c r="D277" s="73"/>
      <c r="E277" s="73"/>
      <c r="F277" s="73"/>
      <c r="G277" s="73"/>
      <c r="H277" s="73"/>
      <c r="I277" s="73"/>
      <c r="J277" s="74"/>
      <c r="K277" s="73"/>
      <c r="L277" s="76"/>
      <c r="M277" s="76"/>
      <c r="N277" s="73"/>
      <c r="O277" s="73"/>
      <c r="P277" s="73"/>
      <c r="Q277" s="73"/>
      <c r="R277" s="73"/>
    </row>
    <row r="278" customFormat="false" ht="15" hidden="false" customHeight="false" outlineLevel="0" collapsed="false">
      <c r="A278" s="71" t="str">
        <f aca="false">IF(B278="","",ROW()-1)</f>
        <v/>
      </c>
      <c r="B278" s="73"/>
      <c r="C278" s="74"/>
      <c r="D278" s="73"/>
      <c r="E278" s="73"/>
      <c r="F278" s="73"/>
      <c r="G278" s="73"/>
      <c r="H278" s="73"/>
      <c r="I278" s="73"/>
      <c r="J278" s="74"/>
      <c r="K278" s="73"/>
      <c r="L278" s="76"/>
      <c r="M278" s="76"/>
      <c r="N278" s="73"/>
      <c r="O278" s="73"/>
      <c r="P278" s="73"/>
      <c r="Q278" s="73"/>
      <c r="R278" s="73"/>
    </row>
    <row r="279" customFormat="false" ht="15" hidden="false" customHeight="false" outlineLevel="0" collapsed="false">
      <c r="A279" s="71" t="str">
        <f aca="false">IF(B279="","",ROW()-1)</f>
        <v/>
      </c>
      <c r="B279" s="73"/>
      <c r="C279" s="74"/>
      <c r="D279" s="73"/>
      <c r="E279" s="73"/>
      <c r="F279" s="73"/>
      <c r="G279" s="73"/>
      <c r="H279" s="73"/>
      <c r="I279" s="73"/>
      <c r="J279" s="74"/>
      <c r="K279" s="73"/>
      <c r="L279" s="76"/>
      <c r="M279" s="76"/>
      <c r="N279" s="73"/>
      <c r="O279" s="73"/>
      <c r="P279" s="73"/>
      <c r="Q279" s="73"/>
      <c r="R279" s="73"/>
    </row>
    <row r="280" customFormat="false" ht="15" hidden="false" customHeight="false" outlineLevel="0" collapsed="false">
      <c r="A280" s="71" t="str">
        <f aca="false">IF(B280="","",ROW()-1)</f>
        <v/>
      </c>
      <c r="B280" s="73"/>
      <c r="C280" s="74"/>
      <c r="D280" s="73"/>
      <c r="E280" s="73"/>
      <c r="F280" s="73"/>
      <c r="G280" s="73"/>
      <c r="H280" s="73"/>
      <c r="I280" s="73"/>
      <c r="J280" s="74"/>
      <c r="K280" s="73"/>
      <c r="L280" s="76"/>
      <c r="M280" s="76"/>
      <c r="N280" s="73"/>
      <c r="O280" s="73"/>
      <c r="P280" s="73"/>
      <c r="Q280" s="73"/>
      <c r="R280" s="73"/>
    </row>
    <row r="281" customFormat="false" ht="15" hidden="false" customHeight="false" outlineLevel="0" collapsed="false">
      <c r="A281" s="71" t="str">
        <f aca="false">IF(B281="","",ROW()-1)</f>
        <v/>
      </c>
      <c r="B281" s="73"/>
      <c r="C281" s="74"/>
      <c r="D281" s="73"/>
      <c r="E281" s="73"/>
      <c r="F281" s="73"/>
      <c r="G281" s="73"/>
      <c r="H281" s="73"/>
      <c r="I281" s="73"/>
      <c r="J281" s="74"/>
      <c r="K281" s="73"/>
      <c r="L281" s="76"/>
      <c r="M281" s="76"/>
      <c r="N281" s="73"/>
      <c r="O281" s="73"/>
      <c r="P281" s="73"/>
      <c r="Q281" s="73"/>
      <c r="R281" s="73"/>
    </row>
    <row r="282" customFormat="false" ht="15" hidden="false" customHeight="false" outlineLevel="0" collapsed="false">
      <c r="A282" s="71" t="str">
        <f aca="false">IF(B282="","",ROW()-1)</f>
        <v/>
      </c>
      <c r="B282" s="73"/>
      <c r="C282" s="74"/>
      <c r="D282" s="73"/>
      <c r="E282" s="73"/>
      <c r="F282" s="73"/>
      <c r="G282" s="73"/>
      <c r="H282" s="73"/>
      <c r="I282" s="73"/>
      <c r="J282" s="74"/>
      <c r="K282" s="73"/>
      <c r="L282" s="76"/>
      <c r="M282" s="76"/>
      <c r="N282" s="73"/>
      <c r="O282" s="73"/>
      <c r="P282" s="73"/>
      <c r="Q282" s="73"/>
      <c r="R282" s="73"/>
    </row>
    <row r="283" customFormat="false" ht="15" hidden="false" customHeight="false" outlineLevel="0" collapsed="false">
      <c r="A283" s="71" t="str">
        <f aca="false">IF(B283="","",ROW()-1)</f>
        <v/>
      </c>
      <c r="B283" s="73"/>
      <c r="C283" s="74"/>
      <c r="D283" s="73"/>
      <c r="E283" s="73"/>
      <c r="F283" s="73"/>
      <c r="G283" s="73"/>
      <c r="H283" s="73"/>
      <c r="I283" s="73"/>
      <c r="J283" s="74"/>
      <c r="K283" s="73"/>
      <c r="L283" s="76"/>
      <c r="M283" s="76"/>
      <c r="N283" s="73"/>
      <c r="O283" s="73"/>
      <c r="P283" s="73"/>
      <c r="Q283" s="73"/>
      <c r="R283" s="73"/>
    </row>
    <row r="284" customFormat="false" ht="15" hidden="false" customHeight="false" outlineLevel="0" collapsed="false">
      <c r="A284" s="71" t="str">
        <f aca="false">IF(B284="","",ROW()-1)</f>
        <v/>
      </c>
      <c r="B284" s="73"/>
      <c r="C284" s="74"/>
      <c r="D284" s="73"/>
      <c r="E284" s="73"/>
      <c r="F284" s="73"/>
      <c r="G284" s="73"/>
      <c r="H284" s="73"/>
      <c r="I284" s="73"/>
      <c r="J284" s="74"/>
      <c r="K284" s="73"/>
      <c r="L284" s="76"/>
      <c r="M284" s="76"/>
      <c r="N284" s="73"/>
      <c r="O284" s="73"/>
      <c r="P284" s="73"/>
      <c r="Q284" s="73"/>
      <c r="R284" s="73"/>
    </row>
    <row r="285" customFormat="false" ht="15" hidden="false" customHeight="false" outlineLevel="0" collapsed="false">
      <c r="A285" s="71" t="str">
        <f aca="false">IF(B285="","",ROW()-1)</f>
        <v/>
      </c>
      <c r="B285" s="73"/>
      <c r="C285" s="74"/>
      <c r="D285" s="73"/>
      <c r="E285" s="73"/>
      <c r="F285" s="73"/>
      <c r="G285" s="73"/>
      <c r="H285" s="73"/>
      <c r="I285" s="73"/>
      <c r="J285" s="74"/>
      <c r="K285" s="73"/>
      <c r="L285" s="76"/>
      <c r="M285" s="76"/>
      <c r="N285" s="73"/>
      <c r="O285" s="73"/>
      <c r="P285" s="73"/>
      <c r="Q285" s="73"/>
      <c r="R285" s="73"/>
    </row>
    <row r="286" customFormat="false" ht="15" hidden="false" customHeight="false" outlineLevel="0" collapsed="false">
      <c r="A286" s="71" t="str">
        <f aca="false">IF(B286="","",ROW()-1)</f>
        <v/>
      </c>
      <c r="B286" s="73"/>
      <c r="C286" s="74"/>
      <c r="D286" s="73"/>
      <c r="E286" s="73"/>
      <c r="F286" s="73"/>
      <c r="G286" s="73"/>
      <c r="H286" s="73"/>
      <c r="I286" s="73"/>
      <c r="J286" s="74"/>
      <c r="K286" s="73"/>
      <c r="L286" s="76"/>
      <c r="M286" s="76"/>
      <c r="N286" s="73"/>
      <c r="O286" s="73"/>
      <c r="P286" s="73"/>
      <c r="Q286" s="73"/>
      <c r="R286" s="73"/>
    </row>
    <row r="287" customFormat="false" ht="15" hidden="false" customHeight="false" outlineLevel="0" collapsed="false">
      <c r="A287" s="71" t="str">
        <f aca="false">IF(B287="","",ROW()-1)</f>
        <v/>
      </c>
      <c r="B287" s="73"/>
      <c r="C287" s="74"/>
      <c r="D287" s="73"/>
      <c r="E287" s="73"/>
      <c r="F287" s="73"/>
      <c r="G287" s="73"/>
      <c r="H287" s="73"/>
      <c r="I287" s="73"/>
      <c r="J287" s="74"/>
      <c r="K287" s="73"/>
      <c r="L287" s="76"/>
      <c r="M287" s="76"/>
      <c r="N287" s="73"/>
      <c r="O287" s="73"/>
      <c r="P287" s="73"/>
      <c r="Q287" s="73"/>
      <c r="R287" s="73"/>
    </row>
    <row r="288" customFormat="false" ht="15" hidden="false" customHeight="false" outlineLevel="0" collapsed="false">
      <c r="A288" s="71" t="str">
        <f aca="false">IF(B288="","",ROW()-1)</f>
        <v/>
      </c>
      <c r="B288" s="73"/>
      <c r="C288" s="74"/>
      <c r="D288" s="73"/>
      <c r="E288" s="73"/>
      <c r="F288" s="73"/>
      <c r="G288" s="73"/>
      <c r="H288" s="73"/>
      <c r="I288" s="73"/>
      <c r="J288" s="74"/>
      <c r="K288" s="73"/>
      <c r="L288" s="76"/>
      <c r="M288" s="76"/>
      <c r="N288" s="73"/>
      <c r="O288" s="73"/>
      <c r="P288" s="73"/>
      <c r="Q288" s="73"/>
      <c r="R288" s="73"/>
    </row>
    <row r="289" customFormat="false" ht="15" hidden="false" customHeight="false" outlineLevel="0" collapsed="false">
      <c r="A289" s="71" t="str">
        <f aca="false">IF(B289="","",ROW()-1)</f>
        <v/>
      </c>
      <c r="B289" s="73"/>
      <c r="C289" s="74"/>
      <c r="D289" s="73"/>
      <c r="E289" s="73"/>
      <c r="F289" s="73"/>
      <c r="G289" s="73"/>
      <c r="H289" s="73"/>
      <c r="I289" s="73"/>
      <c r="J289" s="74"/>
      <c r="K289" s="73"/>
      <c r="L289" s="76"/>
      <c r="M289" s="76"/>
      <c r="N289" s="73"/>
      <c r="O289" s="73"/>
      <c r="P289" s="73"/>
      <c r="Q289" s="73"/>
      <c r="R289" s="73"/>
    </row>
    <row r="290" customFormat="false" ht="15" hidden="false" customHeight="false" outlineLevel="0" collapsed="false">
      <c r="A290" s="71" t="str">
        <f aca="false">IF(B290="","",ROW()-1)</f>
        <v/>
      </c>
      <c r="B290" s="73"/>
      <c r="C290" s="74"/>
      <c r="D290" s="73"/>
      <c r="E290" s="73"/>
      <c r="F290" s="73"/>
      <c r="G290" s="73"/>
      <c r="H290" s="73"/>
      <c r="I290" s="73"/>
      <c r="J290" s="74"/>
      <c r="K290" s="73"/>
      <c r="L290" s="76"/>
      <c r="M290" s="76"/>
      <c r="N290" s="73"/>
      <c r="O290" s="73"/>
      <c r="P290" s="73"/>
      <c r="Q290" s="73"/>
      <c r="R290" s="73"/>
    </row>
    <row r="291" customFormat="false" ht="15" hidden="false" customHeight="false" outlineLevel="0" collapsed="false">
      <c r="A291" s="71" t="str">
        <f aca="false">IF(B291="","",ROW()-1)</f>
        <v/>
      </c>
      <c r="B291" s="73"/>
      <c r="C291" s="74"/>
      <c r="D291" s="73"/>
      <c r="E291" s="73"/>
      <c r="F291" s="73"/>
      <c r="G291" s="73"/>
      <c r="H291" s="73"/>
      <c r="I291" s="73"/>
      <c r="J291" s="74"/>
      <c r="K291" s="73"/>
      <c r="L291" s="76"/>
      <c r="M291" s="76"/>
      <c r="N291" s="73"/>
      <c r="O291" s="73"/>
      <c r="P291" s="73"/>
      <c r="Q291" s="73"/>
      <c r="R291" s="73"/>
    </row>
    <row r="292" customFormat="false" ht="15" hidden="false" customHeight="false" outlineLevel="0" collapsed="false">
      <c r="A292" s="71" t="str">
        <f aca="false">IF(B292="","",ROW()-1)</f>
        <v/>
      </c>
      <c r="B292" s="73"/>
      <c r="C292" s="74"/>
      <c r="D292" s="73"/>
      <c r="E292" s="73"/>
      <c r="F292" s="73"/>
      <c r="G292" s="73"/>
      <c r="H292" s="73"/>
      <c r="I292" s="73"/>
      <c r="J292" s="74"/>
      <c r="K292" s="73"/>
      <c r="L292" s="76"/>
      <c r="M292" s="76"/>
      <c r="N292" s="73"/>
      <c r="O292" s="73"/>
      <c r="P292" s="73"/>
      <c r="Q292" s="73"/>
      <c r="R292" s="73"/>
    </row>
    <row r="293" customFormat="false" ht="15" hidden="false" customHeight="false" outlineLevel="0" collapsed="false">
      <c r="A293" s="71" t="str">
        <f aca="false">IF(B293="","",ROW()-1)</f>
        <v/>
      </c>
      <c r="B293" s="73"/>
      <c r="C293" s="74"/>
      <c r="D293" s="73"/>
      <c r="E293" s="73"/>
      <c r="F293" s="73"/>
      <c r="G293" s="73"/>
      <c r="H293" s="73"/>
      <c r="I293" s="73"/>
      <c r="J293" s="74"/>
      <c r="K293" s="73"/>
      <c r="L293" s="76"/>
      <c r="M293" s="76"/>
      <c r="N293" s="73"/>
      <c r="O293" s="73"/>
      <c r="P293" s="73"/>
      <c r="Q293" s="73"/>
      <c r="R293" s="73"/>
    </row>
    <row r="294" customFormat="false" ht="15" hidden="false" customHeight="false" outlineLevel="0" collapsed="false">
      <c r="A294" s="71" t="str">
        <f aca="false">IF(B294="","",ROW()-1)</f>
        <v/>
      </c>
      <c r="B294" s="73"/>
      <c r="C294" s="74"/>
      <c r="D294" s="73"/>
      <c r="E294" s="73"/>
      <c r="F294" s="73"/>
      <c r="G294" s="73"/>
      <c r="H294" s="73"/>
      <c r="I294" s="73"/>
      <c r="J294" s="74"/>
      <c r="K294" s="73"/>
      <c r="L294" s="76"/>
      <c r="M294" s="76"/>
      <c r="N294" s="73"/>
      <c r="O294" s="73"/>
      <c r="P294" s="73"/>
      <c r="Q294" s="73"/>
      <c r="R294" s="73"/>
    </row>
    <row r="295" customFormat="false" ht="15" hidden="false" customHeight="false" outlineLevel="0" collapsed="false">
      <c r="A295" s="71" t="str">
        <f aca="false">IF(B295="","",ROW()-1)</f>
        <v/>
      </c>
      <c r="B295" s="73"/>
      <c r="C295" s="74"/>
      <c r="D295" s="73"/>
      <c r="E295" s="73"/>
      <c r="F295" s="73"/>
      <c r="G295" s="73"/>
      <c r="H295" s="73"/>
      <c r="I295" s="73"/>
      <c r="J295" s="74"/>
      <c r="K295" s="73"/>
      <c r="L295" s="76"/>
      <c r="M295" s="76"/>
      <c r="N295" s="73"/>
      <c r="O295" s="73"/>
      <c r="P295" s="73"/>
      <c r="Q295" s="73"/>
      <c r="R295" s="73"/>
    </row>
    <row r="296" customFormat="false" ht="15" hidden="false" customHeight="false" outlineLevel="0" collapsed="false">
      <c r="A296" s="71" t="str">
        <f aca="false">IF(B296="","",ROW()-1)</f>
        <v/>
      </c>
      <c r="B296" s="73"/>
      <c r="C296" s="74"/>
      <c r="D296" s="73"/>
      <c r="E296" s="73"/>
      <c r="F296" s="73"/>
      <c r="G296" s="73"/>
      <c r="H296" s="73"/>
      <c r="I296" s="73"/>
      <c r="J296" s="74"/>
      <c r="K296" s="73"/>
      <c r="L296" s="76"/>
      <c r="M296" s="76"/>
      <c r="N296" s="73"/>
      <c r="O296" s="73"/>
      <c r="P296" s="73"/>
      <c r="Q296" s="73"/>
      <c r="R296" s="73"/>
    </row>
    <row r="297" customFormat="false" ht="15" hidden="false" customHeight="false" outlineLevel="0" collapsed="false">
      <c r="A297" s="71" t="str">
        <f aca="false">IF(B297="","",ROW()-1)</f>
        <v/>
      </c>
      <c r="B297" s="73"/>
      <c r="C297" s="74"/>
      <c r="D297" s="73"/>
      <c r="E297" s="73"/>
      <c r="F297" s="73"/>
      <c r="G297" s="73"/>
      <c r="H297" s="73"/>
      <c r="I297" s="73"/>
      <c r="J297" s="74"/>
      <c r="K297" s="73"/>
      <c r="L297" s="76"/>
      <c r="M297" s="76"/>
      <c r="N297" s="73"/>
      <c r="O297" s="73"/>
      <c r="P297" s="73"/>
      <c r="Q297" s="73"/>
      <c r="R297" s="73"/>
    </row>
    <row r="298" customFormat="false" ht="15" hidden="false" customHeight="false" outlineLevel="0" collapsed="false">
      <c r="A298" s="71" t="str">
        <f aca="false">IF(B298="","",ROW()-1)</f>
        <v/>
      </c>
      <c r="B298" s="73"/>
      <c r="C298" s="74"/>
      <c r="D298" s="73"/>
      <c r="E298" s="73"/>
      <c r="F298" s="73"/>
      <c r="G298" s="73"/>
      <c r="H298" s="73"/>
      <c r="I298" s="73"/>
      <c r="J298" s="74"/>
      <c r="K298" s="73"/>
      <c r="L298" s="76"/>
      <c r="M298" s="76"/>
      <c r="N298" s="73"/>
      <c r="O298" s="73"/>
      <c r="P298" s="73"/>
      <c r="Q298" s="73"/>
      <c r="R298" s="73"/>
    </row>
    <row r="299" customFormat="false" ht="15" hidden="false" customHeight="false" outlineLevel="0" collapsed="false">
      <c r="A299" s="71" t="str">
        <f aca="false">IF(B299="","",ROW()-1)</f>
        <v/>
      </c>
      <c r="B299" s="73"/>
      <c r="C299" s="74"/>
      <c r="D299" s="73"/>
      <c r="E299" s="73"/>
      <c r="F299" s="73"/>
      <c r="G299" s="73"/>
      <c r="H299" s="73"/>
      <c r="I299" s="73"/>
      <c r="J299" s="74"/>
      <c r="K299" s="73"/>
      <c r="L299" s="76"/>
      <c r="M299" s="76"/>
      <c r="N299" s="73"/>
      <c r="O299" s="73"/>
      <c r="P299" s="73"/>
      <c r="Q299" s="73"/>
      <c r="R299" s="73"/>
    </row>
    <row r="300" customFormat="false" ht="15" hidden="false" customHeight="false" outlineLevel="0" collapsed="false">
      <c r="A300" s="71" t="str">
        <f aca="false">IF(B300="","",ROW()-1)</f>
        <v/>
      </c>
      <c r="B300" s="73"/>
      <c r="C300" s="74"/>
      <c r="D300" s="73"/>
      <c r="E300" s="73"/>
      <c r="F300" s="73"/>
      <c r="G300" s="73"/>
      <c r="H300" s="73"/>
      <c r="I300" s="73"/>
      <c r="J300" s="74"/>
      <c r="K300" s="73"/>
      <c r="L300" s="76"/>
      <c r="M300" s="76"/>
      <c r="N300" s="73"/>
      <c r="O300" s="73"/>
      <c r="P300" s="73"/>
      <c r="Q300" s="73"/>
      <c r="R300" s="73"/>
    </row>
    <row r="301" customFormat="false" ht="15" hidden="false" customHeight="false" outlineLevel="0" collapsed="false">
      <c r="A301" s="71" t="str">
        <f aca="false">IF(B301="","",ROW()-1)</f>
        <v/>
      </c>
      <c r="B301" s="73"/>
      <c r="C301" s="74"/>
      <c r="D301" s="73"/>
      <c r="E301" s="73"/>
      <c r="F301" s="73"/>
      <c r="G301" s="73"/>
      <c r="H301" s="73"/>
      <c r="I301" s="73"/>
      <c r="J301" s="74"/>
      <c r="K301" s="73"/>
      <c r="L301" s="76"/>
      <c r="M301" s="76"/>
      <c r="N301" s="73"/>
      <c r="O301" s="73"/>
      <c r="P301" s="73"/>
      <c r="Q301" s="73"/>
      <c r="R301" s="73"/>
    </row>
    <row r="302" customFormat="false" ht="15" hidden="false" customHeight="false" outlineLevel="0" collapsed="false">
      <c r="A302" s="71" t="str">
        <f aca="false">IF(B302="","",ROW()-1)</f>
        <v/>
      </c>
      <c r="B302" s="73"/>
      <c r="C302" s="74"/>
      <c r="D302" s="73"/>
      <c r="E302" s="73"/>
      <c r="F302" s="73"/>
      <c r="G302" s="73"/>
      <c r="H302" s="73"/>
      <c r="I302" s="73"/>
      <c r="J302" s="74"/>
      <c r="K302" s="73"/>
      <c r="L302" s="76"/>
      <c r="M302" s="76"/>
      <c r="N302" s="73"/>
      <c r="O302" s="73"/>
      <c r="P302" s="73"/>
      <c r="Q302" s="73"/>
      <c r="R302" s="73"/>
    </row>
    <row r="303" customFormat="false" ht="15" hidden="false" customHeight="false" outlineLevel="0" collapsed="false">
      <c r="A303" s="71" t="str">
        <f aca="false">IF(B303="","",ROW()-1)</f>
        <v/>
      </c>
      <c r="B303" s="73"/>
      <c r="C303" s="74"/>
      <c r="D303" s="73"/>
      <c r="E303" s="73"/>
      <c r="F303" s="73"/>
      <c r="G303" s="73"/>
      <c r="H303" s="73"/>
      <c r="I303" s="73"/>
      <c r="J303" s="74"/>
      <c r="K303" s="73"/>
      <c r="L303" s="76"/>
      <c r="M303" s="76"/>
      <c r="N303" s="73"/>
      <c r="O303" s="73"/>
      <c r="P303" s="73"/>
      <c r="Q303" s="73"/>
      <c r="R303" s="73"/>
    </row>
    <row r="304" customFormat="false" ht="15" hidden="false" customHeight="false" outlineLevel="0" collapsed="false">
      <c r="A304" s="71" t="str">
        <f aca="false">IF(B304="","",ROW()-1)</f>
        <v/>
      </c>
      <c r="B304" s="73"/>
      <c r="C304" s="74"/>
      <c r="D304" s="73"/>
      <c r="E304" s="73"/>
      <c r="F304" s="73"/>
      <c r="G304" s="73"/>
      <c r="H304" s="73"/>
      <c r="I304" s="73"/>
      <c r="J304" s="74"/>
      <c r="K304" s="73"/>
      <c r="L304" s="76"/>
      <c r="M304" s="76"/>
      <c r="N304" s="73"/>
      <c r="O304" s="73"/>
      <c r="P304" s="73"/>
      <c r="Q304" s="73"/>
      <c r="R304" s="73"/>
    </row>
    <row r="305" customFormat="false" ht="15" hidden="false" customHeight="false" outlineLevel="0" collapsed="false">
      <c r="A305" s="71" t="str">
        <f aca="false">IF(B305="","",ROW()-1)</f>
        <v/>
      </c>
      <c r="B305" s="73"/>
      <c r="C305" s="74"/>
      <c r="D305" s="73"/>
      <c r="E305" s="73"/>
      <c r="F305" s="73"/>
      <c r="G305" s="73"/>
      <c r="H305" s="73"/>
      <c r="I305" s="73"/>
      <c r="J305" s="74"/>
      <c r="K305" s="73"/>
      <c r="L305" s="76"/>
      <c r="M305" s="76"/>
      <c r="N305" s="73"/>
      <c r="O305" s="73"/>
      <c r="P305" s="73"/>
      <c r="Q305" s="73"/>
      <c r="R305" s="73"/>
    </row>
    <row r="306" customFormat="false" ht="15" hidden="false" customHeight="false" outlineLevel="0" collapsed="false">
      <c r="A306" s="71" t="str">
        <f aca="false">IF(B306="","",ROW()-1)</f>
        <v/>
      </c>
      <c r="B306" s="73"/>
      <c r="C306" s="74"/>
      <c r="D306" s="73"/>
      <c r="E306" s="73"/>
      <c r="F306" s="73"/>
      <c r="G306" s="73"/>
      <c r="H306" s="73"/>
      <c r="I306" s="73"/>
      <c r="J306" s="74"/>
      <c r="K306" s="73"/>
      <c r="L306" s="76"/>
      <c r="M306" s="76"/>
      <c r="N306" s="73"/>
      <c r="O306" s="73"/>
      <c r="P306" s="73"/>
      <c r="Q306" s="73"/>
      <c r="R306" s="73"/>
    </row>
    <row r="307" customFormat="false" ht="15" hidden="false" customHeight="false" outlineLevel="0" collapsed="false">
      <c r="A307" s="71" t="str">
        <f aca="false">IF(B307="","",ROW()-1)</f>
        <v/>
      </c>
      <c r="B307" s="73"/>
      <c r="C307" s="74"/>
      <c r="D307" s="73"/>
      <c r="E307" s="73"/>
      <c r="F307" s="73"/>
      <c r="G307" s="73"/>
      <c r="H307" s="73"/>
      <c r="I307" s="73"/>
      <c r="J307" s="74"/>
      <c r="K307" s="73"/>
      <c r="L307" s="76"/>
      <c r="M307" s="76"/>
      <c r="N307" s="73"/>
      <c r="O307" s="73"/>
      <c r="P307" s="73"/>
      <c r="Q307" s="73"/>
      <c r="R307" s="73"/>
    </row>
    <row r="308" customFormat="false" ht="15" hidden="false" customHeight="false" outlineLevel="0" collapsed="false">
      <c r="A308" s="71" t="str">
        <f aca="false">IF(B308="","",ROW()-1)</f>
        <v/>
      </c>
      <c r="B308" s="73"/>
      <c r="C308" s="74"/>
      <c r="D308" s="73"/>
      <c r="E308" s="73"/>
      <c r="F308" s="73"/>
      <c r="G308" s="73"/>
      <c r="H308" s="73"/>
      <c r="I308" s="73"/>
      <c r="J308" s="74"/>
      <c r="K308" s="73"/>
      <c r="L308" s="76"/>
      <c r="M308" s="76"/>
      <c r="N308" s="73"/>
      <c r="O308" s="73"/>
      <c r="P308" s="73"/>
      <c r="Q308" s="73"/>
      <c r="R308" s="73"/>
    </row>
    <row r="309" customFormat="false" ht="15" hidden="false" customHeight="false" outlineLevel="0" collapsed="false">
      <c r="A309" s="71" t="str">
        <f aca="false">IF(B309="","",ROW()-1)</f>
        <v/>
      </c>
      <c r="B309" s="73"/>
      <c r="C309" s="74"/>
      <c r="D309" s="73"/>
      <c r="E309" s="73"/>
      <c r="F309" s="73"/>
      <c r="G309" s="73"/>
      <c r="H309" s="73"/>
      <c r="I309" s="73"/>
      <c r="J309" s="74"/>
      <c r="K309" s="73"/>
      <c r="L309" s="76"/>
      <c r="M309" s="76"/>
      <c r="N309" s="73"/>
      <c r="O309" s="73"/>
      <c r="P309" s="73"/>
      <c r="Q309" s="73"/>
      <c r="R309" s="73"/>
    </row>
    <row r="310" customFormat="false" ht="15" hidden="false" customHeight="false" outlineLevel="0" collapsed="false">
      <c r="A310" s="71" t="str">
        <f aca="false">IF(B310="","",ROW()-1)</f>
        <v/>
      </c>
      <c r="B310" s="73"/>
      <c r="C310" s="74"/>
      <c r="D310" s="73"/>
      <c r="E310" s="73"/>
      <c r="F310" s="73"/>
      <c r="G310" s="73"/>
      <c r="H310" s="73"/>
      <c r="I310" s="73"/>
      <c r="J310" s="74"/>
      <c r="K310" s="73"/>
      <c r="L310" s="76"/>
      <c r="M310" s="76"/>
      <c r="N310" s="73"/>
      <c r="O310" s="73"/>
      <c r="P310" s="73"/>
      <c r="Q310" s="73"/>
      <c r="R310" s="73"/>
    </row>
    <row r="311" customFormat="false" ht="15" hidden="false" customHeight="false" outlineLevel="0" collapsed="false">
      <c r="A311" s="71" t="str">
        <f aca="false">IF(B311="","",ROW()-1)</f>
        <v/>
      </c>
      <c r="B311" s="73"/>
      <c r="C311" s="74"/>
      <c r="D311" s="73"/>
      <c r="E311" s="73"/>
      <c r="F311" s="73"/>
      <c r="G311" s="73"/>
      <c r="H311" s="73"/>
      <c r="I311" s="73"/>
      <c r="J311" s="74"/>
      <c r="K311" s="73"/>
      <c r="L311" s="76"/>
      <c r="M311" s="76"/>
      <c r="N311" s="73"/>
      <c r="O311" s="73"/>
      <c r="P311" s="73"/>
      <c r="Q311" s="73"/>
      <c r="R311" s="73"/>
    </row>
    <row r="312" customFormat="false" ht="15" hidden="false" customHeight="false" outlineLevel="0" collapsed="false">
      <c r="A312" s="71" t="str">
        <f aca="false">IF(B312="","",ROW()-1)</f>
        <v/>
      </c>
      <c r="B312" s="73"/>
      <c r="C312" s="74"/>
      <c r="D312" s="73"/>
      <c r="E312" s="73"/>
      <c r="F312" s="73"/>
      <c r="G312" s="73"/>
      <c r="H312" s="73"/>
      <c r="I312" s="73"/>
      <c r="J312" s="74"/>
      <c r="K312" s="73"/>
      <c r="L312" s="76"/>
      <c r="M312" s="76"/>
      <c r="N312" s="73"/>
      <c r="O312" s="73"/>
      <c r="P312" s="73"/>
      <c r="Q312" s="73"/>
      <c r="R312" s="73"/>
    </row>
    <row r="313" customFormat="false" ht="15" hidden="false" customHeight="false" outlineLevel="0" collapsed="false">
      <c r="A313" s="71" t="str">
        <f aca="false">IF(B313="","",ROW()-1)</f>
        <v/>
      </c>
      <c r="B313" s="73"/>
      <c r="C313" s="74"/>
      <c r="D313" s="73"/>
      <c r="E313" s="73"/>
      <c r="F313" s="73"/>
      <c r="G313" s="73"/>
      <c r="H313" s="73"/>
      <c r="I313" s="73"/>
      <c r="J313" s="74"/>
      <c r="K313" s="73"/>
      <c r="L313" s="76"/>
      <c r="M313" s="76"/>
      <c r="N313" s="73"/>
      <c r="O313" s="73"/>
      <c r="P313" s="73"/>
      <c r="Q313" s="73"/>
      <c r="R313" s="73"/>
    </row>
    <row r="314" customFormat="false" ht="15" hidden="false" customHeight="false" outlineLevel="0" collapsed="false">
      <c r="A314" s="71" t="str">
        <f aca="false">IF(B314="","",ROW()-1)</f>
        <v/>
      </c>
      <c r="B314" s="73"/>
      <c r="C314" s="74"/>
      <c r="D314" s="73"/>
      <c r="E314" s="73"/>
      <c r="F314" s="73"/>
      <c r="G314" s="73"/>
      <c r="H314" s="73"/>
      <c r="I314" s="73"/>
      <c r="J314" s="74"/>
      <c r="K314" s="73"/>
      <c r="L314" s="76"/>
      <c r="M314" s="76"/>
      <c r="N314" s="73"/>
      <c r="O314" s="73"/>
      <c r="P314" s="73"/>
      <c r="Q314" s="73"/>
      <c r="R314" s="73"/>
    </row>
    <row r="315" customFormat="false" ht="15" hidden="false" customHeight="false" outlineLevel="0" collapsed="false">
      <c r="A315" s="71" t="str">
        <f aca="false">IF(B315="","",ROW()-1)</f>
        <v/>
      </c>
      <c r="B315" s="73"/>
      <c r="C315" s="74"/>
      <c r="D315" s="73"/>
      <c r="E315" s="73"/>
      <c r="F315" s="73"/>
      <c r="G315" s="73"/>
      <c r="H315" s="73"/>
      <c r="I315" s="73"/>
      <c r="J315" s="74"/>
      <c r="K315" s="73"/>
      <c r="L315" s="76"/>
      <c r="M315" s="76"/>
      <c r="N315" s="73"/>
      <c r="O315" s="73"/>
      <c r="P315" s="73"/>
      <c r="Q315" s="73"/>
      <c r="R315" s="73"/>
    </row>
    <row r="316" customFormat="false" ht="15" hidden="false" customHeight="false" outlineLevel="0" collapsed="false">
      <c r="A316" s="71" t="str">
        <f aca="false">IF(B316="","",ROW()-1)</f>
        <v/>
      </c>
      <c r="B316" s="73"/>
      <c r="C316" s="74"/>
      <c r="D316" s="73"/>
      <c r="E316" s="73"/>
      <c r="F316" s="73"/>
      <c r="G316" s="73"/>
      <c r="H316" s="73"/>
      <c r="I316" s="73"/>
      <c r="J316" s="74"/>
      <c r="K316" s="73"/>
      <c r="L316" s="76"/>
      <c r="M316" s="76"/>
      <c r="N316" s="73"/>
      <c r="O316" s="73"/>
      <c r="P316" s="73"/>
      <c r="Q316" s="73"/>
      <c r="R316" s="73"/>
    </row>
    <row r="317" customFormat="false" ht="15" hidden="false" customHeight="false" outlineLevel="0" collapsed="false">
      <c r="A317" s="71" t="str">
        <f aca="false">IF(B317="","",ROW()-1)</f>
        <v/>
      </c>
      <c r="B317" s="73"/>
      <c r="C317" s="74"/>
      <c r="D317" s="73"/>
      <c r="E317" s="73"/>
      <c r="F317" s="73"/>
      <c r="G317" s="73"/>
      <c r="H317" s="73"/>
      <c r="I317" s="73"/>
      <c r="J317" s="74"/>
      <c r="K317" s="73"/>
      <c r="L317" s="76"/>
      <c r="M317" s="76"/>
      <c r="N317" s="73"/>
      <c r="O317" s="73"/>
      <c r="P317" s="73"/>
      <c r="Q317" s="73"/>
      <c r="R317" s="73"/>
    </row>
    <row r="318" customFormat="false" ht="15" hidden="false" customHeight="false" outlineLevel="0" collapsed="false">
      <c r="A318" s="71" t="str">
        <f aca="false">IF(B318="","",ROW()-1)</f>
        <v/>
      </c>
      <c r="B318" s="73"/>
      <c r="C318" s="74"/>
      <c r="D318" s="73"/>
      <c r="E318" s="73"/>
      <c r="F318" s="73"/>
      <c r="G318" s="73"/>
      <c r="H318" s="73"/>
      <c r="I318" s="73"/>
      <c r="J318" s="74"/>
      <c r="K318" s="73"/>
      <c r="L318" s="76"/>
      <c r="M318" s="76"/>
      <c r="N318" s="73"/>
      <c r="O318" s="73"/>
      <c r="P318" s="73"/>
      <c r="Q318" s="73"/>
      <c r="R318" s="73"/>
    </row>
    <row r="319" customFormat="false" ht="15" hidden="false" customHeight="false" outlineLevel="0" collapsed="false">
      <c r="A319" s="71" t="str">
        <f aca="false">IF(B319="","",ROW()-1)</f>
        <v/>
      </c>
      <c r="B319" s="73"/>
      <c r="C319" s="74"/>
      <c r="D319" s="73"/>
      <c r="E319" s="73"/>
      <c r="F319" s="73"/>
      <c r="G319" s="73"/>
      <c r="H319" s="73"/>
      <c r="I319" s="73"/>
      <c r="J319" s="74"/>
      <c r="K319" s="73"/>
      <c r="L319" s="76"/>
      <c r="M319" s="76"/>
      <c r="N319" s="73"/>
      <c r="O319" s="73"/>
      <c r="P319" s="73"/>
      <c r="Q319" s="73"/>
      <c r="R319" s="73"/>
    </row>
    <row r="320" customFormat="false" ht="15" hidden="false" customHeight="false" outlineLevel="0" collapsed="false">
      <c r="A320" s="71" t="str">
        <f aca="false">IF(B320="","",ROW()-1)</f>
        <v/>
      </c>
      <c r="B320" s="73"/>
      <c r="C320" s="74"/>
      <c r="D320" s="73"/>
      <c r="E320" s="73"/>
      <c r="F320" s="73"/>
      <c r="G320" s="73"/>
      <c r="H320" s="73"/>
      <c r="I320" s="73"/>
      <c r="J320" s="74"/>
      <c r="K320" s="73"/>
      <c r="L320" s="76"/>
      <c r="M320" s="76"/>
      <c r="N320" s="73"/>
      <c r="O320" s="73"/>
      <c r="P320" s="73"/>
      <c r="Q320" s="73"/>
      <c r="R320" s="73"/>
    </row>
    <row r="321" customFormat="false" ht="15" hidden="false" customHeight="false" outlineLevel="0" collapsed="false">
      <c r="A321" s="71" t="str">
        <f aca="false">IF(B321="","",ROW()-1)</f>
        <v/>
      </c>
      <c r="B321" s="73"/>
      <c r="C321" s="74"/>
      <c r="D321" s="73"/>
      <c r="E321" s="73"/>
      <c r="F321" s="73"/>
      <c r="G321" s="73"/>
      <c r="H321" s="73"/>
      <c r="I321" s="73"/>
      <c r="J321" s="74"/>
      <c r="K321" s="73"/>
      <c r="L321" s="76"/>
      <c r="M321" s="76"/>
      <c r="N321" s="73"/>
      <c r="O321" s="73"/>
      <c r="P321" s="73"/>
      <c r="Q321" s="73"/>
      <c r="R321" s="73"/>
    </row>
    <row r="322" customFormat="false" ht="15" hidden="false" customHeight="false" outlineLevel="0" collapsed="false">
      <c r="A322" s="71" t="str">
        <f aca="false">IF(B322="","",ROW()-1)</f>
        <v/>
      </c>
      <c r="B322" s="73"/>
      <c r="C322" s="74"/>
      <c r="D322" s="73"/>
      <c r="E322" s="73"/>
      <c r="F322" s="73"/>
      <c r="G322" s="73"/>
      <c r="H322" s="73"/>
      <c r="I322" s="73"/>
      <c r="J322" s="74"/>
      <c r="K322" s="73"/>
      <c r="L322" s="76"/>
      <c r="M322" s="76"/>
      <c r="N322" s="73"/>
      <c r="O322" s="73"/>
      <c r="P322" s="73"/>
      <c r="Q322" s="73"/>
      <c r="R322" s="73"/>
    </row>
    <row r="323" customFormat="false" ht="15" hidden="false" customHeight="false" outlineLevel="0" collapsed="false">
      <c r="A323" s="71" t="str">
        <f aca="false">IF(B323="","",ROW()-1)</f>
        <v/>
      </c>
      <c r="B323" s="73"/>
      <c r="C323" s="74"/>
      <c r="D323" s="73"/>
      <c r="E323" s="73"/>
      <c r="F323" s="73"/>
      <c r="G323" s="73"/>
      <c r="H323" s="73"/>
      <c r="I323" s="73"/>
      <c r="J323" s="74"/>
      <c r="K323" s="73"/>
      <c r="L323" s="76"/>
      <c r="M323" s="76"/>
      <c r="N323" s="73"/>
      <c r="O323" s="73"/>
      <c r="P323" s="73"/>
      <c r="Q323" s="73"/>
      <c r="R323" s="73"/>
    </row>
    <row r="324" customFormat="false" ht="15" hidden="false" customHeight="false" outlineLevel="0" collapsed="false">
      <c r="A324" s="71" t="str">
        <f aca="false">IF(B324="","",ROW()-1)</f>
        <v/>
      </c>
      <c r="B324" s="73"/>
      <c r="C324" s="74"/>
      <c r="D324" s="73"/>
      <c r="E324" s="73"/>
      <c r="F324" s="73"/>
      <c r="G324" s="73"/>
      <c r="H324" s="73"/>
      <c r="I324" s="73"/>
      <c r="J324" s="74"/>
      <c r="K324" s="73"/>
      <c r="L324" s="76"/>
      <c r="M324" s="76"/>
      <c r="N324" s="73"/>
      <c r="O324" s="73"/>
      <c r="P324" s="73"/>
      <c r="Q324" s="73"/>
      <c r="R324" s="73"/>
    </row>
    <row r="325" customFormat="false" ht="15" hidden="false" customHeight="false" outlineLevel="0" collapsed="false">
      <c r="A325" s="71" t="str">
        <f aca="false">IF(B325="","",ROW()-1)</f>
        <v/>
      </c>
      <c r="B325" s="73"/>
      <c r="C325" s="74"/>
      <c r="D325" s="73"/>
      <c r="E325" s="73"/>
      <c r="F325" s="73"/>
      <c r="G325" s="73"/>
      <c r="H325" s="73"/>
      <c r="I325" s="73"/>
      <c r="J325" s="74"/>
      <c r="K325" s="73"/>
      <c r="L325" s="76"/>
      <c r="M325" s="76"/>
      <c r="N325" s="73"/>
      <c r="O325" s="73"/>
      <c r="P325" s="73"/>
      <c r="Q325" s="73"/>
      <c r="R325" s="73"/>
    </row>
    <row r="326" customFormat="false" ht="15" hidden="false" customHeight="false" outlineLevel="0" collapsed="false">
      <c r="A326" s="71" t="str">
        <f aca="false">IF(B326="","",ROW()-1)</f>
        <v/>
      </c>
      <c r="B326" s="73"/>
      <c r="C326" s="74"/>
      <c r="D326" s="73"/>
      <c r="E326" s="73"/>
      <c r="F326" s="73"/>
      <c r="G326" s="73"/>
      <c r="H326" s="73"/>
      <c r="I326" s="73"/>
      <c r="J326" s="74"/>
      <c r="K326" s="73"/>
      <c r="L326" s="76"/>
      <c r="M326" s="76"/>
      <c r="N326" s="73"/>
      <c r="O326" s="73"/>
      <c r="P326" s="73"/>
      <c r="Q326" s="73"/>
      <c r="R326" s="73"/>
    </row>
    <row r="327" customFormat="false" ht="15" hidden="false" customHeight="false" outlineLevel="0" collapsed="false">
      <c r="A327" s="71" t="str">
        <f aca="false">IF(B327="","",ROW()-1)</f>
        <v/>
      </c>
      <c r="B327" s="73"/>
      <c r="C327" s="74"/>
      <c r="D327" s="73"/>
      <c r="E327" s="73"/>
      <c r="F327" s="73"/>
      <c r="G327" s="73"/>
      <c r="H327" s="73"/>
      <c r="I327" s="73"/>
      <c r="J327" s="74"/>
      <c r="K327" s="73"/>
      <c r="L327" s="76"/>
      <c r="M327" s="76"/>
      <c r="N327" s="73"/>
      <c r="O327" s="73"/>
      <c r="P327" s="73"/>
      <c r="Q327" s="73"/>
      <c r="R327" s="73"/>
    </row>
    <row r="328" customFormat="false" ht="15" hidden="false" customHeight="false" outlineLevel="0" collapsed="false">
      <c r="A328" s="71" t="str">
        <f aca="false">IF(B328="","",ROW()-1)</f>
        <v/>
      </c>
      <c r="B328" s="73"/>
      <c r="C328" s="74"/>
      <c r="D328" s="73"/>
      <c r="E328" s="73"/>
      <c r="F328" s="73"/>
      <c r="G328" s="73"/>
      <c r="H328" s="73"/>
      <c r="I328" s="73"/>
      <c r="J328" s="74"/>
      <c r="K328" s="73"/>
      <c r="L328" s="76"/>
      <c r="M328" s="76"/>
      <c r="N328" s="73"/>
      <c r="O328" s="73"/>
      <c r="P328" s="73"/>
      <c r="Q328" s="73"/>
      <c r="R328" s="73"/>
    </row>
    <row r="329" customFormat="false" ht="15" hidden="false" customHeight="false" outlineLevel="0" collapsed="false">
      <c r="A329" s="71" t="str">
        <f aca="false">IF(B329="","",ROW()-1)</f>
        <v/>
      </c>
      <c r="B329" s="73"/>
      <c r="C329" s="74"/>
      <c r="D329" s="73"/>
      <c r="E329" s="73"/>
      <c r="F329" s="73"/>
      <c r="G329" s="73"/>
      <c r="H329" s="73"/>
      <c r="I329" s="73"/>
      <c r="J329" s="74"/>
      <c r="K329" s="73"/>
      <c r="L329" s="76"/>
      <c r="M329" s="76"/>
      <c r="N329" s="73"/>
      <c r="O329" s="73"/>
      <c r="P329" s="73"/>
      <c r="Q329" s="73"/>
      <c r="R329" s="73"/>
    </row>
    <row r="330" customFormat="false" ht="15" hidden="false" customHeight="false" outlineLevel="0" collapsed="false">
      <c r="A330" s="71" t="str">
        <f aca="false">IF(B330="","",ROW()-1)</f>
        <v/>
      </c>
      <c r="B330" s="73"/>
      <c r="C330" s="74"/>
      <c r="D330" s="73"/>
      <c r="E330" s="73"/>
      <c r="F330" s="73"/>
      <c r="G330" s="73"/>
      <c r="H330" s="73"/>
      <c r="I330" s="73"/>
      <c r="J330" s="74"/>
      <c r="K330" s="73"/>
      <c r="L330" s="76"/>
      <c r="M330" s="76"/>
      <c r="N330" s="73"/>
      <c r="O330" s="73"/>
      <c r="P330" s="73"/>
      <c r="Q330" s="73"/>
      <c r="R330" s="73"/>
    </row>
    <row r="331" customFormat="false" ht="15" hidden="false" customHeight="false" outlineLevel="0" collapsed="false">
      <c r="A331" s="71" t="str">
        <f aca="false">IF(B331="","",ROW()-1)</f>
        <v/>
      </c>
      <c r="B331" s="73"/>
      <c r="C331" s="74"/>
      <c r="D331" s="73"/>
      <c r="E331" s="73"/>
      <c r="F331" s="73"/>
      <c r="G331" s="73"/>
      <c r="H331" s="73"/>
      <c r="I331" s="73"/>
      <c r="J331" s="74"/>
      <c r="K331" s="73"/>
      <c r="L331" s="76"/>
      <c r="M331" s="76"/>
      <c r="N331" s="73"/>
      <c r="O331" s="73"/>
      <c r="P331" s="73"/>
      <c r="Q331" s="73"/>
      <c r="R331" s="73"/>
    </row>
    <row r="332" customFormat="false" ht="15" hidden="false" customHeight="false" outlineLevel="0" collapsed="false">
      <c r="A332" s="71" t="str">
        <f aca="false">IF(B332="","",ROW()-1)</f>
        <v/>
      </c>
      <c r="B332" s="73"/>
      <c r="C332" s="74"/>
      <c r="D332" s="73"/>
      <c r="E332" s="73"/>
      <c r="F332" s="73"/>
      <c r="G332" s="73"/>
      <c r="H332" s="73"/>
      <c r="I332" s="73"/>
      <c r="J332" s="74"/>
      <c r="K332" s="73"/>
      <c r="L332" s="76"/>
      <c r="M332" s="76"/>
      <c r="N332" s="73"/>
      <c r="O332" s="73"/>
      <c r="P332" s="73"/>
      <c r="Q332" s="73"/>
      <c r="R332" s="73"/>
    </row>
    <row r="333" customFormat="false" ht="15" hidden="false" customHeight="false" outlineLevel="0" collapsed="false">
      <c r="A333" s="71" t="str">
        <f aca="false">IF(B333="","",ROW()-1)</f>
        <v/>
      </c>
      <c r="B333" s="73"/>
      <c r="C333" s="74"/>
      <c r="D333" s="73"/>
      <c r="E333" s="73"/>
      <c r="F333" s="73"/>
      <c r="G333" s="73"/>
      <c r="H333" s="73"/>
      <c r="I333" s="73"/>
      <c r="J333" s="74"/>
      <c r="K333" s="73"/>
      <c r="L333" s="76"/>
      <c r="M333" s="76"/>
      <c r="N333" s="73"/>
      <c r="O333" s="73"/>
      <c r="P333" s="73"/>
      <c r="Q333" s="73"/>
      <c r="R333" s="73"/>
    </row>
    <row r="334" customFormat="false" ht="15" hidden="false" customHeight="false" outlineLevel="0" collapsed="false">
      <c r="A334" s="71" t="str">
        <f aca="false">IF(B334="","",ROW()-1)</f>
        <v/>
      </c>
      <c r="B334" s="73"/>
      <c r="C334" s="74"/>
      <c r="D334" s="73"/>
      <c r="E334" s="73"/>
      <c r="F334" s="73"/>
      <c r="G334" s="73"/>
      <c r="H334" s="73"/>
      <c r="I334" s="73"/>
      <c r="J334" s="74"/>
      <c r="K334" s="73"/>
      <c r="L334" s="76"/>
      <c r="M334" s="76"/>
      <c r="N334" s="73"/>
      <c r="O334" s="73"/>
      <c r="P334" s="73"/>
      <c r="Q334" s="73"/>
      <c r="R334" s="73"/>
    </row>
    <row r="335" customFormat="false" ht="15" hidden="false" customHeight="false" outlineLevel="0" collapsed="false">
      <c r="A335" s="71" t="str">
        <f aca="false">IF(B335="","",ROW()-1)</f>
        <v/>
      </c>
      <c r="B335" s="73"/>
      <c r="C335" s="74"/>
      <c r="D335" s="73"/>
      <c r="E335" s="73"/>
      <c r="F335" s="73"/>
      <c r="G335" s="73"/>
      <c r="H335" s="73"/>
      <c r="I335" s="73"/>
      <c r="J335" s="74"/>
      <c r="K335" s="73"/>
      <c r="L335" s="76"/>
      <c r="M335" s="76"/>
      <c r="N335" s="73"/>
      <c r="O335" s="73"/>
      <c r="P335" s="73"/>
      <c r="Q335" s="73"/>
      <c r="R335" s="73"/>
    </row>
    <row r="336" customFormat="false" ht="15" hidden="false" customHeight="false" outlineLevel="0" collapsed="false">
      <c r="A336" s="71" t="str">
        <f aca="false">IF(B336="","",ROW()-1)</f>
        <v/>
      </c>
      <c r="B336" s="73"/>
      <c r="C336" s="74"/>
      <c r="D336" s="73"/>
      <c r="E336" s="73"/>
      <c r="F336" s="73"/>
      <c r="G336" s="73"/>
      <c r="H336" s="73"/>
      <c r="I336" s="73"/>
      <c r="J336" s="74"/>
      <c r="K336" s="73"/>
      <c r="L336" s="76"/>
      <c r="M336" s="76"/>
      <c r="N336" s="73"/>
      <c r="O336" s="73"/>
      <c r="P336" s="73"/>
      <c r="Q336" s="73"/>
      <c r="R336" s="73"/>
    </row>
    <row r="337" customFormat="false" ht="15" hidden="false" customHeight="false" outlineLevel="0" collapsed="false">
      <c r="A337" s="71" t="str">
        <f aca="false">IF(B337="","",ROW()-1)</f>
        <v/>
      </c>
      <c r="B337" s="73"/>
      <c r="C337" s="74"/>
      <c r="D337" s="73"/>
      <c r="E337" s="73"/>
      <c r="F337" s="73"/>
      <c r="G337" s="73"/>
      <c r="H337" s="73"/>
      <c r="I337" s="73"/>
      <c r="J337" s="74"/>
      <c r="K337" s="73"/>
      <c r="L337" s="76"/>
      <c r="M337" s="76"/>
      <c r="N337" s="73"/>
      <c r="O337" s="73"/>
      <c r="P337" s="73"/>
      <c r="Q337" s="73"/>
      <c r="R337" s="73"/>
    </row>
    <row r="338" customFormat="false" ht="15" hidden="false" customHeight="false" outlineLevel="0" collapsed="false">
      <c r="A338" s="71" t="str">
        <f aca="false">IF(B338="","",ROW()-1)</f>
        <v/>
      </c>
      <c r="B338" s="73"/>
      <c r="C338" s="74"/>
      <c r="D338" s="73"/>
      <c r="E338" s="73"/>
      <c r="F338" s="73"/>
      <c r="G338" s="73"/>
      <c r="H338" s="73"/>
      <c r="I338" s="73"/>
      <c r="J338" s="74"/>
      <c r="K338" s="73"/>
      <c r="L338" s="76"/>
      <c r="M338" s="76"/>
      <c r="N338" s="73"/>
      <c r="O338" s="73"/>
      <c r="P338" s="73"/>
      <c r="Q338" s="73"/>
      <c r="R338" s="73"/>
    </row>
    <row r="339" customFormat="false" ht="15" hidden="false" customHeight="false" outlineLevel="0" collapsed="false">
      <c r="A339" s="71" t="str">
        <f aca="false">IF(B339="","",ROW()-1)</f>
        <v/>
      </c>
      <c r="B339" s="73"/>
      <c r="C339" s="74"/>
      <c r="D339" s="73"/>
      <c r="E339" s="73"/>
      <c r="F339" s="73"/>
      <c r="G339" s="73"/>
      <c r="H339" s="73"/>
      <c r="I339" s="73"/>
      <c r="J339" s="74"/>
      <c r="K339" s="73"/>
      <c r="L339" s="76"/>
      <c r="M339" s="76"/>
      <c r="N339" s="73"/>
      <c r="O339" s="73"/>
      <c r="P339" s="73"/>
      <c r="Q339" s="73"/>
      <c r="R339" s="73"/>
    </row>
    <row r="340" customFormat="false" ht="15" hidden="false" customHeight="false" outlineLevel="0" collapsed="false">
      <c r="A340" s="71" t="str">
        <f aca="false">IF(B340="","",ROW()-1)</f>
        <v/>
      </c>
      <c r="B340" s="73"/>
      <c r="C340" s="74"/>
      <c r="D340" s="73"/>
      <c r="E340" s="73"/>
      <c r="F340" s="73"/>
      <c r="G340" s="73"/>
      <c r="H340" s="73"/>
      <c r="I340" s="73"/>
      <c r="J340" s="74"/>
      <c r="K340" s="73"/>
      <c r="L340" s="76"/>
      <c r="M340" s="76"/>
      <c r="N340" s="73"/>
      <c r="O340" s="73"/>
      <c r="P340" s="73"/>
      <c r="Q340" s="73"/>
      <c r="R340" s="73"/>
    </row>
    <row r="341" customFormat="false" ht="15" hidden="false" customHeight="false" outlineLevel="0" collapsed="false">
      <c r="A341" s="71" t="str">
        <f aca="false">IF(B341="","",ROW()-1)</f>
        <v/>
      </c>
      <c r="B341" s="73"/>
      <c r="C341" s="74"/>
      <c r="D341" s="73"/>
      <c r="E341" s="73"/>
      <c r="F341" s="73"/>
      <c r="G341" s="73"/>
      <c r="H341" s="73"/>
      <c r="I341" s="73"/>
      <c r="J341" s="74"/>
      <c r="K341" s="73"/>
      <c r="L341" s="76"/>
      <c r="M341" s="76"/>
      <c r="N341" s="73"/>
      <c r="O341" s="73"/>
      <c r="P341" s="73"/>
      <c r="Q341" s="73"/>
      <c r="R341" s="73"/>
    </row>
    <row r="342" customFormat="false" ht="15" hidden="false" customHeight="false" outlineLevel="0" collapsed="false">
      <c r="A342" s="71" t="str">
        <f aca="false">IF(B342="","",ROW()-1)</f>
        <v/>
      </c>
      <c r="B342" s="73"/>
      <c r="C342" s="74"/>
      <c r="D342" s="73"/>
      <c r="E342" s="73"/>
      <c r="F342" s="73"/>
      <c r="G342" s="73"/>
      <c r="H342" s="73"/>
      <c r="I342" s="73"/>
      <c r="J342" s="74"/>
      <c r="K342" s="73"/>
      <c r="L342" s="76"/>
      <c r="M342" s="76"/>
      <c r="N342" s="73"/>
      <c r="O342" s="73"/>
      <c r="P342" s="73"/>
      <c r="Q342" s="73"/>
      <c r="R342" s="73"/>
    </row>
    <row r="343" customFormat="false" ht="15" hidden="false" customHeight="false" outlineLevel="0" collapsed="false">
      <c r="A343" s="71" t="str">
        <f aca="false">IF(B343="","",ROW()-1)</f>
        <v/>
      </c>
      <c r="B343" s="73"/>
      <c r="C343" s="74"/>
      <c r="D343" s="73"/>
      <c r="E343" s="73"/>
      <c r="F343" s="73"/>
      <c r="G343" s="73"/>
      <c r="H343" s="73"/>
      <c r="I343" s="73"/>
      <c r="J343" s="74"/>
      <c r="K343" s="73"/>
      <c r="L343" s="76"/>
      <c r="M343" s="76"/>
      <c r="N343" s="73"/>
      <c r="O343" s="73"/>
      <c r="P343" s="73"/>
      <c r="Q343" s="73"/>
      <c r="R343" s="73"/>
    </row>
    <row r="344" customFormat="false" ht="15" hidden="false" customHeight="false" outlineLevel="0" collapsed="false">
      <c r="A344" s="71" t="str">
        <f aca="false">IF(B344="","",ROW()-1)</f>
        <v/>
      </c>
      <c r="B344" s="73"/>
      <c r="C344" s="74"/>
      <c r="D344" s="73"/>
      <c r="E344" s="73"/>
      <c r="F344" s="73"/>
      <c r="G344" s="73"/>
      <c r="H344" s="73"/>
      <c r="I344" s="73"/>
      <c r="J344" s="74"/>
      <c r="K344" s="73"/>
      <c r="L344" s="76"/>
      <c r="M344" s="76"/>
      <c r="N344" s="73"/>
      <c r="O344" s="73"/>
      <c r="P344" s="73"/>
      <c r="Q344" s="73"/>
      <c r="R344" s="73"/>
    </row>
    <row r="345" customFormat="false" ht="15" hidden="false" customHeight="false" outlineLevel="0" collapsed="false">
      <c r="A345" s="71" t="str">
        <f aca="false">IF(B345="","",ROW()-1)</f>
        <v/>
      </c>
      <c r="B345" s="73"/>
      <c r="C345" s="74"/>
      <c r="D345" s="73"/>
      <c r="E345" s="73"/>
      <c r="F345" s="73"/>
      <c r="G345" s="73"/>
      <c r="H345" s="73"/>
      <c r="I345" s="73"/>
      <c r="J345" s="74"/>
      <c r="K345" s="73"/>
      <c r="L345" s="76"/>
      <c r="M345" s="76"/>
      <c r="N345" s="73"/>
      <c r="O345" s="73"/>
      <c r="P345" s="73"/>
      <c r="Q345" s="73"/>
      <c r="R345" s="73"/>
    </row>
    <row r="346" customFormat="false" ht="15" hidden="false" customHeight="false" outlineLevel="0" collapsed="false">
      <c r="A346" s="71" t="str">
        <f aca="false">IF(B346="","",ROW()-1)</f>
        <v/>
      </c>
      <c r="B346" s="73"/>
      <c r="C346" s="74"/>
      <c r="D346" s="73"/>
      <c r="E346" s="73"/>
      <c r="F346" s="73"/>
      <c r="G346" s="73"/>
      <c r="H346" s="73"/>
      <c r="I346" s="73"/>
      <c r="J346" s="74"/>
      <c r="K346" s="73"/>
      <c r="L346" s="76"/>
      <c r="M346" s="76"/>
      <c r="N346" s="73"/>
      <c r="O346" s="73"/>
      <c r="P346" s="73"/>
      <c r="Q346" s="73"/>
      <c r="R346" s="73"/>
    </row>
    <row r="347" customFormat="false" ht="15" hidden="false" customHeight="false" outlineLevel="0" collapsed="false">
      <c r="A347" s="71" t="str">
        <f aca="false">IF(B347="","",ROW()-1)</f>
        <v/>
      </c>
      <c r="B347" s="73"/>
      <c r="C347" s="74"/>
      <c r="D347" s="73"/>
      <c r="E347" s="73"/>
      <c r="F347" s="73"/>
      <c r="G347" s="73"/>
      <c r="H347" s="73"/>
      <c r="I347" s="73"/>
      <c r="J347" s="74"/>
      <c r="K347" s="73"/>
      <c r="L347" s="76"/>
      <c r="M347" s="76"/>
      <c r="N347" s="73"/>
      <c r="O347" s="73"/>
      <c r="P347" s="73"/>
      <c r="Q347" s="73"/>
      <c r="R347" s="73"/>
    </row>
    <row r="348" customFormat="false" ht="15" hidden="false" customHeight="false" outlineLevel="0" collapsed="false">
      <c r="A348" s="71" t="str">
        <f aca="false">IF(B348="","",ROW()-1)</f>
        <v/>
      </c>
      <c r="B348" s="73"/>
      <c r="C348" s="74"/>
      <c r="D348" s="73"/>
      <c r="E348" s="73"/>
      <c r="F348" s="73"/>
      <c r="G348" s="73"/>
      <c r="H348" s="73"/>
      <c r="I348" s="73"/>
      <c r="J348" s="74"/>
      <c r="K348" s="73"/>
      <c r="L348" s="76"/>
      <c r="M348" s="76"/>
      <c r="N348" s="73"/>
      <c r="O348" s="73"/>
      <c r="P348" s="73"/>
      <c r="Q348" s="73"/>
      <c r="R348" s="73"/>
    </row>
    <row r="349" customFormat="false" ht="15" hidden="false" customHeight="false" outlineLevel="0" collapsed="false">
      <c r="A349" s="71" t="str">
        <f aca="false">IF(B349="","",ROW()-1)</f>
        <v/>
      </c>
      <c r="B349" s="73"/>
      <c r="C349" s="74"/>
      <c r="D349" s="73"/>
      <c r="E349" s="73"/>
      <c r="F349" s="73"/>
      <c r="G349" s="73"/>
      <c r="H349" s="73"/>
      <c r="I349" s="73"/>
      <c r="J349" s="74"/>
      <c r="K349" s="73"/>
      <c r="L349" s="76"/>
      <c r="M349" s="76"/>
      <c r="N349" s="73"/>
      <c r="O349" s="73"/>
      <c r="P349" s="73"/>
      <c r="Q349" s="73"/>
      <c r="R349" s="73"/>
    </row>
    <row r="350" customFormat="false" ht="15" hidden="false" customHeight="false" outlineLevel="0" collapsed="false">
      <c r="A350" s="71" t="str">
        <f aca="false">IF(B350="","",ROW()-1)</f>
        <v/>
      </c>
      <c r="B350" s="73"/>
      <c r="C350" s="74"/>
      <c r="D350" s="73"/>
      <c r="E350" s="73"/>
      <c r="F350" s="73"/>
      <c r="G350" s="73"/>
      <c r="H350" s="73"/>
      <c r="I350" s="73"/>
      <c r="J350" s="74"/>
      <c r="K350" s="73"/>
      <c r="L350" s="76"/>
      <c r="M350" s="76"/>
      <c r="N350" s="73"/>
      <c r="O350" s="73"/>
      <c r="P350" s="73"/>
      <c r="Q350" s="73"/>
      <c r="R350" s="73"/>
    </row>
    <row r="351" customFormat="false" ht="15" hidden="false" customHeight="false" outlineLevel="0" collapsed="false">
      <c r="A351" s="71" t="str">
        <f aca="false">IF(B351="","",ROW()-1)</f>
        <v/>
      </c>
      <c r="B351" s="73"/>
      <c r="C351" s="74"/>
      <c r="D351" s="73"/>
      <c r="E351" s="73"/>
      <c r="F351" s="73"/>
      <c r="G351" s="73"/>
      <c r="H351" s="73"/>
      <c r="I351" s="73"/>
      <c r="J351" s="74"/>
      <c r="K351" s="73"/>
      <c r="L351" s="76"/>
      <c r="M351" s="76"/>
      <c r="N351" s="73"/>
      <c r="O351" s="73"/>
      <c r="P351" s="73"/>
      <c r="Q351" s="73"/>
      <c r="R351" s="73"/>
    </row>
    <row r="352" customFormat="false" ht="15" hidden="false" customHeight="false" outlineLevel="0" collapsed="false">
      <c r="A352" s="71" t="str">
        <f aca="false">IF(B352="","",ROW()-1)</f>
        <v/>
      </c>
      <c r="B352" s="73"/>
      <c r="C352" s="74"/>
      <c r="D352" s="73"/>
      <c r="E352" s="73"/>
      <c r="F352" s="73"/>
      <c r="G352" s="73"/>
      <c r="H352" s="73"/>
      <c r="I352" s="73"/>
      <c r="J352" s="74"/>
      <c r="K352" s="73"/>
      <c r="L352" s="76"/>
      <c r="M352" s="76"/>
      <c r="N352" s="73"/>
      <c r="O352" s="73"/>
      <c r="P352" s="73"/>
      <c r="Q352" s="73"/>
      <c r="R352" s="73"/>
    </row>
    <row r="353" customFormat="false" ht="15" hidden="false" customHeight="false" outlineLevel="0" collapsed="false">
      <c r="A353" s="71" t="str">
        <f aca="false">IF(B353="","",ROW()-1)</f>
        <v/>
      </c>
      <c r="B353" s="73"/>
      <c r="C353" s="74"/>
      <c r="D353" s="73"/>
      <c r="E353" s="73"/>
      <c r="F353" s="73"/>
      <c r="G353" s="73"/>
      <c r="H353" s="73"/>
      <c r="I353" s="73"/>
      <c r="J353" s="74"/>
      <c r="K353" s="73"/>
      <c r="L353" s="76"/>
      <c r="M353" s="76"/>
      <c r="N353" s="73"/>
      <c r="O353" s="73"/>
      <c r="P353" s="73"/>
      <c r="Q353" s="73"/>
      <c r="R353" s="73"/>
    </row>
    <row r="354" customFormat="false" ht="15" hidden="false" customHeight="false" outlineLevel="0" collapsed="false">
      <c r="A354" s="71" t="str">
        <f aca="false">IF(B354="","",ROW()-1)</f>
        <v/>
      </c>
      <c r="B354" s="73"/>
      <c r="C354" s="74"/>
      <c r="D354" s="73"/>
      <c r="E354" s="73"/>
      <c r="F354" s="73"/>
      <c r="G354" s="73"/>
      <c r="H354" s="73"/>
      <c r="I354" s="73"/>
      <c r="J354" s="74"/>
      <c r="K354" s="73"/>
      <c r="L354" s="76"/>
      <c r="M354" s="76"/>
      <c r="N354" s="73"/>
      <c r="O354" s="73"/>
      <c r="P354" s="73"/>
      <c r="Q354" s="73"/>
      <c r="R354" s="73"/>
    </row>
    <row r="355" customFormat="false" ht="15" hidden="false" customHeight="false" outlineLevel="0" collapsed="false">
      <c r="A355" s="71" t="str">
        <f aca="false">IF(B355="","",ROW()-1)</f>
        <v/>
      </c>
      <c r="B355" s="73"/>
      <c r="C355" s="74"/>
      <c r="D355" s="73"/>
      <c r="E355" s="73"/>
      <c r="F355" s="73"/>
      <c r="G355" s="73"/>
      <c r="H355" s="73"/>
      <c r="I355" s="73"/>
      <c r="J355" s="74"/>
      <c r="K355" s="73"/>
      <c r="L355" s="76"/>
      <c r="M355" s="76"/>
      <c r="N355" s="73"/>
      <c r="O355" s="73"/>
      <c r="P355" s="73"/>
      <c r="Q355" s="73"/>
      <c r="R355" s="73"/>
    </row>
    <row r="356" customFormat="false" ht="15" hidden="false" customHeight="false" outlineLevel="0" collapsed="false">
      <c r="A356" s="71" t="str">
        <f aca="false">IF(B356="","",ROW()-1)</f>
        <v/>
      </c>
      <c r="B356" s="73"/>
      <c r="C356" s="74"/>
      <c r="D356" s="73"/>
      <c r="E356" s="73"/>
      <c r="F356" s="73"/>
      <c r="G356" s="73"/>
      <c r="H356" s="73"/>
      <c r="I356" s="73"/>
      <c r="J356" s="74"/>
      <c r="K356" s="73"/>
      <c r="L356" s="76"/>
      <c r="M356" s="76"/>
      <c r="N356" s="73"/>
      <c r="O356" s="73"/>
      <c r="P356" s="73"/>
      <c r="Q356" s="73"/>
      <c r="R356" s="73"/>
    </row>
    <row r="357" customFormat="false" ht="15" hidden="false" customHeight="false" outlineLevel="0" collapsed="false">
      <c r="A357" s="71" t="str">
        <f aca="false">IF(B357="","",ROW()-1)</f>
        <v/>
      </c>
      <c r="B357" s="73"/>
      <c r="C357" s="74"/>
      <c r="D357" s="73"/>
      <c r="E357" s="73"/>
      <c r="F357" s="73"/>
      <c r="G357" s="73"/>
      <c r="H357" s="73"/>
      <c r="I357" s="73"/>
      <c r="J357" s="74"/>
      <c r="K357" s="73"/>
      <c r="L357" s="76"/>
      <c r="M357" s="76"/>
      <c r="N357" s="73"/>
      <c r="O357" s="73"/>
      <c r="P357" s="73"/>
      <c r="Q357" s="73"/>
      <c r="R357" s="73"/>
    </row>
    <row r="358" customFormat="false" ht="15" hidden="false" customHeight="false" outlineLevel="0" collapsed="false">
      <c r="A358" s="71" t="str">
        <f aca="false">IF(B358="","",ROW()-1)</f>
        <v/>
      </c>
      <c r="B358" s="73"/>
      <c r="C358" s="74"/>
      <c r="D358" s="73"/>
      <c r="E358" s="73"/>
      <c r="F358" s="73"/>
      <c r="G358" s="73"/>
      <c r="H358" s="73"/>
      <c r="I358" s="73"/>
      <c r="J358" s="74"/>
      <c r="K358" s="73"/>
      <c r="L358" s="76"/>
      <c r="M358" s="76"/>
      <c r="N358" s="73"/>
      <c r="O358" s="73"/>
      <c r="P358" s="73"/>
      <c r="Q358" s="73"/>
      <c r="R358" s="73"/>
    </row>
    <row r="359" customFormat="false" ht="15" hidden="false" customHeight="false" outlineLevel="0" collapsed="false">
      <c r="A359" s="71" t="str">
        <f aca="false">IF(B359="","",ROW()-1)</f>
        <v/>
      </c>
      <c r="B359" s="73"/>
      <c r="C359" s="74"/>
      <c r="D359" s="73"/>
      <c r="E359" s="73"/>
      <c r="F359" s="73"/>
      <c r="G359" s="73"/>
      <c r="H359" s="73"/>
      <c r="I359" s="73"/>
      <c r="J359" s="74"/>
      <c r="K359" s="73"/>
      <c r="L359" s="76"/>
      <c r="M359" s="76"/>
      <c r="N359" s="73"/>
      <c r="O359" s="73"/>
      <c r="P359" s="73"/>
      <c r="Q359" s="73"/>
      <c r="R359" s="73"/>
    </row>
    <row r="360" customFormat="false" ht="15" hidden="false" customHeight="false" outlineLevel="0" collapsed="false">
      <c r="A360" s="71" t="str">
        <f aca="false">IF(B360="","",ROW()-1)</f>
        <v/>
      </c>
      <c r="B360" s="73"/>
      <c r="C360" s="74"/>
      <c r="D360" s="73"/>
      <c r="E360" s="73"/>
      <c r="F360" s="73"/>
      <c r="G360" s="73"/>
      <c r="H360" s="73"/>
      <c r="I360" s="73"/>
      <c r="J360" s="74"/>
      <c r="K360" s="73"/>
      <c r="L360" s="76"/>
      <c r="M360" s="76"/>
      <c r="N360" s="73"/>
      <c r="O360" s="73"/>
      <c r="P360" s="73"/>
      <c r="Q360" s="73"/>
      <c r="R360" s="73"/>
    </row>
    <row r="361" customFormat="false" ht="15" hidden="false" customHeight="false" outlineLevel="0" collapsed="false">
      <c r="A361" s="71" t="str">
        <f aca="false">IF(B361="","",ROW()-1)</f>
        <v/>
      </c>
      <c r="B361" s="73"/>
      <c r="C361" s="74"/>
      <c r="D361" s="73"/>
      <c r="E361" s="73"/>
      <c r="F361" s="73"/>
      <c r="G361" s="73"/>
      <c r="H361" s="73"/>
      <c r="I361" s="73"/>
      <c r="J361" s="74"/>
      <c r="K361" s="73"/>
      <c r="L361" s="76"/>
      <c r="M361" s="76"/>
      <c r="N361" s="73"/>
      <c r="O361" s="73"/>
      <c r="P361" s="73"/>
      <c r="Q361" s="73"/>
      <c r="R361" s="73"/>
    </row>
    <row r="362" customFormat="false" ht="15" hidden="false" customHeight="false" outlineLevel="0" collapsed="false">
      <c r="A362" s="71" t="str">
        <f aca="false">IF(B362="","",ROW()-1)</f>
        <v/>
      </c>
      <c r="B362" s="73"/>
      <c r="C362" s="74"/>
      <c r="D362" s="73"/>
      <c r="E362" s="73"/>
      <c r="F362" s="73"/>
      <c r="G362" s="73"/>
      <c r="H362" s="73"/>
      <c r="I362" s="73"/>
      <c r="J362" s="74"/>
      <c r="K362" s="73"/>
      <c r="L362" s="76"/>
      <c r="M362" s="76"/>
      <c r="N362" s="73"/>
      <c r="O362" s="73"/>
      <c r="P362" s="73"/>
      <c r="Q362" s="73"/>
      <c r="R362" s="73"/>
    </row>
    <row r="363" customFormat="false" ht="15" hidden="false" customHeight="false" outlineLevel="0" collapsed="false">
      <c r="A363" s="71" t="str">
        <f aca="false">IF(B363="","",ROW()-1)</f>
        <v/>
      </c>
      <c r="B363" s="73"/>
      <c r="C363" s="74"/>
      <c r="D363" s="73"/>
      <c r="E363" s="73"/>
      <c r="F363" s="73"/>
      <c r="G363" s="73"/>
      <c r="H363" s="73"/>
      <c r="I363" s="73"/>
      <c r="J363" s="74"/>
      <c r="K363" s="73"/>
      <c r="L363" s="76"/>
      <c r="M363" s="76"/>
      <c r="N363" s="73"/>
      <c r="O363" s="73"/>
      <c r="P363" s="73"/>
      <c r="Q363" s="73"/>
      <c r="R363" s="73"/>
    </row>
    <row r="364" customFormat="false" ht="15" hidden="false" customHeight="false" outlineLevel="0" collapsed="false">
      <c r="A364" s="71" t="str">
        <f aca="false">IF(B364="","",ROW()-1)</f>
        <v/>
      </c>
      <c r="B364" s="73"/>
      <c r="C364" s="74"/>
      <c r="D364" s="73"/>
      <c r="E364" s="73"/>
      <c r="F364" s="73"/>
      <c r="G364" s="73"/>
      <c r="H364" s="73"/>
      <c r="I364" s="73"/>
      <c r="J364" s="74"/>
      <c r="K364" s="73"/>
      <c r="L364" s="76"/>
      <c r="M364" s="76"/>
      <c r="N364" s="73"/>
      <c r="O364" s="73"/>
      <c r="P364" s="73"/>
      <c r="Q364" s="73"/>
      <c r="R364" s="73"/>
    </row>
    <row r="365" customFormat="false" ht="15" hidden="false" customHeight="false" outlineLevel="0" collapsed="false">
      <c r="A365" s="71" t="str">
        <f aca="false">IF(B365="","",ROW()-1)</f>
        <v/>
      </c>
      <c r="B365" s="73"/>
      <c r="C365" s="74"/>
      <c r="D365" s="73"/>
      <c r="E365" s="73"/>
      <c r="F365" s="73"/>
      <c r="G365" s="73"/>
      <c r="H365" s="73"/>
      <c r="I365" s="73"/>
      <c r="J365" s="74"/>
      <c r="K365" s="73"/>
      <c r="L365" s="76"/>
      <c r="M365" s="76"/>
      <c r="N365" s="73"/>
      <c r="O365" s="73"/>
      <c r="P365" s="73"/>
      <c r="Q365" s="73"/>
      <c r="R365" s="73"/>
    </row>
    <row r="366" customFormat="false" ht="15" hidden="false" customHeight="false" outlineLevel="0" collapsed="false">
      <c r="A366" s="71" t="str">
        <f aca="false">IF(B366="","",ROW()-1)</f>
        <v/>
      </c>
      <c r="B366" s="73"/>
      <c r="C366" s="74"/>
      <c r="D366" s="73"/>
      <c r="E366" s="73"/>
      <c r="F366" s="73"/>
      <c r="G366" s="73"/>
      <c r="H366" s="73"/>
      <c r="I366" s="73"/>
      <c r="J366" s="74"/>
      <c r="K366" s="73"/>
      <c r="L366" s="76"/>
      <c r="M366" s="76"/>
      <c r="N366" s="73"/>
      <c r="O366" s="73"/>
      <c r="P366" s="73"/>
      <c r="Q366" s="73"/>
      <c r="R366" s="73"/>
    </row>
    <row r="367" customFormat="false" ht="15" hidden="false" customHeight="false" outlineLevel="0" collapsed="false">
      <c r="A367" s="71" t="str">
        <f aca="false">IF(B367="","",ROW()-1)</f>
        <v/>
      </c>
      <c r="B367" s="73"/>
      <c r="C367" s="74"/>
      <c r="D367" s="73"/>
      <c r="E367" s="73"/>
      <c r="F367" s="73"/>
      <c r="G367" s="73"/>
      <c r="H367" s="73"/>
      <c r="I367" s="73"/>
      <c r="J367" s="74"/>
      <c r="K367" s="73"/>
      <c r="L367" s="76"/>
      <c r="M367" s="76"/>
      <c r="N367" s="73"/>
      <c r="O367" s="73"/>
      <c r="P367" s="73"/>
      <c r="Q367" s="73"/>
      <c r="R367" s="73"/>
    </row>
    <row r="368" customFormat="false" ht="15" hidden="false" customHeight="false" outlineLevel="0" collapsed="false">
      <c r="A368" s="71" t="str">
        <f aca="false">IF(B368="","",ROW()-1)</f>
        <v/>
      </c>
      <c r="B368" s="73"/>
      <c r="C368" s="74"/>
      <c r="D368" s="73"/>
      <c r="E368" s="73"/>
      <c r="F368" s="73"/>
      <c r="G368" s="73"/>
      <c r="H368" s="73"/>
      <c r="I368" s="73"/>
      <c r="J368" s="74"/>
      <c r="K368" s="73"/>
      <c r="L368" s="76"/>
      <c r="M368" s="76"/>
      <c r="N368" s="73"/>
      <c r="O368" s="73"/>
      <c r="P368" s="73"/>
      <c r="Q368" s="73"/>
      <c r="R368" s="73"/>
    </row>
    <row r="369" customFormat="false" ht="15" hidden="false" customHeight="false" outlineLevel="0" collapsed="false">
      <c r="A369" s="71" t="str">
        <f aca="false">IF(B369="","",ROW()-1)</f>
        <v/>
      </c>
      <c r="B369" s="73"/>
      <c r="C369" s="74"/>
      <c r="D369" s="73"/>
      <c r="E369" s="73"/>
      <c r="F369" s="73"/>
      <c r="G369" s="73"/>
      <c r="H369" s="73"/>
      <c r="I369" s="73"/>
      <c r="J369" s="74"/>
      <c r="K369" s="73"/>
      <c r="L369" s="76"/>
      <c r="M369" s="76"/>
      <c r="N369" s="73"/>
      <c r="O369" s="73"/>
      <c r="P369" s="73"/>
      <c r="Q369" s="73"/>
      <c r="R369" s="73"/>
    </row>
    <row r="370" customFormat="false" ht="15" hidden="false" customHeight="false" outlineLevel="0" collapsed="false">
      <c r="A370" s="71" t="str">
        <f aca="false">IF(B370="","",ROW()-1)</f>
        <v/>
      </c>
      <c r="B370" s="73"/>
      <c r="C370" s="74"/>
      <c r="D370" s="73"/>
      <c r="E370" s="73"/>
      <c r="F370" s="73"/>
      <c r="G370" s="73"/>
      <c r="H370" s="73"/>
      <c r="I370" s="73"/>
      <c r="J370" s="74"/>
      <c r="K370" s="73"/>
      <c r="L370" s="76"/>
      <c r="M370" s="76"/>
      <c r="N370" s="73"/>
      <c r="O370" s="73"/>
      <c r="P370" s="73"/>
      <c r="Q370" s="73"/>
      <c r="R370" s="73"/>
    </row>
    <row r="371" customFormat="false" ht="15" hidden="false" customHeight="false" outlineLevel="0" collapsed="false">
      <c r="A371" s="71" t="str">
        <f aca="false">IF(B371="","",ROW()-1)</f>
        <v/>
      </c>
      <c r="B371" s="73"/>
      <c r="C371" s="74"/>
      <c r="D371" s="73"/>
      <c r="E371" s="73"/>
      <c r="F371" s="73"/>
      <c r="G371" s="73"/>
      <c r="H371" s="73"/>
      <c r="I371" s="73"/>
      <c r="J371" s="74"/>
      <c r="K371" s="73"/>
      <c r="L371" s="76"/>
      <c r="M371" s="76"/>
      <c r="N371" s="73"/>
      <c r="O371" s="73"/>
      <c r="P371" s="73"/>
      <c r="Q371" s="73"/>
      <c r="R371" s="73"/>
    </row>
    <row r="372" customFormat="false" ht="15" hidden="false" customHeight="false" outlineLevel="0" collapsed="false">
      <c r="A372" s="71" t="str">
        <f aca="false">IF(B372="","",ROW()-1)</f>
        <v/>
      </c>
      <c r="B372" s="73"/>
      <c r="C372" s="74"/>
      <c r="D372" s="73"/>
      <c r="E372" s="73"/>
      <c r="F372" s="73"/>
      <c r="G372" s="73"/>
      <c r="H372" s="73"/>
      <c r="I372" s="73"/>
      <c r="J372" s="74"/>
      <c r="K372" s="73"/>
      <c r="L372" s="76"/>
      <c r="M372" s="76"/>
      <c r="N372" s="73"/>
      <c r="O372" s="73"/>
      <c r="P372" s="73"/>
      <c r="Q372" s="73"/>
      <c r="R372" s="73"/>
    </row>
    <row r="373" customFormat="false" ht="15" hidden="false" customHeight="false" outlineLevel="0" collapsed="false">
      <c r="A373" s="71" t="str">
        <f aca="false">IF(B373="","",ROW()-1)</f>
        <v/>
      </c>
      <c r="B373" s="73"/>
      <c r="C373" s="74"/>
      <c r="D373" s="73"/>
      <c r="E373" s="73"/>
      <c r="F373" s="73"/>
      <c r="G373" s="73"/>
      <c r="H373" s="73"/>
      <c r="I373" s="73"/>
      <c r="J373" s="74"/>
      <c r="K373" s="73"/>
      <c r="L373" s="76"/>
      <c r="M373" s="76"/>
      <c r="N373" s="73"/>
      <c r="O373" s="73"/>
      <c r="P373" s="73"/>
      <c r="Q373" s="73"/>
      <c r="R373" s="73"/>
    </row>
    <row r="374" customFormat="false" ht="15" hidden="false" customHeight="false" outlineLevel="0" collapsed="false">
      <c r="A374" s="71" t="str">
        <f aca="false">IF(B374="","",ROW()-1)</f>
        <v/>
      </c>
      <c r="B374" s="73"/>
      <c r="C374" s="74"/>
      <c r="D374" s="73"/>
      <c r="E374" s="73"/>
      <c r="F374" s="73"/>
      <c r="G374" s="73"/>
      <c r="H374" s="73"/>
      <c r="I374" s="73"/>
      <c r="J374" s="74"/>
      <c r="K374" s="73"/>
      <c r="L374" s="76"/>
      <c r="M374" s="76"/>
      <c r="N374" s="73"/>
      <c r="O374" s="73"/>
      <c r="P374" s="73"/>
      <c r="Q374" s="73"/>
      <c r="R374" s="73"/>
    </row>
    <row r="375" customFormat="false" ht="15" hidden="false" customHeight="false" outlineLevel="0" collapsed="false">
      <c r="A375" s="71" t="str">
        <f aca="false">IF(B375="","",ROW()-1)</f>
        <v/>
      </c>
      <c r="B375" s="73"/>
      <c r="C375" s="74"/>
      <c r="D375" s="73"/>
      <c r="E375" s="73"/>
      <c r="F375" s="73"/>
      <c r="G375" s="73"/>
      <c r="H375" s="73"/>
      <c r="I375" s="73"/>
      <c r="J375" s="74"/>
      <c r="K375" s="73"/>
      <c r="L375" s="76"/>
      <c r="M375" s="76"/>
      <c r="N375" s="73"/>
      <c r="O375" s="73"/>
      <c r="P375" s="73"/>
      <c r="Q375" s="73"/>
      <c r="R375" s="73"/>
    </row>
    <row r="376" customFormat="false" ht="15" hidden="false" customHeight="false" outlineLevel="0" collapsed="false">
      <c r="A376" s="71" t="str">
        <f aca="false">IF(B376="","",ROW()-1)</f>
        <v/>
      </c>
      <c r="B376" s="73"/>
      <c r="C376" s="74"/>
      <c r="D376" s="73"/>
      <c r="E376" s="73"/>
      <c r="F376" s="73"/>
      <c r="G376" s="73"/>
      <c r="H376" s="73"/>
      <c r="I376" s="73"/>
      <c r="J376" s="74"/>
      <c r="K376" s="73"/>
      <c r="L376" s="76"/>
      <c r="M376" s="76"/>
      <c r="N376" s="73"/>
      <c r="O376" s="73"/>
      <c r="P376" s="73"/>
      <c r="Q376" s="73"/>
      <c r="R376" s="73"/>
    </row>
    <row r="377" customFormat="false" ht="15" hidden="false" customHeight="false" outlineLevel="0" collapsed="false">
      <c r="A377" s="71" t="str">
        <f aca="false">IF(B377="","",ROW()-1)</f>
        <v/>
      </c>
      <c r="B377" s="73"/>
      <c r="C377" s="74"/>
      <c r="D377" s="73"/>
      <c r="E377" s="73"/>
      <c r="F377" s="73"/>
      <c r="G377" s="73"/>
      <c r="H377" s="73"/>
      <c r="I377" s="73"/>
      <c r="J377" s="74"/>
      <c r="K377" s="73"/>
      <c r="L377" s="76"/>
      <c r="M377" s="76"/>
      <c r="N377" s="73"/>
      <c r="O377" s="73"/>
      <c r="P377" s="73"/>
      <c r="Q377" s="73"/>
      <c r="R377" s="73"/>
    </row>
    <row r="378" customFormat="false" ht="15" hidden="false" customHeight="false" outlineLevel="0" collapsed="false">
      <c r="A378" s="71" t="str">
        <f aca="false">IF(B378="","",ROW()-1)</f>
        <v/>
      </c>
      <c r="B378" s="73"/>
      <c r="C378" s="74"/>
      <c r="D378" s="73"/>
      <c r="E378" s="73"/>
      <c r="F378" s="73"/>
      <c r="G378" s="73"/>
      <c r="H378" s="73"/>
      <c r="I378" s="73"/>
      <c r="J378" s="74"/>
      <c r="K378" s="73"/>
      <c r="L378" s="76"/>
      <c r="M378" s="76"/>
      <c r="N378" s="73"/>
      <c r="O378" s="73"/>
      <c r="P378" s="73"/>
      <c r="Q378" s="73"/>
      <c r="R378" s="73"/>
    </row>
    <row r="379" customFormat="false" ht="15" hidden="false" customHeight="false" outlineLevel="0" collapsed="false">
      <c r="A379" s="71" t="str">
        <f aca="false">IF(B379="","",ROW()-1)</f>
        <v/>
      </c>
      <c r="B379" s="73"/>
      <c r="C379" s="74"/>
      <c r="D379" s="73"/>
      <c r="E379" s="73"/>
      <c r="F379" s="73"/>
      <c r="G379" s="73"/>
      <c r="H379" s="73"/>
      <c r="I379" s="73"/>
      <c r="J379" s="74"/>
      <c r="K379" s="73"/>
      <c r="L379" s="76"/>
      <c r="M379" s="76"/>
      <c r="N379" s="73"/>
      <c r="O379" s="73"/>
      <c r="P379" s="73"/>
      <c r="Q379" s="73"/>
      <c r="R379" s="73"/>
    </row>
    <row r="380" customFormat="false" ht="15" hidden="false" customHeight="false" outlineLevel="0" collapsed="false">
      <c r="A380" s="71" t="str">
        <f aca="false">IF(B380="","",ROW()-1)</f>
        <v/>
      </c>
      <c r="B380" s="73"/>
      <c r="C380" s="74"/>
      <c r="D380" s="73"/>
      <c r="E380" s="73"/>
      <c r="F380" s="73"/>
      <c r="G380" s="73"/>
      <c r="H380" s="73"/>
      <c r="I380" s="73"/>
      <c r="J380" s="74"/>
      <c r="K380" s="73"/>
      <c r="L380" s="76"/>
      <c r="M380" s="76"/>
      <c r="N380" s="73"/>
      <c r="O380" s="73"/>
      <c r="P380" s="73"/>
      <c r="Q380" s="73"/>
      <c r="R380" s="73"/>
    </row>
    <row r="381" customFormat="false" ht="15" hidden="false" customHeight="false" outlineLevel="0" collapsed="false">
      <c r="A381" s="71" t="str">
        <f aca="false">IF(B381="","",ROW()-1)</f>
        <v/>
      </c>
      <c r="B381" s="73"/>
      <c r="C381" s="74"/>
      <c r="D381" s="73"/>
      <c r="E381" s="73"/>
      <c r="F381" s="73"/>
      <c r="G381" s="73"/>
      <c r="H381" s="73"/>
      <c r="I381" s="73"/>
      <c r="J381" s="74"/>
      <c r="K381" s="73"/>
      <c r="L381" s="76"/>
      <c r="M381" s="76"/>
      <c r="N381" s="73"/>
      <c r="O381" s="73"/>
      <c r="P381" s="73"/>
      <c r="Q381" s="73"/>
      <c r="R381" s="73"/>
    </row>
    <row r="382" customFormat="false" ht="15" hidden="false" customHeight="false" outlineLevel="0" collapsed="false">
      <c r="A382" s="71" t="str">
        <f aca="false">IF(B382="","",ROW()-1)</f>
        <v/>
      </c>
      <c r="B382" s="73"/>
      <c r="C382" s="74"/>
      <c r="D382" s="73"/>
      <c r="E382" s="73"/>
      <c r="F382" s="73"/>
      <c r="G382" s="73"/>
      <c r="H382" s="73"/>
      <c r="I382" s="73"/>
      <c r="J382" s="74"/>
      <c r="K382" s="73"/>
      <c r="L382" s="76"/>
      <c r="M382" s="76"/>
      <c r="N382" s="73"/>
      <c r="O382" s="73"/>
      <c r="P382" s="73"/>
      <c r="Q382" s="73"/>
      <c r="R382" s="73"/>
    </row>
    <row r="383" customFormat="false" ht="15" hidden="false" customHeight="false" outlineLevel="0" collapsed="false">
      <c r="A383" s="71" t="str">
        <f aca="false">IF(B383="","",ROW()-1)</f>
        <v/>
      </c>
      <c r="B383" s="73"/>
      <c r="C383" s="74"/>
      <c r="D383" s="73"/>
      <c r="E383" s="73"/>
      <c r="F383" s="73"/>
      <c r="G383" s="73"/>
      <c r="H383" s="73"/>
      <c r="I383" s="73"/>
      <c r="J383" s="74"/>
      <c r="K383" s="73"/>
      <c r="L383" s="76"/>
      <c r="M383" s="76"/>
      <c r="N383" s="73"/>
      <c r="O383" s="73"/>
      <c r="P383" s="73"/>
      <c r="Q383" s="73"/>
      <c r="R383" s="73"/>
    </row>
    <row r="384" customFormat="false" ht="15" hidden="false" customHeight="false" outlineLevel="0" collapsed="false">
      <c r="A384" s="71" t="str">
        <f aca="false">IF(B384="","",ROW()-1)</f>
        <v/>
      </c>
      <c r="B384" s="73"/>
      <c r="C384" s="74"/>
      <c r="D384" s="73"/>
      <c r="E384" s="73"/>
      <c r="F384" s="73"/>
      <c r="G384" s="73"/>
      <c r="H384" s="73"/>
      <c r="I384" s="73"/>
      <c r="J384" s="74"/>
      <c r="K384" s="73"/>
      <c r="L384" s="76"/>
      <c r="M384" s="76"/>
      <c r="N384" s="73"/>
      <c r="O384" s="73"/>
      <c r="P384" s="73"/>
      <c r="Q384" s="73"/>
      <c r="R384" s="73"/>
    </row>
    <row r="385" customFormat="false" ht="15" hidden="false" customHeight="false" outlineLevel="0" collapsed="false">
      <c r="A385" s="71" t="str">
        <f aca="false">IF(B385="","",ROW()-1)</f>
        <v/>
      </c>
      <c r="B385" s="73"/>
      <c r="C385" s="74"/>
      <c r="D385" s="73"/>
      <c r="E385" s="73"/>
      <c r="F385" s="73"/>
      <c r="G385" s="73"/>
      <c r="H385" s="73"/>
      <c r="I385" s="73"/>
      <c r="J385" s="74"/>
      <c r="K385" s="73"/>
      <c r="L385" s="76"/>
      <c r="M385" s="76"/>
      <c r="N385" s="73"/>
      <c r="O385" s="73"/>
      <c r="P385" s="73"/>
      <c r="Q385" s="73"/>
      <c r="R385" s="73"/>
    </row>
    <row r="386" customFormat="false" ht="15" hidden="false" customHeight="false" outlineLevel="0" collapsed="false">
      <c r="A386" s="71" t="str">
        <f aca="false">IF(B386="","",ROW()-1)</f>
        <v/>
      </c>
      <c r="B386" s="73"/>
      <c r="C386" s="74"/>
      <c r="D386" s="73"/>
      <c r="E386" s="73"/>
      <c r="F386" s="73"/>
      <c r="G386" s="73"/>
      <c r="H386" s="73"/>
      <c r="I386" s="73"/>
      <c r="J386" s="74"/>
      <c r="K386" s="73"/>
      <c r="L386" s="76"/>
      <c r="M386" s="76"/>
      <c r="N386" s="73"/>
      <c r="O386" s="73"/>
      <c r="P386" s="73"/>
      <c r="Q386" s="73"/>
      <c r="R386" s="73"/>
    </row>
    <row r="387" customFormat="false" ht="15" hidden="false" customHeight="false" outlineLevel="0" collapsed="false">
      <c r="A387" s="71" t="str">
        <f aca="false">IF(B387="","",ROW()-1)</f>
        <v/>
      </c>
      <c r="B387" s="73"/>
      <c r="C387" s="74"/>
      <c r="D387" s="73"/>
      <c r="E387" s="73"/>
      <c r="F387" s="73"/>
      <c r="G387" s="73"/>
      <c r="H387" s="73"/>
      <c r="I387" s="73"/>
      <c r="J387" s="74"/>
      <c r="K387" s="73"/>
      <c r="L387" s="76"/>
      <c r="M387" s="76"/>
      <c r="N387" s="73"/>
      <c r="O387" s="73"/>
      <c r="P387" s="73"/>
      <c r="Q387" s="73"/>
      <c r="R387" s="73"/>
    </row>
    <row r="388" customFormat="false" ht="15" hidden="false" customHeight="false" outlineLevel="0" collapsed="false">
      <c r="A388" s="71" t="str">
        <f aca="false">IF(B388="","",ROW()-1)</f>
        <v/>
      </c>
      <c r="B388" s="73"/>
      <c r="C388" s="74"/>
      <c r="D388" s="73"/>
      <c r="E388" s="73"/>
      <c r="F388" s="73"/>
      <c r="G388" s="73"/>
      <c r="H388" s="73"/>
      <c r="I388" s="73"/>
      <c r="J388" s="74"/>
      <c r="K388" s="73"/>
      <c r="L388" s="76"/>
      <c r="M388" s="76"/>
      <c r="N388" s="73"/>
      <c r="O388" s="73"/>
      <c r="P388" s="73"/>
      <c r="Q388" s="73"/>
      <c r="R388" s="73"/>
    </row>
    <row r="389" customFormat="false" ht="15" hidden="false" customHeight="false" outlineLevel="0" collapsed="false">
      <c r="A389" s="71" t="str">
        <f aca="false">IF(B389="","",ROW()-1)</f>
        <v/>
      </c>
      <c r="B389" s="73"/>
      <c r="C389" s="74"/>
      <c r="D389" s="73"/>
      <c r="E389" s="73"/>
      <c r="F389" s="73"/>
      <c r="G389" s="73"/>
      <c r="H389" s="73"/>
      <c r="I389" s="73"/>
      <c r="J389" s="74"/>
      <c r="K389" s="73"/>
      <c r="L389" s="76"/>
      <c r="M389" s="76"/>
      <c r="N389" s="73"/>
      <c r="O389" s="73"/>
      <c r="P389" s="73"/>
      <c r="Q389" s="73"/>
      <c r="R389" s="73"/>
    </row>
    <row r="390" customFormat="false" ht="15" hidden="false" customHeight="false" outlineLevel="0" collapsed="false">
      <c r="A390" s="71" t="str">
        <f aca="false">IF(B390="","",ROW()-1)</f>
        <v/>
      </c>
      <c r="B390" s="73"/>
      <c r="C390" s="74"/>
      <c r="D390" s="73"/>
      <c r="E390" s="73"/>
      <c r="F390" s="73"/>
      <c r="G390" s="73"/>
      <c r="H390" s="73"/>
      <c r="I390" s="73"/>
      <c r="J390" s="74"/>
      <c r="K390" s="73"/>
      <c r="L390" s="76"/>
      <c r="M390" s="76"/>
      <c r="N390" s="73"/>
      <c r="O390" s="73"/>
      <c r="P390" s="73"/>
      <c r="Q390" s="73"/>
      <c r="R390" s="73"/>
    </row>
    <row r="391" customFormat="false" ht="15" hidden="false" customHeight="false" outlineLevel="0" collapsed="false">
      <c r="A391" s="71" t="str">
        <f aca="false">IF(B391="","",ROW()-1)</f>
        <v/>
      </c>
      <c r="B391" s="73"/>
      <c r="C391" s="74"/>
      <c r="D391" s="73"/>
      <c r="E391" s="73"/>
      <c r="F391" s="73"/>
      <c r="G391" s="73"/>
      <c r="H391" s="73"/>
      <c r="I391" s="73"/>
      <c r="J391" s="74"/>
      <c r="K391" s="73"/>
      <c r="L391" s="76"/>
      <c r="M391" s="76"/>
      <c r="N391" s="73"/>
      <c r="O391" s="73"/>
      <c r="P391" s="73"/>
      <c r="Q391" s="73"/>
      <c r="R391" s="73"/>
    </row>
    <row r="392" customFormat="false" ht="15" hidden="false" customHeight="false" outlineLevel="0" collapsed="false">
      <c r="A392" s="71" t="str">
        <f aca="false">IF(B392="","",ROW()-1)</f>
        <v/>
      </c>
      <c r="B392" s="73"/>
      <c r="C392" s="74"/>
      <c r="D392" s="73"/>
      <c r="E392" s="73"/>
      <c r="F392" s="73"/>
      <c r="G392" s="73"/>
      <c r="H392" s="73"/>
      <c r="I392" s="73"/>
      <c r="J392" s="74"/>
      <c r="K392" s="73"/>
      <c r="L392" s="76"/>
      <c r="M392" s="76"/>
      <c r="N392" s="73"/>
      <c r="O392" s="73"/>
      <c r="P392" s="73"/>
      <c r="Q392" s="73"/>
      <c r="R392" s="73"/>
    </row>
    <row r="393" customFormat="false" ht="15" hidden="false" customHeight="false" outlineLevel="0" collapsed="false">
      <c r="A393" s="71" t="str">
        <f aca="false">IF(B393="","",ROW()-1)</f>
        <v/>
      </c>
      <c r="B393" s="73"/>
      <c r="C393" s="74"/>
      <c r="D393" s="73"/>
      <c r="E393" s="73"/>
      <c r="F393" s="73"/>
      <c r="G393" s="73"/>
      <c r="H393" s="73"/>
      <c r="I393" s="73"/>
      <c r="J393" s="74"/>
      <c r="K393" s="73"/>
      <c r="L393" s="76"/>
      <c r="M393" s="76"/>
      <c r="N393" s="73"/>
      <c r="O393" s="73"/>
      <c r="P393" s="73"/>
      <c r="Q393" s="73"/>
      <c r="R393" s="73"/>
    </row>
    <row r="394" customFormat="false" ht="15" hidden="false" customHeight="false" outlineLevel="0" collapsed="false">
      <c r="A394" s="71" t="str">
        <f aca="false">IF(B394="","",ROW()-1)</f>
        <v/>
      </c>
      <c r="B394" s="73"/>
      <c r="C394" s="74"/>
      <c r="D394" s="73"/>
      <c r="E394" s="73"/>
      <c r="F394" s="73"/>
      <c r="G394" s="73"/>
      <c r="H394" s="73"/>
      <c r="I394" s="73"/>
      <c r="J394" s="74"/>
      <c r="K394" s="73"/>
      <c r="L394" s="76"/>
      <c r="M394" s="76"/>
      <c r="N394" s="73"/>
      <c r="O394" s="73"/>
      <c r="P394" s="73"/>
      <c r="Q394" s="73"/>
      <c r="R394" s="73"/>
    </row>
    <row r="395" customFormat="false" ht="15" hidden="false" customHeight="false" outlineLevel="0" collapsed="false">
      <c r="A395" s="71" t="str">
        <f aca="false">IF(B395="","",ROW()-1)</f>
        <v/>
      </c>
      <c r="B395" s="73"/>
      <c r="C395" s="74"/>
      <c r="D395" s="73"/>
      <c r="E395" s="73"/>
      <c r="F395" s="73"/>
      <c r="G395" s="73"/>
      <c r="H395" s="73"/>
      <c r="I395" s="73"/>
      <c r="J395" s="74"/>
      <c r="K395" s="73"/>
      <c r="L395" s="76"/>
      <c r="M395" s="76"/>
      <c r="N395" s="73"/>
      <c r="O395" s="73"/>
      <c r="P395" s="73"/>
      <c r="Q395" s="73"/>
      <c r="R395" s="73"/>
    </row>
    <row r="396" customFormat="false" ht="15" hidden="false" customHeight="false" outlineLevel="0" collapsed="false">
      <c r="A396" s="71" t="str">
        <f aca="false">IF(B396="","",ROW()-1)</f>
        <v/>
      </c>
      <c r="B396" s="73"/>
      <c r="C396" s="74"/>
      <c r="D396" s="73"/>
      <c r="E396" s="73"/>
      <c r="F396" s="73"/>
      <c r="G396" s="73"/>
      <c r="H396" s="73"/>
      <c r="I396" s="73"/>
      <c r="J396" s="74"/>
      <c r="K396" s="73"/>
      <c r="L396" s="76"/>
      <c r="M396" s="76"/>
      <c r="N396" s="73"/>
      <c r="O396" s="73"/>
      <c r="P396" s="73"/>
      <c r="Q396" s="73"/>
      <c r="R396" s="73"/>
    </row>
    <row r="397" customFormat="false" ht="15" hidden="false" customHeight="false" outlineLevel="0" collapsed="false">
      <c r="A397" s="71" t="str">
        <f aca="false">IF(B397="","",ROW()-1)</f>
        <v/>
      </c>
      <c r="B397" s="73"/>
      <c r="C397" s="74"/>
      <c r="D397" s="73"/>
      <c r="E397" s="73"/>
      <c r="F397" s="73"/>
      <c r="G397" s="73"/>
      <c r="H397" s="73"/>
      <c r="I397" s="73"/>
      <c r="J397" s="74"/>
      <c r="K397" s="73"/>
      <c r="L397" s="76"/>
      <c r="M397" s="76"/>
      <c r="N397" s="73"/>
      <c r="O397" s="73"/>
      <c r="P397" s="73"/>
      <c r="Q397" s="73"/>
      <c r="R397" s="73"/>
    </row>
    <row r="398" customFormat="false" ht="15" hidden="false" customHeight="false" outlineLevel="0" collapsed="false">
      <c r="A398" s="71" t="str">
        <f aca="false">IF(B398="","",ROW()-1)</f>
        <v/>
      </c>
      <c r="B398" s="73"/>
      <c r="C398" s="74"/>
      <c r="D398" s="73"/>
      <c r="E398" s="73"/>
      <c r="F398" s="73"/>
      <c r="G398" s="73"/>
      <c r="H398" s="73"/>
      <c r="I398" s="73"/>
      <c r="J398" s="74"/>
      <c r="K398" s="73"/>
      <c r="L398" s="76"/>
      <c r="M398" s="76"/>
      <c r="N398" s="73"/>
      <c r="O398" s="73"/>
      <c r="P398" s="73"/>
      <c r="Q398" s="73"/>
      <c r="R398" s="73"/>
    </row>
    <row r="399" customFormat="false" ht="15" hidden="false" customHeight="false" outlineLevel="0" collapsed="false">
      <c r="A399" s="71" t="str">
        <f aca="false">IF(B399="","",ROW()-1)</f>
        <v/>
      </c>
      <c r="B399" s="73"/>
      <c r="C399" s="74"/>
      <c r="D399" s="73"/>
      <c r="E399" s="73"/>
      <c r="F399" s="73"/>
      <c r="G399" s="73"/>
      <c r="H399" s="73"/>
      <c r="I399" s="73"/>
      <c r="J399" s="74"/>
      <c r="K399" s="73"/>
      <c r="L399" s="76"/>
      <c r="M399" s="76"/>
      <c r="N399" s="73"/>
      <c r="O399" s="73"/>
      <c r="P399" s="73"/>
      <c r="Q399" s="73"/>
      <c r="R399" s="73"/>
    </row>
    <row r="400" customFormat="false" ht="15" hidden="false" customHeight="false" outlineLevel="0" collapsed="false">
      <c r="A400" s="71" t="str">
        <f aca="false">IF(B400="","",ROW()-1)</f>
        <v/>
      </c>
      <c r="B400" s="73"/>
      <c r="C400" s="74"/>
      <c r="D400" s="73"/>
      <c r="E400" s="73"/>
      <c r="F400" s="73"/>
      <c r="G400" s="73"/>
      <c r="H400" s="73"/>
      <c r="I400" s="73"/>
      <c r="J400" s="74"/>
      <c r="K400" s="73"/>
      <c r="L400" s="76"/>
      <c r="M400" s="76"/>
      <c r="N400" s="73"/>
      <c r="O400" s="73"/>
      <c r="P400" s="73"/>
      <c r="Q400" s="73"/>
      <c r="R400" s="73"/>
    </row>
    <row r="401" customFormat="false" ht="15" hidden="false" customHeight="false" outlineLevel="0" collapsed="false">
      <c r="A401" s="71" t="str">
        <f aca="false">IF(B401="","",ROW()-1)</f>
        <v/>
      </c>
      <c r="B401" s="73"/>
      <c r="C401" s="74"/>
      <c r="D401" s="73"/>
      <c r="E401" s="73"/>
      <c r="F401" s="73"/>
      <c r="G401" s="73"/>
      <c r="H401" s="73"/>
      <c r="I401" s="73"/>
      <c r="J401" s="74"/>
      <c r="K401" s="73"/>
      <c r="L401" s="76"/>
      <c r="M401" s="76"/>
      <c r="N401" s="73"/>
      <c r="O401" s="73"/>
      <c r="P401" s="73"/>
      <c r="Q401" s="73"/>
      <c r="R401" s="73"/>
    </row>
    <row r="402" customFormat="false" ht="15" hidden="false" customHeight="false" outlineLevel="0" collapsed="false">
      <c r="A402" s="71" t="str">
        <f aca="false">IF(B402="","",ROW()-1)</f>
        <v/>
      </c>
      <c r="B402" s="73"/>
      <c r="C402" s="74"/>
      <c r="D402" s="73"/>
      <c r="E402" s="73"/>
      <c r="F402" s="73"/>
      <c r="G402" s="73"/>
      <c r="H402" s="73"/>
      <c r="I402" s="73"/>
      <c r="J402" s="74"/>
      <c r="K402" s="73"/>
      <c r="L402" s="76"/>
      <c r="M402" s="76"/>
      <c r="N402" s="73"/>
      <c r="O402" s="73"/>
      <c r="P402" s="73"/>
      <c r="Q402" s="73"/>
      <c r="R402" s="73"/>
    </row>
    <row r="403" customFormat="false" ht="15" hidden="false" customHeight="false" outlineLevel="0" collapsed="false">
      <c r="A403" s="71" t="str">
        <f aca="false">IF(B403="","",ROW()-1)</f>
        <v/>
      </c>
      <c r="B403" s="73"/>
      <c r="C403" s="74"/>
      <c r="D403" s="73"/>
      <c r="E403" s="73"/>
      <c r="F403" s="73"/>
      <c r="G403" s="73"/>
      <c r="H403" s="73"/>
      <c r="I403" s="73"/>
      <c r="J403" s="74"/>
      <c r="K403" s="73"/>
      <c r="L403" s="76"/>
      <c r="M403" s="76"/>
      <c r="N403" s="73"/>
      <c r="O403" s="73"/>
      <c r="P403" s="73"/>
      <c r="Q403" s="73"/>
      <c r="R403" s="73"/>
    </row>
    <row r="404" customFormat="false" ht="15" hidden="false" customHeight="false" outlineLevel="0" collapsed="false">
      <c r="A404" s="71" t="str">
        <f aca="false">IF(B404="","",ROW()-1)</f>
        <v/>
      </c>
      <c r="B404" s="73"/>
      <c r="C404" s="74"/>
      <c r="D404" s="73"/>
      <c r="E404" s="73"/>
      <c r="F404" s="73"/>
      <c r="G404" s="73"/>
      <c r="H404" s="73"/>
      <c r="I404" s="73"/>
      <c r="J404" s="74"/>
      <c r="K404" s="73"/>
      <c r="L404" s="76"/>
      <c r="M404" s="76"/>
      <c r="N404" s="73"/>
      <c r="O404" s="73"/>
      <c r="P404" s="73"/>
      <c r="Q404" s="73"/>
      <c r="R404" s="73"/>
    </row>
    <row r="405" customFormat="false" ht="15" hidden="false" customHeight="false" outlineLevel="0" collapsed="false">
      <c r="A405" s="71" t="str">
        <f aca="false">IF(B405="","",ROW()-1)</f>
        <v/>
      </c>
      <c r="B405" s="73"/>
      <c r="C405" s="74"/>
      <c r="D405" s="73"/>
      <c r="E405" s="73"/>
      <c r="F405" s="73"/>
      <c r="G405" s="73"/>
      <c r="H405" s="73"/>
      <c r="I405" s="73"/>
      <c r="J405" s="74"/>
      <c r="K405" s="73"/>
      <c r="L405" s="76"/>
      <c r="M405" s="76"/>
      <c r="N405" s="73"/>
      <c r="O405" s="73"/>
      <c r="P405" s="73"/>
      <c r="Q405" s="73"/>
      <c r="R405" s="73"/>
    </row>
    <row r="406" customFormat="false" ht="15" hidden="false" customHeight="false" outlineLevel="0" collapsed="false">
      <c r="A406" s="71" t="str">
        <f aca="false">IF(B406="","",ROW()-1)</f>
        <v/>
      </c>
      <c r="B406" s="73"/>
      <c r="C406" s="74"/>
      <c r="D406" s="73"/>
      <c r="E406" s="73"/>
      <c r="F406" s="73"/>
      <c r="G406" s="73"/>
      <c r="H406" s="73"/>
      <c r="I406" s="73"/>
      <c r="J406" s="74"/>
      <c r="K406" s="73"/>
      <c r="L406" s="76"/>
      <c r="M406" s="76"/>
      <c r="N406" s="73"/>
      <c r="O406" s="73"/>
      <c r="P406" s="73"/>
      <c r="Q406" s="73"/>
      <c r="R406" s="73"/>
    </row>
    <row r="407" customFormat="false" ht="15" hidden="false" customHeight="false" outlineLevel="0" collapsed="false">
      <c r="A407" s="71" t="str">
        <f aca="false">IF(B407="","",ROW()-1)</f>
        <v/>
      </c>
      <c r="B407" s="73"/>
      <c r="C407" s="74"/>
      <c r="D407" s="73"/>
      <c r="E407" s="73"/>
      <c r="F407" s="73"/>
      <c r="G407" s="73"/>
      <c r="H407" s="73"/>
      <c r="I407" s="73"/>
      <c r="J407" s="74"/>
      <c r="K407" s="73"/>
      <c r="L407" s="76"/>
      <c r="M407" s="76"/>
      <c r="N407" s="73"/>
      <c r="O407" s="73"/>
      <c r="P407" s="73"/>
      <c r="Q407" s="73"/>
      <c r="R407" s="73"/>
    </row>
    <row r="408" customFormat="false" ht="15" hidden="false" customHeight="false" outlineLevel="0" collapsed="false">
      <c r="A408" s="71" t="str">
        <f aca="false">IF(B408="","",ROW()-1)</f>
        <v/>
      </c>
      <c r="B408" s="73"/>
      <c r="C408" s="74"/>
      <c r="D408" s="73"/>
      <c r="E408" s="73"/>
      <c r="F408" s="73"/>
      <c r="G408" s="73"/>
      <c r="H408" s="73"/>
      <c r="I408" s="73"/>
      <c r="J408" s="74"/>
      <c r="K408" s="73"/>
      <c r="L408" s="76"/>
      <c r="M408" s="76"/>
      <c r="N408" s="73"/>
      <c r="O408" s="73"/>
      <c r="P408" s="73"/>
      <c r="Q408" s="73"/>
      <c r="R408" s="73"/>
    </row>
    <row r="409" customFormat="false" ht="15" hidden="false" customHeight="false" outlineLevel="0" collapsed="false">
      <c r="A409" s="71" t="str">
        <f aca="false">IF(B409="","",ROW()-1)</f>
        <v/>
      </c>
      <c r="B409" s="73"/>
      <c r="C409" s="74"/>
      <c r="D409" s="73"/>
      <c r="E409" s="73"/>
      <c r="F409" s="73"/>
      <c r="G409" s="73"/>
      <c r="H409" s="73"/>
      <c r="I409" s="73"/>
      <c r="J409" s="74"/>
      <c r="K409" s="73"/>
      <c r="L409" s="76"/>
      <c r="M409" s="76"/>
      <c r="N409" s="73"/>
      <c r="O409" s="73"/>
      <c r="P409" s="73"/>
      <c r="Q409" s="73"/>
      <c r="R409" s="73"/>
    </row>
    <row r="410" customFormat="false" ht="15" hidden="false" customHeight="false" outlineLevel="0" collapsed="false">
      <c r="A410" s="71" t="str">
        <f aca="false">IF(B410="","",ROW()-1)</f>
        <v/>
      </c>
      <c r="B410" s="73"/>
      <c r="C410" s="74"/>
      <c r="D410" s="73"/>
      <c r="E410" s="73"/>
      <c r="F410" s="73"/>
      <c r="G410" s="73"/>
      <c r="H410" s="73"/>
      <c r="I410" s="73"/>
      <c r="J410" s="74"/>
      <c r="K410" s="73"/>
      <c r="L410" s="76"/>
      <c r="M410" s="76"/>
      <c r="N410" s="73"/>
      <c r="O410" s="73"/>
      <c r="P410" s="73"/>
      <c r="Q410" s="73"/>
      <c r="R410" s="73"/>
    </row>
    <row r="411" customFormat="false" ht="15" hidden="false" customHeight="false" outlineLevel="0" collapsed="false">
      <c r="A411" s="71" t="str">
        <f aca="false">IF(B411="","",ROW()-1)</f>
        <v/>
      </c>
      <c r="B411" s="73"/>
      <c r="C411" s="74"/>
      <c r="D411" s="73"/>
      <c r="E411" s="73"/>
      <c r="F411" s="73"/>
      <c r="G411" s="73"/>
      <c r="H411" s="73"/>
      <c r="I411" s="73"/>
      <c r="J411" s="74"/>
      <c r="K411" s="73"/>
      <c r="L411" s="76"/>
      <c r="M411" s="76"/>
      <c r="N411" s="73"/>
      <c r="O411" s="73"/>
      <c r="P411" s="73"/>
      <c r="Q411" s="73"/>
      <c r="R411" s="73"/>
    </row>
    <row r="412" customFormat="false" ht="15" hidden="false" customHeight="false" outlineLevel="0" collapsed="false">
      <c r="A412" s="71" t="str">
        <f aca="false">IF(B412="","",ROW()-1)</f>
        <v/>
      </c>
      <c r="B412" s="73"/>
      <c r="C412" s="74"/>
      <c r="D412" s="73"/>
      <c r="E412" s="73"/>
      <c r="F412" s="73"/>
      <c r="G412" s="73"/>
      <c r="H412" s="73"/>
      <c r="I412" s="73"/>
      <c r="J412" s="74"/>
      <c r="K412" s="73"/>
      <c r="L412" s="76"/>
      <c r="M412" s="76"/>
      <c r="N412" s="73"/>
      <c r="O412" s="73"/>
      <c r="P412" s="73"/>
      <c r="Q412" s="73"/>
      <c r="R412" s="73"/>
    </row>
    <row r="413" customFormat="false" ht="15" hidden="false" customHeight="false" outlineLevel="0" collapsed="false">
      <c r="A413" s="71" t="str">
        <f aca="false">IF(B413="","",ROW()-1)</f>
        <v/>
      </c>
      <c r="B413" s="73"/>
      <c r="C413" s="74"/>
      <c r="D413" s="73"/>
      <c r="E413" s="73"/>
      <c r="F413" s="73"/>
      <c r="G413" s="73"/>
      <c r="H413" s="73"/>
      <c r="I413" s="73"/>
      <c r="J413" s="74"/>
      <c r="K413" s="73"/>
      <c r="L413" s="76"/>
      <c r="M413" s="76"/>
      <c r="N413" s="73"/>
      <c r="O413" s="73"/>
      <c r="P413" s="73"/>
      <c r="Q413" s="73"/>
      <c r="R413" s="73"/>
    </row>
    <row r="414" customFormat="false" ht="15" hidden="false" customHeight="false" outlineLevel="0" collapsed="false">
      <c r="A414" s="71" t="str">
        <f aca="false">IF(B414="","",ROW()-1)</f>
        <v/>
      </c>
      <c r="B414" s="73"/>
      <c r="C414" s="74"/>
      <c r="D414" s="73"/>
      <c r="E414" s="73"/>
      <c r="F414" s="73"/>
      <c r="G414" s="73"/>
      <c r="H414" s="73"/>
      <c r="I414" s="73"/>
      <c r="J414" s="74"/>
      <c r="K414" s="73"/>
      <c r="L414" s="76"/>
      <c r="M414" s="76"/>
      <c r="N414" s="73"/>
      <c r="O414" s="73"/>
      <c r="P414" s="73"/>
      <c r="Q414" s="73"/>
      <c r="R414" s="73"/>
    </row>
    <row r="415" customFormat="false" ht="15" hidden="false" customHeight="false" outlineLevel="0" collapsed="false">
      <c r="A415" s="71" t="str">
        <f aca="false">IF(B415="","",ROW()-1)</f>
        <v/>
      </c>
      <c r="B415" s="73"/>
      <c r="C415" s="74"/>
      <c r="D415" s="73"/>
      <c r="E415" s="73"/>
      <c r="F415" s="73"/>
      <c r="G415" s="73"/>
      <c r="H415" s="73"/>
      <c r="I415" s="73"/>
      <c r="J415" s="74"/>
      <c r="K415" s="73"/>
      <c r="L415" s="76"/>
      <c r="M415" s="76"/>
      <c r="N415" s="73"/>
      <c r="O415" s="73"/>
      <c r="P415" s="73"/>
      <c r="Q415" s="73"/>
      <c r="R415" s="73"/>
    </row>
    <row r="416" customFormat="false" ht="15" hidden="false" customHeight="false" outlineLevel="0" collapsed="false">
      <c r="A416" s="71" t="str">
        <f aca="false">IF(B416="","",ROW()-1)</f>
        <v/>
      </c>
      <c r="B416" s="73"/>
      <c r="C416" s="74"/>
      <c r="D416" s="73"/>
      <c r="E416" s="73"/>
      <c r="F416" s="73"/>
      <c r="G416" s="73"/>
      <c r="H416" s="73"/>
      <c r="I416" s="73"/>
      <c r="J416" s="74"/>
      <c r="K416" s="73"/>
      <c r="L416" s="76"/>
      <c r="M416" s="76"/>
      <c r="N416" s="73"/>
      <c r="O416" s="73"/>
      <c r="P416" s="73"/>
      <c r="Q416" s="73"/>
      <c r="R416" s="73"/>
    </row>
    <row r="417" customFormat="false" ht="15" hidden="false" customHeight="false" outlineLevel="0" collapsed="false">
      <c r="A417" s="71" t="str">
        <f aca="false">IF(B417="","",ROW()-1)</f>
        <v/>
      </c>
      <c r="B417" s="73"/>
      <c r="C417" s="74"/>
      <c r="D417" s="73"/>
      <c r="E417" s="73"/>
      <c r="F417" s="73"/>
      <c r="G417" s="73"/>
      <c r="H417" s="73"/>
      <c r="I417" s="73"/>
      <c r="J417" s="74"/>
      <c r="K417" s="73"/>
      <c r="L417" s="76"/>
      <c r="M417" s="76"/>
      <c r="N417" s="73"/>
      <c r="O417" s="73"/>
      <c r="P417" s="73"/>
      <c r="Q417" s="73"/>
      <c r="R417" s="73"/>
    </row>
    <row r="418" customFormat="false" ht="15" hidden="false" customHeight="false" outlineLevel="0" collapsed="false">
      <c r="A418" s="71" t="str">
        <f aca="false">IF(B418="","",ROW()-1)</f>
        <v/>
      </c>
      <c r="B418" s="73"/>
      <c r="C418" s="74"/>
      <c r="D418" s="73"/>
      <c r="E418" s="73"/>
      <c r="F418" s="73"/>
      <c r="G418" s="73"/>
      <c r="H418" s="73"/>
      <c r="I418" s="73"/>
      <c r="J418" s="74"/>
      <c r="K418" s="73"/>
      <c r="L418" s="76"/>
      <c r="M418" s="76"/>
      <c r="N418" s="73"/>
      <c r="O418" s="73"/>
      <c r="P418" s="73"/>
      <c r="Q418" s="73"/>
      <c r="R418" s="73"/>
    </row>
    <row r="419" customFormat="false" ht="15" hidden="false" customHeight="false" outlineLevel="0" collapsed="false">
      <c r="A419" s="71" t="str">
        <f aca="false">IF(B419="","",ROW()-1)</f>
        <v/>
      </c>
      <c r="B419" s="73"/>
      <c r="C419" s="74"/>
      <c r="D419" s="73"/>
      <c r="E419" s="73"/>
      <c r="F419" s="73"/>
      <c r="G419" s="73"/>
      <c r="H419" s="73"/>
      <c r="I419" s="73"/>
      <c r="J419" s="74"/>
      <c r="K419" s="73"/>
      <c r="L419" s="76"/>
      <c r="M419" s="76"/>
      <c r="N419" s="73"/>
      <c r="O419" s="73"/>
      <c r="P419" s="73"/>
      <c r="Q419" s="73"/>
      <c r="R419" s="73"/>
    </row>
    <row r="420" customFormat="false" ht="15" hidden="false" customHeight="false" outlineLevel="0" collapsed="false">
      <c r="A420" s="71" t="str">
        <f aca="false">IF(B420="","",ROW()-1)</f>
        <v/>
      </c>
      <c r="B420" s="73"/>
      <c r="C420" s="74"/>
      <c r="D420" s="73"/>
      <c r="E420" s="73"/>
      <c r="F420" s="73"/>
      <c r="G420" s="73"/>
      <c r="H420" s="73"/>
      <c r="I420" s="73"/>
      <c r="J420" s="74"/>
      <c r="K420" s="73"/>
      <c r="L420" s="76"/>
      <c r="M420" s="76"/>
      <c r="N420" s="73"/>
      <c r="O420" s="73"/>
      <c r="P420" s="73"/>
      <c r="Q420" s="73"/>
      <c r="R420" s="73"/>
    </row>
    <row r="421" customFormat="false" ht="15" hidden="false" customHeight="false" outlineLevel="0" collapsed="false">
      <c r="A421" s="71" t="str">
        <f aca="false">IF(B421="","",ROW()-1)</f>
        <v/>
      </c>
      <c r="B421" s="73"/>
      <c r="C421" s="74"/>
      <c r="D421" s="73"/>
      <c r="E421" s="73"/>
      <c r="F421" s="73"/>
      <c r="G421" s="73"/>
      <c r="H421" s="73"/>
      <c r="I421" s="73"/>
      <c r="J421" s="74"/>
      <c r="K421" s="73"/>
      <c r="L421" s="76"/>
      <c r="M421" s="76"/>
      <c r="N421" s="73"/>
      <c r="O421" s="73"/>
      <c r="P421" s="73"/>
      <c r="Q421" s="73"/>
      <c r="R421" s="73"/>
    </row>
    <row r="422" customFormat="false" ht="15" hidden="false" customHeight="false" outlineLevel="0" collapsed="false">
      <c r="A422" s="71" t="str">
        <f aca="false">IF(B422="","",ROW()-1)</f>
        <v/>
      </c>
      <c r="B422" s="73"/>
      <c r="C422" s="74"/>
      <c r="D422" s="73"/>
      <c r="E422" s="73"/>
      <c r="F422" s="73"/>
      <c r="G422" s="73"/>
      <c r="H422" s="73"/>
      <c r="I422" s="73"/>
      <c r="J422" s="74"/>
      <c r="K422" s="73"/>
      <c r="L422" s="76"/>
      <c r="M422" s="76"/>
      <c r="N422" s="73"/>
      <c r="O422" s="73"/>
      <c r="P422" s="73"/>
      <c r="Q422" s="73"/>
      <c r="R422" s="73"/>
    </row>
    <row r="423" customFormat="false" ht="15" hidden="false" customHeight="false" outlineLevel="0" collapsed="false">
      <c r="A423" s="71" t="str">
        <f aca="false">IF(B423="","",ROW()-1)</f>
        <v/>
      </c>
      <c r="B423" s="73"/>
      <c r="C423" s="74"/>
      <c r="D423" s="73"/>
      <c r="E423" s="73"/>
      <c r="F423" s="73"/>
      <c r="G423" s="73"/>
      <c r="H423" s="73"/>
      <c r="I423" s="73"/>
      <c r="J423" s="74"/>
      <c r="K423" s="73"/>
      <c r="L423" s="76"/>
      <c r="M423" s="76"/>
      <c r="N423" s="73"/>
      <c r="O423" s="73"/>
      <c r="P423" s="73"/>
      <c r="Q423" s="73"/>
      <c r="R423" s="73"/>
    </row>
    <row r="424" customFormat="false" ht="15" hidden="false" customHeight="false" outlineLevel="0" collapsed="false">
      <c r="A424" s="71" t="str">
        <f aca="false">IF(B424="","",ROW()-1)</f>
        <v/>
      </c>
      <c r="B424" s="73"/>
      <c r="C424" s="74"/>
      <c r="D424" s="73"/>
      <c r="E424" s="73"/>
      <c r="F424" s="73"/>
      <c r="G424" s="73"/>
      <c r="H424" s="73"/>
      <c r="I424" s="73"/>
      <c r="J424" s="74"/>
      <c r="K424" s="73"/>
      <c r="L424" s="76"/>
      <c r="M424" s="76"/>
      <c r="N424" s="73"/>
      <c r="O424" s="73"/>
      <c r="P424" s="73"/>
      <c r="Q424" s="73"/>
      <c r="R424" s="73"/>
    </row>
    <row r="425" customFormat="false" ht="15" hidden="false" customHeight="false" outlineLevel="0" collapsed="false">
      <c r="A425" s="71" t="str">
        <f aca="false">IF(B425="","",ROW()-1)</f>
        <v/>
      </c>
      <c r="B425" s="73"/>
      <c r="C425" s="74"/>
      <c r="D425" s="73"/>
      <c r="E425" s="73"/>
      <c r="F425" s="73"/>
      <c r="G425" s="73"/>
      <c r="H425" s="73"/>
      <c r="I425" s="73"/>
      <c r="J425" s="74"/>
      <c r="K425" s="73"/>
      <c r="L425" s="76"/>
      <c r="M425" s="76"/>
      <c r="N425" s="73"/>
      <c r="O425" s="73"/>
      <c r="P425" s="73"/>
      <c r="Q425" s="73"/>
      <c r="R425" s="73"/>
    </row>
    <row r="426" customFormat="false" ht="15" hidden="false" customHeight="false" outlineLevel="0" collapsed="false">
      <c r="A426" s="71" t="str">
        <f aca="false">IF(B426="","",ROW()-1)</f>
        <v/>
      </c>
      <c r="B426" s="73"/>
      <c r="C426" s="74"/>
      <c r="D426" s="73"/>
      <c r="E426" s="73"/>
      <c r="F426" s="73"/>
      <c r="G426" s="73"/>
      <c r="H426" s="73"/>
      <c r="I426" s="73"/>
      <c r="J426" s="74"/>
      <c r="K426" s="73"/>
      <c r="L426" s="76"/>
      <c r="M426" s="76"/>
      <c r="N426" s="73"/>
      <c r="O426" s="73"/>
      <c r="P426" s="73"/>
      <c r="Q426" s="73"/>
      <c r="R426" s="73"/>
    </row>
    <row r="427" customFormat="false" ht="15" hidden="false" customHeight="false" outlineLevel="0" collapsed="false">
      <c r="A427" s="71" t="str">
        <f aca="false">IF(B427="","",ROW()-1)</f>
        <v/>
      </c>
      <c r="B427" s="73"/>
      <c r="C427" s="74"/>
      <c r="D427" s="73"/>
      <c r="E427" s="73"/>
      <c r="F427" s="73"/>
      <c r="G427" s="73"/>
      <c r="H427" s="73"/>
      <c r="I427" s="73"/>
      <c r="J427" s="74"/>
      <c r="K427" s="73"/>
      <c r="L427" s="76"/>
      <c r="M427" s="76"/>
      <c r="N427" s="73"/>
      <c r="O427" s="73"/>
      <c r="P427" s="73"/>
      <c r="Q427" s="73"/>
      <c r="R427" s="73"/>
    </row>
    <row r="428" customFormat="false" ht="15" hidden="false" customHeight="false" outlineLevel="0" collapsed="false">
      <c r="A428" s="71" t="str">
        <f aca="false">IF(B428="","",ROW()-1)</f>
        <v/>
      </c>
      <c r="B428" s="73"/>
      <c r="C428" s="74"/>
      <c r="D428" s="73"/>
      <c r="E428" s="73"/>
      <c r="F428" s="73"/>
      <c r="G428" s="73"/>
      <c r="H428" s="73"/>
      <c r="I428" s="73"/>
      <c r="J428" s="74"/>
      <c r="K428" s="73"/>
      <c r="L428" s="76"/>
      <c r="M428" s="76"/>
      <c r="N428" s="73"/>
      <c r="O428" s="73"/>
      <c r="P428" s="73"/>
      <c r="Q428" s="73"/>
      <c r="R428" s="73"/>
    </row>
    <row r="429" customFormat="false" ht="15" hidden="false" customHeight="false" outlineLevel="0" collapsed="false">
      <c r="A429" s="71" t="str">
        <f aca="false">IF(B429="","",ROW()-1)</f>
        <v/>
      </c>
      <c r="B429" s="73"/>
      <c r="C429" s="74"/>
      <c r="D429" s="73"/>
      <c r="E429" s="73"/>
      <c r="F429" s="73"/>
      <c r="G429" s="73"/>
      <c r="H429" s="73"/>
      <c r="I429" s="73"/>
      <c r="J429" s="74"/>
      <c r="K429" s="73"/>
      <c r="L429" s="76"/>
      <c r="M429" s="76"/>
      <c r="N429" s="73"/>
      <c r="O429" s="73"/>
      <c r="P429" s="73"/>
      <c r="Q429" s="73"/>
      <c r="R429" s="73"/>
    </row>
    <row r="430" customFormat="false" ht="15" hidden="false" customHeight="false" outlineLevel="0" collapsed="false">
      <c r="A430" s="71" t="str">
        <f aca="false">IF(B430="","",ROW()-1)</f>
        <v/>
      </c>
      <c r="B430" s="73"/>
      <c r="C430" s="74"/>
      <c r="D430" s="73"/>
      <c r="E430" s="73"/>
      <c r="F430" s="73"/>
      <c r="G430" s="73"/>
      <c r="H430" s="73"/>
      <c r="I430" s="73"/>
      <c r="J430" s="74"/>
      <c r="K430" s="73"/>
      <c r="L430" s="76"/>
      <c r="M430" s="76"/>
      <c r="N430" s="73"/>
      <c r="O430" s="73"/>
      <c r="P430" s="73"/>
      <c r="Q430" s="73"/>
      <c r="R430" s="73"/>
    </row>
    <row r="431" customFormat="false" ht="15" hidden="false" customHeight="false" outlineLevel="0" collapsed="false">
      <c r="A431" s="71" t="str">
        <f aca="false">IF(B431="","",ROW()-1)</f>
        <v/>
      </c>
      <c r="B431" s="73"/>
      <c r="C431" s="74"/>
      <c r="D431" s="73"/>
      <c r="E431" s="73"/>
      <c r="F431" s="73"/>
      <c r="G431" s="73"/>
      <c r="H431" s="73"/>
      <c r="I431" s="73"/>
      <c r="J431" s="74"/>
      <c r="K431" s="73"/>
      <c r="L431" s="76"/>
      <c r="M431" s="76"/>
      <c r="N431" s="73"/>
      <c r="O431" s="73"/>
      <c r="P431" s="73"/>
      <c r="Q431" s="73"/>
      <c r="R431" s="73"/>
    </row>
    <row r="432" customFormat="false" ht="15" hidden="false" customHeight="false" outlineLevel="0" collapsed="false">
      <c r="A432" s="71" t="str">
        <f aca="false">IF(B432="","",ROW()-1)</f>
        <v/>
      </c>
      <c r="B432" s="73"/>
      <c r="C432" s="74"/>
      <c r="D432" s="73"/>
      <c r="E432" s="73"/>
      <c r="F432" s="73"/>
      <c r="G432" s="73"/>
      <c r="H432" s="73"/>
      <c r="I432" s="73"/>
      <c r="J432" s="74"/>
      <c r="K432" s="73"/>
      <c r="L432" s="76"/>
      <c r="M432" s="76"/>
      <c r="N432" s="73"/>
      <c r="O432" s="73"/>
      <c r="P432" s="73"/>
      <c r="Q432" s="73"/>
      <c r="R432" s="73"/>
    </row>
    <row r="433" customFormat="false" ht="15" hidden="false" customHeight="false" outlineLevel="0" collapsed="false">
      <c r="A433" s="71" t="str">
        <f aca="false">IF(B433="","",ROW()-1)</f>
        <v/>
      </c>
      <c r="B433" s="73"/>
      <c r="C433" s="74"/>
      <c r="D433" s="73"/>
      <c r="E433" s="73"/>
      <c r="F433" s="73"/>
      <c r="G433" s="73"/>
      <c r="H433" s="73"/>
      <c r="I433" s="73"/>
      <c r="J433" s="74"/>
      <c r="K433" s="73"/>
      <c r="L433" s="76"/>
      <c r="M433" s="76"/>
      <c r="N433" s="73"/>
      <c r="O433" s="73"/>
      <c r="P433" s="73"/>
      <c r="Q433" s="73"/>
      <c r="R433" s="73"/>
    </row>
    <row r="434" customFormat="false" ht="15" hidden="false" customHeight="false" outlineLevel="0" collapsed="false">
      <c r="A434" s="71" t="str">
        <f aca="false">IF(B434="","",ROW()-1)</f>
        <v/>
      </c>
      <c r="B434" s="73"/>
      <c r="C434" s="74"/>
      <c r="D434" s="73"/>
      <c r="E434" s="73"/>
      <c r="F434" s="73"/>
      <c r="G434" s="73"/>
      <c r="H434" s="73"/>
      <c r="I434" s="73"/>
      <c r="J434" s="74"/>
      <c r="K434" s="73"/>
      <c r="L434" s="76"/>
      <c r="M434" s="76"/>
      <c r="N434" s="73"/>
      <c r="O434" s="73"/>
      <c r="P434" s="73"/>
      <c r="Q434" s="73"/>
      <c r="R434" s="73"/>
    </row>
    <row r="435" customFormat="false" ht="15" hidden="false" customHeight="false" outlineLevel="0" collapsed="false">
      <c r="A435" s="71" t="str">
        <f aca="false">IF(B435="","",ROW()-1)</f>
        <v/>
      </c>
      <c r="B435" s="73"/>
      <c r="C435" s="74"/>
      <c r="D435" s="73"/>
      <c r="E435" s="73"/>
      <c r="F435" s="73"/>
      <c r="G435" s="73"/>
      <c r="H435" s="73"/>
      <c r="I435" s="73"/>
      <c r="J435" s="74"/>
      <c r="K435" s="73"/>
      <c r="L435" s="76"/>
      <c r="M435" s="76"/>
      <c r="N435" s="73"/>
      <c r="O435" s="73"/>
      <c r="P435" s="73"/>
      <c r="Q435" s="73"/>
      <c r="R435" s="73"/>
    </row>
    <row r="436" customFormat="false" ht="15" hidden="false" customHeight="false" outlineLevel="0" collapsed="false">
      <c r="A436" s="71" t="str">
        <f aca="false">IF(B436="","",ROW()-1)</f>
        <v/>
      </c>
      <c r="B436" s="73"/>
      <c r="C436" s="74"/>
      <c r="D436" s="73"/>
      <c r="E436" s="73"/>
      <c r="F436" s="73"/>
      <c r="G436" s="73"/>
      <c r="H436" s="73"/>
      <c r="I436" s="73"/>
      <c r="J436" s="74"/>
      <c r="K436" s="73"/>
      <c r="L436" s="76"/>
      <c r="M436" s="76"/>
      <c r="N436" s="73"/>
      <c r="O436" s="73"/>
      <c r="P436" s="73"/>
      <c r="Q436" s="73"/>
      <c r="R436" s="73"/>
    </row>
    <row r="437" customFormat="false" ht="15" hidden="false" customHeight="false" outlineLevel="0" collapsed="false">
      <c r="A437" s="71" t="str">
        <f aca="false">IF(B437="","",ROW()-1)</f>
        <v/>
      </c>
      <c r="B437" s="73"/>
      <c r="C437" s="74"/>
      <c r="D437" s="73"/>
      <c r="E437" s="73"/>
      <c r="F437" s="73"/>
      <c r="G437" s="73"/>
      <c r="H437" s="73"/>
      <c r="I437" s="73"/>
      <c r="J437" s="74"/>
      <c r="K437" s="73"/>
      <c r="L437" s="76"/>
      <c r="M437" s="76"/>
      <c r="N437" s="73"/>
      <c r="O437" s="73"/>
      <c r="P437" s="73"/>
      <c r="Q437" s="73"/>
      <c r="R437" s="73"/>
    </row>
    <row r="438" customFormat="false" ht="15" hidden="false" customHeight="false" outlineLevel="0" collapsed="false">
      <c r="A438" s="71" t="str">
        <f aca="false">IF(B438="","",ROW()-1)</f>
        <v/>
      </c>
      <c r="B438" s="73"/>
      <c r="C438" s="74"/>
      <c r="D438" s="73"/>
      <c r="E438" s="73"/>
      <c r="F438" s="73"/>
      <c r="G438" s="73"/>
      <c r="H438" s="73"/>
      <c r="I438" s="73"/>
      <c r="J438" s="74"/>
      <c r="K438" s="73"/>
      <c r="L438" s="76"/>
      <c r="M438" s="76"/>
      <c r="N438" s="73"/>
      <c r="O438" s="73"/>
      <c r="P438" s="73"/>
      <c r="Q438" s="73"/>
      <c r="R438" s="73"/>
    </row>
    <row r="439" customFormat="false" ht="15" hidden="false" customHeight="false" outlineLevel="0" collapsed="false">
      <c r="A439" s="71" t="str">
        <f aca="false">IF(B439="","",ROW()-1)</f>
        <v/>
      </c>
      <c r="B439" s="73"/>
      <c r="C439" s="74"/>
      <c r="D439" s="73"/>
      <c r="E439" s="73"/>
      <c r="F439" s="73"/>
      <c r="G439" s="73"/>
      <c r="H439" s="73"/>
      <c r="I439" s="73"/>
      <c r="J439" s="74"/>
      <c r="K439" s="73"/>
      <c r="L439" s="76"/>
      <c r="M439" s="76"/>
      <c r="N439" s="73"/>
      <c r="O439" s="73"/>
      <c r="P439" s="73"/>
      <c r="Q439" s="73"/>
      <c r="R439" s="73"/>
    </row>
    <row r="440" customFormat="false" ht="15" hidden="false" customHeight="false" outlineLevel="0" collapsed="false">
      <c r="A440" s="71" t="str">
        <f aca="false">IF(B440="","",ROW()-1)</f>
        <v/>
      </c>
      <c r="B440" s="73"/>
      <c r="C440" s="74"/>
      <c r="D440" s="73"/>
      <c r="E440" s="73"/>
      <c r="F440" s="73"/>
      <c r="G440" s="73"/>
      <c r="H440" s="73"/>
      <c r="I440" s="73"/>
      <c r="J440" s="74"/>
      <c r="K440" s="73"/>
      <c r="L440" s="76"/>
      <c r="M440" s="76"/>
      <c r="N440" s="73"/>
      <c r="O440" s="73"/>
      <c r="P440" s="73"/>
      <c r="Q440" s="73"/>
      <c r="R440" s="73"/>
    </row>
    <row r="441" customFormat="false" ht="15" hidden="false" customHeight="false" outlineLevel="0" collapsed="false">
      <c r="A441" s="71" t="str">
        <f aca="false">IF(B441="","",ROW()-1)</f>
        <v/>
      </c>
      <c r="B441" s="73"/>
      <c r="C441" s="74"/>
      <c r="D441" s="73"/>
      <c r="E441" s="73"/>
      <c r="F441" s="73"/>
      <c r="G441" s="73"/>
      <c r="H441" s="73"/>
      <c r="I441" s="73"/>
      <c r="J441" s="74"/>
      <c r="K441" s="73"/>
      <c r="L441" s="76"/>
      <c r="M441" s="76"/>
      <c r="N441" s="73"/>
      <c r="O441" s="73"/>
      <c r="P441" s="73"/>
      <c r="Q441" s="73"/>
      <c r="R441" s="73"/>
    </row>
    <row r="442" customFormat="false" ht="15" hidden="false" customHeight="false" outlineLevel="0" collapsed="false">
      <c r="A442" s="71" t="str">
        <f aca="false">IF(B442="","",ROW()-1)</f>
        <v/>
      </c>
      <c r="B442" s="73"/>
      <c r="C442" s="74"/>
      <c r="D442" s="73"/>
      <c r="E442" s="73"/>
      <c r="F442" s="73"/>
      <c r="G442" s="73"/>
      <c r="H442" s="73"/>
      <c r="I442" s="73"/>
      <c r="J442" s="74"/>
      <c r="K442" s="73"/>
      <c r="L442" s="76"/>
      <c r="M442" s="76"/>
      <c r="N442" s="73"/>
      <c r="O442" s="73"/>
      <c r="P442" s="73"/>
      <c r="Q442" s="73"/>
      <c r="R442" s="73"/>
    </row>
    <row r="443" customFormat="false" ht="15" hidden="false" customHeight="false" outlineLevel="0" collapsed="false">
      <c r="A443" s="71" t="str">
        <f aca="false">IF(B443="","",ROW()-1)</f>
        <v/>
      </c>
      <c r="B443" s="73"/>
      <c r="C443" s="74"/>
      <c r="D443" s="73"/>
      <c r="E443" s="73"/>
      <c r="F443" s="73"/>
      <c r="G443" s="73"/>
      <c r="H443" s="73"/>
      <c r="I443" s="73"/>
      <c r="J443" s="74"/>
      <c r="K443" s="73"/>
      <c r="L443" s="76"/>
      <c r="M443" s="76"/>
      <c r="N443" s="73"/>
      <c r="O443" s="73"/>
      <c r="P443" s="73"/>
      <c r="Q443" s="73"/>
      <c r="R443" s="73"/>
    </row>
    <row r="444" customFormat="false" ht="15" hidden="false" customHeight="false" outlineLevel="0" collapsed="false">
      <c r="A444" s="71" t="str">
        <f aca="false">IF(B444="","",ROW()-1)</f>
        <v/>
      </c>
      <c r="B444" s="73"/>
      <c r="C444" s="74"/>
      <c r="D444" s="73"/>
      <c r="E444" s="73"/>
      <c r="F444" s="73"/>
      <c r="G444" s="73"/>
      <c r="H444" s="73"/>
      <c r="I444" s="73"/>
      <c r="J444" s="74"/>
      <c r="K444" s="73"/>
      <c r="L444" s="76"/>
      <c r="M444" s="76"/>
      <c r="N444" s="73"/>
      <c r="O444" s="73"/>
      <c r="P444" s="73"/>
      <c r="Q444" s="73"/>
      <c r="R444" s="73"/>
    </row>
    <row r="445" customFormat="false" ht="15" hidden="false" customHeight="false" outlineLevel="0" collapsed="false">
      <c r="A445" s="71" t="str">
        <f aca="false">IF(B445="","",ROW()-1)</f>
        <v/>
      </c>
      <c r="B445" s="73"/>
      <c r="C445" s="74"/>
      <c r="D445" s="73"/>
      <c r="E445" s="73"/>
      <c r="F445" s="73"/>
      <c r="G445" s="73"/>
      <c r="H445" s="73"/>
      <c r="I445" s="73"/>
      <c r="J445" s="74"/>
      <c r="K445" s="73"/>
      <c r="L445" s="76"/>
      <c r="M445" s="76"/>
      <c r="N445" s="73"/>
      <c r="O445" s="73"/>
      <c r="P445" s="73"/>
      <c r="Q445" s="73"/>
      <c r="R445" s="73"/>
    </row>
    <row r="446" customFormat="false" ht="15" hidden="false" customHeight="false" outlineLevel="0" collapsed="false">
      <c r="A446" s="71" t="str">
        <f aca="false">IF(B446="","",ROW()-1)</f>
        <v/>
      </c>
      <c r="B446" s="73"/>
      <c r="C446" s="74"/>
      <c r="D446" s="73"/>
      <c r="E446" s="73"/>
      <c r="F446" s="73"/>
      <c r="G446" s="73"/>
      <c r="H446" s="73"/>
      <c r="I446" s="73"/>
      <c r="J446" s="74"/>
      <c r="K446" s="73"/>
      <c r="L446" s="76"/>
      <c r="M446" s="76"/>
      <c r="N446" s="73"/>
      <c r="O446" s="73"/>
      <c r="P446" s="73"/>
      <c r="Q446" s="73"/>
      <c r="R446" s="73"/>
    </row>
    <row r="447" customFormat="false" ht="15" hidden="false" customHeight="false" outlineLevel="0" collapsed="false">
      <c r="A447" s="71" t="str">
        <f aca="false">IF(B447="","",ROW()-1)</f>
        <v/>
      </c>
      <c r="B447" s="73"/>
      <c r="C447" s="74"/>
      <c r="D447" s="73"/>
      <c r="E447" s="73"/>
      <c r="F447" s="73"/>
      <c r="G447" s="73"/>
      <c r="H447" s="73"/>
      <c r="I447" s="73"/>
      <c r="J447" s="74"/>
      <c r="K447" s="73"/>
      <c r="L447" s="76"/>
      <c r="M447" s="76"/>
      <c r="N447" s="73"/>
      <c r="O447" s="73"/>
      <c r="P447" s="73"/>
      <c r="Q447" s="73"/>
      <c r="R447" s="73"/>
    </row>
    <row r="448" customFormat="false" ht="15" hidden="false" customHeight="false" outlineLevel="0" collapsed="false">
      <c r="A448" s="71" t="str">
        <f aca="false">IF(B448="","",ROW()-1)</f>
        <v/>
      </c>
      <c r="B448" s="73"/>
      <c r="C448" s="74"/>
      <c r="D448" s="73"/>
      <c r="E448" s="73"/>
      <c r="F448" s="73"/>
      <c r="G448" s="73"/>
      <c r="H448" s="73"/>
      <c r="I448" s="73"/>
      <c r="J448" s="74"/>
      <c r="K448" s="73"/>
      <c r="L448" s="76"/>
      <c r="M448" s="76"/>
      <c r="N448" s="73"/>
      <c r="O448" s="73"/>
      <c r="P448" s="73"/>
      <c r="Q448" s="73"/>
      <c r="R448" s="73"/>
    </row>
    <row r="449" customFormat="false" ht="15" hidden="false" customHeight="false" outlineLevel="0" collapsed="false">
      <c r="A449" s="71" t="str">
        <f aca="false">IF(B449="","",ROW()-1)</f>
        <v/>
      </c>
      <c r="B449" s="73"/>
      <c r="C449" s="74"/>
      <c r="D449" s="73"/>
      <c r="E449" s="73"/>
      <c r="F449" s="73"/>
      <c r="G449" s="73"/>
      <c r="H449" s="73"/>
      <c r="I449" s="73"/>
      <c r="J449" s="74"/>
      <c r="K449" s="73"/>
      <c r="L449" s="76"/>
      <c r="M449" s="76"/>
      <c r="N449" s="73"/>
      <c r="O449" s="73"/>
      <c r="P449" s="73"/>
      <c r="Q449" s="73"/>
      <c r="R449" s="73"/>
    </row>
    <row r="450" customFormat="false" ht="15" hidden="false" customHeight="false" outlineLevel="0" collapsed="false">
      <c r="A450" s="71" t="str">
        <f aca="false">IF(B450="","",ROW()-1)</f>
        <v/>
      </c>
      <c r="B450" s="73"/>
      <c r="C450" s="74"/>
      <c r="D450" s="73"/>
      <c r="E450" s="73"/>
      <c r="F450" s="73"/>
      <c r="G450" s="73"/>
      <c r="H450" s="73"/>
      <c r="I450" s="73"/>
      <c r="J450" s="74"/>
      <c r="K450" s="73"/>
      <c r="L450" s="76"/>
      <c r="M450" s="76"/>
      <c r="N450" s="73"/>
      <c r="O450" s="73"/>
      <c r="P450" s="73"/>
      <c r="Q450" s="73"/>
      <c r="R450" s="73"/>
    </row>
    <row r="451" customFormat="false" ht="15" hidden="false" customHeight="false" outlineLevel="0" collapsed="false">
      <c r="A451" s="71" t="str">
        <f aca="false">IF(B451="","",ROW()-1)</f>
        <v/>
      </c>
      <c r="B451" s="73"/>
      <c r="C451" s="74"/>
      <c r="D451" s="73"/>
      <c r="E451" s="73"/>
      <c r="F451" s="73"/>
      <c r="G451" s="73"/>
      <c r="H451" s="73"/>
      <c r="I451" s="73"/>
      <c r="J451" s="74"/>
      <c r="K451" s="73"/>
      <c r="L451" s="76"/>
      <c r="M451" s="76"/>
      <c r="N451" s="73"/>
      <c r="O451" s="73"/>
      <c r="P451" s="73"/>
      <c r="Q451" s="73"/>
      <c r="R451" s="73"/>
    </row>
    <row r="452" customFormat="false" ht="15" hidden="false" customHeight="false" outlineLevel="0" collapsed="false">
      <c r="A452" s="71" t="str">
        <f aca="false">IF(B452="","",ROW()-1)</f>
        <v/>
      </c>
      <c r="B452" s="73"/>
      <c r="C452" s="74"/>
      <c r="D452" s="73"/>
      <c r="E452" s="73"/>
      <c r="F452" s="73"/>
      <c r="G452" s="73"/>
      <c r="H452" s="73"/>
      <c r="I452" s="73"/>
      <c r="J452" s="74"/>
      <c r="K452" s="73"/>
      <c r="L452" s="76"/>
      <c r="M452" s="76"/>
      <c r="N452" s="73"/>
      <c r="O452" s="73"/>
      <c r="P452" s="73"/>
      <c r="Q452" s="73"/>
      <c r="R452" s="73"/>
    </row>
    <row r="453" customFormat="false" ht="15" hidden="false" customHeight="false" outlineLevel="0" collapsed="false">
      <c r="A453" s="71" t="str">
        <f aca="false">IF(B453="","",ROW()-1)</f>
        <v/>
      </c>
      <c r="B453" s="73"/>
      <c r="C453" s="74"/>
      <c r="D453" s="73"/>
      <c r="E453" s="73"/>
      <c r="F453" s="73"/>
      <c r="G453" s="73"/>
      <c r="H453" s="73"/>
      <c r="I453" s="73"/>
      <c r="J453" s="74"/>
      <c r="K453" s="73"/>
      <c r="L453" s="76"/>
      <c r="M453" s="76"/>
      <c r="N453" s="73"/>
      <c r="O453" s="73"/>
      <c r="P453" s="73"/>
      <c r="Q453" s="73"/>
      <c r="R453" s="73"/>
    </row>
    <row r="454" customFormat="false" ht="15" hidden="false" customHeight="false" outlineLevel="0" collapsed="false">
      <c r="A454" s="71" t="str">
        <f aca="false">IF(B454="","",ROW()-1)</f>
        <v/>
      </c>
      <c r="B454" s="73"/>
      <c r="C454" s="74"/>
      <c r="D454" s="73"/>
      <c r="E454" s="73"/>
      <c r="F454" s="73"/>
      <c r="G454" s="73"/>
      <c r="H454" s="73"/>
      <c r="I454" s="73"/>
      <c r="J454" s="74"/>
      <c r="K454" s="73"/>
      <c r="L454" s="76"/>
      <c r="M454" s="76"/>
      <c r="N454" s="73"/>
      <c r="O454" s="73"/>
      <c r="P454" s="73"/>
      <c r="Q454" s="73"/>
      <c r="R454" s="73"/>
    </row>
    <row r="455" customFormat="false" ht="15" hidden="false" customHeight="false" outlineLevel="0" collapsed="false">
      <c r="A455" s="71" t="str">
        <f aca="false">IF(B455="","",ROW()-1)</f>
        <v/>
      </c>
      <c r="B455" s="73"/>
      <c r="C455" s="74"/>
      <c r="D455" s="73"/>
      <c r="E455" s="73"/>
      <c r="F455" s="73"/>
      <c r="G455" s="73"/>
      <c r="H455" s="73"/>
      <c r="I455" s="73"/>
      <c r="J455" s="74"/>
      <c r="K455" s="73"/>
      <c r="L455" s="76"/>
      <c r="M455" s="76"/>
      <c r="N455" s="73"/>
      <c r="O455" s="73"/>
      <c r="P455" s="73"/>
      <c r="Q455" s="73"/>
      <c r="R455" s="73"/>
    </row>
    <row r="456" customFormat="false" ht="15" hidden="false" customHeight="false" outlineLevel="0" collapsed="false">
      <c r="A456" s="71" t="str">
        <f aca="false">IF(B456="","",ROW()-1)</f>
        <v/>
      </c>
      <c r="B456" s="73"/>
      <c r="C456" s="74"/>
      <c r="D456" s="73"/>
      <c r="E456" s="73"/>
      <c r="F456" s="73"/>
      <c r="G456" s="73"/>
      <c r="H456" s="73"/>
      <c r="I456" s="73"/>
      <c r="J456" s="74"/>
      <c r="K456" s="73"/>
      <c r="L456" s="76"/>
      <c r="M456" s="76"/>
      <c r="N456" s="73"/>
      <c r="O456" s="73"/>
      <c r="P456" s="73"/>
      <c r="Q456" s="73"/>
      <c r="R456" s="73"/>
    </row>
    <row r="457" customFormat="false" ht="15" hidden="false" customHeight="false" outlineLevel="0" collapsed="false">
      <c r="A457" s="71" t="str">
        <f aca="false">IF(B457="","",ROW()-1)</f>
        <v/>
      </c>
      <c r="B457" s="73"/>
      <c r="C457" s="74"/>
      <c r="D457" s="73"/>
      <c r="E457" s="73"/>
      <c r="F457" s="73"/>
      <c r="G457" s="73"/>
      <c r="H457" s="73"/>
      <c r="I457" s="73"/>
      <c r="J457" s="74"/>
      <c r="K457" s="73"/>
      <c r="L457" s="76"/>
      <c r="M457" s="76"/>
      <c r="N457" s="73"/>
      <c r="O457" s="73"/>
      <c r="P457" s="73"/>
      <c r="Q457" s="73"/>
      <c r="R457" s="73"/>
    </row>
    <row r="458" customFormat="false" ht="15" hidden="false" customHeight="false" outlineLevel="0" collapsed="false">
      <c r="A458" s="71" t="str">
        <f aca="false">IF(B458="","",ROW()-1)</f>
        <v/>
      </c>
      <c r="B458" s="73"/>
      <c r="C458" s="74"/>
      <c r="D458" s="73"/>
      <c r="E458" s="73"/>
      <c r="F458" s="73"/>
      <c r="G458" s="73"/>
      <c r="H458" s="73"/>
      <c r="I458" s="73"/>
      <c r="J458" s="74"/>
      <c r="K458" s="73"/>
      <c r="L458" s="76"/>
      <c r="M458" s="76"/>
      <c r="N458" s="73"/>
      <c r="O458" s="73"/>
      <c r="P458" s="73"/>
      <c r="Q458" s="73"/>
      <c r="R458" s="73"/>
    </row>
    <row r="459" customFormat="false" ht="15" hidden="false" customHeight="false" outlineLevel="0" collapsed="false">
      <c r="A459" s="71" t="str">
        <f aca="false">IF(B459="","",ROW()-1)</f>
        <v/>
      </c>
      <c r="B459" s="73"/>
      <c r="C459" s="74"/>
      <c r="D459" s="73"/>
      <c r="E459" s="73"/>
      <c r="F459" s="73"/>
      <c r="G459" s="73"/>
      <c r="H459" s="73"/>
      <c r="I459" s="73"/>
      <c r="J459" s="74"/>
      <c r="K459" s="73"/>
      <c r="L459" s="76"/>
      <c r="M459" s="76"/>
      <c r="N459" s="73"/>
      <c r="O459" s="73"/>
      <c r="P459" s="73"/>
      <c r="Q459" s="73"/>
      <c r="R459" s="73"/>
    </row>
    <row r="460" customFormat="false" ht="15" hidden="false" customHeight="false" outlineLevel="0" collapsed="false">
      <c r="A460" s="71" t="str">
        <f aca="false">IF(B460="","",ROW()-1)</f>
        <v/>
      </c>
      <c r="B460" s="73"/>
      <c r="C460" s="74"/>
      <c r="D460" s="73"/>
      <c r="E460" s="73"/>
      <c r="F460" s="73"/>
      <c r="G460" s="73"/>
      <c r="H460" s="73"/>
      <c r="I460" s="73"/>
      <c r="J460" s="74"/>
      <c r="K460" s="73"/>
      <c r="L460" s="76"/>
      <c r="M460" s="76"/>
      <c r="N460" s="73"/>
      <c r="O460" s="73"/>
      <c r="P460" s="73"/>
      <c r="Q460" s="73"/>
      <c r="R460" s="73"/>
    </row>
    <row r="461" customFormat="false" ht="15" hidden="false" customHeight="false" outlineLevel="0" collapsed="false">
      <c r="A461" s="71" t="str">
        <f aca="false">IF(B461="","",ROW()-1)</f>
        <v/>
      </c>
      <c r="B461" s="73"/>
      <c r="C461" s="74"/>
      <c r="D461" s="73"/>
      <c r="E461" s="73"/>
      <c r="F461" s="73"/>
      <c r="G461" s="73"/>
      <c r="H461" s="73"/>
      <c r="I461" s="73"/>
      <c r="J461" s="74"/>
      <c r="K461" s="73"/>
      <c r="L461" s="76"/>
      <c r="M461" s="76"/>
      <c r="N461" s="73"/>
      <c r="O461" s="73"/>
      <c r="P461" s="73"/>
      <c r="Q461" s="73"/>
      <c r="R461" s="73"/>
    </row>
    <row r="462" customFormat="false" ht="15" hidden="false" customHeight="false" outlineLevel="0" collapsed="false">
      <c r="A462" s="71" t="str">
        <f aca="false">IF(B462="","",ROW()-1)</f>
        <v/>
      </c>
      <c r="B462" s="73"/>
      <c r="C462" s="74"/>
      <c r="D462" s="73"/>
      <c r="E462" s="73"/>
      <c r="F462" s="73"/>
      <c r="G462" s="73"/>
      <c r="H462" s="73"/>
      <c r="I462" s="73"/>
      <c r="J462" s="74"/>
      <c r="K462" s="73"/>
      <c r="L462" s="76"/>
      <c r="M462" s="76"/>
      <c r="N462" s="73"/>
      <c r="O462" s="73"/>
      <c r="P462" s="73"/>
      <c r="Q462" s="73"/>
      <c r="R462" s="73"/>
    </row>
    <row r="463" customFormat="false" ht="15" hidden="false" customHeight="false" outlineLevel="0" collapsed="false">
      <c r="A463" s="71" t="str">
        <f aca="false">IF(B463="","",ROW()-1)</f>
        <v/>
      </c>
      <c r="B463" s="73"/>
      <c r="C463" s="74"/>
      <c r="D463" s="73"/>
      <c r="E463" s="73"/>
      <c r="F463" s="73"/>
      <c r="G463" s="73"/>
      <c r="H463" s="73"/>
      <c r="I463" s="73"/>
      <c r="J463" s="74"/>
      <c r="K463" s="73"/>
      <c r="L463" s="76"/>
      <c r="M463" s="76"/>
      <c r="N463" s="73"/>
      <c r="O463" s="73"/>
      <c r="P463" s="73"/>
      <c r="Q463" s="73"/>
      <c r="R463" s="73"/>
    </row>
    <row r="464" customFormat="false" ht="15" hidden="false" customHeight="false" outlineLevel="0" collapsed="false">
      <c r="A464" s="71" t="str">
        <f aca="false">IF(B464="","",ROW()-1)</f>
        <v/>
      </c>
      <c r="B464" s="73"/>
      <c r="C464" s="74"/>
      <c r="D464" s="73"/>
      <c r="E464" s="73"/>
      <c r="F464" s="73"/>
      <c r="G464" s="73"/>
      <c r="H464" s="73"/>
      <c r="I464" s="73"/>
      <c r="J464" s="74"/>
      <c r="K464" s="73"/>
      <c r="L464" s="76"/>
      <c r="M464" s="76"/>
      <c r="N464" s="73"/>
      <c r="O464" s="73"/>
      <c r="P464" s="73"/>
      <c r="Q464" s="73"/>
      <c r="R464" s="73"/>
    </row>
    <row r="465" customFormat="false" ht="15" hidden="false" customHeight="false" outlineLevel="0" collapsed="false">
      <c r="A465" s="71" t="str">
        <f aca="false">IF(B465="","",ROW()-1)</f>
        <v/>
      </c>
      <c r="B465" s="73"/>
      <c r="C465" s="74"/>
      <c r="D465" s="73"/>
      <c r="E465" s="73"/>
      <c r="F465" s="73"/>
      <c r="G465" s="73"/>
      <c r="H465" s="73"/>
      <c r="I465" s="73"/>
      <c r="J465" s="74"/>
      <c r="K465" s="73"/>
      <c r="L465" s="76"/>
      <c r="M465" s="76"/>
      <c r="N465" s="73"/>
      <c r="O465" s="73"/>
      <c r="P465" s="73"/>
      <c r="Q465" s="73"/>
      <c r="R465" s="73"/>
    </row>
    <row r="466" customFormat="false" ht="15" hidden="false" customHeight="false" outlineLevel="0" collapsed="false">
      <c r="A466" s="71" t="str">
        <f aca="false">IF(B466="","",ROW()-1)</f>
        <v/>
      </c>
      <c r="B466" s="73"/>
      <c r="C466" s="74"/>
      <c r="D466" s="73"/>
      <c r="E466" s="73"/>
      <c r="F466" s="73"/>
      <c r="G466" s="73"/>
      <c r="H466" s="73"/>
      <c r="I466" s="73"/>
      <c r="J466" s="74"/>
      <c r="K466" s="73"/>
      <c r="L466" s="76"/>
      <c r="M466" s="76"/>
      <c r="N466" s="73"/>
      <c r="O466" s="73"/>
      <c r="P466" s="73"/>
      <c r="Q466" s="73"/>
      <c r="R466" s="73"/>
    </row>
    <row r="467" customFormat="false" ht="15" hidden="false" customHeight="false" outlineLevel="0" collapsed="false">
      <c r="A467" s="71" t="str">
        <f aca="false">IF(B467="","",ROW()-1)</f>
        <v/>
      </c>
      <c r="B467" s="73"/>
      <c r="C467" s="74"/>
      <c r="D467" s="73"/>
      <c r="E467" s="73"/>
      <c r="F467" s="73"/>
      <c r="G467" s="73"/>
      <c r="H467" s="73"/>
      <c r="I467" s="73"/>
      <c r="J467" s="74"/>
      <c r="K467" s="73"/>
      <c r="L467" s="76"/>
      <c r="M467" s="76"/>
      <c r="N467" s="73"/>
      <c r="O467" s="73"/>
      <c r="P467" s="73"/>
      <c r="Q467" s="73"/>
      <c r="R467" s="73"/>
    </row>
    <row r="468" customFormat="false" ht="15" hidden="false" customHeight="false" outlineLevel="0" collapsed="false">
      <c r="A468" s="71" t="str">
        <f aca="false">IF(B468="","",ROW()-1)</f>
        <v/>
      </c>
      <c r="B468" s="73"/>
      <c r="C468" s="74"/>
      <c r="D468" s="73"/>
      <c r="E468" s="73"/>
      <c r="F468" s="73"/>
      <c r="G468" s="73"/>
      <c r="H468" s="73"/>
      <c r="I468" s="73"/>
      <c r="J468" s="74"/>
      <c r="K468" s="73"/>
      <c r="L468" s="76"/>
      <c r="M468" s="76"/>
      <c r="N468" s="73"/>
      <c r="O468" s="73"/>
      <c r="P468" s="73"/>
      <c r="Q468" s="73"/>
      <c r="R468" s="73"/>
    </row>
    <row r="469" customFormat="false" ht="15" hidden="false" customHeight="false" outlineLevel="0" collapsed="false">
      <c r="A469" s="71" t="str">
        <f aca="false">IF(B469="","",ROW()-1)</f>
        <v/>
      </c>
      <c r="B469" s="73"/>
      <c r="C469" s="74"/>
      <c r="D469" s="73"/>
      <c r="E469" s="73"/>
      <c r="F469" s="73"/>
      <c r="G469" s="73"/>
      <c r="H469" s="73"/>
      <c r="I469" s="73"/>
      <c r="J469" s="74"/>
      <c r="K469" s="73"/>
      <c r="L469" s="76"/>
      <c r="M469" s="76"/>
      <c r="N469" s="73"/>
      <c r="O469" s="73"/>
      <c r="P469" s="73"/>
      <c r="Q469" s="73"/>
      <c r="R469" s="73"/>
    </row>
    <row r="470" customFormat="false" ht="15" hidden="false" customHeight="false" outlineLevel="0" collapsed="false">
      <c r="A470" s="71" t="str">
        <f aca="false">IF(B470="","",ROW()-1)</f>
        <v/>
      </c>
      <c r="B470" s="73"/>
      <c r="C470" s="74"/>
      <c r="D470" s="73"/>
      <c r="E470" s="73"/>
      <c r="F470" s="73"/>
      <c r="G470" s="73"/>
      <c r="H470" s="73"/>
      <c r="I470" s="73"/>
      <c r="J470" s="74"/>
      <c r="K470" s="73"/>
      <c r="L470" s="76"/>
      <c r="M470" s="76"/>
      <c r="N470" s="73"/>
      <c r="O470" s="73"/>
      <c r="P470" s="73"/>
      <c r="Q470" s="73"/>
      <c r="R470" s="73"/>
    </row>
    <row r="471" customFormat="false" ht="15" hidden="false" customHeight="false" outlineLevel="0" collapsed="false">
      <c r="A471" s="71" t="str">
        <f aca="false">IF(B471="","",ROW()-1)</f>
        <v/>
      </c>
      <c r="B471" s="73"/>
      <c r="C471" s="74"/>
      <c r="D471" s="73"/>
      <c r="E471" s="73"/>
      <c r="F471" s="73"/>
      <c r="G471" s="73"/>
      <c r="H471" s="73"/>
      <c r="I471" s="73"/>
      <c r="J471" s="74"/>
      <c r="K471" s="73"/>
      <c r="L471" s="76"/>
      <c r="M471" s="76"/>
      <c r="N471" s="73"/>
      <c r="O471" s="73"/>
      <c r="P471" s="73"/>
      <c r="Q471" s="73"/>
      <c r="R471" s="73"/>
    </row>
    <row r="472" customFormat="false" ht="15" hidden="false" customHeight="false" outlineLevel="0" collapsed="false">
      <c r="A472" s="71" t="str">
        <f aca="false">IF(B472="","",ROW()-1)</f>
        <v/>
      </c>
      <c r="B472" s="73"/>
      <c r="C472" s="74"/>
      <c r="D472" s="73"/>
      <c r="E472" s="73"/>
      <c r="F472" s="73"/>
      <c r="G472" s="73"/>
      <c r="H472" s="73"/>
      <c r="I472" s="73"/>
      <c r="J472" s="74"/>
      <c r="K472" s="73"/>
      <c r="L472" s="76"/>
      <c r="M472" s="76"/>
      <c r="N472" s="73"/>
      <c r="O472" s="73"/>
      <c r="P472" s="73"/>
      <c r="Q472" s="73"/>
      <c r="R472" s="73"/>
    </row>
    <row r="473" customFormat="false" ht="15" hidden="false" customHeight="false" outlineLevel="0" collapsed="false">
      <c r="A473" s="71" t="str">
        <f aca="false">IF(B473="","",ROW()-1)</f>
        <v/>
      </c>
      <c r="B473" s="73"/>
      <c r="C473" s="74"/>
      <c r="D473" s="73"/>
      <c r="E473" s="73"/>
      <c r="F473" s="73"/>
      <c r="G473" s="73"/>
      <c r="H473" s="73"/>
      <c r="I473" s="73"/>
      <c r="J473" s="74"/>
      <c r="K473" s="73"/>
      <c r="L473" s="76"/>
      <c r="M473" s="76"/>
      <c r="N473" s="73"/>
      <c r="O473" s="73"/>
      <c r="P473" s="73"/>
      <c r="Q473" s="73"/>
      <c r="R473" s="73"/>
    </row>
    <row r="474" customFormat="false" ht="15" hidden="false" customHeight="false" outlineLevel="0" collapsed="false">
      <c r="A474" s="71" t="str">
        <f aca="false">IF(B474="","",ROW()-1)</f>
        <v/>
      </c>
      <c r="B474" s="73"/>
      <c r="C474" s="74"/>
      <c r="D474" s="73"/>
      <c r="E474" s="73"/>
      <c r="F474" s="73"/>
      <c r="G474" s="73"/>
      <c r="H474" s="73"/>
      <c r="I474" s="73"/>
      <c r="J474" s="74"/>
      <c r="K474" s="73"/>
      <c r="L474" s="76"/>
      <c r="M474" s="76"/>
      <c r="N474" s="73"/>
      <c r="O474" s="73"/>
      <c r="P474" s="73"/>
      <c r="Q474" s="73"/>
      <c r="R474" s="73"/>
    </row>
    <row r="475" customFormat="false" ht="15" hidden="false" customHeight="false" outlineLevel="0" collapsed="false">
      <c r="A475" s="71" t="str">
        <f aca="false">IF(B475="","",ROW()-1)</f>
        <v/>
      </c>
      <c r="B475" s="73"/>
      <c r="C475" s="74"/>
      <c r="D475" s="73"/>
      <c r="E475" s="73"/>
      <c r="F475" s="73"/>
      <c r="G475" s="73"/>
      <c r="H475" s="73"/>
      <c r="I475" s="73"/>
      <c r="J475" s="74"/>
      <c r="K475" s="73"/>
      <c r="L475" s="76"/>
      <c r="M475" s="76"/>
      <c r="N475" s="73"/>
      <c r="O475" s="73"/>
      <c r="P475" s="73"/>
      <c r="Q475" s="73"/>
      <c r="R475" s="73"/>
    </row>
    <row r="476" customFormat="false" ht="15" hidden="false" customHeight="false" outlineLevel="0" collapsed="false">
      <c r="A476" s="71" t="str">
        <f aca="false">IF(B476="","",ROW()-1)</f>
        <v/>
      </c>
      <c r="B476" s="73"/>
      <c r="C476" s="74"/>
      <c r="D476" s="73"/>
      <c r="E476" s="73"/>
      <c r="F476" s="73"/>
      <c r="G476" s="73"/>
      <c r="H476" s="73"/>
      <c r="I476" s="73"/>
      <c r="J476" s="74"/>
      <c r="K476" s="73"/>
      <c r="L476" s="76"/>
      <c r="M476" s="76"/>
      <c r="N476" s="73"/>
      <c r="O476" s="73"/>
      <c r="P476" s="73"/>
      <c r="Q476" s="73"/>
      <c r="R476" s="73"/>
    </row>
    <row r="477" customFormat="false" ht="15" hidden="false" customHeight="false" outlineLevel="0" collapsed="false">
      <c r="A477" s="71" t="str">
        <f aca="false">IF(B477="","",ROW()-1)</f>
        <v/>
      </c>
      <c r="B477" s="73"/>
      <c r="C477" s="74"/>
      <c r="D477" s="73"/>
      <c r="E477" s="73"/>
      <c r="F477" s="73"/>
      <c r="G477" s="73"/>
      <c r="H477" s="73"/>
      <c r="I477" s="73"/>
      <c r="J477" s="74"/>
      <c r="K477" s="73"/>
      <c r="L477" s="76"/>
      <c r="M477" s="76"/>
      <c r="N477" s="73"/>
      <c r="O477" s="73"/>
      <c r="P477" s="73"/>
      <c r="Q477" s="73"/>
      <c r="R477" s="73"/>
    </row>
    <row r="478" customFormat="false" ht="15" hidden="false" customHeight="false" outlineLevel="0" collapsed="false">
      <c r="A478" s="71" t="str">
        <f aca="false">IF(B478="","",ROW()-1)</f>
        <v/>
      </c>
      <c r="B478" s="73"/>
      <c r="C478" s="74"/>
      <c r="D478" s="73"/>
      <c r="E478" s="73"/>
      <c r="F478" s="73"/>
      <c r="G478" s="73"/>
      <c r="H478" s="73"/>
      <c r="I478" s="73"/>
      <c r="J478" s="74"/>
      <c r="K478" s="73"/>
      <c r="L478" s="76"/>
      <c r="M478" s="76"/>
      <c r="N478" s="73"/>
      <c r="O478" s="73"/>
      <c r="P478" s="73"/>
      <c r="Q478" s="73"/>
      <c r="R478" s="73"/>
    </row>
    <row r="479" customFormat="false" ht="15" hidden="false" customHeight="false" outlineLevel="0" collapsed="false">
      <c r="A479" s="71" t="str">
        <f aca="false">IF(B479="","",ROW()-1)</f>
        <v/>
      </c>
      <c r="B479" s="73"/>
      <c r="C479" s="74"/>
      <c r="D479" s="73"/>
      <c r="E479" s="73"/>
      <c r="F479" s="73"/>
      <c r="G479" s="73"/>
      <c r="H479" s="73"/>
      <c r="I479" s="73"/>
      <c r="J479" s="74"/>
      <c r="K479" s="73"/>
      <c r="L479" s="76"/>
      <c r="M479" s="76"/>
      <c r="N479" s="73"/>
      <c r="O479" s="73"/>
      <c r="P479" s="73"/>
      <c r="Q479" s="73"/>
      <c r="R479" s="73"/>
    </row>
    <row r="480" customFormat="false" ht="15" hidden="false" customHeight="false" outlineLevel="0" collapsed="false">
      <c r="A480" s="71" t="str">
        <f aca="false">IF(B480="","",ROW()-1)</f>
        <v/>
      </c>
      <c r="B480" s="73"/>
      <c r="C480" s="74"/>
      <c r="D480" s="73"/>
      <c r="E480" s="73"/>
      <c r="F480" s="73"/>
      <c r="G480" s="73"/>
      <c r="H480" s="73"/>
      <c r="I480" s="73"/>
      <c r="J480" s="74"/>
      <c r="K480" s="73"/>
      <c r="L480" s="76"/>
      <c r="M480" s="76"/>
      <c r="N480" s="73"/>
      <c r="O480" s="73"/>
      <c r="P480" s="73"/>
      <c r="Q480" s="73"/>
      <c r="R480" s="73"/>
    </row>
    <row r="481" customFormat="false" ht="15" hidden="false" customHeight="false" outlineLevel="0" collapsed="false">
      <c r="A481" s="71" t="str">
        <f aca="false">IF(B481="","",ROW()-1)</f>
        <v/>
      </c>
      <c r="B481" s="73"/>
      <c r="C481" s="74"/>
      <c r="D481" s="73"/>
      <c r="E481" s="73"/>
      <c r="F481" s="73"/>
      <c r="G481" s="73"/>
      <c r="H481" s="73"/>
      <c r="I481" s="73"/>
      <c r="J481" s="74"/>
      <c r="K481" s="73"/>
      <c r="L481" s="76"/>
      <c r="M481" s="76"/>
      <c r="N481" s="73"/>
      <c r="O481" s="73"/>
      <c r="P481" s="73"/>
      <c r="Q481" s="73"/>
      <c r="R481" s="73"/>
    </row>
    <row r="482" customFormat="false" ht="15" hidden="false" customHeight="false" outlineLevel="0" collapsed="false">
      <c r="A482" s="71" t="str">
        <f aca="false">IF(B482="","",ROW()-1)</f>
        <v/>
      </c>
      <c r="B482" s="73"/>
      <c r="C482" s="74"/>
      <c r="D482" s="73"/>
      <c r="E482" s="73"/>
      <c r="F482" s="73"/>
      <c r="G482" s="73"/>
      <c r="H482" s="73"/>
      <c r="I482" s="73"/>
      <c r="J482" s="74"/>
      <c r="K482" s="73"/>
      <c r="L482" s="76"/>
      <c r="M482" s="76"/>
      <c r="N482" s="73"/>
      <c r="O482" s="73"/>
      <c r="P482" s="73"/>
      <c r="Q482" s="73"/>
      <c r="R482" s="73"/>
    </row>
    <row r="483" customFormat="false" ht="15" hidden="false" customHeight="false" outlineLevel="0" collapsed="false">
      <c r="A483" s="71" t="str">
        <f aca="false">IF(B483="","",ROW()-1)</f>
        <v/>
      </c>
      <c r="B483" s="73"/>
      <c r="C483" s="74"/>
      <c r="D483" s="73"/>
      <c r="E483" s="73"/>
      <c r="F483" s="73"/>
      <c r="G483" s="73"/>
      <c r="H483" s="73"/>
      <c r="I483" s="73"/>
      <c r="J483" s="74"/>
      <c r="K483" s="73"/>
      <c r="L483" s="76"/>
      <c r="M483" s="76"/>
      <c r="N483" s="73"/>
      <c r="O483" s="73"/>
      <c r="P483" s="73"/>
      <c r="Q483" s="73"/>
      <c r="R483" s="73"/>
    </row>
    <row r="484" customFormat="false" ht="15" hidden="false" customHeight="false" outlineLevel="0" collapsed="false">
      <c r="A484" s="71" t="str">
        <f aca="false">IF(B484="","",ROW()-1)</f>
        <v/>
      </c>
      <c r="B484" s="73"/>
      <c r="C484" s="74"/>
      <c r="D484" s="73"/>
      <c r="E484" s="73"/>
      <c r="F484" s="73"/>
      <c r="G484" s="73"/>
      <c r="H484" s="73"/>
      <c r="I484" s="73"/>
      <c r="J484" s="74"/>
      <c r="K484" s="73"/>
      <c r="L484" s="76"/>
      <c r="M484" s="76"/>
      <c r="N484" s="73"/>
      <c r="O484" s="73"/>
      <c r="P484" s="73"/>
      <c r="Q484" s="73"/>
      <c r="R484" s="73"/>
    </row>
    <row r="485" customFormat="false" ht="15" hidden="false" customHeight="false" outlineLevel="0" collapsed="false">
      <c r="A485" s="71" t="str">
        <f aca="false">IF(B485="","",ROW()-1)</f>
        <v/>
      </c>
      <c r="B485" s="73"/>
      <c r="C485" s="74"/>
      <c r="D485" s="73"/>
      <c r="E485" s="73"/>
      <c r="F485" s="73"/>
      <c r="G485" s="73"/>
      <c r="H485" s="73"/>
      <c r="I485" s="73"/>
      <c r="J485" s="74"/>
      <c r="K485" s="73"/>
      <c r="L485" s="76"/>
      <c r="M485" s="76"/>
      <c r="N485" s="73"/>
      <c r="O485" s="73"/>
      <c r="P485" s="73"/>
      <c r="Q485" s="73"/>
      <c r="R485" s="73"/>
    </row>
    <row r="486" customFormat="false" ht="15" hidden="false" customHeight="false" outlineLevel="0" collapsed="false">
      <c r="A486" s="71" t="str">
        <f aca="false">IF(B486="","",ROW()-1)</f>
        <v/>
      </c>
      <c r="B486" s="73"/>
      <c r="C486" s="74"/>
      <c r="D486" s="73"/>
      <c r="E486" s="73"/>
      <c r="F486" s="73"/>
      <c r="G486" s="73"/>
      <c r="H486" s="73"/>
      <c r="I486" s="73"/>
      <c r="J486" s="74"/>
      <c r="K486" s="73"/>
      <c r="L486" s="76"/>
      <c r="M486" s="76"/>
      <c r="N486" s="73"/>
      <c r="O486" s="73"/>
      <c r="P486" s="73"/>
      <c r="Q486" s="73"/>
      <c r="R486" s="73"/>
    </row>
    <row r="487" customFormat="false" ht="15" hidden="false" customHeight="false" outlineLevel="0" collapsed="false">
      <c r="A487" s="71" t="str">
        <f aca="false">IF(B487="","",ROW()-1)</f>
        <v/>
      </c>
      <c r="B487" s="73"/>
      <c r="C487" s="74"/>
      <c r="D487" s="73"/>
      <c r="E487" s="73"/>
      <c r="F487" s="73"/>
      <c r="G487" s="73"/>
      <c r="H487" s="73"/>
      <c r="I487" s="73"/>
      <c r="J487" s="74"/>
      <c r="K487" s="73"/>
      <c r="L487" s="76"/>
      <c r="M487" s="76"/>
      <c r="N487" s="73"/>
      <c r="O487" s="73"/>
      <c r="P487" s="73"/>
      <c r="Q487" s="73"/>
      <c r="R487" s="73"/>
    </row>
    <row r="488" customFormat="false" ht="15" hidden="false" customHeight="false" outlineLevel="0" collapsed="false">
      <c r="A488" s="71" t="str">
        <f aca="false">IF(B488="","",ROW()-1)</f>
        <v/>
      </c>
      <c r="B488" s="73"/>
      <c r="C488" s="74"/>
      <c r="D488" s="73"/>
      <c r="E488" s="73"/>
      <c r="F488" s="73"/>
      <c r="G488" s="73"/>
      <c r="H488" s="73"/>
      <c r="I488" s="73"/>
      <c r="J488" s="74"/>
      <c r="K488" s="73"/>
      <c r="L488" s="76"/>
      <c r="M488" s="76"/>
      <c r="N488" s="73"/>
      <c r="O488" s="73"/>
      <c r="P488" s="73"/>
      <c r="Q488" s="73"/>
      <c r="R488" s="73"/>
    </row>
    <row r="489" customFormat="false" ht="15" hidden="false" customHeight="false" outlineLevel="0" collapsed="false">
      <c r="A489" s="71" t="str">
        <f aca="false">IF(B489="","",ROW()-1)</f>
        <v/>
      </c>
      <c r="B489" s="73"/>
      <c r="C489" s="74"/>
      <c r="D489" s="73"/>
      <c r="E489" s="73"/>
      <c r="F489" s="73"/>
      <c r="G489" s="73"/>
      <c r="H489" s="73"/>
      <c r="I489" s="73"/>
      <c r="J489" s="74"/>
      <c r="K489" s="73"/>
      <c r="L489" s="76"/>
      <c r="M489" s="76"/>
      <c r="N489" s="73"/>
      <c r="O489" s="73"/>
      <c r="P489" s="73"/>
      <c r="Q489" s="73"/>
      <c r="R489" s="73"/>
    </row>
    <row r="490" customFormat="false" ht="15" hidden="false" customHeight="false" outlineLevel="0" collapsed="false">
      <c r="A490" s="71" t="str">
        <f aca="false">IF(B490="","",ROW()-1)</f>
        <v/>
      </c>
      <c r="B490" s="73"/>
      <c r="C490" s="74"/>
      <c r="D490" s="73"/>
      <c r="E490" s="73"/>
      <c r="F490" s="73"/>
      <c r="G490" s="73"/>
      <c r="H490" s="73"/>
      <c r="I490" s="73"/>
      <c r="J490" s="74"/>
      <c r="K490" s="73"/>
      <c r="L490" s="76"/>
      <c r="M490" s="76"/>
      <c r="N490" s="73"/>
      <c r="O490" s="73"/>
      <c r="P490" s="73"/>
      <c r="Q490" s="73"/>
      <c r="R490" s="73"/>
    </row>
    <row r="491" customFormat="false" ht="15" hidden="false" customHeight="false" outlineLevel="0" collapsed="false">
      <c r="A491" s="71" t="str">
        <f aca="false">IF(B491="","",ROW()-1)</f>
        <v/>
      </c>
      <c r="B491" s="73"/>
      <c r="C491" s="74"/>
      <c r="D491" s="73"/>
      <c r="E491" s="73"/>
      <c r="F491" s="73"/>
      <c r="G491" s="73"/>
      <c r="H491" s="73"/>
      <c r="I491" s="73"/>
      <c r="J491" s="74"/>
      <c r="K491" s="73"/>
      <c r="L491" s="76"/>
      <c r="M491" s="76"/>
      <c r="N491" s="73"/>
      <c r="O491" s="73"/>
      <c r="P491" s="73"/>
      <c r="Q491" s="73"/>
      <c r="R491" s="73"/>
    </row>
    <row r="492" customFormat="false" ht="15" hidden="false" customHeight="false" outlineLevel="0" collapsed="false">
      <c r="A492" s="71" t="str">
        <f aca="false">IF(B492="","",ROW()-1)</f>
        <v/>
      </c>
      <c r="B492" s="73"/>
      <c r="C492" s="74"/>
      <c r="D492" s="73"/>
      <c r="E492" s="73"/>
      <c r="F492" s="73"/>
      <c r="G492" s="73"/>
      <c r="H492" s="73"/>
      <c r="I492" s="73"/>
      <c r="J492" s="74"/>
      <c r="K492" s="73"/>
      <c r="L492" s="76"/>
      <c r="M492" s="76"/>
      <c r="N492" s="73"/>
      <c r="O492" s="73"/>
      <c r="P492" s="73"/>
      <c r="Q492" s="73"/>
      <c r="R492" s="73"/>
    </row>
    <row r="493" customFormat="false" ht="15" hidden="false" customHeight="false" outlineLevel="0" collapsed="false">
      <c r="A493" s="71" t="str">
        <f aca="false">IF(B493="","",ROW()-1)</f>
        <v/>
      </c>
      <c r="B493" s="73"/>
      <c r="C493" s="74"/>
      <c r="D493" s="73"/>
      <c r="E493" s="73"/>
      <c r="F493" s="73"/>
      <c r="G493" s="73"/>
      <c r="H493" s="73"/>
      <c r="I493" s="73"/>
      <c r="J493" s="74"/>
      <c r="K493" s="73"/>
      <c r="L493" s="76"/>
      <c r="M493" s="76"/>
      <c r="N493" s="73"/>
      <c r="O493" s="73"/>
      <c r="P493" s="73"/>
      <c r="Q493" s="73"/>
      <c r="R493" s="73"/>
    </row>
    <row r="494" customFormat="false" ht="15" hidden="false" customHeight="false" outlineLevel="0" collapsed="false">
      <c r="A494" s="71" t="str">
        <f aca="false">IF(B494="","",ROW()-1)</f>
        <v/>
      </c>
      <c r="B494" s="73"/>
      <c r="C494" s="74"/>
      <c r="D494" s="73"/>
      <c r="E494" s="73"/>
      <c r="F494" s="73"/>
      <c r="G494" s="73"/>
      <c r="H494" s="73"/>
      <c r="I494" s="73"/>
      <c r="J494" s="74"/>
      <c r="K494" s="73"/>
      <c r="L494" s="76"/>
      <c r="M494" s="76"/>
      <c r="N494" s="73"/>
      <c r="O494" s="73"/>
      <c r="P494" s="73"/>
      <c r="Q494" s="73"/>
      <c r="R494" s="73"/>
    </row>
    <row r="495" customFormat="false" ht="15" hidden="false" customHeight="false" outlineLevel="0" collapsed="false">
      <c r="A495" s="71" t="str">
        <f aca="false">IF(B495="","",ROW()-1)</f>
        <v/>
      </c>
      <c r="B495" s="73"/>
      <c r="C495" s="74"/>
      <c r="D495" s="73"/>
      <c r="E495" s="73"/>
      <c r="F495" s="73"/>
      <c r="G495" s="73"/>
      <c r="H495" s="73"/>
      <c r="I495" s="73"/>
      <c r="J495" s="74"/>
      <c r="K495" s="73"/>
      <c r="L495" s="76"/>
      <c r="M495" s="76"/>
      <c r="N495" s="73"/>
      <c r="O495" s="73"/>
      <c r="P495" s="73"/>
      <c r="Q495" s="73"/>
      <c r="R495" s="73"/>
    </row>
    <row r="496" customFormat="false" ht="15" hidden="false" customHeight="false" outlineLevel="0" collapsed="false">
      <c r="A496" s="71" t="str">
        <f aca="false">IF(B496="","",ROW()-1)</f>
        <v/>
      </c>
      <c r="B496" s="73"/>
      <c r="C496" s="74"/>
      <c r="D496" s="73"/>
      <c r="E496" s="73"/>
      <c r="F496" s="73"/>
      <c r="G496" s="73"/>
      <c r="H496" s="73"/>
      <c r="I496" s="73"/>
      <c r="J496" s="74"/>
      <c r="K496" s="73"/>
      <c r="L496" s="76"/>
      <c r="M496" s="76"/>
      <c r="N496" s="73"/>
      <c r="O496" s="73"/>
      <c r="P496" s="73"/>
      <c r="Q496" s="73"/>
      <c r="R496" s="73"/>
    </row>
    <row r="497" customFormat="false" ht="15" hidden="false" customHeight="false" outlineLevel="0" collapsed="false">
      <c r="A497" s="71" t="str">
        <f aca="false">IF(B497="","",ROW()-1)</f>
        <v/>
      </c>
      <c r="B497" s="73"/>
      <c r="C497" s="74"/>
      <c r="D497" s="73"/>
      <c r="E497" s="73"/>
      <c r="F497" s="73"/>
      <c r="G497" s="73"/>
      <c r="H497" s="73"/>
      <c r="I497" s="73"/>
      <c r="J497" s="74"/>
      <c r="K497" s="73"/>
      <c r="L497" s="76"/>
      <c r="M497" s="76"/>
      <c r="N497" s="73"/>
      <c r="O497" s="73"/>
      <c r="P497" s="73"/>
      <c r="Q497" s="73"/>
      <c r="R497" s="73"/>
    </row>
    <row r="498" customFormat="false" ht="15" hidden="false" customHeight="false" outlineLevel="0" collapsed="false">
      <c r="A498" s="71" t="str">
        <f aca="false">IF(B498="","",ROW()-1)</f>
        <v/>
      </c>
      <c r="B498" s="73"/>
      <c r="C498" s="74"/>
      <c r="D498" s="73"/>
      <c r="E498" s="73"/>
      <c r="F498" s="73"/>
      <c r="G498" s="73"/>
      <c r="H498" s="73"/>
      <c r="I498" s="73"/>
      <c r="J498" s="74"/>
      <c r="K498" s="73"/>
      <c r="L498" s="76"/>
      <c r="M498" s="76"/>
      <c r="N498" s="73"/>
      <c r="O498" s="73"/>
      <c r="P498" s="73"/>
      <c r="Q498" s="73"/>
      <c r="R498" s="73"/>
    </row>
    <row r="499" customFormat="false" ht="15" hidden="false" customHeight="false" outlineLevel="0" collapsed="false">
      <c r="A499" s="71" t="str">
        <f aca="false">IF(B499="","",ROW()-1)</f>
        <v/>
      </c>
      <c r="B499" s="73"/>
      <c r="C499" s="74"/>
      <c r="D499" s="73"/>
      <c r="E499" s="73"/>
      <c r="F499" s="73"/>
      <c r="G499" s="73"/>
      <c r="H499" s="73"/>
      <c r="I499" s="73"/>
      <c r="J499" s="74"/>
      <c r="K499" s="73"/>
      <c r="L499" s="76"/>
      <c r="M499" s="76"/>
      <c r="N499" s="73"/>
      <c r="O499" s="73"/>
      <c r="P499" s="73"/>
      <c r="Q499" s="73"/>
      <c r="R499" s="73"/>
    </row>
    <row r="500" customFormat="false" ht="15" hidden="false" customHeight="false" outlineLevel="0" collapsed="false">
      <c r="A500" s="71" t="str">
        <f aca="false">IF(B500="","",ROW()-1)</f>
        <v/>
      </c>
      <c r="B500" s="73"/>
      <c r="C500" s="74"/>
      <c r="D500" s="73"/>
      <c r="E500" s="73"/>
      <c r="F500" s="73"/>
      <c r="G500" s="73"/>
      <c r="H500" s="73"/>
      <c r="I500" s="73"/>
      <c r="J500" s="74"/>
      <c r="K500" s="73"/>
      <c r="L500" s="76"/>
      <c r="M500" s="76"/>
      <c r="N500" s="73"/>
      <c r="O500" s="73"/>
      <c r="P500" s="73"/>
      <c r="Q500" s="73"/>
      <c r="R500" s="73"/>
    </row>
    <row r="501" customFormat="false" ht="15" hidden="false" customHeight="false" outlineLevel="0" collapsed="false">
      <c r="A501" s="71" t="str">
        <f aca="false">IF(B501="","",ROW()-1)</f>
        <v/>
      </c>
      <c r="B501" s="73"/>
      <c r="C501" s="74"/>
      <c r="D501" s="73"/>
      <c r="E501" s="73"/>
      <c r="F501" s="73"/>
      <c r="G501" s="73"/>
      <c r="H501" s="73"/>
      <c r="I501" s="73"/>
      <c r="J501" s="74"/>
      <c r="K501" s="73"/>
      <c r="L501" s="76"/>
      <c r="M501" s="76"/>
      <c r="N501" s="73"/>
      <c r="O501" s="73"/>
      <c r="P501" s="73"/>
      <c r="Q501" s="73"/>
      <c r="R501" s="73"/>
    </row>
  </sheetData>
  <autoFilter ref="A1:R501"/>
  <dataValidations count="13">
    <dataValidation allowBlank="true" error="日付を入力してください（例：2026/11/05）" errorStyle="stop" errorTitle="入力エラー" operator="greaterThan" showDropDown="false" showErrorMessage="false" showInputMessage="false" sqref="C2:C501 J2:J501" type="date">
      <formula1>36526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D2:D501" type="list">
      <formula1>マスタ!$D$2:$D$60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E2:E501" type="list">
      <formula1>マスタ!$M$2:$M$60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F2:F501" type="list">
      <formula1>マスタ!$O$2:$O$60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H2:H501" type="list">
      <formula1>マスタ!$P$2:$P$60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I2:I501" type="list">
      <formula1>マスタ!$Q$2:$Q$60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K2:K501" type="list">
      <formula1>マスタ!$R$2:$R$60</formula1>
      <formula2>0</formula2>
    </dataValidation>
    <dataValidation allowBlank="true" errorStyle="stop" operator="between" showDropDown="false" showErrorMessage="false" showInputMessage="false" sqref="L2:L501" type="list">
      <formula1>マスタ!$Y$2:$Y$60</formula1>
      <formula2>0</formula2>
    </dataValidation>
    <dataValidation allowBlank="true" errorStyle="stop" operator="between" showDropDown="false" showErrorMessage="false" showInputMessage="false" sqref="M2:M501" type="list">
      <formula1>マスタ!$Y$2:$Y$60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N2:N501" type="list">
      <formula1>マスタ!$R$2:$R$60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O2:O501" type="list">
      <formula1>マスタ!$O$2:$O$60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P2:P501" type="list">
      <formula1>マスタ!$W$2:$W$60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Q2:Q501" type="list">
      <formula1>マスタ!$W$2:$W$60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O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11" min="9" style="0" width="8"/>
    <col collapsed="false" customWidth="true" hidden="false" outlineLevel="0" max="14" min="12" style="0" width="9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8" t="s">
        <v>259</v>
      </c>
      <c r="B1" s="8" t="s">
        <v>260</v>
      </c>
      <c r="C1" s="8" t="s">
        <v>227</v>
      </c>
      <c r="D1" s="8" t="s">
        <v>261</v>
      </c>
      <c r="E1" s="8" t="s">
        <v>262</v>
      </c>
      <c r="F1" s="8" t="s">
        <v>263</v>
      </c>
      <c r="G1" s="8" t="s">
        <v>264</v>
      </c>
      <c r="H1" s="8" t="s">
        <v>265</v>
      </c>
      <c r="I1" s="8" t="s">
        <v>266</v>
      </c>
      <c r="J1" s="8" t="s">
        <v>267</v>
      </c>
      <c r="K1" s="8" t="s">
        <v>268</v>
      </c>
      <c r="L1" s="8" t="s">
        <v>269</v>
      </c>
      <c r="M1" s="8" t="s">
        <v>270</v>
      </c>
      <c r="N1" s="8" t="s">
        <v>271</v>
      </c>
      <c r="O1" s="8" t="s">
        <v>256</v>
      </c>
    </row>
    <row r="2" customFormat="false" ht="15" hidden="false" customHeight="false" outlineLevel="0" collapsed="false">
      <c r="A2" s="77"/>
      <c r="B2" s="73"/>
      <c r="C2" s="71" t="str">
        <f aca="false">IF(B2="","",IFERROR(INDEX(マスタ!$F$2:$F$60,MATCH(B2,マスタ!$E$2:$E$60,0))&amp;"",""))</f>
        <v/>
      </c>
      <c r="D2" s="73"/>
      <c r="E2" s="75"/>
      <c r="F2" s="75"/>
      <c r="G2" s="75"/>
      <c r="H2" s="73"/>
      <c r="I2" s="75"/>
      <c r="J2" s="75"/>
      <c r="K2" s="75"/>
      <c r="L2" s="73"/>
      <c r="M2" s="78" t="str">
        <f aca="false">IF(OR(E2="",F2=""),"",MAX(0,((F2-E2-N(G2))*1440-N(H2)*10)/60))</f>
        <v/>
      </c>
      <c r="N2" s="78" t="str">
        <f aca="false">IF($D2="欠席",0,IF(OR(I2="",J2=""),"",MAX(0,((J2-I2-N(K2))*1440-N(L2)*10)/60)))</f>
        <v/>
      </c>
      <c r="O2" s="73"/>
    </row>
    <row r="3" customFormat="false" ht="15" hidden="false" customHeight="false" outlineLevel="0" collapsed="false">
      <c r="A3" s="77"/>
      <c r="B3" s="73"/>
      <c r="C3" s="71" t="str">
        <f aca="false">IF(B3="","",IFERROR(INDEX(マスタ!$F$2:$F$60,MATCH(B3,マスタ!$E$2:$E$60,0))&amp;"",""))</f>
        <v/>
      </c>
      <c r="D3" s="73"/>
      <c r="E3" s="75"/>
      <c r="F3" s="75"/>
      <c r="G3" s="75"/>
      <c r="H3" s="73"/>
      <c r="I3" s="75"/>
      <c r="J3" s="75"/>
      <c r="K3" s="75"/>
      <c r="L3" s="73"/>
      <c r="M3" s="78" t="str">
        <f aca="false">IF(OR(E3="",F3=""),"",MAX(0,((F3-E3-N(G3))*1440-N(H3)*10)/60))</f>
        <v/>
      </c>
      <c r="N3" s="78" t="str">
        <f aca="false">IF($D3="欠席",0,IF(OR(I3="",J3=""),"",MAX(0,((J3-I3-N(K3))*1440-N(L3)*10)/60)))</f>
        <v/>
      </c>
      <c r="O3" s="73"/>
    </row>
    <row r="4" customFormat="false" ht="15" hidden="false" customHeight="false" outlineLevel="0" collapsed="false">
      <c r="A4" s="77"/>
      <c r="B4" s="73"/>
      <c r="C4" s="71" t="str">
        <f aca="false">IF(B4="","",IFERROR(INDEX(マスタ!$F$2:$F$60,MATCH(B4,マスタ!$E$2:$E$60,0))&amp;"",""))</f>
        <v/>
      </c>
      <c r="D4" s="73"/>
      <c r="E4" s="75"/>
      <c r="F4" s="75"/>
      <c r="G4" s="75"/>
      <c r="H4" s="73"/>
      <c r="I4" s="75"/>
      <c r="J4" s="75"/>
      <c r="K4" s="75"/>
      <c r="L4" s="73"/>
      <c r="M4" s="78" t="str">
        <f aca="false">IF(OR(E4="",F4=""),"",MAX(0,((F4-E4-N(G4))*1440-N(H4)*10)/60))</f>
        <v/>
      </c>
      <c r="N4" s="78" t="str">
        <f aca="false">IF($D4="欠席",0,IF(OR(I4="",J4=""),"",MAX(0,((J4-I4-N(K4))*1440-N(L4)*10)/60)))</f>
        <v/>
      </c>
      <c r="O4" s="73"/>
    </row>
    <row r="5" customFormat="false" ht="15" hidden="false" customHeight="false" outlineLevel="0" collapsed="false">
      <c r="A5" s="77"/>
      <c r="B5" s="73"/>
      <c r="C5" s="71" t="str">
        <f aca="false">IF(B5="","",IFERROR(INDEX(マスタ!$F$2:$F$60,MATCH(B5,マスタ!$E$2:$E$60,0))&amp;"",""))</f>
        <v/>
      </c>
      <c r="D5" s="73"/>
      <c r="E5" s="75"/>
      <c r="F5" s="75"/>
      <c r="G5" s="75"/>
      <c r="H5" s="73"/>
      <c r="I5" s="75"/>
      <c r="J5" s="75"/>
      <c r="K5" s="75"/>
      <c r="L5" s="73"/>
      <c r="M5" s="78" t="str">
        <f aca="false">IF(OR(E5="",F5=""),"",MAX(0,((F5-E5-N(G5))*1440-N(H5)*10)/60))</f>
        <v/>
      </c>
      <c r="N5" s="78" t="str">
        <f aca="false">IF($D5="欠席",0,IF(OR(I5="",J5=""),"",MAX(0,((J5-I5-N(K5))*1440-N(L5)*10)/60)))</f>
        <v/>
      </c>
      <c r="O5" s="73"/>
    </row>
    <row r="6" customFormat="false" ht="15" hidden="false" customHeight="false" outlineLevel="0" collapsed="false">
      <c r="A6" s="77"/>
      <c r="B6" s="73"/>
      <c r="C6" s="71" t="str">
        <f aca="false">IF(B6="","",IFERROR(INDEX(マスタ!$F$2:$F$60,MATCH(B6,マスタ!$E$2:$E$60,0))&amp;"",""))</f>
        <v/>
      </c>
      <c r="D6" s="73"/>
      <c r="E6" s="75"/>
      <c r="F6" s="75"/>
      <c r="G6" s="75"/>
      <c r="H6" s="73"/>
      <c r="I6" s="75"/>
      <c r="J6" s="75"/>
      <c r="K6" s="75"/>
      <c r="L6" s="73"/>
      <c r="M6" s="78" t="str">
        <f aca="false">IF(OR(E6="",F6=""),"",MAX(0,((F6-E6-N(G6))*1440-N(H6)*10)/60))</f>
        <v/>
      </c>
      <c r="N6" s="78" t="str">
        <f aca="false">IF($D6="欠席",0,IF(OR(I6="",J6=""),"",MAX(0,((J6-I6-N(K6))*1440-N(L6)*10)/60)))</f>
        <v/>
      </c>
      <c r="O6" s="73"/>
    </row>
    <row r="7" customFormat="false" ht="15" hidden="false" customHeight="false" outlineLevel="0" collapsed="false">
      <c r="A7" s="77"/>
      <c r="B7" s="73"/>
      <c r="C7" s="71" t="str">
        <f aca="false">IF(B7="","",IFERROR(INDEX(マスタ!$F$2:$F$60,MATCH(B7,マスタ!$E$2:$E$60,0))&amp;"",""))</f>
        <v/>
      </c>
      <c r="D7" s="73"/>
      <c r="E7" s="75"/>
      <c r="F7" s="75"/>
      <c r="G7" s="75"/>
      <c r="H7" s="73"/>
      <c r="I7" s="75"/>
      <c r="J7" s="75"/>
      <c r="K7" s="75"/>
      <c r="L7" s="73"/>
      <c r="M7" s="78" t="str">
        <f aca="false">IF(OR(E7="",F7=""),"",MAX(0,((F7-E7-N(G7))*1440-N(H7)*10)/60))</f>
        <v/>
      </c>
      <c r="N7" s="78" t="str">
        <f aca="false">IF($D7="欠席",0,IF(OR(I7="",J7=""),"",MAX(0,((J7-I7-N(K7))*1440-N(L7)*10)/60)))</f>
        <v/>
      </c>
      <c r="O7" s="73"/>
    </row>
    <row r="8" customFormat="false" ht="15" hidden="false" customHeight="false" outlineLevel="0" collapsed="false">
      <c r="A8" s="77"/>
      <c r="B8" s="73"/>
      <c r="C8" s="71" t="str">
        <f aca="false">IF(B8="","",IFERROR(INDEX(マスタ!$F$2:$F$60,MATCH(B8,マスタ!$E$2:$E$60,0))&amp;"",""))</f>
        <v/>
      </c>
      <c r="D8" s="73"/>
      <c r="E8" s="75"/>
      <c r="F8" s="75"/>
      <c r="G8" s="75"/>
      <c r="H8" s="73"/>
      <c r="I8" s="75"/>
      <c r="J8" s="75"/>
      <c r="K8" s="75"/>
      <c r="L8" s="73"/>
      <c r="M8" s="78" t="str">
        <f aca="false">IF(OR(E8="",F8=""),"",MAX(0,((F8-E8-N(G8))*1440-N(H8)*10)/60))</f>
        <v/>
      </c>
      <c r="N8" s="78" t="str">
        <f aca="false">IF($D8="欠席",0,IF(OR(I8="",J8=""),"",MAX(0,((J8-I8-N(K8))*1440-N(L8)*10)/60)))</f>
        <v/>
      </c>
      <c r="O8" s="73"/>
    </row>
    <row r="9" customFormat="false" ht="15" hidden="false" customHeight="false" outlineLevel="0" collapsed="false">
      <c r="A9" s="77"/>
      <c r="B9" s="73"/>
      <c r="C9" s="71" t="str">
        <f aca="false">IF(B9="","",IFERROR(INDEX(マスタ!$F$2:$F$60,MATCH(B9,マスタ!$E$2:$E$60,0))&amp;"",""))</f>
        <v/>
      </c>
      <c r="D9" s="73"/>
      <c r="E9" s="75"/>
      <c r="F9" s="75"/>
      <c r="G9" s="75"/>
      <c r="H9" s="73"/>
      <c r="I9" s="75"/>
      <c r="J9" s="75"/>
      <c r="K9" s="75"/>
      <c r="L9" s="73"/>
      <c r="M9" s="78" t="str">
        <f aca="false">IF(OR(E9="",F9=""),"",MAX(0,((F9-E9-N(G9))*1440-N(H9)*10)/60))</f>
        <v/>
      </c>
      <c r="N9" s="78" t="str">
        <f aca="false">IF($D9="欠席",0,IF(OR(I9="",J9=""),"",MAX(0,((J9-I9-N(K9))*1440-N(L9)*10)/60)))</f>
        <v/>
      </c>
      <c r="O9" s="73"/>
    </row>
    <row r="10" customFormat="false" ht="15" hidden="false" customHeight="false" outlineLevel="0" collapsed="false">
      <c r="A10" s="77"/>
      <c r="B10" s="73"/>
      <c r="C10" s="71" t="str">
        <f aca="false">IF(B10="","",IFERROR(INDEX(マスタ!$F$2:$F$60,MATCH(B10,マスタ!$E$2:$E$60,0))&amp;"",""))</f>
        <v/>
      </c>
      <c r="D10" s="73"/>
      <c r="E10" s="75"/>
      <c r="F10" s="75"/>
      <c r="G10" s="75"/>
      <c r="H10" s="73"/>
      <c r="I10" s="75"/>
      <c r="J10" s="75"/>
      <c r="K10" s="75"/>
      <c r="L10" s="73"/>
      <c r="M10" s="78" t="str">
        <f aca="false">IF(OR(E10="",F10=""),"",MAX(0,((F10-E10-N(G10))*1440-N(H10)*10)/60))</f>
        <v/>
      </c>
      <c r="N10" s="78" t="str">
        <f aca="false">IF($D10="欠席",0,IF(OR(I10="",J10=""),"",MAX(0,((J10-I10-N(K10))*1440-N(L10)*10)/60)))</f>
        <v/>
      </c>
      <c r="O10" s="73"/>
    </row>
    <row r="11" customFormat="false" ht="15" hidden="false" customHeight="false" outlineLevel="0" collapsed="false">
      <c r="A11" s="77"/>
      <c r="B11" s="73"/>
      <c r="C11" s="71" t="str">
        <f aca="false">IF(B11="","",IFERROR(INDEX(マスタ!$F$2:$F$60,MATCH(B11,マスタ!$E$2:$E$60,0))&amp;"",""))</f>
        <v/>
      </c>
      <c r="D11" s="73"/>
      <c r="E11" s="75"/>
      <c r="F11" s="75"/>
      <c r="G11" s="75"/>
      <c r="H11" s="73"/>
      <c r="I11" s="75"/>
      <c r="J11" s="75"/>
      <c r="K11" s="75"/>
      <c r="L11" s="73"/>
      <c r="M11" s="78" t="str">
        <f aca="false">IF(OR(E11="",F11=""),"",MAX(0,((F11-E11-N(G11))*1440-N(H11)*10)/60))</f>
        <v/>
      </c>
      <c r="N11" s="78" t="str">
        <f aca="false">IF($D11="欠席",0,IF(OR(I11="",J11=""),"",MAX(0,((J11-I11-N(K11))*1440-N(L11)*10)/60)))</f>
        <v/>
      </c>
      <c r="O11" s="73"/>
    </row>
    <row r="12" customFormat="false" ht="15" hidden="false" customHeight="false" outlineLevel="0" collapsed="false">
      <c r="A12" s="77"/>
      <c r="B12" s="73"/>
      <c r="C12" s="71" t="str">
        <f aca="false">IF(B12="","",IFERROR(INDEX(マスタ!$F$2:$F$60,MATCH(B12,マスタ!$E$2:$E$60,0))&amp;"",""))</f>
        <v/>
      </c>
      <c r="D12" s="73"/>
      <c r="E12" s="75"/>
      <c r="F12" s="75"/>
      <c r="G12" s="75"/>
      <c r="H12" s="73"/>
      <c r="I12" s="75"/>
      <c r="J12" s="75"/>
      <c r="K12" s="75"/>
      <c r="L12" s="73"/>
      <c r="M12" s="78" t="str">
        <f aca="false">IF(OR(E12="",F12=""),"",MAX(0,((F12-E12-N(G12))*1440-N(H12)*10)/60))</f>
        <v/>
      </c>
      <c r="N12" s="78" t="str">
        <f aca="false">IF($D12="欠席",0,IF(OR(I12="",J12=""),"",MAX(0,((J12-I12-N(K12))*1440-N(L12)*10)/60)))</f>
        <v/>
      </c>
      <c r="O12" s="73"/>
    </row>
    <row r="13" customFormat="false" ht="15" hidden="false" customHeight="false" outlineLevel="0" collapsed="false">
      <c r="A13" s="77"/>
      <c r="B13" s="73"/>
      <c r="C13" s="71" t="str">
        <f aca="false">IF(B13="","",IFERROR(INDEX(マスタ!$F$2:$F$60,MATCH(B13,マスタ!$E$2:$E$60,0))&amp;"",""))</f>
        <v/>
      </c>
      <c r="D13" s="73"/>
      <c r="E13" s="75"/>
      <c r="F13" s="75"/>
      <c r="G13" s="75"/>
      <c r="H13" s="73"/>
      <c r="I13" s="75"/>
      <c r="J13" s="75"/>
      <c r="K13" s="75"/>
      <c r="L13" s="73"/>
      <c r="M13" s="78" t="str">
        <f aca="false">IF(OR(E13="",F13=""),"",MAX(0,((F13-E13-N(G13))*1440-N(H13)*10)/60))</f>
        <v/>
      </c>
      <c r="N13" s="78" t="str">
        <f aca="false">IF($D13="欠席",0,IF(OR(I13="",J13=""),"",MAX(0,((J13-I13-N(K13))*1440-N(L13)*10)/60)))</f>
        <v/>
      </c>
      <c r="O13" s="73"/>
    </row>
    <row r="14" customFormat="false" ht="15" hidden="false" customHeight="false" outlineLevel="0" collapsed="false">
      <c r="A14" s="77"/>
      <c r="B14" s="73"/>
      <c r="C14" s="71" t="str">
        <f aca="false">IF(B14="","",IFERROR(INDEX(マスタ!$F$2:$F$60,MATCH(B14,マスタ!$E$2:$E$60,0))&amp;"",""))</f>
        <v/>
      </c>
      <c r="D14" s="73"/>
      <c r="E14" s="75"/>
      <c r="F14" s="75"/>
      <c r="G14" s="75"/>
      <c r="H14" s="73"/>
      <c r="I14" s="75"/>
      <c r="J14" s="75"/>
      <c r="K14" s="75"/>
      <c r="L14" s="73"/>
      <c r="M14" s="78" t="str">
        <f aca="false">IF(OR(E14="",F14=""),"",MAX(0,((F14-E14-N(G14))*1440-N(H14)*10)/60))</f>
        <v/>
      </c>
      <c r="N14" s="78" t="str">
        <f aca="false">IF($D14="欠席",0,IF(OR(I14="",J14=""),"",MAX(0,((J14-I14-N(K14))*1440-N(L14)*10)/60)))</f>
        <v/>
      </c>
      <c r="O14" s="73"/>
    </row>
    <row r="15" customFormat="false" ht="15" hidden="false" customHeight="false" outlineLevel="0" collapsed="false">
      <c r="A15" s="77"/>
      <c r="B15" s="73"/>
      <c r="C15" s="71" t="str">
        <f aca="false">IF(B15="","",IFERROR(INDEX(マスタ!$F$2:$F$60,MATCH(B15,マスタ!$E$2:$E$60,0))&amp;"",""))</f>
        <v/>
      </c>
      <c r="D15" s="73"/>
      <c r="E15" s="75"/>
      <c r="F15" s="75"/>
      <c r="G15" s="75"/>
      <c r="H15" s="73"/>
      <c r="I15" s="75"/>
      <c r="J15" s="75"/>
      <c r="K15" s="75"/>
      <c r="L15" s="73"/>
      <c r="M15" s="78" t="str">
        <f aca="false">IF(OR(E15="",F15=""),"",MAX(0,((F15-E15-N(G15))*1440-N(H15)*10)/60))</f>
        <v/>
      </c>
      <c r="N15" s="78" t="str">
        <f aca="false">IF($D15="欠席",0,IF(OR(I15="",J15=""),"",MAX(0,((J15-I15-N(K15))*1440-N(L15)*10)/60)))</f>
        <v/>
      </c>
      <c r="O15" s="73"/>
    </row>
    <row r="16" customFormat="false" ht="15" hidden="false" customHeight="false" outlineLevel="0" collapsed="false">
      <c r="A16" s="77"/>
      <c r="B16" s="73"/>
      <c r="C16" s="71" t="str">
        <f aca="false">IF(B16="","",IFERROR(INDEX(マスタ!$F$2:$F$60,MATCH(B16,マスタ!$E$2:$E$60,0))&amp;"",""))</f>
        <v/>
      </c>
      <c r="D16" s="73"/>
      <c r="E16" s="75"/>
      <c r="F16" s="75"/>
      <c r="G16" s="75"/>
      <c r="H16" s="73"/>
      <c r="I16" s="75"/>
      <c r="J16" s="75"/>
      <c r="K16" s="75"/>
      <c r="L16" s="73"/>
      <c r="M16" s="78" t="str">
        <f aca="false">IF(OR(E16="",F16=""),"",MAX(0,((F16-E16-N(G16))*1440-N(H16)*10)/60))</f>
        <v/>
      </c>
      <c r="N16" s="78" t="str">
        <f aca="false">IF($D16="欠席",0,IF(OR(I16="",J16=""),"",MAX(0,((J16-I16-N(K16))*1440-N(L16)*10)/60)))</f>
        <v/>
      </c>
      <c r="O16" s="73"/>
    </row>
    <row r="17" customFormat="false" ht="15" hidden="false" customHeight="false" outlineLevel="0" collapsed="false">
      <c r="A17" s="77"/>
      <c r="B17" s="73"/>
      <c r="C17" s="71" t="str">
        <f aca="false">IF(B17="","",IFERROR(INDEX(マスタ!$F$2:$F$60,MATCH(B17,マスタ!$E$2:$E$60,0))&amp;"",""))</f>
        <v/>
      </c>
      <c r="D17" s="73"/>
      <c r="E17" s="75"/>
      <c r="F17" s="75"/>
      <c r="G17" s="75"/>
      <c r="H17" s="73"/>
      <c r="I17" s="75"/>
      <c r="J17" s="75"/>
      <c r="K17" s="75"/>
      <c r="L17" s="73"/>
      <c r="M17" s="78" t="str">
        <f aca="false">IF(OR(E17="",F17=""),"",MAX(0,((F17-E17-N(G17))*1440-N(H17)*10)/60))</f>
        <v/>
      </c>
      <c r="N17" s="78" t="str">
        <f aca="false">IF($D17="欠席",0,IF(OR(I17="",J17=""),"",MAX(0,((J17-I17-N(K17))*1440-N(L17)*10)/60)))</f>
        <v/>
      </c>
      <c r="O17" s="73"/>
    </row>
    <row r="18" customFormat="false" ht="15" hidden="false" customHeight="false" outlineLevel="0" collapsed="false">
      <c r="A18" s="77"/>
      <c r="B18" s="73"/>
      <c r="C18" s="71" t="str">
        <f aca="false">IF(B18="","",IFERROR(INDEX(マスタ!$F$2:$F$60,MATCH(B18,マスタ!$E$2:$E$60,0))&amp;"",""))</f>
        <v/>
      </c>
      <c r="D18" s="73"/>
      <c r="E18" s="75"/>
      <c r="F18" s="75"/>
      <c r="G18" s="75"/>
      <c r="H18" s="73"/>
      <c r="I18" s="75"/>
      <c r="J18" s="75"/>
      <c r="K18" s="75"/>
      <c r="L18" s="73"/>
      <c r="M18" s="78" t="str">
        <f aca="false">IF(OR(E18="",F18=""),"",MAX(0,((F18-E18-N(G18))*1440-N(H18)*10)/60))</f>
        <v/>
      </c>
      <c r="N18" s="78" t="str">
        <f aca="false">IF($D18="欠席",0,IF(OR(I18="",J18=""),"",MAX(0,((J18-I18-N(K18))*1440-N(L18)*10)/60)))</f>
        <v/>
      </c>
      <c r="O18" s="73"/>
    </row>
    <row r="19" customFormat="false" ht="15" hidden="false" customHeight="false" outlineLevel="0" collapsed="false">
      <c r="A19" s="77"/>
      <c r="B19" s="73"/>
      <c r="C19" s="71" t="str">
        <f aca="false">IF(B19="","",IFERROR(INDEX(マスタ!$F$2:$F$60,MATCH(B19,マスタ!$E$2:$E$60,0))&amp;"",""))</f>
        <v/>
      </c>
      <c r="D19" s="73"/>
      <c r="E19" s="75"/>
      <c r="F19" s="75"/>
      <c r="G19" s="75"/>
      <c r="H19" s="73"/>
      <c r="I19" s="75"/>
      <c r="J19" s="75"/>
      <c r="K19" s="75"/>
      <c r="L19" s="73"/>
      <c r="M19" s="78" t="str">
        <f aca="false">IF(OR(E19="",F19=""),"",MAX(0,((F19-E19-N(G19))*1440-N(H19)*10)/60))</f>
        <v/>
      </c>
      <c r="N19" s="78" t="str">
        <f aca="false">IF($D19="欠席",0,IF(OR(I19="",J19=""),"",MAX(0,((J19-I19-N(K19))*1440-N(L19)*10)/60)))</f>
        <v/>
      </c>
      <c r="O19" s="73"/>
    </row>
    <row r="20" customFormat="false" ht="15" hidden="false" customHeight="false" outlineLevel="0" collapsed="false">
      <c r="A20" s="77"/>
      <c r="B20" s="73"/>
      <c r="C20" s="71" t="str">
        <f aca="false">IF(B20="","",IFERROR(INDEX(マスタ!$F$2:$F$60,MATCH(B20,マスタ!$E$2:$E$60,0))&amp;"",""))</f>
        <v/>
      </c>
      <c r="D20" s="73"/>
      <c r="E20" s="75"/>
      <c r="F20" s="75"/>
      <c r="G20" s="75"/>
      <c r="H20" s="73"/>
      <c r="I20" s="75"/>
      <c r="J20" s="75"/>
      <c r="K20" s="75"/>
      <c r="L20" s="73"/>
      <c r="M20" s="78" t="str">
        <f aca="false">IF(OR(E20="",F20=""),"",MAX(0,((F20-E20-N(G20))*1440-N(H20)*10)/60))</f>
        <v/>
      </c>
      <c r="N20" s="78" t="str">
        <f aca="false">IF($D20="欠席",0,IF(OR(I20="",J20=""),"",MAX(0,((J20-I20-N(K20))*1440-N(L20)*10)/60)))</f>
        <v/>
      </c>
      <c r="O20" s="73"/>
    </row>
    <row r="21" customFormat="false" ht="15" hidden="false" customHeight="false" outlineLevel="0" collapsed="false">
      <c r="A21" s="77"/>
      <c r="B21" s="73"/>
      <c r="C21" s="71" t="str">
        <f aca="false">IF(B21="","",IFERROR(INDEX(マスタ!$F$2:$F$60,MATCH(B21,マスタ!$E$2:$E$60,0))&amp;"",""))</f>
        <v/>
      </c>
      <c r="D21" s="73"/>
      <c r="E21" s="75"/>
      <c r="F21" s="75"/>
      <c r="G21" s="75"/>
      <c r="H21" s="73"/>
      <c r="I21" s="75"/>
      <c r="J21" s="75"/>
      <c r="K21" s="75"/>
      <c r="L21" s="73"/>
      <c r="M21" s="78" t="str">
        <f aca="false">IF(OR(E21="",F21=""),"",MAX(0,((F21-E21-N(G21))*1440-N(H21)*10)/60))</f>
        <v/>
      </c>
      <c r="N21" s="78" t="str">
        <f aca="false">IF($D21="欠席",0,IF(OR(I21="",J21=""),"",MAX(0,((J21-I21-N(K21))*1440-N(L21)*10)/60)))</f>
        <v/>
      </c>
      <c r="O21" s="73"/>
    </row>
    <row r="22" customFormat="false" ht="15" hidden="false" customHeight="false" outlineLevel="0" collapsed="false">
      <c r="A22" s="77"/>
      <c r="B22" s="73"/>
      <c r="C22" s="71" t="str">
        <f aca="false">IF(B22="","",IFERROR(INDEX(マスタ!$F$2:$F$60,MATCH(B22,マスタ!$E$2:$E$60,0))&amp;"",""))</f>
        <v/>
      </c>
      <c r="D22" s="73"/>
      <c r="E22" s="75"/>
      <c r="F22" s="75"/>
      <c r="G22" s="75"/>
      <c r="H22" s="73"/>
      <c r="I22" s="75"/>
      <c r="J22" s="75"/>
      <c r="K22" s="75"/>
      <c r="L22" s="73"/>
      <c r="M22" s="78" t="str">
        <f aca="false">IF(OR(E22="",F22=""),"",MAX(0,((F22-E22-N(G22))*1440-N(H22)*10)/60))</f>
        <v/>
      </c>
      <c r="N22" s="78" t="str">
        <f aca="false">IF($D22="欠席",0,IF(OR(I22="",J22=""),"",MAX(0,((J22-I22-N(K22))*1440-N(L22)*10)/60)))</f>
        <v/>
      </c>
      <c r="O22" s="73"/>
    </row>
    <row r="23" customFormat="false" ht="15" hidden="false" customHeight="false" outlineLevel="0" collapsed="false">
      <c r="A23" s="77"/>
      <c r="B23" s="73"/>
      <c r="C23" s="71" t="str">
        <f aca="false">IF(B23="","",IFERROR(INDEX(マスタ!$F$2:$F$60,MATCH(B23,マスタ!$E$2:$E$60,0))&amp;"",""))</f>
        <v/>
      </c>
      <c r="D23" s="73"/>
      <c r="E23" s="75"/>
      <c r="F23" s="75"/>
      <c r="G23" s="75"/>
      <c r="H23" s="73"/>
      <c r="I23" s="75"/>
      <c r="J23" s="75"/>
      <c r="K23" s="75"/>
      <c r="L23" s="73"/>
      <c r="M23" s="78" t="str">
        <f aca="false">IF(OR(E23="",F23=""),"",MAX(0,((F23-E23-N(G23))*1440-N(H23)*10)/60))</f>
        <v/>
      </c>
      <c r="N23" s="78" t="str">
        <f aca="false">IF($D23="欠席",0,IF(OR(I23="",J23=""),"",MAX(0,((J23-I23-N(K23))*1440-N(L23)*10)/60)))</f>
        <v/>
      </c>
      <c r="O23" s="73"/>
    </row>
    <row r="24" customFormat="false" ht="15" hidden="false" customHeight="false" outlineLevel="0" collapsed="false">
      <c r="A24" s="77"/>
      <c r="B24" s="73"/>
      <c r="C24" s="71" t="str">
        <f aca="false">IF(B24="","",IFERROR(INDEX(マスタ!$F$2:$F$60,MATCH(B24,マスタ!$E$2:$E$60,0))&amp;"",""))</f>
        <v/>
      </c>
      <c r="D24" s="73"/>
      <c r="E24" s="75"/>
      <c r="F24" s="75"/>
      <c r="G24" s="75"/>
      <c r="H24" s="73"/>
      <c r="I24" s="75"/>
      <c r="J24" s="75"/>
      <c r="K24" s="75"/>
      <c r="L24" s="73"/>
      <c r="M24" s="78" t="str">
        <f aca="false">IF(OR(E24="",F24=""),"",MAX(0,((F24-E24-N(G24))*1440-N(H24)*10)/60))</f>
        <v/>
      </c>
      <c r="N24" s="78" t="str">
        <f aca="false">IF($D24="欠席",0,IF(OR(I24="",J24=""),"",MAX(0,((J24-I24-N(K24))*1440-N(L24)*10)/60)))</f>
        <v/>
      </c>
      <c r="O24" s="73"/>
    </row>
    <row r="25" customFormat="false" ht="15" hidden="false" customHeight="false" outlineLevel="0" collapsed="false">
      <c r="A25" s="77"/>
      <c r="B25" s="73"/>
      <c r="C25" s="71" t="str">
        <f aca="false">IF(B25="","",IFERROR(INDEX(マスタ!$F$2:$F$60,MATCH(B25,マスタ!$E$2:$E$60,0))&amp;"",""))</f>
        <v/>
      </c>
      <c r="D25" s="73"/>
      <c r="E25" s="75"/>
      <c r="F25" s="75"/>
      <c r="G25" s="75"/>
      <c r="H25" s="73"/>
      <c r="I25" s="75"/>
      <c r="J25" s="75"/>
      <c r="K25" s="75"/>
      <c r="L25" s="73"/>
      <c r="M25" s="78" t="str">
        <f aca="false">IF(OR(E25="",F25=""),"",MAX(0,((F25-E25-N(G25))*1440-N(H25)*10)/60))</f>
        <v/>
      </c>
      <c r="N25" s="78" t="str">
        <f aca="false">IF($D25="欠席",0,IF(OR(I25="",J25=""),"",MAX(0,((J25-I25-N(K25))*1440-N(L25)*10)/60)))</f>
        <v/>
      </c>
      <c r="O25" s="73"/>
    </row>
    <row r="26" customFormat="false" ht="15" hidden="false" customHeight="false" outlineLevel="0" collapsed="false">
      <c r="A26" s="77"/>
      <c r="B26" s="73"/>
      <c r="C26" s="71" t="str">
        <f aca="false">IF(B26="","",IFERROR(INDEX(マスタ!$F$2:$F$60,MATCH(B26,マスタ!$E$2:$E$60,0))&amp;"",""))</f>
        <v/>
      </c>
      <c r="D26" s="73"/>
      <c r="E26" s="75"/>
      <c r="F26" s="75"/>
      <c r="G26" s="75"/>
      <c r="H26" s="73"/>
      <c r="I26" s="75"/>
      <c r="J26" s="75"/>
      <c r="K26" s="75"/>
      <c r="L26" s="73"/>
      <c r="M26" s="78" t="str">
        <f aca="false">IF(OR(E26="",F26=""),"",MAX(0,((F26-E26-N(G26))*1440-N(H26)*10)/60))</f>
        <v/>
      </c>
      <c r="N26" s="78" t="str">
        <f aca="false">IF($D26="欠席",0,IF(OR(I26="",J26=""),"",MAX(0,((J26-I26-N(K26))*1440-N(L26)*10)/60)))</f>
        <v/>
      </c>
      <c r="O26" s="73"/>
    </row>
    <row r="27" customFormat="false" ht="15" hidden="false" customHeight="false" outlineLevel="0" collapsed="false">
      <c r="A27" s="77"/>
      <c r="B27" s="73"/>
      <c r="C27" s="71" t="str">
        <f aca="false">IF(B27="","",IFERROR(INDEX(マスタ!$F$2:$F$60,MATCH(B27,マスタ!$E$2:$E$60,0))&amp;"",""))</f>
        <v/>
      </c>
      <c r="D27" s="73"/>
      <c r="E27" s="75"/>
      <c r="F27" s="75"/>
      <c r="G27" s="75"/>
      <c r="H27" s="73"/>
      <c r="I27" s="75"/>
      <c r="J27" s="75"/>
      <c r="K27" s="75"/>
      <c r="L27" s="73"/>
      <c r="M27" s="78" t="str">
        <f aca="false">IF(OR(E27="",F27=""),"",MAX(0,((F27-E27-N(G27))*1440-N(H27)*10)/60))</f>
        <v/>
      </c>
      <c r="N27" s="78" t="str">
        <f aca="false">IF($D27="欠席",0,IF(OR(I27="",J27=""),"",MAX(0,((J27-I27-N(K27))*1440-N(L27)*10)/60)))</f>
        <v/>
      </c>
      <c r="O27" s="73"/>
    </row>
    <row r="28" customFormat="false" ht="15" hidden="false" customHeight="false" outlineLevel="0" collapsed="false">
      <c r="A28" s="77"/>
      <c r="B28" s="73"/>
      <c r="C28" s="71" t="str">
        <f aca="false">IF(B28="","",IFERROR(INDEX(マスタ!$F$2:$F$60,MATCH(B28,マスタ!$E$2:$E$60,0))&amp;"",""))</f>
        <v/>
      </c>
      <c r="D28" s="73"/>
      <c r="E28" s="75"/>
      <c r="F28" s="75"/>
      <c r="G28" s="75"/>
      <c r="H28" s="73"/>
      <c r="I28" s="75"/>
      <c r="J28" s="75"/>
      <c r="K28" s="75"/>
      <c r="L28" s="73"/>
      <c r="M28" s="78" t="str">
        <f aca="false">IF(OR(E28="",F28=""),"",MAX(0,((F28-E28-N(G28))*1440-N(H28)*10)/60))</f>
        <v/>
      </c>
      <c r="N28" s="78" t="str">
        <f aca="false">IF($D28="欠席",0,IF(OR(I28="",J28=""),"",MAX(0,((J28-I28-N(K28))*1440-N(L28)*10)/60)))</f>
        <v/>
      </c>
      <c r="O28" s="73"/>
    </row>
    <row r="29" customFormat="false" ht="15" hidden="false" customHeight="false" outlineLevel="0" collapsed="false">
      <c r="A29" s="77"/>
      <c r="B29" s="73"/>
      <c r="C29" s="71" t="str">
        <f aca="false">IF(B29="","",IFERROR(INDEX(マスタ!$F$2:$F$60,MATCH(B29,マスタ!$E$2:$E$60,0))&amp;"",""))</f>
        <v/>
      </c>
      <c r="D29" s="73"/>
      <c r="E29" s="75"/>
      <c r="F29" s="75"/>
      <c r="G29" s="75"/>
      <c r="H29" s="73"/>
      <c r="I29" s="75"/>
      <c r="J29" s="75"/>
      <c r="K29" s="75"/>
      <c r="L29" s="73"/>
      <c r="M29" s="78" t="str">
        <f aca="false">IF(OR(E29="",F29=""),"",MAX(0,((F29-E29-N(G29))*1440-N(H29)*10)/60))</f>
        <v/>
      </c>
      <c r="N29" s="78" t="str">
        <f aca="false">IF($D29="欠席",0,IF(OR(I29="",J29=""),"",MAX(0,((J29-I29-N(K29))*1440-N(L29)*10)/60)))</f>
        <v/>
      </c>
      <c r="O29" s="73"/>
    </row>
    <row r="30" customFormat="false" ht="15" hidden="false" customHeight="false" outlineLevel="0" collapsed="false">
      <c r="A30" s="77"/>
      <c r="B30" s="73"/>
      <c r="C30" s="71" t="str">
        <f aca="false">IF(B30="","",IFERROR(INDEX(マスタ!$F$2:$F$60,MATCH(B30,マスタ!$E$2:$E$60,0))&amp;"",""))</f>
        <v/>
      </c>
      <c r="D30" s="73"/>
      <c r="E30" s="75"/>
      <c r="F30" s="75"/>
      <c r="G30" s="75"/>
      <c r="H30" s="73"/>
      <c r="I30" s="75"/>
      <c r="J30" s="75"/>
      <c r="K30" s="75"/>
      <c r="L30" s="73"/>
      <c r="M30" s="78" t="str">
        <f aca="false">IF(OR(E30="",F30=""),"",MAX(0,((F30-E30-N(G30))*1440-N(H30)*10)/60))</f>
        <v/>
      </c>
      <c r="N30" s="78" t="str">
        <f aca="false">IF($D30="欠席",0,IF(OR(I30="",J30=""),"",MAX(0,((J30-I30-N(K30))*1440-N(L30)*10)/60)))</f>
        <v/>
      </c>
      <c r="O30" s="73"/>
    </row>
    <row r="31" customFormat="false" ht="15" hidden="false" customHeight="false" outlineLevel="0" collapsed="false">
      <c r="A31" s="77"/>
      <c r="B31" s="73"/>
      <c r="C31" s="71" t="str">
        <f aca="false">IF(B31="","",IFERROR(INDEX(マスタ!$F$2:$F$60,MATCH(B31,マスタ!$E$2:$E$60,0))&amp;"",""))</f>
        <v/>
      </c>
      <c r="D31" s="73"/>
      <c r="E31" s="75"/>
      <c r="F31" s="75"/>
      <c r="G31" s="75"/>
      <c r="H31" s="73"/>
      <c r="I31" s="75"/>
      <c r="J31" s="75"/>
      <c r="K31" s="75"/>
      <c r="L31" s="73"/>
      <c r="M31" s="78" t="str">
        <f aca="false">IF(OR(E31="",F31=""),"",MAX(0,((F31-E31-N(G31))*1440-N(H31)*10)/60))</f>
        <v/>
      </c>
      <c r="N31" s="78" t="str">
        <f aca="false">IF($D31="欠席",0,IF(OR(I31="",J31=""),"",MAX(0,((J31-I31-N(K31))*1440-N(L31)*10)/60)))</f>
        <v/>
      </c>
      <c r="O31" s="73"/>
    </row>
    <row r="32" customFormat="false" ht="15" hidden="false" customHeight="false" outlineLevel="0" collapsed="false">
      <c r="A32" s="77"/>
      <c r="B32" s="73"/>
      <c r="C32" s="71" t="str">
        <f aca="false">IF(B32="","",IFERROR(INDEX(マスタ!$F$2:$F$60,MATCH(B32,マスタ!$E$2:$E$60,0))&amp;"",""))</f>
        <v/>
      </c>
      <c r="D32" s="73"/>
      <c r="E32" s="75"/>
      <c r="F32" s="75"/>
      <c r="G32" s="75"/>
      <c r="H32" s="73"/>
      <c r="I32" s="75"/>
      <c r="J32" s="75"/>
      <c r="K32" s="75"/>
      <c r="L32" s="73"/>
      <c r="M32" s="78" t="str">
        <f aca="false">IF(OR(E32="",F32=""),"",MAX(0,((F32-E32-N(G32))*1440-N(H32)*10)/60))</f>
        <v/>
      </c>
      <c r="N32" s="78" t="str">
        <f aca="false">IF($D32="欠席",0,IF(OR(I32="",J32=""),"",MAX(0,((J32-I32-N(K32))*1440-N(L32)*10)/60)))</f>
        <v/>
      </c>
      <c r="O32" s="73"/>
    </row>
    <row r="33" customFormat="false" ht="15" hidden="false" customHeight="false" outlineLevel="0" collapsed="false">
      <c r="A33" s="77"/>
      <c r="B33" s="73"/>
      <c r="C33" s="71" t="str">
        <f aca="false">IF(B33="","",IFERROR(INDEX(マスタ!$F$2:$F$60,MATCH(B33,マスタ!$E$2:$E$60,0))&amp;"",""))</f>
        <v/>
      </c>
      <c r="D33" s="73"/>
      <c r="E33" s="75"/>
      <c r="F33" s="75"/>
      <c r="G33" s="75"/>
      <c r="H33" s="73"/>
      <c r="I33" s="75"/>
      <c r="J33" s="75"/>
      <c r="K33" s="75"/>
      <c r="L33" s="73"/>
      <c r="M33" s="78" t="str">
        <f aca="false">IF(OR(E33="",F33=""),"",MAX(0,((F33-E33-N(G33))*1440-N(H33)*10)/60))</f>
        <v/>
      </c>
      <c r="N33" s="78" t="str">
        <f aca="false">IF($D33="欠席",0,IF(OR(I33="",J33=""),"",MAX(0,((J33-I33-N(K33))*1440-N(L33)*10)/60)))</f>
        <v/>
      </c>
      <c r="O33" s="73"/>
    </row>
    <row r="34" customFormat="false" ht="15" hidden="false" customHeight="false" outlineLevel="0" collapsed="false">
      <c r="A34" s="77"/>
      <c r="B34" s="73"/>
      <c r="C34" s="71" t="str">
        <f aca="false">IF(B34="","",IFERROR(INDEX(マスタ!$F$2:$F$60,MATCH(B34,マスタ!$E$2:$E$60,0))&amp;"",""))</f>
        <v/>
      </c>
      <c r="D34" s="73"/>
      <c r="E34" s="75"/>
      <c r="F34" s="75"/>
      <c r="G34" s="75"/>
      <c r="H34" s="73"/>
      <c r="I34" s="75"/>
      <c r="J34" s="75"/>
      <c r="K34" s="75"/>
      <c r="L34" s="73"/>
      <c r="M34" s="78" t="str">
        <f aca="false">IF(OR(E34="",F34=""),"",MAX(0,((F34-E34-N(G34))*1440-N(H34)*10)/60))</f>
        <v/>
      </c>
      <c r="N34" s="78" t="str">
        <f aca="false">IF($D34="欠席",0,IF(OR(I34="",J34=""),"",MAX(0,((J34-I34-N(K34))*1440-N(L34)*10)/60)))</f>
        <v/>
      </c>
      <c r="O34" s="73"/>
    </row>
    <row r="35" customFormat="false" ht="15" hidden="false" customHeight="false" outlineLevel="0" collapsed="false">
      <c r="A35" s="77"/>
      <c r="B35" s="73"/>
      <c r="C35" s="71" t="str">
        <f aca="false">IF(B35="","",IFERROR(INDEX(マスタ!$F$2:$F$60,MATCH(B35,マスタ!$E$2:$E$60,0))&amp;"",""))</f>
        <v/>
      </c>
      <c r="D35" s="73"/>
      <c r="E35" s="75"/>
      <c r="F35" s="75"/>
      <c r="G35" s="75"/>
      <c r="H35" s="73"/>
      <c r="I35" s="75"/>
      <c r="J35" s="75"/>
      <c r="K35" s="75"/>
      <c r="L35" s="73"/>
      <c r="M35" s="78" t="str">
        <f aca="false">IF(OR(E35="",F35=""),"",MAX(0,((F35-E35-N(G35))*1440-N(H35)*10)/60))</f>
        <v/>
      </c>
      <c r="N35" s="78" t="str">
        <f aca="false">IF($D35="欠席",0,IF(OR(I35="",J35=""),"",MAX(0,((J35-I35-N(K35))*1440-N(L35)*10)/60)))</f>
        <v/>
      </c>
      <c r="O35" s="73"/>
    </row>
    <row r="36" customFormat="false" ht="15" hidden="false" customHeight="false" outlineLevel="0" collapsed="false">
      <c r="A36" s="77"/>
      <c r="B36" s="73"/>
      <c r="C36" s="71" t="str">
        <f aca="false">IF(B36="","",IFERROR(INDEX(マスタ!$F$2:$F$60,MATCH(B36,マスタ!$E$2:$E$60,0))&amp;"",""))</f>
        <v/>
      </c>
      <c r="D36" s="73"/>
      <c r="E36" s="75"/>
      <c r="F36" s="75"/>
      <c r="G36" s="75"/>
      <c r="H36" s="73"/>
      <c r="I36" s="75"/>
      <c r="J36" s="75"/>
      <c r="K36" s="75"/>
      <c r="L36" s="73"/>
      <c r="M36" s="78" t="str">
        <f aca="false">IF(OR(E36="",F36=""),"",MAX(0,((F36-E36-N(G36))*1440-N(H36)*10)/60))</f>
        <v/>
      </c>
      <c r="N36" s="78" t="str">
        <f aca="false">IF($D36="欠席",0,IF(OR(I36="",J36=""),"",MAX(0,((J36-I36-N(K36))*1440-N(L36)*10)/60)))</f>
        <v/>
      </c>
      <c r="O36" s="73"/>
    </row>
    <row r="37" customFormat="false" ht="15" hidden="false" customHeight="false" outlineLevel="0" collapsed="false">
      <c r="A37" s="77"/>
      <c r="B37" s="73"/>
      <c r="C37" s="71" t="str">
        <f aca="false">IF(B37="","",IFERROR(INDEX(マスタ!$F$2:$F$60,MATCH(B37,マスタ!$E$2:$E$60,0))&amp;"",""))</f>
        <v/>
      </c>
      <c r="D37" s="73"/>
      <c r="E37" s="75"/>
      <c r="F37" s="75"/>
      <c r="G37" s="75"/>
      <c r="H37" s="73"/>
      <c r="I37" s="75"/>
      <c r="J37" s="75"/>
      <c r="K37" s="75"/>
      <c r="L37" s="73"/>
      <c r="M37" s="78" t="str">
        <f aca="false">IF(OR(E37="",F37=""),"",MAX(0,((F37-E37-N(G37))*1440-N(H37)*10)/60))</f>
        <v/>
      </c>
      <c r="N37" s="78" t="str">
        <f aca="false">IF($D37="欠席",0,IF(OR(I37="",J37=""),"",MAX(0,((J37-I37-N(K37))*1440-N(L37)*10)/60)))</f>
        <v/>
      </c>
      <c r="O37" s="73"/>
    </row>
    <row r="38" customFormat="false" ht="15" hidden="false" customHeight="false" outlineLevel="0" collapsed="false">
      <c r="A38" s="77"/>
      <c r="B38" s="73"/>
      <c r="C38" s="71" t="str">
        <f aca="false">IF(B38="","",IFERROR(INDEX(マスタ!$F$2:$F$60,MATCH(B38,マスタ!$E$2:$E$60,0))&amp;"",""))</f>
        <v/>
      </c>
      <c r="D38" s="73"/>
      <c r="E38" s="75"/>
      <c r="F38" s="75"/>
      <c r="G38" s="75"/>
      <c r="H38" s="73"/>
      <c r="I38" s="75"/>
      <c r="J38" s="75"/>
      <c r="K38" s="75"/>
      <c r="L38" s="73"/>
      <c r="M38" s="78" t="str">
        <f aca="false">IF(OR(E38="",F38=""),"",MAX(0,((F38-E38-N(G38))*1440-N(H38)*10)/60))</f>
        <v/>
      </c>
      <c r="N38" s="78" t="str">
        <f aca="false">IF($D38="欠席",0,IF(OR(I38="",J38=""),"",MAX(0,((J38-I38-N(K38))*1440-N(L38)*10)/60)))</f>
        <v/>
      </c>
      <c r="O38" s="73"/>
    </row>
    <row r="39" customFormat="false" ht="15" hidden="false" customHeight="false" outlineLevel="0" collapsed="false">
      <c r="A39" s="77"/>
      <c r="B39" s="73"/>
      <c r="C39" s="71" t="str">
        <f aca="false">IF(B39="","",IFERROR(INDEX(マスタ!$F$2:$F$60,MATCH(B39,マスタ!$E$2:$E$60,0))&amp;"",""))</f>
        <v/>
      </c>
      <c r="D39" s="73"/>
      <c r="E39" s="75"/>
      <c r="F39" s="75"/>
      <c r="G39" s="75"/>
      <c r="H39" s="73"/>
      <c r="I39" s="75"/>
      <c r="J39" s="75"/>
      <c r="K39" s="75"/>
      <c r="L39" s="73"/>
      <c r="M39" s="78" t="str">
        <f aca="false">IF(OR(E39="",F39=""),"",MAX(0,((F39-E39-N(G39))*1440-N(H39)*10)/60))</f>
        <v/>
      </c>
      <c r="N39" s="78" t="str">
        <f aca="false">IF($D39="欠席",0,IF(OR(I39="",J39=""),"",MAX(0,((J39-I39-N(K39))*1440-N(L39)*10)/60)))</f>
        <v/>
      </c>
      <c r="O39" s="73"/>
    </row>
    <row r="40" customFormat="false" ht="15" hidden="false" customHeight="false" outlineLevel="0" collapsed="false">
      <c r="A40" s="77"/>
      <c r="B40" s="73"/>
      <c r="C40" s="71" t="str">
        <f aca="false">IF(B40="","",IFERROR(INDEX(マスタ!$F$2:$F$60,MATCH(B40,マスタ!$E$2:$E$60,0))&amp;"",""))</f>
        <v/>
      </c>
      <c r="D40" s="73"/>
      <c r="E40" s="75"/>
      <c r="F40" s="75"/>
      <c r="G40" s="75"/>
      <c r="H40" s="73"/>
      <c r="I40" s="75"/>
      <c r="J40" s="75"/>
      <c r="K40" s="75"/>
      <c r="L40" s="73"/>
      <c r="M40" s="78" t="str">
        <f aca="false">IF(OR(E40="",F40=""),"",MAX(0,((F40-E40-N(G40))*1440-N(H40)*10)/60))</f>
        <v/>
      </c>
      <c r="N40" s="78" t="str">
        <f aca="false">IF($D40="欠席",0,IF(OR(I40="",J40=""),"",MAX(0,((J40-I40-N(K40))*1440-N(L40)*10)/60)))</f>
        <v/>
      </c>
      <c r="O40" s="73"/>
    </row>
    <row r="41" customFormat="false" ht="15" hidden="false" customHeight="false" outlineLevel="0" collapsed="false">
      <c r="A41" s="77"/>
      <c r="B41" s="73"/>
      <c r="C41" s="71" t="str">
        <f aca="false">IF(B41="","",IFERROR(INDEX(マスタ!$F$2:$F$60,MATCH(B41,マスタ!$E$2:$E$60,0))&amp;"",""))</f>
        <v/>
      </c>
      <c r="D41" s="73"/>
      <c r="E41" s="75"/>
      <c r="F41" s="75"/>
      <c r="G41" s="75"/>
      <c r="H41" s="73"/>
      <c r="I41" s="75"/>
      <c r="J41" s="75"/>
      <c r="K41" s="75"/>
      <c r="L41" s="73"/>
      <c r="M41" s="78" t="str">
        <f aca="false">IF(OR(E41="",F41=""),"",MAX(0,((F41-E41-N(G41))*1440-N(H41)*10)/60))</f>
        <v/>
      </c>
      <c r="N41" s="78" t="str">
        <f aca="false">IF($D41="欠席",0,IF(OR(I41="",J41=""),"",MAX(0,((J41-I41-N(K41))*1440-N(L41)*10)/60)))</f>
        <v/>
      </c>
      <c r="O41" s="73"/>
    </row>
    <row r="42" customFormat="false" ht="15" hidden="false" customHeight="false" outlineLevel="0" collapsed="false">
      <c r="A42" s="77"/>
      <c r="B42" s="73"/>
      <c r="C42" s="71" t="str">
        <f aca="false">IF(B42="","",IFERROR(INDEX(マスタ!$F$2:$F$60,MATCH(B42,マスタ!$E$2:$E$60,0))&amp;"",""))</f>
        <v/>
      </c>
      <c r="D42" s="73"/>
      <c r="E42" s="75"/>
      <c r="F42" s="75"/>
      <c r="G42" s="75"/>
      <c r="H42" s="73"/>
      <c r="I42" s="75"/>
      <c r="J42" s="75"/>
      <c r="K42" s="75"/>
      <c r="L42" s="73"/>
      <c r="M42" s="78" t="str">
        <f aca="false">IF(OR(E42="",F42=""),"",MAX(0,((F42-E42-N(G42))*1440-N(H42)*10)/60))</f>
        <v/>
      </c>
      <c r="N42" s="78" t="str">
        <f aca="false">IF($D42="欠席",0,IF(OR(I42="",J42=""),"",MAX(0,((J42-I42-N(K42))*1440-N(L42)*10)/60)))</f>
        <v/>
      </c>
      <c r="O42" s="73"/>
    </row>
    <row r="43" customFormat="false" ht="15" hidden="false" customHeight="false" outlineLevel="0" collapsed="false">
      <c r="A43" s="77"/>
      <c r="B43" s="73"/>
      <c r="C43" s="71" t="str">
        <f aca="false">IF(B43="","",IFERROR(INDEX(マスタ!$F$2:$F$60,MATCH(B43,マスタ!$E$2:$E$60,0))&amp;"",""))</f>
        <v/>
      </c>
      <c r="D43" s="73"/>
      <c r="E43" s="75"/>
      <c r="F43" s="75"/>
      <c r="G43" s="75"/>
      <c r="H43" s="73"/>
      <c r="I43" s="75"/>
      <c r="J43" s="75"/>
      <c r="K43" s="75"/>
      <c r="L43" s="73"/>
      <c r="M43" s="78" t="str">
        <f aca="false">IF(OR(E43="",F43=""),"",MAX(0,((F43-E43-N(G43))*1440-N(H43)*10)/60))</f>
        <v/>
      </c>
      <c r="N43" s="78" t="str">
        <f aca="false">IF($D43="欠席",0,IF(OR(I43="",J43=""),"",MAX(0,((J43-I43-N(K43))*1440-N(L43)*10)/60)))</f>
        <v/>
      </c>
      <c r="O43" s="73"/>
    </row>
    <row r="44" customFormat="false" ht="15" hidden="false" customHeight="false" outlineLevel="0" collapsed="false">
      <c r="A44" s="77"/>
      <c r="B44" s="73"/>
      <c r="C44" s="71" t="str">
        <f aca="false">IF(B44="","",IFERROR(INDEX(マスタ!$F$2:$F$60,MATCH(B44,マスタ!$E$2:$E$60,0))&amp;"",""))</f>
        <v/>
      </c>
      <c r="D44" s="73"/>
      <c r="E44" s="75"/>
      <c r="F44" s="75"/>
      <c r="G44" s="75"/>
      <c r="H44" s="73"/>
      <c r="I44" s="75"/>
      <c r="J44" s="75"/>
      <c r="K44" s="75"/>
      <c r="L44" s="73"/>
      <c r="M44" s="78" t="str">
        <f aca="false">IF(OR(E44="",F44=""),"",MAX(0,((F44-E44-N(G44))*1440-N(H44)*10)/60))</f>
        <v/>
      </c>
      <c r="N44" s="78" t="str">
        <f aca="false">IF($D44="欠席",0,IF(OR(I44="",J44=""),"",MAX(0,((J44-I44-N(K44))*1440-N(L44)*10)/60)))</f>
        <v/>
      </c>
      <c r="O44" s="73"/>
    </row>
    <row r="45" customFormat="false" ht="15" hidden="false" customHeight="false" outlineLevel="0" collapsed="false">
      <c r="A45" s="77"/>
      <c r="B45" s="73"/>
      <c r="C45" s="71" t="str">
        <f aca="false">IF(B45="","",IFERROR(INDEX(マスタ!$F$2:$F$60,MATCH(B45,マスタ!$E$2:$E$60,0))&amp;"",""))</f>
        <v/>
      </c>
      <c r="D45" s="73"/>
      <c r="E45" s="75"/>
      <c r="F45" s="75"/>
      <c r="G45" s="75"/>
      <c r="H45" s="73"/>
      <c r="I45" s="75"/>
      <c r="J45" s="75"/>
      <c r="K45" s="75"/>
      <c r="L45" s="73"/>
      <c r="M45" s="78" t="str">
        <f aca="false">IF(OR(E45="",F45=""),"",MAX(0,((F45-E45-N(G45))*1440-N(H45)*10)/60))</f>
        <v/>
      </c>
      <c r="N45" s="78" t="str">
        <f aca="false">IF($D45="欠席",0,IF(OR(I45="",J45=""),"",MAX(0,((J45-I45-N(K45))*1440-N(L45)*10)/60)))</f>
        <v/>
      </c>
      <c r="O45" s="73"/>
    </row>
    <row r="46" customFormat="false" ht="15" hidden="false" customHeight="false" outlineLevel="0" collapsed="false">
      <c r="A46" s="77"/>
      <c r="B46" s="73"/>
      <c r="C46" s="71" t="str">
        <f aca="false">IF(B46="","",IFERROR(INDEX(マスタ!$F$2:$F$60,MATCH(B46,マスタ!$E$2:$E$60,0))&amp;"",""))</f>
        <v/>
      </c>
      <c r="D46" s="73"/>
      <c r="E46" s="75"/>
      <c r="F46" s="75"/>
      <c r="G46" s="75"/>
      <c r="H46" s="73"/>
      <c r="I46" s="75"/>
      <c r="J46" s="75"/>
      <c r="K46" s="75"/>
      <c r="L46" s="73"/>
      <c r="M46" s="78" t="str">
        <f aca="false">IF(OR(E46="",F46=""),"",MAX(0,((F46-E46-N(G46))*1440-N(H46)*10)/60))</f>
        <v/>
      </c>
      <c r="N46" s="78" t="str">
        <f aca="false">IF($D46="欠席",0,IF(OR(I46="",J46=""),"",MAX(0,((J46-I46-N(K46))*1440-N(L46)*10)/60)))</f>
        <v/>
      </c>
      <c r="O46" s="73"/>
    </row>
    <row r="47" customFormat="false" ht="15" hidden="false" customHeight="false" outlineLevel="0" collapsed="false">
      <c r="A47" s="77"/>
      <c r="B47" s="73"/>
      <c r="C47" s="71" t="str">
        <f aca="false">IF(B47="","",IFERROR(INDEX(マスタ!$F$2:$F$60,MATCH(B47,マスタ!$E$2:$E$60,0))&amp;"",""))</f>
        <v/>
      </c>
      <c r="D47" s="73"/>
      <c r="E47" s="75"/>
      <c r="F47" s="75"/>
      <c r="G47" s="75"/>
      <c r="H47" s="73"/>
      <c r="I47" s="75"/>
      <c r="J47" s="75"/>
      <c r="K47" s="75"/>
      <c r="L47" s="73"/>
      <c r="M47" s="78" t="str">
        <f aca="false">IF(OR(E47="",F47=""),"",MAX(0,((F47-E47-N(G47))*1440-N(H47)*10)/60))</f>
        <v/>
      </c>
      <c r="N47" s="78" t="str">
        <f aca="false">IF($D47="欠席",0,IF(OR(I47="",J47=""),"",MAX(0,((J47-I47-N(K47))*1440-N(L47)*10)/60)))</f>
        <v/>
      </c>
      <c r="O47" s="73"/>
    </row>
    <row r="48" customFormat="false" ht="15" hidden="false" customHeight="false" outlineLevel="0" collapsed="false">
      <c r="A48" s="77"/>
      <c r="B48" s="73"/>
      <c r="C48" s="71" t="str">
        <f aca="false">IF(B48="","",IFERROR(INDEX(マスタ!$F$2:$F$60,MATCH(B48,マスタ!$E$2:$E$60,0))&amp;"",""))</f>
        <v/>
      </c>
      <c r="D48" s="73"/>
      <c r="E48" s="75"/>
      <c r="F48" s="75"/>
      <c r="G48" s="75"/>
      <c r="H48" s="73"/>
      <c r="I48" s="75"/>
      <c r="J48" s="75"/>
      <c r="K48" s="75"/>
      <c r="L48" s="73"/>
      <c r="M48" s="78" t="str">
        <f aca="false">IF(OR(E48="",F48=""),"",MAX(0,((F48-E48-N(G48))*1440-N(H48)*10)/60))</f>
        <v/>
      </c>
      <c r="N48" s="78" t="str">
        <f aca="false">IF($D48="欠席",0,IF(OR(I48="",J48=""),"",MAX(0,((J48-I48-N(K48))*1440-N(L48)*10)/60)))</f>
        <v/>
      </c>
      <c r="O48" s="73"/>
    </row>
    <row r="49" customFormat="false" ht="15" hidden="false" customHeight="false" outlineLevel="0" collapsed="false">
      <c r="A49" s="77"/>
      <c r="B49" s="73"/>
      <c r="C49" s="71" t="str">
        <f aca="false">IF(B49="","",IFERROR(INDEX(マスタ!$F$2:$F$60,MATCH(B49,マスタ!$E$2:$E$60,0))&amp;"",""))</f>
        <v/>
      </c>
      <c r="D49" s="73"/>
      <c r="E49" s="75"/>
      <c r="F49" s="75"/>
      <c r="G49" s="75"/>
      <c r="H49" s="73"/>
      <c r="I49" s="75"/>
      <c r="J49" s="75"/>
      <c r="K49" s="75"/>
      <c r="L49" s="73"/>
      <c r="M49" s="78" t="str">
        <f aca="false">IF(OR(E49="",F49=""),"",MAX(0,((F49-E49-N(G49))*1440-N(H49)*10)/60))</f>
        <v/>
      </c>
      <c r="N49" s="78" t="str">
        <f aca="false">IF($D49="欠席",0,IF(OR(I49="",J49=""),"",MAX(0,((J49-I49-N(K49))*1440-N(L49)*10)/60)))</f>
        <v/>
      </c>
      <c r="O49" s="73"/>
    </row>
    <row r="50" customFormat="false" ht="15" hidden="false" customHeight="false" outlineLevel="0" collapsed="false">
      <c r="A50" s="77"/>
      <c r="B50" s="73"/>
      <c r="C50" s="71" t="str">
        <f aca="false">IF(B50="","",IFERROR(INDEX(マスタ!$F$2:$F$60,MATCH(B50,マスタ!$E$2:$E$60,0))&amp;"",""))</f>
        <v/>
      </c>
      <c r="D50" s="73"/>
      <c r="E50" s="75"/>
      <c r="F50" s="75"/>
      <c r="G50" s="75"/>
      <c r="H50" s="73"/>
      <c r="I50" s="75"/>
      <c r="J50" s="75"/>
      <c r="K50" s="75"/>
      <c r="L50" s="73"/>
      <c r="M50" s="78" t="str">
        <f aca="false">IF(OR(E50="",F50=""),"",MAX(0,((F50-E50-N(G50))*1440-N(H50)*10)/60))</f>
        <v/>
      </c>
      <c r="N50" s="78" t="str">
        <f aca="false">IF($D50="欠席",0,IF(OR(I50="",J50=""),"",MAX(0,((J50-I50-N(K50))*1440-N(L50)*10)/60)))</f>
        <v/>
      </c>
      <c r="O50" s="73"/>
    </row>
    <row r="51" customFormat="false" ht="15" hidden="false" customHeight="false" outlineLevel="0" collapsed="false">
      <c r="A51" s="77"/>
      <c r="B51" s="73"/>
      <c r="C51" s="71" t="str">
        <f aca="false">IF(B51="","",IFERROR(INDEX(マスタ!$F$2:$F$60,MATCH(B51,マスタ!$E$2:$E$60,0))&amp;"",""))</f>
        <v/>
      </c>
      <c r="D51" s="73"/>
      <c r="E51" s="75"/>
      <c r="F51" s="75"/>
      <c r="G51" s="75"/>
      <c r="H51" s="73"/>
      <c r="I51" s="75"/>
      <c r="J51" s="75"/>
      <c r="K51" s="75"/>
      <c r="L51" s="73"/>
      <c r="M51" s="78" t="str">
        <f aca="false">IF(OR(E51="",F51=""),"",MAX(0,((F51-E51-N(G51))*1440-N(H51)*10)/60))</f>
        <v/>
      </c>
      <c r="N51" s="78" t="str">
        <f aca="false">IF($D51="欠席",0,IF(OR(I51="",J51=""),"",MAX(0,((J51-I51-N(K51))*1440-N(L51)*10)/60)))</f>
        <v/>
      </c>
      <c r="O51" s="73"/>
    </row>
    <row r="52" customFormat="false" ht="15" hidden="false" customHeight="false" outlineLevel="0" collapsed="false">
      <c r="A52" s="77"/>
      <c r="B52" s="73"/>
      <c r="C52" s="71" t="str">
        <f aca="false">IF(B52="","",IFERROR(INDEX(マスタ!$F$2:$F$60,MATCH(B52,マスタ!$E$2:$E$60,0))&amp;"",""))</f>
        <v/>
      </c>
      <c r="D52" s="73"/>
      <c r="E52" s="75"/>
      <c r="F52" s="75"/>
      <c r="G52" s="75"/>
      <c r="H52" s="73"/>
      <c r="I52" s="75"/>
      <c r="J52" s="75"/>
      <c r="K52" s="75"/>
      <c r="L52" s="73"/>
      <c r="M52" s="78" t="str">
        <f aca="false">IF(OR(E52="",F52=""),"",MAX(0,((F52-E52-N(G52))*1440-N(H52)*10)/60))</f>
        <v/>
      </c>
      <c r="N52" s="78" t="str">
        <f aca="false">IF($D52="欠席",0,IF(OR(I52="",J52=""),"",MAX(0,((J52-I52-N(K52))*1440-N(L52)*10)/60)))</f>
        <v/>
      </c>
      <c r="O52" s="73"/>
    </row>
    <row r="53" customFormat="false" ht="15" hidden="false" customHeight="false" outlineLevel="0" collapsed="false">
      <c r="A53" s="77"/>
      <c r="B53" s="73"/>
      <c r="C53" s="71" t="str">
        <f aca="false">IF(B53="","",IFERROR(INDEX(マスタ!$F$2:$F$60,MATCH(B53,マスタ!$E$2:$E$60,0))&amp;"",""))</f>
        <v/>
      </c>
      <c r="D53" s="73"/>
      <c r="E53" s="75"/>
      <c r="F53" s="75"/>
      <c r="G53" s="75"/>
      <c r="H53" s="73"/>
      <c r="I53" s="75"/>
      <c r="J53" s="75"/>
      <c r="K53" s="75"/>
      <c r="L53" s="73"/>
      <c r="M53" s="78" t="str">
        <f aca="false">IF(OR(E53="",F53=""),"",MAX(0,((F53-E53-N(G53))*1440-N(H53)*10)/60))</f>
        <v/>
      </c>
      <c r="N53" s="78" t="str">
        <f aca="false">IF($D53="欠席",0,IF(OR(I53="",J53=""),"",MAX(0,((J53-I53-N(K53))*1440-N(L53)*10)/60)))</f>
        <v/>
      </c>
      <c r="O53" s="73"/>
    </row>
    <row r="54" customFormat="false" ht="15" hidden="false" customHeight="false" outlineLevel="0" collapsed="false">
      <c r="A54" s="77"/>
      <c r="B54" s="73"/>
      <c r="C54" s="71" t="str">
        <f aca="false">IF(B54="","",IFERROR(INDEX(マスタ!$F$2:$F$60,MATCH(B54,マスタ!$E$2:$E$60,0))&amp;"",""))</f>
        <v/>
      </c>
      <c r="D54" s="73"/>
      <c r="E54" s="75"/>
      <c r="F54" s="75"/>
      <c r="G54" s="75"/>
      <c r="H54" s="73"/>
      <c r="I54" s="75"/>
      <c r="J54" s="75"/>
      <c r="K54" s="75"/>
      <c r="L54" s="73"/>
      <c r="M54" s="78" t="str">
        <f aca="false">IF(OR(E54="",F54=""),"",MAX(0,((F54-E54-N(G54))*1440-N(H54)*10)/60))</f>
        <v/>
      </c>
      <c r="N54" s="78" t="str">
        <f aca="false">IF($D54="欠席",0,IF(OR(I54="",J54=""),"",MAX(0,((J54-I54-N(K54))*1440-N(L54)*10)/60)))</f>
        <v/>
      </c>
      <c r="O54" s="73"/>
    </row>
    <row r="55" customFormat="false" ht="15" hidden="false" customHeight="false" outlineLevel="0" collapsed="false">
      <c r="A55" s="77"/>
      <c r="B55" s="73"/>
      <c r="C55" s="71" t="str">
        <f aca="false">IF(B55="","",IFERROR(INDEX(マスタ!$F$2:$F$60,MATCH(B55,マスタ!$E$2:$E$60,0))&amp;"",""))</f>
        <v/>
      </c>
      <c r="D55" s="73"/>
      <c r="E55" s="75"/>
      <c r="F55" s="75"/>
      <c r="G55" s="75"/>
      <c r="H55" s="73"/>
      <c r="I55" s="75"/>
      <c r="J55" s="75"/>
      <c r="K55" s="75"/>
      <c r="L55" s="73"/>
      <c r="M55" s="78" t="str">
        <f aca="false">IF(OR(E55="",F55=""),"",MAX(0,((F55-E55-N(G55))*1440-N(H55)*10)/60))</f>
        <v/>
      </c>
      <c r="N55" s="78" t="str">
        <f aca="false">IF($D55="欠席",0,IF(OR(I55="",J55=""),"",MAX(0,((J55-I55-N(K55))*1440-N(L55)*10)/60)))</f>
        <v/>
      </c>
      <c r="O55" s="73"/>
    </row>
    <row r="56" customFormat="false" ht="15" hidden="false" customHeight="false" outlineLevel="0" collapsed="false">
      <c r="A56" s="77"/>
      <c r="B56" s="73"/>
      <c r="C56" s="71" t="str">
        <f aca="false">IF(B56="","",IFERROR(INDEX(マスタ!$F$2:$F$60,MATCH(B56,マスタ!$E$2:$E$60,0))&amp;"",""))</f>
        <v/>
      </c>
      <c r="D56" s="73"/>
      <c r="E56" s="75"/>
      <c r="F56" s="75"/>
      <c r="G56" s="75"/>
      <c r="H56" s="73"/>
      <c r="I56" s="75"/>
      <c r="J56" s="75"/>
      <c r="K56" s="75"/>
      <c r="L56" s="73"/>
      <c r="M56" s="78" t="str">
        <f aca="false">IF(OR(E56="",F56=""),"",MAX(0,((F56-E56-N(G56))*1440-N(H56)*10)/60))</f>
        <v/>
      </c>
      <c r="N56" s="78" t="str">
        <f aca="false">IF($D56="欠席",0,IF(OR(I56="",J56=""),"",MAX(0,((J56-I56-N(K56))*1440-N(L56)*10)/60)))</f>
        <v/>
      </c>
      <c r="O56" s="73"/>
    </row>
    <row r="57" customFormat="false" ht="15" hidden="false" customHeight="false" outlineLevel="0" collapsed="false">
      <c r="A57" s="77"/>
      <c r="B57" s="73"/>
      <c r="C57" s="71" t="str">
        <f aca="false">IF(B57="","",IFERROR(INDEX(マスタ!$F$2:$F$60,MATCH(B57,マスタ!$E$2:$E$60,0))&amp;"",""))</f>
        <v/>
      </c>
      <c r="D57" s="73"/>
      <c r="E57" s="75"/>
      <c r="F57" s="75"/>
      <c r="G57" s="75"/>
      <c r="H57" s="73"/>
      <c r="I57" s="75"/>
      <c r="J57" s="75"/>
      <c r="K57" s="75"/>
      <c r="L57" s="73"/>
      <c r="M57" s="78" t="str">
        <f aca="false">IF(OR(E57="",F57=""),"",MAX(0,((F57-E57-N(G57))*1440-N(H57)*10)/60))</f>
        <v/>
      </c>
      <c r="N57" s="78" t="str">
        <f aca="false">IF($D57="欠席",0,IF(OR(I57="",J57=""),"",MAX(0,((J57-I57-N(K57))*1440-N(L57)*10)/60)))</f>
        <v/>
      </c>
      <c r="O57" s="73"/>
    </row>
    <row r="58" customFormat="false" ht="15" hidden="false" customHeight="false" outlineLevel="0" collapsed="false">
      <c r="A58" s="77"/>
      <c r="B58" s="73"/>
      <c r="C58" s="71" t="str">
        <f aca="false">IF(B58="","",IFERROR(INDEX(マスタ!$F$2:$F$60,MATCH(B58,マスタ!$E$2:$E$60,0))&amp;"",""))</f>
        <v/>
      </c>
      <c r="D58" s="73"/>
      <c r="E58" s="75"/>
      <c r="F58" s="75"/>
      <c r="G58" s="75"/>
      <c r="H58" s="73"/>
      <c r="I58" s="75"/>
      <c r="J58" s="75"/>
      <c r="K58" s="75"/>
      <c r="L58" s="73"/>
      <c r="M58" s="78" t="str">
        <f aca="false">IF(OR(E58="",F58=""),"",MAX(0,((F58-E58-N(G58))*1440-N(H58)*10)/60))</f>
        <v/>
      </c>
      <c r="N58" s="78" t="str">
        <f aca="false">IF($D58="欠席",0,IF(OR(I58="",J58=""),"",MAX(0,((J58-I58-N(K58))*1440-N(L58)*10)/60)))</f>
        <v/>
      </c>
      <c r="O58" s="73"/>
    </row>
    <row r="59" customFormat="false" ht="15" hidden="false" customHeight="false" outlineLevel="0" collapsed="false">
      <c r="A59" s="77"/>
      <c r="B59" s="73"/>
      <c r="C59" s="71" t="str">
        <f aca="false">IF(B59="","",IFERROR(INDEX(マスタ!$F$2:$F$60,MATCH(B59,マスタ!$E$2:$E$60,0))&amp;"",""))</f>
        <v/>
      </c>
      <c r="D59" s="73"/>
      <c r="E59" s="75"/>
      <c r="F59" s="75"/>
      <c r="G59" s="75"/>
      <c r="H59" s="73"/>
      <c r="I59" s="75"/>
      <c r="J59" s="75"/>
      <c r="K59" s="75"/>
      <c r="L59" s="73"/>
      <c r="M59" s="78" t="str">
        <f aca="false">IF(OR(E59="",F59=""),"",MAX(0,((F59-E59-N(G59))*1440-N(H59)*10)/60))</f>
        <v/>
      </c>
      <c r="N59" s="78" t="str">
        <f aca="false">IF($D59="欠席",0,IF(OR(I59="",J59=""),"",MAX(0,((J59-I59-N(K59))*1440-N(L59)*10)/60)))</f>
        <v/>
      </c>
      <c r="O59" s="73"/>
    </row>
    <row r="60" customFormat="false" ht="15" hidden="false" customHeight="false" outlineLevel="0" collapsed="false">
      <c r="A60" s="77"/>
      <c r="B60" s="73"/>
      <c r="C60" s="71" t="str">
        <f aca="false">IF(B60="","",IFERROR(INDEX(マスタ!$F$2:$F$60,MATCH(B60,マスタ!$E$2:$E$60,0))&amp;"",""))</f>
        <v/>
      </c>
      <c r="D60" s="73"/>
      <c r="E60" s="75"/>
      <c r="F60" s="75"/>
      <c r="G60" s="75"/>
      <c r="H60" s="73"/>
      <c r="I60" s="75"/>
      <c r="J60" s="75"/>
      <c r="K60" s="75"/>
      <c r="L60" s="73"/>
      <c r="M60" s="78" t="str">
        <f aca="false">IF(OR(E60="",F60=""),"",MAX(0,((F60-E60-N(G60))*1440-N(H60)*10)/60))</f>
        <v/>
      </c>
      <c r="N60" s="78" t="str">
        <f aca="false">IF($D60="欠席",0,IF(OR(I60="",J60=""),"",MAX(0,((J60-I60-N(K60))*1440-N(L60)*10)/60)))</f>
        <v/>
      </c>
      <c r="O60" s="73"/>
    </row>
    <row r="61" customFormat="false" ht="15" hidden="false" customHeight="false" outlineLevel="0" collapsed="false">
      <c r="A61" s="77"/>
      <c r="B61" s="73"/>
      <c r="C61" s="71" t="str">
        <f aca="false">IF(B61="","",IFERROR(INDEX(マスタ!$F$2:$F$60,MATCH(B61,マスタ!$E$2:$E$60,0))&amp;"",""))</f>
        <v/>
      </c>
      <c r="D61" s="73"/>
      <c r="E61" s="75"/>
      <c r="F61" s="75"/>
      <c r="G61" s="75"/>
      <c r="H61" s="73"/>
      <c r="I61" s="75"/>
      <c r="J61" s="75"/>
      <c r="K61" s="75"/>
      <c r="L61" s="73"/>
      <c r="M61" s="78" t="str">
        <f aca="false">IF(OR(E61="",F61=""),"",MAX(0,((F61-E61-N(G61))*1440-N(H61)*10)/60))</f>
        <v/>
      </c>
      <c r="N61" s="78" t="str">
        <f aca="false">IF($D61="欠席",0,IF(OR(I61="",J61=""),"",MAX(0,((J61-I61-N(K61))*1440-N(L61)*10)/60)))</f>
        <v/>
      </c>
      <c r="O61" s="73"/>
    </row>
    <row r="62" customFormat="false" ht="15" hidden="false" customHeight="false" outlineLevel="0" collapsed="false">
      <c r="A62" s="77"/>
      <c r="B62" s="73"/>
      <c r="C62" s="71" t="str">
        <f aca="false">IF(B62="","",IFERROR(INDEX(マスタ!$F$2:$F$60,MATCH(B62,マスタ!$E$2:$E$60,0))&amp;"",""))</f>
        <v/>
      </c>
      <c r="D62" s="73"/>
      <c r="E62" s="75"/>
      <c r="F62" s="75"/>
      <c r="G62" s="75"/>
      <c r="H62" s="73"/>
      <c r="I62" s="75"/>
      <c r="J62" s="75"/>
      <c r="K62" s="75"/>
      <c r="L62" s="73"/>
      <c r="M62" s="78" t="str">
        <f aca="false">IF(OR(E62="",F62=""),"",MAX(0,((F62-E62-N(G62))*1440-N(H62)*10)/60))</f>
        <v/>
      </c>
      <c r="N62" s="78" t="str">
        <f aca="false">IF($D62="欠席",0,IF(OR(I62="",J62=""),"",MAX(0,((J62-I62-N(K62))*1440-N(L62)*10)/60)))</f>
        <v/>
      </c>
      <c r="O62" s="73"/>
    </row>
    <row r="63" customFormat="false" ht="15" hidden="false" customHeight="false" outlineLevel="0" collapsed="false">
      <c r="A63" s="77"/>
      <c r="B63" s="73"/>
      <c r="C63" s="71" t="str">
        <f aca="false">IF(B63="","",IFERROR(INDEX(マスタ!$F$2:$F$60,MATCH(B63,マスタ!$E$2:$E$60,0))&amp;"",""))</f>
        <v/>
      </c>
      <c r="D63" s="73"/>
      <c r="E63" s="75"/>
      <c r="F63" s="75"/>
      <c r="G63" s="75"/>
      <c r="H63" s="73"/>
      <c r="I63" s="75"/>
      <c r="J63" s="75"/>
      <c r="K63" s="75"/>
      <c r="L63" s="73"/>
      <c r="M63" s="78" t="str">
        <f aca="false">IF(OR(E63="",F63=""),"",MAX(0,((F63-E63-N(G63))*1440-N(H63)*10)/60))</f>
        <v/>
      </c>
      <c r="N63" s="78" t="str">
        <f aca="false">IF($D63="欠席",0,IF(OR(I63="",J63=""),"",MAX(0,((J63-I63-N(K63))*1440-N(L63)*10)/60)))</f>
        <v/>
      </c>
      <c r="O63" s="73"/>
    </row>
    <row r="64" customFormat="false" ht="15" hidden="false" customHeight="false" outlineLevel="0" collapsed="false">
      <c r="A64" s="77"/>
      <c r="B64" s="73"/>
      <c r="C64" s="71" t="str">
        <f aca="false">IF(B64="","",IFERROR(INDEX(マスタ!$F$2:$F$60,MATCH(B64,マスタ!$E$2:$E$60,0))&amp;"",""))</f>
        <v/>
      </c>
      <c r="D64" s="73"/>
      <c r="E64" s="75"/>
      <c r="F64" s="75"/>
      <c r="G64" s="75"/>
      <c r="H64" s="73"/>
      <c r="I64" s="75"/>
      <c r="J64" s="75"/>
      <c r="K64" s="75"/>
      <c r="L64" s="73"/>
      <c r="M64" s="78" t="str">
        <f aca="false">IF(OR(E64="",F64=""),"",MAX(0,((F64-E64-N(G64))*1440-N(H64)*10)/60))</f>
        <v/>
      </c>
      <c r="N64" s="78" t="str">
        <f aca="false">IF($D64="欠席",0,IF(OR(I64="",J64=""),"",MAX(0,((J64-I64-N(K64))*1440-N(L64)*10)/60)))</f>
        <v/>
      </c>
      <c r="O64" s="73"/>
    </row>
    <row r="65" customFormat="false" ht="15" hidden="false" customHeight="false" outlineLevel="0" collapsed="false">
      <c r="A65" s="77"/>
      <c r="B65" s="73"/>
      <c r="C65" s="71" t="str">
        <f aca="false">IF(B65="","",IFERROR(INDEX(マスタ!$F$2:$F$60,MATCH(B65,マスタ!$E$2:$E$60,0))&amp;"",""))</f>
        <v/>
      </c>
      <c r="D65" s="73"/>
      <c r="E65" s="75"/>
      <c r="F65" s="75"/>
      <c r="G65" s="75"/>
      <c r="H65" s="73"/>
      <c r="I65" s="75"/>
      <c r="J65" s="75"/>
      <c r="K65" s="75"/>
      <c r="L65" s="73"/>
      <c r="M65" s="78" t="str">
        <f aca="false">IF(OR(E65="",F65=""),"",MAX(0,((F65-E65-N(G65))*1440-N(H65)*10)/60))</f>
        <v/>
      </c>
      <c r="N65" s="78" t="str">
        <f aca="false">IF($D65="欠席",0,IF(OR(I65="",J65=""),"",MAX(0,((J65-I65-N(K65))*1440-N(L65)*10)/60)))</f>
        <v/>
      </c>
      <c r="O65" s="73"/>
    </row>
    <row r="66" customFormat="false" ht="15" hidden="false" customHeight="false" outlineLevel="0" collapsed="false">
      <c r="A66" s="77"/>
      <c r="B66" s="73"/>
      <c r="C66" s="71" t="str">
        <f aca="false">IF(B66="","",IFERROR(INDEX(マスタ!$F$2:$F$60,MATCH(B66,マスタ!$E$2:$E$60,0))&amp;"",""))</f>
        <v/>
      </c>
      <c r="D66" s="73"/>
      <c r="E66" s="75"/>
      <c r="F66" s="75"/>
      <c r="G66" s="75"/>
      <c r="H66" s="73"/>
      <c r="I66" s="75"/>
      <c r="J66" s="75"/>
      <c r="K66" s="75"/>
      <c r="L66" s="73"/>
      <c r="M66" s="78" t="str">
        <f aca="false">IF(OR(E66="",F66=""),"",MAX(0,((F66-E66-N(G66))*1440-N(H66)*10)/60))</f>
        <v/>
      </c>
      <c r="N66" s="78" t="str">
        <f aca="false">IF($D66="欠席",0,IF(OR(I66="",J66=""),"",MAX(0,((J66-I66-N(K66))*1440-N(L66)*10)/60)))</f>
        <v/>
      </c>
      <c r="O66" s="73"/>
    </row>
    <row r="67" customFormat="false" ht="15" hidden="false" customHeight="false" outlineLevel="0" collapsed="false">
      <c r="A67" s="77"/>
      <c r="B67" s="73"/>
      <c r="C67" s="71" t="str">
        <f aca="false">IF(B67="","",IFERROR(INDEX(マスタ!$F$2:$F$60,MATCH(B67,マスタ!$E$2:$E$60,0))&amp;"",""))</f>
        <v/>
      </c>
      <c r="D67" s="73"/>
      <c r="E67" s="75"/>
      <c r="F67" s="75"/>
      <c r="G67" s="75"/>
      <c r="H67" s="73"/>
      <c r="I67" s="75"/>
      <c r="J67" s="75"/>
      <c r="K67" s="75"/>
      <c r="L67" s="73"/>
      <c r="M67" s="78" t="str">
        <f aca="false">IF(OR(E67="",F67=""),"",MAX(0,((F67-E67-N(G67))*1440-N(H67)*10)/60))</f>
        <v/>
      </c>
      <c r="N67" s="78" t="str">
        <f aca="false">IF($D67="欠席",0,IF(OR(I67="",J67=""),"",MAX(0,((J67-I67-N(K67))*1440-N(L67)*10)/60)))</f>
        <v/>
      </c>
      <c r="O67" s="73"/>
    </row>
    <row r="68" customFormat="false" ht="15" hidden="false" customHeight="false" outlineLevel="0" collapsed="false">
      <c r="A68" s="77"/>
      <c r="B68" s="73"/>
      <c r="C68" s="71" t="str">
        <f aca="false">IF(B68="","",IFERROR(INDEX(マスタ!$F$2:$F$60,MATCH(B68,マスタ!$E$2:$E$60,0))&amp;"",""))</f>
        <v/>
      </c>
      <c r="D68" s="73"/>
      <c r="E68" s="75"/>
      <c r="F68" s="75"/>
      <c r="G68" s="75"/>
      <c r="H68" s="73"/>
      <c r="I68" s="75"/>
      <c r="J68" s="75"/>
      <c r="K68" s="75"/>
      <c r="L68" s="73"/>
      <c r="M68" s="78" t="str">
        <f aca="false">IF(OR(E68="",F68=""),"",MAX(0,((F68-E68-N(G68))*1440-N(H68)*10)/60))</f>
        <v/>
      </c>
      <c r="N68" s="78" t="str">
        <f aca="false">IF($D68="欠席",0,IF(OR(I68="",J68=""),"",MAX(0,((J68-I68-N(K68))*1440-N(L68)*10)/60)))</f>
        <v/>
      </c>
      <c r="O68" s="73"/>
    </row>
    <row r="69" customFormat="false" ht="15" hidden="false" customHeight="false" outlineLevel="0" collapsed="false">
      <c r="A69" s="77"/>
      <c r="B69" s="73"/>
      <c r="C69" s="71" t="str">
        <f aca="false">IF(B69="","",IFERROR(INDEX(マスタ!$F$2:$F$60,MATCH(B69,マスタ!$E$2:$E$60,0))&amp;"",""))</f>
        <v/>
      </c>
      <c r="D69" s="73"/>
      <c r="E69" s="75"/>
      <c r="F69" s="75"/>
      <c r="G69" s="75"/>
      <c r="H69" s="73"/>
      <c r="I69" s="75"/>
      <c r="J69" s="75"/>
      <c r="K69" s="75"/>
      <c r="L69" s="73"/>
      <c r="M69" s="78" t="str">
        <f aca="false">IF(OR(E69="",F69=""),"",MAX(0,((F69-E69-N(G69))*1440-N(H69)*10)/60))</f>
        <v/>
      </c>
      <c r="N69" s="78" t="str">
        <f aca="false">IF($D69="欠席",0,IF(OR(I69="",J69=""),"",MAX(0,((J69-I69-N(K69))*1440-N(L69)*10)/60)))</f>
        <v/>
      </c>
      <c r="O69" s="73"/>
    </row>
    <row r="70" customFormat="false" ht="15" hidden="false" customHeight="false" outlineLevel="0" collapsed="false">
      <c r="A70" s="77"/>
      <c r="B70" s="73"/>
      <c r="C70" s="71" t="str">
        <f aca="false">IF(B70="","",IFERROR(INDEX(マスタ!$F$2:$F$60,MATCH(B70,マスタ!$E$2:$E$60,0))&amp;"",""))</f>
        <v/>
      </c>
      <c r="D70" s="73"/>
      <c r="E70" s="75"/>
      <c r="F70" s="75"/>
      <c r="G70" s="75"/>
      <c r="H70" s="73"/>
      <c r="I70" s="75"/>
      <c r="J70" s="75"/>
      <c r="K70" s="75"/>
      <c r="L70" s="73"/>
      <c r="M70" s="78" t="str">
        <f aca="false">IF(OR(E70="",F70=""),"",MAX(0,((F70-E70-N(G70))*1440-N(H70)*10)/60))</f>
        <v/>
      </c>
      <c r="N70" s="78" t="str">
        <f aca="false">IF($D70="欠席",0,IF(OR(I70="",J70=""),"",MAX(0,((J70-I70-N(K70))*1440-N(L70)*10)/60)))</f>
        <v/>
      </c>
      <c r="O70" s="73"/>
    </row>
    <row r="71" customFormat="false" ht="15" hidden="false" customHeight="false" outlineLevel="0" collapsed="false">
      <c r="A71" s="77"/>
      <c r="B71" s="73"/>
      <c r="C71" s="71" t="str">
        <f aca="false">IF(B71="","",IFERROR(INDEX(マスタ!$F$2:$F$60,MATCH(B71,マスタ!$E$2:$E$60,0))&amp;"",""))</f>
        <v/>
      </c>
      <c r="D71" s="73"/>
      <c r="E71" s="75"/>
      <c r="F71" s="75"/>
      <c r="G71" s="75"/>
      <c r="H71" s="73"/>
      <c r="I71" s="75"/>
      <c r="J71" s="75"/>
      <c r="K71" s="75"/>
      <c r="L71" s="73"/>
      <c r="M71" s="78" t="str">
        <f aca="false">IF(OR(E71="",F71=""),"",MAX(0,((F71-E71-N(G71))*1440-N(H71)*10)/60))</f>
        <v/>
      </c>
      <c r="N71" s="78" t="str">
        <f aca="false">IF($D71="欠席",0,IF(OR(I71="",J71=""),"",MAX(0,((J71-I71-N(K71))*1440-N(L71)*10)/60)))</f>
        <v/>
      </c>
      <c r="O71" s="73"/>
    </row>
    <row r="72" customFormat="false" ht="15" hidden="false" customHeight="false" outlineLevel="0" collapsed="false">
      <c r="A72" s="77"/>
      <c r="B72" s="73"/>
      <c r="C72" s="71" t="str">
        <f aca="false">IF(B72="","",IFERROR(INDEX(マスタ!$F$2:$F$60,MATCH(B72,マスタ!$E$2:$E$60,0))&amp;"",""))</f>
        <v/>
      </c>
      <c r="D72" s="73"/>
      <c r="E72" s="75"/>
      <c r="F72" s="75"/>
      <c r="G72" s="75"/>
      <c r="H72" s="73"/>
      <c r="I72" s="75"/>
      <c r="J72" s="75"/>
      <c r="K72" s="75"/>
      <c r="L72" s="73"/>
      <c r="M72" s="78" t="str">
        <f aca="false">IF(OR(E72="",F72=""),"",MAX(0,((F72-E72-N(G72))*1440-N(H72)*10)/60))</f>
        <v/>
      </c>
      <c r="N72" s="78" t="str">
        <f aca="false">IF($D72="欠席",0,IF(OR(I72="",J72=""),"",MAX(0,((J72-I72-N(K72))*1440-N(L72)*10)/60)))</f>
        <v/>
      </c>
      <c r="O72" s="73"/>
    </row>
    <row r="73" customFormat="false" ht="15" hidden="false" customHeight="false" outlineLevel="0" collapsed="false">
      <c r="A73" s="77"/>
      <c r="B73" s="73"/>
      <c r="C73" s="71" t="str">
        <f aca="false">IF(B73="","",IFERROR(INDEX(マスタ!$F$2:$F$60,MATCH(B73,マスタ!$E$2:$E$60,0))&amp;"",""))</f>
        <v/>
      </c>
      <c r="D73" s="73"/>
      <c r="E73" s="75"/>
      <c r="F73" s="75"/>
      <c r="G73" s="75"/>
      <c r="H73" s="73"/>
      <c r="I73" s="75"/>
      <c r="J73" s="75"/>
      <c r="K73" s="75"/>
      <c r="L73" s="73"/>
      <c r="M73" s="78" t="str">
        <f aca="false">IF(OR(E73="",F73=""),"",MAX(0,((F73-E73-N(G73))*1440-N(H73)*10)/60))</f>
        <v/>
      </c>
      <c r="N73" s="78" t="str">
        <f aca="false">IF($D73="欠席",0,IF(OR(I73="",J73=""),"",MAX(0,((J73-I73-N(K73))*1440-N(L73)*10)/60)))</f>
        <v/>
      </c>
      <c r="O73" s="73"/>
    </row>
    <row r="74" customFormat="false" ht="15" hidden="false" customHeight="false" outlineLevel="0" collapsed="false">
      <c r="A74" s="77"/>
      <c r="B74" s="73"/>
      <c r="C74" s="71" t="str">
        <f aca="false">IF(B74="","",IFERROR(INDEX(マスタ!$F$2:$F$60,MATCH(B74,マスタ!$E$2:$E$60,0))&amp;"",""))</f>
        <v/>
      </c>
      <c r="D74" s="73"/>
      <c r="E74" s="75"/>
      <c r="F74" s="75"/>
      <c r="G74" s="75"/>
      <c r="H74" s="73"/>
      <c r="I74" s="75"/>
      <c r="J74" s="75"/>
      <c r="K74" s="75"/>
      <c r="L74" s="73"/>
      <c r="M74" s="78" t="str">
        <f aca="false">IF(OR(E74="",F74=""),"",MAX(0,((F74-E74-N(G74))*1440-N(H74)*10)/60))</f>
        <v/>
      </c>
      <c r="N74" s="78" t="str">
        <f aca="false">IF($D74="欠席",0,IF(OR(I74="",J74=""),"",MAX(0,((J74-I74-N(K74))*1440-N(L74)*10)/60)))</f>
        <v/>
      </c>
      <c r="O74" s="73"/>
    </row>
    <row r="75" customFormat="false" ht="15" hidden="false" customHeight="false" outlineLevel="0" collapsed="false">
      <c r="A75" s="77"/>
      <c r="B75" s="73"/>
      <c r="C75" s="71" t="str">
        <f aca="false">IF(B75="","",IFERROR(INDEX(マスタ!$F$2:$F$60,MATCH(B75,マスタ!$E$2:$E$60,0))&amp;"",""))</f>
        <v/>
      </c>
      <c r="D75" s="73"/>
      <c r="E75" s="75"/>
      <c r="F75" s="75"/>
      <c r="G75" s="75"/>
      <c r="H75" s="73"/>
      <c r="I75" s="75"/>
      <c r="J75" s="75"/>
      <c r="K75" s="75"/>
      <c r="L75" s="73"/>
      <c r="M75" s="78" t="str">
        <f aca="false">IF(OR(E75="",F75=""),"",MAX(0,((F75-E75-N(G75))*1440-N(H75)*10)/60))</f>
        <v/>
      </c>
      <c r="N75" s="78" t="str">
        <f aca="false">IF($D75="欠席",0,IF(OR(I75="",J75=""),"",MAX(0,((J75-I75-N(K75))*1440-N(L75)*10)/60)))</f>
        <v/>
      </c>
      <c r="O75" s="73"/>
    </row>
    <row r="76" customFormat="false" ht="15" hidden="false" customHeight="false" outlineLevel="0" collapsed="false">
      <c r="A76" s="77"/>
      <c r="B76" s="73"/>
      <c r="C76" s="71" t="str">
        <f aca="false">IF(B76="","",IFERROR(INDEX(マスタ!$F$2:$F$60,MATCH(B76,マスタ!$E$2:$E$60,0))&amp;"",""))</f>
        <v/>
      </c>
      <c r="D76" s="73"/>
      <c r="E76" s="75"/>
      <c r="F76" s="75"/>
      <c r="G76" s="75"/>
      <c r="H76" s="73"/>
      <c r="I76" s="75"/>
      <c r="J76" s="75"/>
      <c r="K76" s="75"/>
      <c r="L76" s="73"/>
      <c r="M76" s="78" t="str">
        <f aca="false">IF(OR(E76="",F76=""),"",MAX(0,((F76-E76-N(G76))*1440-N(H76)*10)/60))</f>
        <v/>
      </c>
      <c r="N76" s="78" t="str">
        <f aca="false">IF($D76="欠席",0,IF(OR(I76="",J76=""),"",MAX(0,((J76-I76-N(K76))*1440-N(L76)*10)/60)))</f>
        <v/>
      </c>
      <c r="O76" s="73"/>
    </row>
    <row r="77" customFormat="false" ht="15" hidden="false" customHeight="false" outlineLevel="0" collapsed="false">
      <c r="A77" s="77"/>
      <c r="B77" s="73"/>
      <c r="C77" s="71" t="str">
        <f aca="false">IF(B77="","",IFERROR(INDEX(マスタ!$F$2:$F$60,MATCH(B77,マスタ!$E$2:$E$60,0))&amp;"",""))</f>
        <v/>
      </c>
      <c r="D77" s="73"/>
      <c r="E77" s="75"/>
      <c r="F77" s="75"/>
      <c r="G77" s="75"/>
      <c r="H77" s="73"/>
      <c r="I77" s="75"/>
      <c r="J77" s="75"/>
      <c r="K77" s="75"/>
      <c r="L77" s="73"/>
      <c r="M77" s="78" t="str">
        <f aca="false">IF(OR(E77="",F77=""),"",MAX(0,((F77-E77-N(G77))*1440-N(H77)*10)/60))</f>
        <v/>
      </c>
      <c r="N77" s="78" t="str">
        <f aca="false">IF($D77="欠席",0,IF(OR(I77="",J77=""),"",MAX(0,((J77-I77-N(K77))*1440-N(L77)*10)/60)))</f>
        <v/>
      </c>
      <c r="O77" s="73"/>
    </row>
    <row r="78" customFormat="false" ht="15" hidden="false" customHeight="false" outlineLevel="0" collapsed="false">
      <c r="A78" s="77"/>
      <c r="B78" s="73"/>
      <c r="C78" s="71" t="str">
        <f aca="false">IF(B78="","",IFERROR(INDEX(マスタ!$F$2:$F$60,MATCH(B78,マスタ!$E$2:$E$60,0))&amp;"",""))</f>
        <v/>
      </c>
      <c r="D78" s="73"/>
      <c r="E78" s="75"/>
      <c r="F78" s="75"/>
      <c r="G78" s="75"/>
      <c r="H78" s="73"/>
      <c r="I78" s="75"/>
      <c r="J78" s="75"/>
      <c r="K78" s="75"/>
      <c r="L78" s="73"/>
      <c r="M78" s="78" t="str">
        <f aca="false">IF(OR(E78="",F78=""),"",MAX(0,((F78-E78-N(G78))*1440-N(H78)*10)/60))</f>
        <v/>
      </c>
      <c r="N78" s="78" t="str">
        <f aca="false">IF($D78="欠席",0,IF(OR(I78="",J78=""),"",MAX(0,((J78-I78-N(K78))*1440-N(L78)*10)/60)))</f>
        <v/>
      </c>
      <c r="O78" s="73"/>
    </row>
    <row r="79" customFormat="false" ht="15" hidden="false" customHeight="false" outlineLevel="0" collapsed="false">
      <c r="A79" s="77"/>
      <c r="B79" s="73"/>
      <c r="C79" s="71" t="str">
        <f aca="false">IF(B79="","",IFERROR(INDEX(マスタ!$F$2:$F$60,MATCH(B79,マスタ!$E$2:$E$60,0))&amp;"",""))</f>
        <v/>
      </c>
      <c r="D79" s="73"/>
      <c r="E79" s="75"/>
      <c r="F79" s="75"/>
      <c r="G79" s="75"/>
      <c r="H79" s="73"/>
      <c r="I79" s="75"/>
      <c r="J79" s="75"/>
      <c r="K79" s="75"/>
      <c r="L79" s="73"/>
      <c r="M79" s="78" t="str">
        <f aca="false">IF(OR(E79="",F79=""),"",MAX(0,((F79-E79-N(G79))*1440-N(H79)*10)/60))</f>
        <v/>
      </c>
      <c r="N79" s="78" t="str">
        <f aca="false">IF($D79="欠席",0,IF(OR(I79="",J79=""),"",MAX(0,((J79-I79-N(K79))*1440-N(L79)*10)/60)))</f>
        <v/>
      </c>
      <c r="O79" s="73"/>
    </row>
    <row r="80" customFormat="false" ht="15" hidden="false" customHeight="false" outlineLevel="0" collapsed="false">
      <c r="A80" s="77"/>
      <c r="B80" s="73"/>
      <c r="C80" s="71" t="str">
        <f aca="false">IF(B80="","",IFERROR(INDEX(マスタ!$F$2:$F$60,MATCH(B80,マスタ!$E$2:$E$60,0))&amp;"",""))</f>
        <v/>
      </c>
      <c r="D80" s="73"/>
      <c r="E80" s="75"/>
      <c r="F80" s="75"/>
      <c r="G80" s="75"/>
      <c r="H80" s="73"/>
      <c r="I80" s="75"/>
      <c r="J80" s="75"/>
      <c r="K80" s="75"/>
      <c r="L80" s="73"/>
      <c r="M80" s="78" t="str">
        <f aca="false">IF(OR(E80="",F80=""),"",MAX(0,((F80-E80-N(G80))*1440-N(H80)*10)/60))</f>
        <v/>
      </c>
      <c r="N80" s="78" t="str">
        <f aca="false">IF($D80="欠席",0,IF(OR(I80="",J80=""),"",MAX(0,((J80-I80-N(K80))*1440-N(L80)*10)/60)))</f>
        <v/>
      </c>
      <c r="O80" s="73"/>
    </row>
    <row r="81" customFormat="false" ht="15" hidden="false" customHeight="false" outlineLevel="0" collapsed="false">
      <c r="A81" s="77"/>
      <c r="B81" s="73"/>
      <c r="C81" s="71" t="str">
        <f aca="false">IF(B81="","",IFERROR(INDEX(マスタ!$F$2:$F$60,MATCH(B81,マスタ!$E$2:$E$60,0))&amp;"",""))</f>
        <v/>
      </c>
      <c r="D81" s="73"/>
      <c r="E81" s="75"/>
      <c r="F81" s="75"/>
      <c r="G81" s="75"/>
      <c r="H81" s="73"/>
      <c r="I81" s="75"/>
      <c r="J81" s="75"/>
      <c r="K81" s="75"/>
      <c r="L81" s="73"/>
      <c r="M81" s="78" t="str">
        <f aca="false">IF(OR(E81="",F81=""),"",MAX(0,((F81-E81-N(G81))*1440-N(H81)*10)/60))</f>
        <v/>
      </c>
      <c r="N81" s="78" t="str">
        <f aca="false">IF($D81="欠席",0,IF(OR(I81="",J81=""),"",MAX(0,((J81-I81-N(K81))*1440-N(L81)*10)/60)))</f>
        <v/>
      </c>
      <c r="O81" s="73"/>
    </row>
    <row r="82" customFormat="false" ht="15" hidden="false" customHeight="false" outlineLevel="0" collapsed="false">
      <c r="A82" s="77"/>
      <c r="B82" s="73"/>
      <c r="C82" s="71" t="str">
        <f aca="false">IF(B82="","",IFERROR(INDEX(マスタ!$F$2:$F$60,MATCH(B82,マスタ!$E$2:$E$60,0))&amp;"",""))</f>
        <v/>
      </c>
      <c r="D82" s="73"/>
      <c r="E82" s="75"/>
      <c r="F82" s="75"/>
      <c r="G82" s="75"/>
      <c r="H82" s="73"/>
      <c r="I82" s="75"/>
      <c r="J82" s="75"/>
      <c r="K82" s="75"/>
      <c r="L82" s="73"/>
      <c r="M82" s="78" t="str">
        <f aca="false">IF(OR(E82="",F82=""),"",MAX(0,((F82-E82-N(G82))*1440-N(H82)*10)/60))</f>
        <v/>
      </c>
      <c r="N82" s="78" t="str">
        <f aca="false">IF($D82="欠席",0,IF(OR(I82="",J82=""),"",MAX(0,((J82-I82-N(K82))*1440-N(L82)*10)/60)))</f>
        <v/>
      </c>
      <c r="O82" s="73"/>
    </row>
    <row r="83" customFormat="false" ht="15" hidden="false" customHeight="false" outlineLevel="0" collapsed="false">
      <c r="A83" s="77"/>
      <c r="B83" s="73"/>
      <c r="C83" s="71" t="str">
        <f aca="false">IF(B83="","",IFERROR(INDEX(マスタ!$F$2:$F$60,MATCH(B83,マスタ!$E$2:$E$60,0))&amp;"",""))</f>
        <v/>
      </c>
      <c r="D83" s="73"/>
      <c r="E83" s="75"/>
      <c r="F83" s="75"/>
      <c r="G83" s="75"/>
      <c r="H83" s="73"/>
      <c r="I83" s="75"/>
      <c r="J83" s="75"/>
      <c r="K83" s="75"/>
      <c r="L83" s="73"/>
      <c r="M83" s="78" t="str">
        <f aca="false">IF(OR(E83="",F83=""),"",MAX(0,((F83-E83-N(G83))*1440-N(H83)*10)/60))</f>
        <v/>
      </c>
      <c r="N83" s="78" t="str">
        <f aca="false">IF($D83="欠席",0,IF(OR(I83="",J83=""),"",MAX(0,((J83-I83-N(K83))*1440-N(L83)*10)/60)))</f>
        <v/>
      </c>
      <c r="O83" s="73"/>
    </row>
    <row r="84" customFormat="false" ht="15" hidden="false" customHeight="false" outlineLevel="0" collapsed="false">
      <c r="A84" s="77"/>
      <c r="B84" s="73"/>
      <c r="C84" s="71" t="str">
        <f aca="false">IF(B84="","",IFERROR(INDEX(マスタ!$F$2:$F$60,MATCH(B84,マスタ!$E$2:$E$60,0))&amp;"",""))</f>
        <v/>
      </c>
      <c r="D84" s="73"/>
      <c r="E84" s="75"/>
      <c r="F84" s="75"/>
      <c r="G84" s="75"/>
      <c r="H84" s="73"/>
      <c r="I84" s="75"/>
      <c r="J84" s="75"/>
      <c r="K84" s="75"/>
      <c r="L84" s="73"/>
      <c r="M84" s="78" t="str">
        <f aca="false">IF(OR(E84="",F84=""),"",MAX(0,((F84-E84-N(G84))*1440-N(H84)*10)/60))</f>
        <v/>
      </c>
      <c r="N84" s="78" t="str">
        <f aca="false">IF($D84="欠席",0,IF(OR(I84="",J84=""),"",MAX(0,((J84-I84-N(K84))*1440-N(L84)*10)/60)))</f>
        <v/>
      </c>
      <c r="O84" s="73"/>
    </row>
    <row r="85" customFormat="false" ht="15" hidden="false" customHeight="false" outlineLevel="0" collapsed="false">
      <c r="A85" s="77"/>
      <c r="B85" s="73"/>
      <c r="C85" s="71" t="str">
        <f aca="false">IF(B85="","",IFERROR(INDEX(マスタ!$F$2:$F$60,MATCH(B85,マスタ!$E$2:$E$60,0))&amp;"",""))</f>
        <v/>
      </c>
      <c r="D85" s="73"/>
      <c r="E85" s="75"/>
      <c r="F85" s="75"/>
      <c r="G85" s="75"/>
      <c r="H85" s="73"/>
      <c r="I85" s="75"/>
      <c r="J85" s="75"/>
      <c r="K85" s="75"/>
      <c r="L85" s="73"/>
      <c r="M85" s="78" t="str">
        <f aca="false">IF(OR(E85="",F85=""),"",MAX(0,((F85-E85-N(G85))*1440-N(H85)*10)/60))</f>
        <v/>
      </c>
      <c r="N85" s="78" t="str">
        <f aca="false">IF($D85="欠席",0,IF(OR(I85="",J85=""),"",MAX(0,((J85-I85-N(K85))*1440-N(L85)*10)/60)))</f>
        <v/>
      </c>
      <c r="O85" s="73"/>
    </row>
    <row r="86" customFormat="false" ht="15" hidden="false" customHeight="false" outlineLevel="0" collapsed="false">
      <c r="A86" s="77"/>
      <c r="B86" s="73"/>
      <c r="C86" s="71" t="str">
        <f aca="false">IF(B86="","",IFERROR(INDEX(マスタ!$F$2:$F$60,MATCH(B86,マスタ!$E$2:$E$60,0))&amp;"",""))</f>
        <v/>
      </c>
      <c r="D86" s="73"/>
      <c r="E86" s="75"/>
      <c r="F86" s="75"/>
      <c r="G86" s="75"/>
      <c r="H86" s="73"/>
      <c r="I86" s="75"/>
      <c r="J86" s="75"/>
      <c r="K86" s="75"/>
      <c r="L86" s="73"/>
      <c r="M86" s="78" t="str">
        <f aca="false">IF(OR(E86="",F86=""),"",MAX(0,((F86-E86-N(G86))*1440-N(H86)*10)/60))</f>
        <v/>
      </c>
      <c r="N86" s="78" t="str">
        <f aca="false">IF($D86="欠席",0,IF(OR(I86="",J86=""),"",MAX(0,((J86-I86-N(K86))*1440-N(L86)*10)/60)))</f>
        <v/>
      </c>
      <c r="O86" s="73"/>
    </row>
    <row r="87" customFormat="false" ht="15" hidden="false" customHeight="false" outlineLevel="0" collapsed="false">
      <c r="A87" s="77"/>
      <c r="B87" s="73"/>
      <c r="C87" s="71" t="str">
        <f aca="false">IF(B87="","",IFERROR(INDEX(マスタ!$F$2:$F$60,MATCH(B87,マスタ!$E$2:$E$60,0))&amp;"",""))</f>
        <v/>
      </c>
      <c r="D87" s="73"/>
      <c r="E87" s="75"/>
      <c r="F87" s="75"/>
      <c r="G87" s="75"/>
      <c r="H87" s="73"/>
      <c r="I87" s="75"/>
      <c r="J87" s="75"/>
      <c r="K87" s="75"/>
      <c r="L87" s="73"/>
      <c r="M87" s="78" t="str">
        <f aca="false">IF(OR(E87="",F87=""),"",MAX(0,((F87-E87-N(G87))*1440-N(H87)*10)/60))</f>
        <v/>
      </c>
      <c r="N87" s="78" t="str">
        <f aca="false">IF($D87="欠席",0,IF(OR(I87="",J87=""),"",MAX(0,((J87-I87-N(K87))*1440-N(L87)*10)/60)))</f>
        <v/>
      </c>
      <c r="O87" s="73"/>
    </row>
    <row r="88" customFormat="false" ht="15" hidden="false" customHeight="false" outlineLevel="0" collapsed="false">
      <c r="A88" s="77"/>
      <c r="B88" s="73"/>
      <c r="C88" s="71" t="str">
        <f aca="false">IF(B88="","",IFERROR(INDEX(マスタ!$F$2:$F$60,MATCH(B88,マスタ!$E$2:$E$60,0))&amp;"",""))</f>
        <v/>
      </c>
      <c r="D88" s="73"/>
      <c r="E88" s="75"/>
      <c r="F88" s="75"/>
      <c r="G88" s="75"/>
      <c r="H88" s="73"/>
      <c r="I88" s="75"/>
      <c r="J88" s="75"/>
      <c r="K88" s="75"/>
      <c r="L88" s="73"/>
      <c r="M88" s="78" t="str">
        <f aca="false">IF(OR(E88="",F88=""),"",MAX(0,((F88-E88-N(G88))*1440-N(H88)*10)/60))</f>
        <v/>
      </c>
      <c r="N88" s="78" t="str">
        <f aca="false">IF($D88="欠席",0,IF(OR(I88="",J88=""),"",MAX(0,((J88-I88-N(K88))*1440-N(L88)*10)/60)))</f>
        <v/>
      </c>
      <c r="O88" s="73"/>
    </row>
    <row r="89" customFormat="false" ht="15" hidden="false" customHeight="false" outlineLevel="0" collapsed="false">
      <c r="A89" s="77"/>
      <c r="B89" s="73"/>
      <c r="C89" s="71" t="str">
        <f aca="false">IF(B89="","",IFERROR(INDEX(マスタ!$F$2:$F$60,MATCH(B89,マスタ!$E$2:$E$60,0))&amp;"",""))</f>
        <v/>
      </c>
      <c r="D89" s="73"/>
      <c r="E89" s="75"/>
      <c r="F89" s="75"/>
      <c r="G89" s="75"/>
      <c r="H89" s="73"/>
      <c r="I89" s="75"/>
      <c r="J89" s="75"/>
      <c r="K89" s="75"/>
      <c r="L89" s="73"/>
      <c r="M89" s="78" t="str">
        <f aca="false">IF(OR(E89="",F89=""),"",MAX(0,((F89-E89-N(G89))*1440-N(H89)*10)/60))</f>
        <v/>
      </c>
      <c r="N89" s="78" t="str">
        <f aca="false">IF($D89="欠席",0,IF(OR(I89="",J89=""),"",MAX(0,((J89-I89-N(K89))*1440-N(L89)*10)/60)))</f>
        <v/>
      </c>
      <c r="O89" s="73"/>
    </row>
    <row r="90" customFormat="false" ht="15" hidden="false" customHeight="false" outlineLevel="0" collapsed="false">
      <c r="A90" s="77"/>
      <c r="B90" s="73"/>
      <c r="C90" s="71" t="str">
        <f aca="false">IF(B90="","",IFERROR(INDEX(マスタ!$F$2:$F$60,MATCH(B90,マスタ!$E$2:$E$60,0))&amp;"",""))</f>
        <v/>
      </c>
      <c r="D90" s="73"/>
      <c r="E90" s="75"/>
      <c r="F90" s="75"/>
      <c r="G90" s="75"/>
      <c r="H90" s="73"/>
      <c r="I90" s="75"/>
      <c r="J90" s="75"/>
      <c r="K90" s="75"/>
      <c r="L90" s="73"/>
      <c r="M90" s="78" t="str">
        <f aca="false">IF(OR(E90="",F90=""),"",MAX(0,((F90-E90-N(G90))*1440-N(H90)*10)/60))</f>
        <v/>
      </c>
      <c r="N90" s="78" t="str">
        <f aca="false">IF($D90="欠席",0,IF(OR(I90="",J90=""),"",MAX(0,((J90-I90-N(K90))*1440-N(L90)*10)/60)))</f>
        <v/>
      </c>
      <c r="O90" s="73"/>
    </row>
    <row r="91" customFormat="false" ht="15" hidden="false" customHeight="false" outlineLevel="0" collapsed="false">
      <c r="A91" s="77"/>
      <c r="B91" s="73"/>
      <c r="C91" s="71" t="str">
        <f aca="false">IF(B91="","",IFERROR(INDEX(マスタ!$F$2:$F$60,MATCH(B91,マスタ!$E$2:$E$60,0))&amp;"",""))</f>
        <v/>
      </c>
      <c r="D91" s="73"/>
      <c r="E91" s="75"/>
      <c r="F91" s="75"/>
      <c r="G91" s="75"/>
      <c r="H91" s="73"/>
      <c r="I91" s="75"/>
      <c r="J91" s="75"/>
      <c r="K91" s="75"/>
      <c r="L91" s="73"/>
      <c r="M91" s="78" t="str">
        <f aca="false">IF(OR(E91="",F91=""),"",MAX(0,((F91-E91-N(G91))*1440-N(H91)*10)/60))</f>
        <v/>
      </c>
      <c r="N91" s="78" t="str">
        <f aca="false">IF($D91="欠席",0,IF(OR(I91="",J91=""),"",MAX(0,((J91-I91-N(K91))*1440-N(L91)*10)/60)))</f>
        <v/>
      </c>
      <c r="O91" s="73"/>
    </row>
    <row r="92" customFormat="false" ht="15" hidden="false" customHeight="false" outlineLevel="0" collapsed="false">
      <c r="A92" s="77"/>
      <c r="B92" s="73"/>
      <c r="C92" s="71" t="str">
        <f aca="false">IF(B92="","",IFERROR(INDEX(マスタ!$F$2:$F$60,MATCH(B92,マスタ!$E$2:$E$60,0))&amp;"",""))</f>
        <v/>
      </c>
      <c r="D92" s="73"/>
      <c r="E92" s="75"/>
      <c r="F92" s="75"/>
      <c r="G92" s="75"/>
      <c r="H92" s="73"/>
      <c r="I92" s="75"/>
      <c r="J92" s="75"/>
      <c r="K92" s="75"/>
      <c r="L92" s="73"/>
      <c r="M92" s="78" t="str">
        <f aca="false">IF(OR(E92="",F92=""),"",MAX(0,((F92-E92-N(G92))*1440-N(H92)*10)/60))</f>
        <v/>
      </c>
      <c r="N92" s="78" t="str">
        <f aca="false">IF($D92="欠席",0,IF(OR(I92="",J92=""),"",MAX(0,((J92-I92-N(K92))*1440-N(L92)*10)/60)))</f>
        <v/>
      </c>
      <c r="O92" s="73"/>
    </row>
    <row r="93" customFormat="false" ht="15" hidden="false" customHeight="false" outlineLevel="0" collapsed="false">
      <c r="A93" s="77"/>
      <c r="B93" s="73"/>
      <c r="C93" s="71" t="str">
        <f aca="false">IF(B93="","",IFERROR(INDEX(マスタ!$F$2:$F$60,MATCH(B93,マスタ!$E$2:$E$60,0))&amp;"",""))</f>
        <v/>
      </c>
      <c r="D93" s="73"/>
      <c r="E93" s="75"/>
      <c r="F93" s="75"/>
      <c r="G93" s="75"/>
      <c r="H93" s="73"/>
      <c r="I93" s="75"/>
      <c r="J93" s="75"/>
      <c r="K93" s="75"/>
      <c r="L93" s="73"/>
      <c r="M93" s="78" t="str">
        <f aca="false">IF(OR(E93="",F93=""),"",MAX(0,((F93-E93-N(G93))*1440-N(H93)*10)/60))</f>
        <v/>
      </c>
      <c r="N93" s="78" t="str">
        <f aca="false">IF($D93="欠席",0,IF(OR(I93="",J93=""),"",MAX(0,((J93-I93-N(K93))*1440-N(L93)*10)/60)))</f>
        <v/>
      </c>
      <c r="O93" s="73"/>
    </row>
    <row r="94" customFormat="false" ht="15" hidden="false" customHeight="false" outlineLevel="0" collapsed="false">
      <c r="A94" s="77"/>
      <c r="B94" s="73"/>
      <c r="C94" s="71" t="str">
        <f aca="false">IF(B94="","",IFERROR(INDEX(マスタ!$F$2:$F$60,MATCH(B94,マスタ!$E$2:$E$60,0))&amp;"",""))</f>
        <v/>
      </c>
      <c r="D94" s="73"/>
      <c r="E94" s="75"/>
      <c r="F94" s="75"/>
      <c r="G94" s="75"/>
      <c r="H94" s="73"/>
      <c r="I94" s="75"/>
      <c r="J94" s="75"/>
      <c r="K94" s="75"/>
      <c r="L94" s="73"/>
      <c r="M94" s="78" t="str">
        <f aca="false">IF(OR(E94="",F94=""),"",MAX(0,((F94-E94-N(G94))*1440-N(H94)*10)/60))</f>
        <v/>
      </c>
      <c r="N94" s="78" t="str">
        <f aca="false">IF($D94="欠席",0,IF(OR(I94="",J94=""),"",MAX(0,((J94-I94-N(K94))*1440-N(L94)*10)/60)))</f>
        <v/>
      </c>
      <c r="O94" s="73"/>
    </row>
    <row r="95" customFormat="false" ht="15" hidden="false" customHeight="false" outlineLevel="0" collapsed="false">
      <c r="A95" s="77"/>
      <c r="B95" s="73"/>
      <c r="C95" s="71" t="str">
        <f aca="false">IF(B95="","",IFERROR(INDEX(マスタ!$F$2:$F$60,MATCH(B95,マスタ!$E$2:$E$60,0))&amp;"",""))</f>
        <v/>
      </c>
      <c r="D95" s="73"/>
      <c r="E95" s="75"/>
      <c r="F95" s="75"/>
      <c r="G95" s="75"/>
      <c r="H95" s="73"/>
      <c r="I95" s="75"/>
      <c r="J95" s="75"/>
      <c r="K95" s="75"/>
      <c r="L95" s="73"/>
      <c r="M95" s="78" t="str">
        <f aca="false">IF(OR(E95="",F95=""),"",MAX(0,((F95-E95-N(G95))*1440-N(H95)*10)/60))</f>
        <v/>
      </c>
      <c r="N95" s="78" t="str">
        <f aca="false">IF($D95="欠席",0,IF(OR(I95="",J95=""),"",MAX(0,((J95-I95-N(K95))*1440-N(L95)*10)/60)))</f>
        <v/>
      </c>
      <c r="O95" s="73"/>
    </row>
    <row r="96" customFormat="false" ht="15" hidden="false" customHeight="false" outlineLevel="0" collapsed="false">
      <c r="A96" s="77"/>
      <c r="B96" s="73"/>
      <c r="C96" s="71" t="str">
        <f aca="false">IF(B96="","",IFERROR(INDEX(マスタ!$F$2:$F$60,MATCH(B96,マスタ!$E$2:$E$60,0))&amp;"",""))</f>
        <v/>
      </c>
      <c r="D96" s="73"/>
      <c r="E96" s="75"/>
      <c r="F96" s="75"/>
      <c r="G96" s="75"/>
      <c r="H96" s="73"/>
      <c r="I96" s="75"/>
      <c r="J96" s="75"/>
      <c r="K96" s="75"/>
      <c r="L96" s="73"/>
      <c r="M96" s="78" t="str">
        <f aca="false">IF(OR(E96="",F96=""),"",MAX(0,((F96-E96-N(G96))*1440-N(H96)*10)/60))</f>
        <v/>
      </c>
      <c r="N96" s="78" t="str">
        <f aca="false">IF($D96="欠席",0,IF(OR(I96="",J96=""),"",MAX(0,((J96-I96-N(K96))*1440-N(L96)*10)/60)))</f>
        <v/>
      </c>
      <c r="O96" s="73"/>
    </row>
    <row r="97" customFormat="false" ht="15" hidden="false" customHeight="false" outlineLevel="0" collapsed="false">
      <c r="A97" s="77"/>
      <c r="B97" s="73"/>
      <c r="C97" s="71" t="str">
        <f aca="false">IF(B97="","",IFERROR(INDEX(マスタ!$F$2:$F$60,MATCH(B97,マスタ!$E$2:$E$60,0))&amp;"",""))</f>
        <v/>
      </c>
      <c r="D97" s="73"/>
      <c r="E97" s="75"/>
      <c r="F97" s="75"/>
      <c r="G97" s="75"/>
      <c r="H97" s="73"/>
      <c r="I97" s="75"/>
      <c r="J97" s="75"/>
      <c r="K97" s="75"/>
      <c r="L97" s="73"/>
      <c r="M97" s="78" t="str">
        <f aca="false">IF(OR(E97="",F97=""),"",MAX(0,((F97-E97-N(G97))*1440-N(H97)*10)/60))</f>
        <v/>
      </c>
      <c r="N97" s="78" t="str">
        <f aca="false">IF($D97="欠席",0,IF(OR(I97="",J97=""),"",MAX(0,((J97-I97-N(K97))*1440-N(L97)*10)/60)))</f>
        <v/>
      </c>
      <c r="O97" s="73"/>
    </row>
    <row r="98" customFormat="false" ht="15" hidden="false" customHeight="false" outlineLevel="0" collapsed="false">
      <c r="A98" s="77"/>
      <c r="B98" s="73"/>
      <c r="C98" s="71" t="str">
        <f aca="false">IF(B98="","",IFERROR(INDEX(マスタ!$F$2:$F$60,MATCH(B98,マスタ!$E$2:$E$60,0))&amp;"",""))</f>
        <v/>
      </c>
      <c r="D98" s="73"/>
      <c r="E98" s="75"/>
      <c r="F98" s="75"/>
      <c r="G98" s="75"/>
      <c r="H98" s="73"/>
      <c r="I98" s="75"/>
      <c r="J98" s="75"/>
      <c r="K98" s="75"/>
      <c r="L98" s="73"/>
      <c r="M98" s="78" t="str">
        <f aca="false">IF(OR(E98="",F98=""),"",MAX(0,((F98-E98-N(G98))*1440-N(H98)*10)/60))</f>
        <v/>
      </c>
      <c r="N98" s="78" t="str">
        <f aca="false">IF($D98="欠席",0,IF(OR(I98="",J98=""),"",MAX(0,((J98-I98-N(K98))*1440-N(L98)*10)/60)))</f>
        <v/>
      </c>
      <c r="O98" s="73"/>
    </row>
    <row r="99" customFormat="false" ht="15" hidden="false" customHeight="false" outlineLevel="0" collapsed="false">
      <c r="A99" s="77"/>
      <c r="B99" s="73"/>
      <c r="C99" s="71" t="str">
        <f aca="false">IF(B99="","",IFERROR(INDEX(マスタ!$F$2:$F$60,MATCH(B99,マスタ!$E$2:$E$60,0))&amp;"",""))</f>
        <v/>
      </c>
      <c r="D99" s="73"/>
      <c r="E99" s="75"/>
      <c r="F99" s="75"/>
      <c r="G99" s="75"/>
      <c r="H99" s="73"/>
      <c r="I99" s="75"/>
      <c r="J99" s="75"/>
      <c r="K99" s="75"/>
      <c r="L99" s="73"/>
      <c r="M99" s="78" t="str">
        <f aca="false">IF(OR(E99="",F99=""),"",MAX(0,((F99-E99-N(G99))*1440-N(H99)*10)/60))</f>
        <v/>
      </c>
      <c r="N99" s="78" t="str">
        <f aca="false">IF($D99="欠席",0,IF(OR(I99="",J99=""),"",MAX(0,((J99-I99-N(K99))*1440-N(L99)*10)/60)))</f>
        <v/>
      </c>
      <c r="O99" s="73"/>
    </row>
    <row r="100" customFormat="false" ht="15" hidden="false" customHeight="false" outlineLevel="0" collapsed="false">
      <c r="A100" s="77"/>
      <c r="B100" s="73"/>
      <c r="C100" s="71" t="str">
        <f aca="false">IF(B100="","",IFERROR(INDEX(マスタ!$F$2:$F$60,MATCH(B100,マスタ!$E$2:$E$60,0))&amp;"",""))</f>
        <v/>
      </c>
      <c r="D100" s="73"/>
      <c r="E100" s="75"/>
      <c r="F100" s="75"/>
      <c r="G100" s="75"/>
      <c r="H100" s="73"/>
      <c r="I100" s="75"/>
      <c r="J100" s="75"/>
      <c r="K100" s="75"/>
      <c r="L100" s="73"/>
      <c r="M100" s="78" t="str">
        <f aca="false">IF(OR(E100="",F100=""),"",MAX(0,((F100-E100-N(G100))*1440-N(H100)*10)/60))</f>
        <v/>
      </c>
      <c r="N100" s="78" t="str">
        <f aca="false">IF($D100="欠席",0,IF(OR(I100="",J100=""),"",MAX(0,((J100-I100-N(K100))*1440-N(L100)*10)/60)))</f>
        <v/>
      </c>
      <c r="O100" s="73"/>
    </row>
    <row r="101" customFormat="false" ht="15" hidden="false" customHeight="false" outlineLevel="0" collapsed="false">
      <c r="A101" s="77"/>
      <c r="B101" s="73"/>
      <c r="C101" s="71" t="str">
        <f aca="false">IF(B101="","",IFERROR(INDEX(マスタ!$F$2:$F$60,MATCH(B101,マスタ!$E$2:$E$60,0))&amp;"",""))</f>
        <v/>
      </c>
      <c r="D101" s="73"/>
      <c r="E101" s="75"/>
      <c r="F101" s="75"/>
      <c r="G101" s="75"/>
      <c r="H101" s="73"/>
      <c r="I101" s="75"/>
      <c r="J101" s="75"/>
      <c r="K101" s="75"/>
      <c r="L101" s="73"/>
      <c r="M101" s="78" t="str">
        <f aca="false">IF(OR(E101="",F101=""),"",MAX(0,((F101-E101-N(G101))*1440-N(H101)*10)/60))</f>
        <v/>
      </c>
      <c r="N101" s="78" t="str">
        <f aca="false">IF($D101="欠席",0,IF(OR(I101="",J101=""),"",MAX(0,((J101-I101-N(K101))*1440-N(L101)*10)/60)))</f>
        <v/>
      </c>
      <c r="O101" s="73"/>
    </row>
    <row r="102" customFormat="false" ht="15" hidden="false" customHeight="false" outlineLevel="0" collapsed="false">
      <c r="A102" s="77"/>
      <c r="B102" s="73"/>
      <c r="C102" s="71" t="str">
        <f aca="false">IF(B102="","",IFERROR(INDEX(マスタ!$F$2:$F$60,MATCH(B102,マスタ!$E$2:$E$60,0))&amp;"",""))</f>
        <v/>
      </c>
      <c r="D102" s="73"/>
      <c r="E102" s="75"/>
      <c r="F102" s="75"/>
      <c r="G102" s="75"/>
      <c r="H102" s="73"/>
      <c r="I102" s="75"/>
      <c r="J102" s="75"/>
      <c r="K102" s="75"/>
      <c r="L102" s="73"/>
      <c r="M102" s="78" t="str">
        <f aca="false">IF(OR(E102="",F102=""),"",MAX(0,((F102-E102-N(G102))*1440-N(H102)*10)/60))</f>
        <v/>
      </c>
      <c r="N102" s="78" t="str">
        <f aca="false">IF($D102="欠席",0,IF(OR(I102="",J102=""),"",MAX(0,((J102-I102-N(K102))*1440-N(L102)*10)/60)))</f>
        <v/>
      </c>
      <c r="O102" s="73"/>
    </row>
    <row r="103" customFormat="false" ht="15" hidden="false" customHeight="false" outlineLevel="0" collapsed="false">
      <c r="A103" s="77"/>
      <c r="B103" s="73"/>
      <c r="C103" s="71" t="str">
        <f aca="false">IF(B103="","",IFERROR(INDEX(マスタ!$F$2:$F$60,MATCH(B103,マスタ!$E$2:$E$60,0))&amp;"",""))</f>
        <v/>
      </c>
      <c r="D103" s="73"/>
      <c r="E103" s="75"/>
      <c r="F103" s="75"/>
      <c r="G103" s="75"/>
      <c r="H103" s="73"/>
      <c r="I103" s="75"/>
      <c r="J103" s="75"/>
      <c r="K103" s="75"/>
      <c r="L103" s="73"/>
      <c r="M103" s="78" t="str">
        <f aca="false">IF(OR(E103="",F103=""),"",MAX(0,((F103-E103-N(G103))*1440-N(H103)*10)/60))</f>
        <v/>
      </c>
      <c r="N103" s="78" t="str">
        <f aca="false">IF($D103="欠席",0,IF(OR(I103="",J103=""),"",MAX(0,((J103-I103-N(K103))*1440-N(L103)*10)/60)))</f>
        <v/>
      </c>
      <c r="O103" s="73"/>
    </row>
    <row r="104" customFormat="false" ht="15" hidden="false" customHeight="false" outlineLevel="0" collapsed="false">
      <c r="A104" s="77"/>
      <c r="B104" s="73"/>
      <c r="C104" s="71" t="str">
        <f aca="false">IF(B104="","",IFERROR(INDEX(マスタ!$F$2:$F$60,MATCH(B104,マスタ!$E$2:$E$60,0))&amp;"",""))</f>
        <v/>
      </c>
      <c r="D104" s="73"/>
      <c r="E104" s="75"/>
      <c r="F104" s="75"/>
      <c r="G104" s="75"/>
      <c r="H104" s="73"/>
      <c r="I104" s="75"/>
      <c r="J104" s="75"/>
      <c r="K104" s="75"/>
      <c r="L104" s="73"/>
      <c r="M104" s="78" t="str">
        <f aca="false">IF(OR(E104="",F104=""),"",MAX(0,((F104-E104-N(G104))*1440-N(H104)*10)/60))</f>
        <v/>
      </c>
      <c r="N104" s="78" t="str">
        <f aca="false">IF($D104="欠席",0,IF(OR(I104="",J104=""),"",MAX(0,((J104-I104-N(K104))*1440-N(L104)*10)/60)))</f>
        <v/>
      </c>
      <c r="O104" s="73"/>
    </row>
    <row r="105" customFormat="false" ht="15" hidden="false" customHeight="false" outlineLevel="0" collapsed="false">
      <c r="A105" s="77"/>
      <c r="B105" s="73"/>
      <c r="C105" s="71" t="str">
        <f aca="false">IF(B105="","",IFERROR(INDEX(マスタ!$F$2:$F$60,MATCH(B105,マスタ!$E$2:$E$60,0))&amp;"",""))</f>
        <v/>
      </c>
      <c r="D105" s="73"/>
      <c r="E105" s="75"/>
      <c r="F105" s="75"/>
      <c r="G105" s="75"/>
      <c r="H105" s="73"/>
      <c r="I105" s="75"/>
      <c r="J105" s="75"/>
      <c r="K105" s="75"/>
      <c r="L105" s="73"/>
      <c r="M105" s="78" t="str">
        <f aca="false">IF(OR(E105="",F105=""),"",MAX(0,((F105-E105-N(G105))*1440-N(H105)*10)/60))</f>
        <v/>
      </c>
      <c r="N105" s="78" t="str">
        <f aca="false">IF($D105="欠席",0,IF(OR(I105="",J105=""),"",MAX(0,((J105-I105-N(K105))*1440-N(L105)*10)/60)))</f>
        <v/>
      </c>
      <c r="O105" s="73"/>
    </row>
    <row r="106" customFormat="false" ht="15" hidden="false" customHeight="false" outlineLevel="0" collapsed="false">
      <c r="A106" s="77"/>
      <c r="B106" s="73"/>
      <c r="C106" s="71" t="str">
        <f aca="false">IF(B106="","",IFERROR(INDEX(マスタ!$F$2:$F$60,MATCH(B106,マスタ!$E$2:$E$60,0))&amp;"",""))</f>
        <v/>
      </c>
      <c r="D106" s="73"/>
      <c r="E106" s="75"/>
      <c r="F106" s="75"/>
      <c r="G106" s="75"/>
      <c r="H106" s="73"/>
      <c r="I106" s="75"/>
      <c r="J106" s="75"/>
      <c r="K106" s="75"/>
      <c r="L106" s="73"/>
      <c r="M106" s="78" t="str">
        <f aca="false">IF(OR(E106="",F106=""),"",MAX(0,((F106-E106-N(G106))*1440-N(H106)*10)/60))</f>
        <v/>
      </c>
      <c r="N106" s="78" t="str">
        <f aca="false">IF($D106="欠席",0,IF(OR(I106="",J106=""),"",MAX(0,((J106-I106-N(K106))*1440-N(L106)*10)/60)))</f>
        <v/>
      </c>
      <c r="O106" s="73"/>
    </row>
    <row r="107" customFormat="false" ht="15" hidden="false" customHeight="false" outlineLevel="0" collapsed="false">
      <c r="A107" s="77"/>
      <c r="B107" s="73"/>
      <c r="C107" s="71" t="str">
        <f aca="false">IF(B107="","",IFERROR(INDEX(マスタ!$F$2:$F$60,MATCH(B107,マスタ!$E$2:$E$60,0))&amp;"",""))</f>
        <v/>
      </c>
      <c r="D107" s="73"/>
      <c r="E107" s="75"/>
      <c r="F107" s="75"/>
      <c r="G107" s="75"/>
      <c r="H107" s="73"/>
      <c r="I107" s="75"/>
      <c r="J107" s="75"/>
      <c r="K107" s="75"/>
      <c r="L107" s="73"/>
      <c r="M107" s="78" t="str">
        <f aca="false">IF(OR(E107="",F107=""),"",MAX(0,((F107-E107-N(G107))*1440-N(H107)*10)/60))</f>
        <v/>
      </c>
      <c r="N107" s="78" t="str">
        <f aca="false">IF($D107="欠席",0,IF(OR(I107="",J107=""),"",MAX(0,((J107-I107-N(K107))*1440-N(L107)*10)/60)))</f>
        <v/>
      </c>
      <c r="O107" s="73"/>
    </row>
    <row r="108" customFormat="false" ht="15" hidden="false" customHeight="false" outlineLevel="0" collapsed="false">
      <c r="A108" s="77"/>
      <c r="B108" s="73"/>
      <c r="C108" s="71" t="str">
        <f aca="false">IF(B108="","",IFERROR(INDEX(マスタ!$F$2:$F$60,MATCH(B108,マスタ!$E$2:$E$60,0))&amp;"",""))</f>
        <v/>
      </c>
      <c r="D108" s="73"/>
      <c r="E108" s="75"/>
      <c r="F108" s="75"/>
      <c r="G108" s="75"/>
      <c r="H108" s="73"/>
      <c r="I108" s="75"/>
      <c r="J108" s="75"/>
      <c r="K108" s="75"/>
      <c r="L108" s="73"/>
      <c r="M108" s="78" t="str">
        <f aca="false">IF(OR(E108="",F108=""),"",MAX(0,((F108-E108-N(G108))*1440-N(H108)*10)/60))</f>
        <v/>
      </c>
      <c r="N108" s="78" t="str">
        <f aca="false">IF($D108="欠席",0,IF(OR(I108="",J108=""),"",MAX(0,((J108-I108-N(K108))*1440-N(L108)*10)/60)))</f>
        <v/>
      </c>
      <c r="O108" s="73"/>
    </row>
    <row r="109" customFormat="false" ht="15" hidden="false" customHeight="false" outlineLevel="0" collapsed="false">
      <c r="A109" s="77"/>
      <c r="B109" s="73"/>
      <c r="C109" s="71" t="str">
        <f aca="false">IF(B109="","",IFERROR(INDEX(マスタ!$F$2:$F$60,MATCH(B109,マスタ!$E$2:$E$60,0))&amp;"",""))</f>
        <v/>
      </c>
      <c r="D109" s="73"/>
      <c r="E109" s="75"/>
      <c r="F109" s="75"/>
      <c r="G109" s="75"/>
      <c r="H109" s="73"/>
      <c r="I109" s="75"/>
      <c r="J109" s="75"/>
      <c r="K109" s="75"/>
      <c r="L109" s="73"/>
      <c r="M109" s="78" t="str">
        <f aca="false">IF(OR(E109="",F109=""),"",MAX(0,((F109-E109-N(G109))*1440-N(H109)*10)/60))</f>
        <v/>
      </c>
      <c r="N109" s="78" t="str">
        <f aca="false">IF($D109="欠席",0,IF(OR(I109="",J109=""),"",MAX(0,((J109-I109-N(K109))*1440-N(L109)*10)/60)))</f>
        <v/>
      </c>
      <c r="O109" s="73"/>
    </row>
    <row r="110" customFormat="false" ht="15" hidden="false" customHeight="false" outlineLevel="0" collapsed="false">
      <c r="A110" s="77"/>
      <c r="B110" s="73"/>
      <c r="C110" s="71" t="str">
        <f aca="false">IF(B110="","",IFERROR(INDEX(マスタ!$F$2:$F$60,MATCH(B110,マスタ!$E$2:$E$60,0))&amp;"",""))</f>
        <v/>
      </c>
      <c r="D110" s="73"/>
      <c r="E110" s="75"/>
      <c r="F110" s="75"/>
      <c r="G110" s="75"/>
      <c r="H110" s="73"/>
      <c r="I110" s="75"/>
      <c r="J110" s="75"/>
      <c r="K110" s="75"/>
      <c r="L110" s="73"/>
      <c r="M110" s="78" t="str">
        <f aca="false">IF(OR(E110="",F110=""),"",MAX(0,((F110-E110-N(G110))*1440-N(H110)*10)/60))</f>
        <v/>
      </c>
      <c r="N110" s="78" t="str">
        <f aca="false">IF($D110="欠席",0,IF(OR(I110="",J110=""),"",MAX(0,((J110-I110-N(K110))*1440-N(L110)*10)/60)))</f>
        <v/>
      </c>
      <c r="O110" s="73"/>
    </row>
    <row r="111" customFormat="false" ht="15" hidden="false" customHeight="false" outlineLevel="0" collapsed="false">
      <c r="A111" s="77"/>
      <c r="B111" s="73"/>
      <c r="C111" s="71" t="str">
        <f aca="false">IF(B111="","",IFERROR(INDEX(マスタ!$F$2:$F$60,MATCH(B111,マスタ!$E$2:$E$60,0))&amp;"",""))</f>
        <v/>
      </c>
      <c r="D111" s="73"/>
      <c r="E111" s="75"/>
      <c r="F111" s="75"/>
      <c r="G111" s="75"/>
      <c r="H111" s="73"/>
      <c r="I111" s="75"/>
      <c r="J111" s="75"/>
      <c r="K111" s="75"/>
      <c r="L111" s="73"/>
      <c r="M111" s="78" t="str">
        <f aca="false">IF(OR(E111="",F111=""),"",MAX(0,((F111-E111-N(G111))*1440-N(H111)*10)/60))</f>
        <v/>
      </c>
      <c r="N111" s="78" t="str">
        <f aca="false">IF($D111="欠席",0,IF(OR(I111="",J111=""),"",MAX(0,((J111-I111-N(K111))*1440-N(L111)*10)/60)))</f>
        <v/>
      </c>
      <c r="O111" s="73"/>
    </row>
    <row r="112" customFormat="false" ht="15" hidden="false" customHeight="false" outlineLevel="0" collapsed="false">
      <c r="A112" s="77"/>
      <c r="B112" s="73"/>
      <c r="C112" s="71" t="str">
        <f aca="false">IF(B112="","",IFERROR(INDEX(マスタ!$F$2:$F$60,MATCH(B112,マスタ!$E$2:$E$60,0))&amp;"",""))</f>
        <v/>
      </c>
      <c r="D112" s="73"/>
      <c r="E112" s="75"/>
      <c r="F112" s="75"/>
      <c r="G112" s="75"/>
      <c r="H112" s="73"/>
      <c r="I112" s="75"/>
      <c r="J112" s="75"/>
      <c r="K112" s="75"/>
      <c r="L112" s="73"/>
      <c r="M112" s="78" t="str">
        <f aca="false">IF(OR(E112="",F112=""),"",MAX(0,((F112-E112-N(G112))*1440-N(H112)*10)/60))</f>
        <v/>
      </c>
      <c r="N112" s="78" t="str">
        <f aca="false">IF($D112="欠席",0,IF(OR(I112="",J112=""),"",MAX(0,((J112-I112-N(K112))*1440-N(L112)*10)/60)))</f>
        <v/>
      </c>
      <c r="O112" s="73"/>
    </row>
    <row r="113" customFormat="false" ht="15" hidden="false" customHeight="false" outlineLevel="0" collapsed="false">
      <c r="A113" s="77"/>
      <c r="B113" s="73"/>
      <c r="C113" s="71" t="str">
        <f aca="false">IF(B113="","",IFERROR(INDEX(マスタ!$F$2:$F$60,MATCH(B113,マスタ!$E$2:$E$60,0))&amp;"",""))</f>
        <v/>
      </c>
      <c r="D113" s="73"/>
      <c r="E113" s="75"/>
      <c r="F113" s="75"/>
      <c r="G113" s="75"/>
      <c r="H113" s="73"/>
      <c r="I113" s="75"/>
      <c r="J113" s="75"/>
      <c r="K113" s="75"/>
      <c r="L113" s="73"/>
      <c r="M113" s="78" t="str">
        <f aca="false">IF(OR(E113="",F113=""),"",MAX(0,((F113-E113-N(G113))*1440-N(H113)*10)/60))</f>
        <v/>
      </c>
      <c r="N113" s="78" t="str">
        <f aca="false">IF($D113="欠席",0,IF(OR(I113="",J113=""),"",MAX(0,((J113-I113-N(K113))*1440-N(L113)*10)/60)))</f>
        <v/>
      </c>
      <c r="O113" s="73"/>
    </row>
    <row r="114" customFormat="false" ht="15" hidden="false" customHeight="false" outlineLevel="0" collapsed="false">
      <c r="A114" s="77"/>
      <c r="B114" s="73"/>
      <c r="C114" s="71" t="str">
        <f aca="false">IF(B114="","",IFERROR(INDEX(マスタ!$F$2:$F$60,MATCH(B114,マスタ!$E$2:$E$60,0))&amp;"",""))</f>
        <v/>
      </c>
      <c r="D114" s="73"/>
      <c r="E114" s="75"/>
      <c r="F114" s="75"/>
      <c r="G114" s="75"/>
      <c r="H114" s="73"/>
      <c r="I114" s="75"/>
      <c r="J114" s="75"/>
      <c r="K114" s="75"/>
      <c r="L114" s="73"/>
      <c r="M114" s="78" t="str">
        <f aca="false">IF(OR(E114="",F114=""),"",MAX(0,((F114-E114-N(G114))*1440-N(H114)*10)/60))</f>
        <v/>
      </c>
      <c r="N114" s="78" t="str">
        <f aca="false">IF($D114="欠席",0,IF(OR(I114="",J114=""),"",MAX(0,((J114-I114-N(K114))*1440-N(L114)*10)/60)))</f>
        <v/>
      </c>
      <c r="O114" s="73"/>
    </row>
    <row r="115" customFormat="false" ht="15" hidden="false" customHeight="false" outlineLevel="0" collapsed="false">
      <c r="A115" s="77"/>
      <c r="B115" s="73"/>
      <c r="C115" s="71" t="str">
        <f aca="false">IF(B115="","",IFERROR(INDEX(マスタ!$F$2:$F$60,MATCH(B115,マスタ!$E$2:$E$60,0))&amp;"",""))</f>
        <v/>
      </c>
      <c r="D115" s="73"/>
      <c r="E115" s="75"/>
      <c r="F115" s="75"/>
      <c r="G115" s="75"/>
      <c r="H115" s="73"/>
      <c r="I115" s="75"/>
      <c r="J115" s="75"/>
      <c r="K115" s="75"/>
      <c r="L115" s="73"/>
      <c r="M115" s="78" t="str">
        <f aca="false">IF(OR(E115="",F115=""),"",MAX(0,((F115-E115-N(G115))*1440-N(H115)*10)/60))</f>
        <v/>
      </c>
      <c r="N115" s="78" t="str">
        <f aca="false">IF($D115="欠席",0,IF(OR(I115="",J115=""),"",MAX(0,((J115-I115-N(K115))*1440-N(L115)*10)/60)))</f>
        <v/>
      </c>
      <c r="O115" s="73"/>
    </row>
    <row r="116" customFormat="false" ht="15" hidden="false" customHeight="false" outlineLevel="0" collapsed="false">
      <c r="A116" s="77"/>
      <c r="B116" s="73"/>
      <c r="C116" s="71" t="str">
        <f aca="false">IF(B116="","",IFERROR(INDEX(マスタ!$F$2:$F$60,MATCH(B116,マスタ!$E$2:$E$60,0))&amp;"",""))</f>
        <v/>
      </c>
      <c r="D116" s="73"/>
      <c r="E116" s="75"/>
      <c r="F116" s="75"/>
      <c r="G116" s="75"/>
      <c r="H116" s="73"/>
      <c r="I116" s="75"/>
      <c r="J116" s="75"/>
      <c r="K116" s="75"/>
      <c r="L116" s="73"/>
      <c r="M116" s="78" t="str">
        <f aca="false">IF(OR(E116="",F116=""),"",MAX(0,((F116-E116-N(G116))*1440-N(H116)*10)/60))</f>
        <v/>
      </c>
      <c r="N116" s="78" t="str">
        <f aca="false">IF($D116="欠席",0,IF(OR(I116="",J116=""),"",MAX(0,((J116-I116-N(K116))*1440-N(L116)*10)/60)))</f>
        <v/>
      </c>
      <c r="O116" s="73"/>
    </row>
    <row r="117" customFormat="false" ht="15" hidden="false" customHeight="false" outlineLevel="0" collapsed="false">
      <c r="A117" s="77"/>
      <c r="B117" s="73"/>
      <c r="C117" s="71" t="str">
        <f aca="false">IF(B117="","",IFERROR(INDEX(マスタ!$F$2:$F$60,MATCH(B117,マスタ!$E$2:$E$60,0))&amp;"",""))</f>
        <v/>
      </c>
      <c r="D117" s="73"/>
      <c r="E117" s="75"/>
      <c r="F117" s="75"/>
      <c r="G117" s="75"/>
      <c r="H117" s="73"/>
      <c r="I117" s="75"/>
      <c r="J117" s="75"/>
      <c r="K117" s="75"/>
      <c r="L117" s="73"/>
      <c r="M117" s="78" t="str">
        <f aca="false">IF(OR(E117="",F117=""),"",MAX(0,((F117-E117-N(G117))*1440-N(H117)*10)/60))</f>
        <v/>
      </c>
      <c r="N117" s="78" t="str">
        <f aca="false">IF($D117="欠席",0,IF(OR(I117="",J117=""),"",MAX(0,((J117-I117-N(K117))*1440-N(L117)*10)/60)))</f>
        <v/>
      </c>
      <c r="O117" s="73"/>
    </row>
    <row r="118" customFormat="false" ht="15" hidden="false" customHeight="false" outlineLevel="0" collapsed="false">
      <c r="A118" s="77"/>
      <c r="B118" s="73"/>
      <c r="C118" s="71" t="str">
        <f aca="false">IF(B118="","",IFERROR(INDEX(マスタ!$F$2:$F$60,MATCH(B118,マスタ!$E$2:$E$60,0))&amp;"",""))</f>
        <v/>
      </c>
      <c r="D118" s="73"/>
      <c r="E118" s="75"/>
      <c r="F118" s="75"/>
      <c r="G118" s="75"/>
      <c r="H118" s="73"/>
      <c r="I118" s="75"/>
      <c r="J118" s="75"/>
      <c r="K118" s="75"/>
      <c r="L118" s="73"/>
      <c r="M118" s="78" t="str">
        <f aca="false">IF(OR(E118="",F118=""),"",MAX(0,((F118-E118-N(G118))*1440-N(H118)*10)/60))</f>
        <v/>
      </c>
      <c r="N118" s="78" t="str">
        <f aca="false">IF($D118="欠席",0,IF(OR(I118="",J118=""),"",MAX(0,((J118-I118-N(K118))*1440-N(L118)*10)/60)))</f>
        <v/>
      </c>
      <c r="O118" s="73"/>
    </row>
    <row r="119" customFormat="false" ht="15" hidden="false" customHeight="false" outlineLevel="0" collapsed="false">
      <c r="A119" s="77"/>
      <c r="B119" s="73"/>
      <c r="C119" s="71" t="str">
        <f aca="false">IF(B119="","",IFERROR(INDEX(マスタ!$F$2:$F$60,MATCH(B119,マスタ!$E$2:$E$60,0))&amp;"",""))</f>
        <v/>
      </c>
      <c r="D119" s="73"/>
      <c r="E119" s="75"/>
      <c r="F119" s="75"/>
      <c r="G119" s="75"/>
      <c r="H119" s="73"/>
      <c r="I119" s="75"/>
      <c r="J119" s="75"/>
      <c r="K119" s="75"/>
      <c r="L119" s="73"/>
      <c r="M119" s="78" t="str">
        <f aca="false">IF(OR(E119="",F119=""),"",MAX(0,((F119-E119-N(G119))*1440-N(H119)*10)/60))</f>
        <v/>
      </c>
      <c r="N119" s="78" t="str">
        <f aca="false">IF($D119="欠席",0,IF(OR(I119="",J119=""),"",MAX(0,((J119-I119-N(K119))*1440-N(L119)*10)/60)))</f>
        <v/>
      </c>
      <c r="O119" s="73"/>
    </row>
    <row r="120" customFormat="false" ht="15" hidden="false" customHeight="false" outlineLevel="0" collapsed="false">
      <c r="A120" s="77"/>
      <c r="B120" s="73"/>
      <c r="C120" s="71" t="str">
        <f aca="false">IF(B120="","",IFERROR(INDEX(マスタ!$F$2:$F$60,MATCH(B120,マスタ!$E$2:$E$60,0))&amp;"",""))</f>
        <v/>
      </c>
      <c r="D120" s="73"/>
      <c r="E120" s="75"/>
      <c r="F120" s="75"/>
      <c r="G120" s="75"/>
      <c r="H120" s="73"/>
      <c r="I120" s="75"/>
      <c r="J120" s="75"/>
      <c r="K120" s="75"/>
      <c r="L120" s="73"/>
      <c r="M120" s="78" t="str">
        <f aca="false">IF(OR(E120="",F120=""),"",MAX(0,((F120-E120-N(G120))*1440-N(H120)*10)/60))</f>
        <v/>
      </c>
      <c r="N120" s="78" t="str">
        <f aca="false">IF($D120="欠席",0,IF(OR(I120="",J120=""),"",MAX(0,((J120-I120-N(K120))*1440-N(L120)*10)/60)))</f>
        <v/>
      </c>
      <c r="O120" s="73"/>
    </row>
    <row r="121" customFormat="false" ht="15" hidden="false" customHeight="false" outlineLevel="0" collapsed="false">
      <c r="A121" s="77"/>
      <c r="B121" s="73"/>
      <c r="C121" s="71" t="str">
        <f aca="false">IF(B121="","",IFERROR(INDEX(マスタ!$F$2:$F$60,MATCH(B121,マスタ!$E$2:$E$60,0))&amp;"",""))</f>
        <v/>
      </c>
      <c r="D121" s="73"/>
      <c r="E121" s="75"/>
      <c r="F121" s="75"/>
      <c r="G121" s="75"/>
      <c r="H121" s="73"/>
      <c r="I121" s="75"/>
      <c r="J121" s="75"/>
      <c r="K121" s="75"/>
      <c r="L121" s="73"/>
      <c r="M121" s="78" t="str">
        <f aca="false">IF(OR(E121="",F121=""),"",MAX(0,((F121-E121-N(G121))*1440-N(H121)*10)/60))</f>
        <v/>
      </c>
      <c r="N121" s="78" t="str">
        <f aca="false">IF($D121="欠席",0,IF(OR(I121="",J121=""),"",MAX(0,((J121-I121-N(K121))*1440-N(L121)*10)/60)))</f>
        <v/>
      </c>
      <c r="O121" s="73"/>
    </row>
    <row r="122" customFormat="false" ht="15" hidden="false" customHeight="false" outlineLevel="0" collapsed="false">
      <c r="A122" s="77"/>
      <c r="B122" s="73"/>
      <c r="C122" s="71" t="str">
        <f aca="false">IF(B122="","",IFERROR(INDEX(マスタ!$F$2:$F$60,MATCH(B122,マスタ!$E$2:$E$60,0))&amp;"",""))</f>
        <v/>
      </c>
      <c r="D122" s="73"/>
      <c r="E122" s="75"/>
      <c r="F122" s="75"/>
      <c r="G122" s="75"/>
      <c r="H122" s="73"/>
      <c r="I122" s="75"/>
      <c r="J122" s="75"/>
      <c r="K122" s="75"/>
      <c r="L122" s="73"/>
      <c r="M122" s="78" t="str">
        <f aca="false">IF(OR(E122="",F122=""),"",MAX(0,((F122-E122-N(G122))*1440-N(H122)*10)/60))</f>
        <v/>
      </c>
      <c r="N122" s="78" t="str">
        <f aca="false">IF($D122="欠席",0,IF(OR(I122="",J122=""),"",MAX(0,((J122-I122-N(K122))*1440-N(L122)*10)/60)))</f>
        <v/>
      </c>
      <c r="O122" s="73"/>
    </row>
    <row r="123" customFormat="false" ht="15" hidden="false" customHeight="false" outlineLevel="0" collapsed="false">
      <c r="A123" s="77"/>
      <c r="B123" s="73"/>
      <c r="C123" s="71" t="str">
        <f aca="false">IF(B123="","",IFERROR(INDEX(マスタ!$F$2:$F$60,MATCH(B123,マスタ!$E$2:$E$60,0))&amp;"",""))</f>
        <v/>
      </c>
      <c r="D123" s="73"/>
      <c r="E123" s="75"/>
      <c r="F123" s="75"/>
      <c r="G123" s="75"/>
      <c r="H123" s="73"/>
      <c r="I123" s="75"/>
      <c r="J123" s="75"/>
      <c r="K123" s="75"/>
      <c r="L123" s="73"/>
      <c r="M123" s="78" t="str">
        <f aca="false">IF(OR(E123="",F123=""),"",MAX(0,((F123-E123-N(G123))*1440-N(H123)*10)/60))</f>
        <v/>
      </c>
      <c r="N123" s="78" t="str">
        <f aca="false">IF($D123="欠席",0,IF(OR(I123="",J123=""),"",MAX(0,((J123-I123-N(K123))*1440-N(L123)*10)/60)))</f>
        <v/>
      </c>
      <c r="O123" s="73"/>
    </row>
    <row r="124" customFormat="false" ht="15" hidden="false" customHeight="false" outlineLevel="0" collapsed="false">
      <c r="A124" s="77"/>
      <c r="B124" s="73"/>
      <c r="C124" s="71" t="str">
        <f aca="false">IF(B124="","",IFERROR(INDEX(マスタ!$F$2:$F$60,MATCH(B124,マスタ!$E$2:$E$60,0))&amp;"",""))</f>
        <v/>
      </c>
      <c r="D124" s="73"/>
      <c r="E124" s="75"/>
      <c r="F124" s="75"/>
      <c r="G124" s="75"/>
      <c r="H124" s="73"/>
      <c r="I124" s="75"/>
      <c r="J124" s="75"/>
      <c r="K124" s="75"/>
      <c r="L124" s="73"/>
      <c r="M124" s="78" t="str">
        <f aca="false">IF(OR(E124="",F124=""),"",MAX(0,((F124-E124-N(G124))*1440-N(H124)*10)/60))</f>
        <v/>
      </c>
      <c r="N124" s="78" t="str">
        <f aca="false">IF($D124="欠席",0,IF(OR(I124="",J124=""),"",MAX(0,((J124-I124-N(K124))*1440-N(L124)*10)/60)))</f>
        <v/>
      </c>
      <c r="O124" s="73"/>
    </row>
    <row r="125" customFormat="false" ht="15" hidden="false" customHeight="false" outlineLevel="0" collapsed="false">
      <c r="A125" s="77"/>
      <c r="B125" s="73"/>
      <c r="C125" s="71" t="str">
        <f aca="false">IF(B125="","",IFERROR(INDEX(マスタ!$F$2:$F$60,MATCH(B125,マスタ!$E$2:$E$60,0))&amp;"",""))</f>
        <v/>
      </c>
      <c r="D125" s="73"/>
      <c r="E125" s="75"/>
      <c r="F125" s="75"/>
      <c r="G125" s="75"/>
      <c r="H125" s="73"/>
      <c r="I125" s="75"/>
      <c r="J125" s="75"/>
      <c r="K125" s="75"/>
      <c r="L125" s="73"/>
      <c r="M125" s="78" t="str">
        <f aca="false">IF(OR(E125="",F125=""),"",MAX(0,((F125-E125-N(G125))*1440-N(H125)*10)/60))</f>
        <v/>
      </c>
      <c r="N125" s="78" t="str">
        <f aca="false">IF($D125="欠席",0,IF(OR(I125="",J125=""),"",MAX(0,((J125-I125-N(K125))*1440-N(L125)*10)/60)))</f>
        <v/>
      </c>
      <c r="O125" s="73"/>
    </row>
    <row r="126" customFormat="false" ht="15" hidden="false" customHeight="false" outlineLevel="0" collapsed="false">
      <c r="A126" s="77"/>
      <c r="B126" s="73"/>
      <c r="C126" s="71" t="str">
        <f aca="false">IF(B126="","",IFERROR(INDEX(マスタ!$F$2:$F$60,MATCH(B126,マスタ!$E$2:$E$60,0))&amp;"",""))</f>
        <v/>
      </c>
      <c r="D126" s="73"/>
      <c r="E126" s="75"/>
      <c r="F126" s="75"/>
      <c r="G126" s="75"/>
      <c r="H126" s="73"/>
      <c r="I126" s="75"/>
      <c r="J126" s="75"/>
      <c r="K126" s="75"/>
      <c r="L126" s="73"/>
      <c r="M126" s="78" t="str">
        <f aca="false">IF(OR(E126="",F126=""),"",MAX(0,((F126-E126-N(G126))*1440-N(H126)*10)/60))</f>
        <v/>
      </c>
      <c r="N126" s="78" t="str">
        <f aca="false">IF($D126="欠席",0,IF(OR(I126="",J126=""),"",MAX(0,((J126-I126-N(K126))*1440-N(L126)*10)/60)))</f>
        <v/>
      </c>
      <c r="O126" s="73"/>
    </row>
    <row r="127" customFormat="false" ht="15" hidden="false" customHeight="false" outlineLevel="0" collapsed="false">
      <c r="A127" s="77"/>
      <c r="B127" s="73"/>
      <c r="C127" s="71" t="str">
        <f aca="false">IF(B127="","",IFERROR(INDEX(マスタ!$F$2:$F$60,MATCH(B127,マスタ!$E$2:$E$60,0))&amp;"",""))</f>
        <v/>
      </c>
      <c r="D127" s="73"/>
      <c r="E127" s="75"/>
      <c r="F127" s="75"/>
      <c r="G127" s="75"/>
      <c r="H127" s="73"/>
      <c r="I127" s="75"/>
      <c r="J127" s="75"/>
      <c r="K127" s="75"/>
      <c r="L127" s="73"/>
      <c r="M127" s="78" t="str">
        <f aca="false">IF(OR(E127="",F127=""),"",MAX(0,((F127-E127-N(G127))*1440-N(H127)*10)/60))</f>
        <v/>
      </c>
      <c r="N127" s="78" t="str">
        <f aca="false">IF($D127="欠席",0,IF(OR(I127="",J127=""),"",MAX(0,((J127-I127-N(K127))*1440-N(L127)*10)/60)))</f>
        <v/>
      </c>
      <c r="O127" s="73"/>
    </row>
    <row r="128" customFormat="false" ht="15" hidden="false" customHeight="false" outlineLevel="0" collapsed="false">
      <c r="A128" s="77"/>
      <c r="B128" s="73"/>
      <c r="C128" s="71" t="str">
        <f aca="false">IF(B128="","",IFERROR(INDEX(マスタ!$F$2:$F$60,MATCH(B128,マスタ!$E$2:$E$60,0))&amp;"",""))</f>
        <v/>
      </c>
      <c r="D128" s="73"/>
      <c r="E128" s="75"/>
      <c r="F128" s="75"/>
      <c r="G128" s="75"/>
      <c r="H128" s="73"/>
      <c r="I128" s="75"/>
      <c r="J128" s="75"/>
      <c r="K128" s="75"/>
      <c r="L128" s="73"/>
      <c r="M128" s="78" t="str">
        <f aca="false">IF(OR(E128="",F128=""),"",MAX(0,((F128-E128-N(G128))*1440-N(H128)*10)/60))</f>
        <v/>
      </c>
      <c r="N128" s="78" t="str">
        <f aca="false">IF($D128="欠席",0,IF(OR(I128="",J128=""),"",MAX(0,((J128-I128-N(K128))*1440-N(L128)*10)/60)))</f>
        <v/>
      </c>
      <c r="O128" s="73"/>
    </row>
    <row r="129" customFormat="false" ht="15" hidden="false" customHeight="false" outlineLevel="0" collapsed="false">
      <c r="A129" s="77"/>
      <c r="B129" s="73"/>
      <c r="C129" s="71" t="str">
        <f aca="false">IF(B129="","",IFERROR(INDEX(マスタ!$F$2:$F$60,MATCH(B129,マスタ!$E$2:$E$60,0))&amp;"",""))</f>
        <v/>
      </c>
      <c r="D129" s="73"/>
      <c r="E129" s="75"/>
      <c r="F129" s="75"/>
      <c r="G129" s="75"/>
      <c r="H129" s="73"/>
      <c r="I129" s="75"/>
      <c r="J129" s="75"/>
      <c r="K129" s="75"/>
      <c r="L129" s="73"/>
      <c r="M129" s="78" t="str">
        <f aca="false">IF(OR(E129="",F129=""),"",MAX(0,((F129-E129-N(G129))*1440-N(H129)*10)/60))</f>
        <v/>
      </c>
      <c r="N129" s="78" t="str">
        <f aca="false">IF($D129="欠席",0,IF(OR(I129="",J129=""),"",MAX(0,((J129-I129-N(K129))*1440-N(L129)*10)/60)))</f>
        <v/>
      </c>
      <c r="O129" s="73"/>
    </row>
    <row r="130" customFormat="false" ht="15" hidden="false" customHeight="false" outlineLevel="0" collapsed="false">
      <c r="A130" s="77"/>
      <c r="B130" s="73"/>
      <c r="C130" s="71" t="str">
        <f aca="false">IF(B130="","",IFERROR(INDEX(マスタ!$F$2:$F$60,MATCH(B130,マスタ!$E$2:$E$60,0))&amp;"",""))</f>
        <v/>
      </c>
      <c r="D130" s="73"/>
      <c r="E130" s="75"/>
      <c r="F130" s="75"/>
      <c r="G130" s="75"/>
      <c r="H130" s="73"/>
      <c r="I130" s="75"/>
      <c r="J130" s="75"/>
      <c r="K130" s="75"/>
      <c r="L130" s="73"/>
      <c r="M130" s="78" t="str">
        <f aca="false">IF(OR(E130="",F130=""),"",MAX(0,((F130-E130-N(G130))*1440-N(H130)*10)/60))</f>
        <v/>
      </c>
      <c r="N130" s="78" t="str">
        <f aca="false">IF($D130="欠席",0,IF(OR(I130="",J130=""),"",MAX(0,((J130-I130-N(K130))*1440-N(L130)*10)/60)))</f>
        <v/>
      </c>
      <c r="O130" s="73"/>
    </row>
    <row r="131" customFormat="false" ht="15" hidden="false" customHeight="false" outlineLevel="0" collapsed="false">
      <c r="A131" s="77"/>
      <c r="B131" s="73"/>
      <c r="C131" s="71" t="str">
        <f aca="false">IF(B131="","",IFERROR(INDEX(マスタ!$F$2:$F$60,MATCH(B131,マスタ!$E$2:$E$60,0))&amp;"",""))</f>
        <v/>
      </c>
      <c r="D131" s="73"/>
      <c r="E131" s="75"/>
      <c r="F131" s="75"/>
      <c r="G131" s="75"/>
      <c r="H131" s="73"/>
      <c r="I131" s="75"/>
      <c r="J131" s="75"/>
      <c r="K131" s="75"/>
      <c r="L131" s="73"/>
      <c r="M131" s="78" t="str">
        <f aca="false">IF(OR(E131="",F131=""),"",MAX(0,((F131-E131-N(G131))*1440-N(H131)*10)/60))</f>
        <v/>
      </c>
      <c r="N131" s="78" t="str">
        <f aca="false">IF($D131="欠席",0,IF(OR(I131="",J131=""),"",MAX(0,((J131-I131-N(K131))*1440-N(L131)*10)/60)))</f>
        <v/>
      </c>
      <c r="O131" s="73"/>
    </row>
    <row r="132" customFormat="false" ht="15" hidden="false" customHeight="false" outlineLevel="0" collapsed="false">
      <c r="A132" s="77"/>
      <c r="B132" s="73"/>
      <c r="C132" s="71" t="str">
        <f aca="false">IF(B132="","",IFERROR(INDEX(マスタ!$F$2:$F$60,MATCH(B132,マスタ!$E$2:$E$60,0))&amp;"",""))</f>
        <v/>
      </c>
      <c r="D132" s="73"/>
      <c r="E132" s="75"/>
      <c r="F132" s="75"/>
      <c r="G132" s="75"/>
      <c r="H132" s="73"/>
      <c r="I132" s="75"/>
      <c r="J132" s="75"/>
      <c r="K132" s="75"/>
      <c r="L132" s="73"/>
      <c r="M132" s="78" t="str">
        <f aca="false">IF(OR(E132="",F132=""),"",MAX(0,((F132-E132-N(G132))*1440-N(H132)*10)/60))</f>
        <v/>
      </c>
      <c r="N132" s="78" t="str">
        <f aca="false">IF($D132="欠席",0,IF(OR(I132="",J132=""),"",MAX(0,((J132-I132-N(K132))*1440-N(L132)*10)/60)))</f>
        <v/>
      </c>
      <c r="O132" s="73"/>
    </row>
    <row r="133" customFormat="false" ht="15" hidden="false" customHeight="false" outlineLevel="0" collapsed="false">
      <c r="A133" s="77"/>
      <c r="B133" s="73"/>
      <c r="C133" s="71" t="str">
        <f aca="false">IF(B133="","",IFERROR(INDEX(マスタ!$F$2:$F$60,MATCH(B133,マスタ!$E$2:$E$60,0))&amp;"",""))</f>
        <v/>
      </c>
      <c r="D133" s="73"/>
      <c r="E133" s="75"/>
      <c r="F133" s="75"/>
      <c r="G133" s="75"/>
      <c r="H133" s="73"/>
      <c r="I133" s="75"/>
      <c r="J133" s="75"/>
      <c r="K133" s="75"/>
      <c r="L133" s="73"/>
      <c r="M133" s="78" t="str">
        <f aca="false">IF(OR(E133="",F133=""),"",MAX(0,((F133-E133-N(G133))*1440-N(H133)*10)/60))</f>
        <v/>
      </c>
      <c r="N133" s="78" t="str">
        <f aca="false">IF($D133="欠席",0,IF(OR(I133="",J133=""),"",MAX(0,((J133-I133-N(K133))*1440-N(L133)*10)/60)))</f>
        <v/>
      </c>
      <c r="O133" s="73"/>
    </row>
    <row r="134" customFormat="false" ht="15" hidden="false" customHeight="false" outlineLevel="0" collapsed="false">
      <c r="A134" s="77"/>
      <c r="B134" s="73"/>
      <c r="C134" s="71" t="str">
        <f aca="false">IF(B134="","",IFERROR(INDEX(マスタ!$F$2:$F$60,MATCH(B134,マスタ!$E$2:$E$60,0))&amp;"",""))</f>
        <v/>
      </c>
      <c r="D134" s="73"/>
      <c r="E134" s="75"/>
      <c r="F134" s="75"/>
      <c r="G134" s="75"/>
      <c r="H134" s="73"/>
      <c r="I134" s="75"/>
      <c r="J134" s="75"/>
      <c r="K134" s="75"/>
      <c r="L134" s="73"/>
      <c r="M134" s="78" t="str">
        <f aca="false">IF(OR(E134="",F134=""),"",MAX(0,((F134-E134-N(G134))*1440-N(H134)*10)/60))</f>
        <v/>
      </c>
      <c r="N134" s="78" t="str">
        <f aca="false">IF($D134="欠席",0,IF(OR(I134="",J134=""),"",MAX(0,((J134-I134-N(K134))*1440-N(L134)*10)/60)))</f>
        <v/>
      </c>
      <c r="O134" s="73"/>
    </row>
    <row r="135" customFormat="false" ht="15" hidden="false" customHeight="false" outlineLevel="0" collapsed="false">
      <c r="A135" s="77"/>
      <c r="B135" s="73"/>
      <c r="C135" s="71" t="str">
        <f aca="false">IF(B135="","",IFERROR(INDEX(マスタ!$F$2:$F$60,MATCH(B135,マスタ!$E$2:$E$60,0))&amp;"",""))</f>
        <v/>
      </c>
      <c r="D135" s="73"/>
      <c r="E135" s="75"/>
      <c r="F135" s="75"/>
      <c r="G135" s="75"/>
      <c r="H135" s="73"/>
      <c r="I135" s="75"/>
      <c r="J135" s="75"/>
      <c r="K135" s="75"/>
      <c r="L135" s="73"/>
      <c r="M135" s="78" t="str">
        <f aca="false">IF(OR(E135="",F135=""),"",MAX(0,((F135-E135-N(G135))*1440-N(H135)*10)/60))</f>
        <v/>
      </c>
      <c r="N135" s="78" t="str">
        <f aca="false">IF($D135="欠席",0,IF(OR(I135="",J135=""),"",MAX(0,((J135-I135-N(K135))*1440-N(L135)*10)/60)))</f>
        <v/>
      </c>
      <c r="O135" s="73"/>
    </row>
    <row r="136" customFormat="false" ht="15" hidden="false" customHeight="false" outlineLevel="0" collapsed="false">
      <c r="A136" s="77"/>
      <c r="B136" s="73"/>
      <c r="C136" s="71" t="str">
        <f aca="false">IF(B136="","",IFERROR(INDEX(マスタ!$F$2:$F$60,MATCH(B136,マスタ!$E$2:$E$60,0))&amp;"",""))</f>
        <v/>
      </c>
      <c r="D136" s="73"/>
      <c r="E136" s="75"/>
      <c r="F136" s="75"/>
      <c r="G136" s="75"/>
      <c r="H136" s="73"/>
      <c r="I136" s="75"/>
      <c r="J136" s="75"/>
      <c r="K136" s="75"/>
      <c r="L136" s="73"/>
      <c r="M136" s="78" t="str">
        <f aca="false">IF(OR(E136="",F136=""),"",MAX(0,((F136-E136-N(G136))*1440-N(H136)*10)/60))</f>
        <v/>
      </c>
      <c r="N136" s="78" t="str">
        <f aca="false">IF($D136="欠席",0,IF(OR(I136="",J136=""),"",MAX(0,((J136-I136-N(K136))*1440-N(L136)*10)/60)))</f>
        <v/>
      </c>
      <c r="O136" s="73"/>
    </row>
    <row r="137" customFormat="false" ht="15" hidden="false" customHeight="false" outlineLevel="0" collapsed="false">
      <c r="A137" s="77"/>
      <c r="B137" s="73"/>
      <c r="C137" s="71" t="str">
        <f aca="false">IF(B137="","",IFERROR(INDEX(マスタ!$F$2:$F$60,MATCH(B137,マスタ!$E$2:$E$60,0))&amp;"",""))</f>
        <v/>
      </c>
      <c r="D137" s="73"/>
      <c r="E137" s="75"/>
      <c r="F137" s="75"/>
      <c r="G137" s="75"/>
      <c r="H137" s="73"/>
      <c r="I137" s="75"/>
      <c r="J137" s="75"/>
      <c r="K137" s="75"/>
      <c r="L137" s="73"/>
      <c r="M137" s="78" t="str">
        <f aca="false">IF(OR(E137="",F137=""),"",MAX(0,((F137-E137-N(G137))*1440-N(H137)*10)/60))</f>
        <v/>
      </c>
      <c r="N137" s="78" t="str">
        <f aca="false">IF($D137="欠席",0,IF(OR(I137="",J137=""),"",MAX(0,((J137-I137-N(K137))*1440-N(L137)*10)/60)))</f>
        <v/>
      </c>
      <c r="O137" s="73"/>
    </row>
    <row r="138" customFormat="false" ht="15" hidden="false" customHeight="false" outlineLevel="0" collapsed="false">
      <c r="A138" s="77"/>
      <c r="B138" s="73"/>
      <c r="C138" s="71" t="str">
        <f aca="false">IF(B138="","",IFERROR(INDEX(マスタ!$F$2:$F$60,MATCH(B138,マスタ!$E$2:$E$60,0))&amp;"",""))</f>
        <v/>
      </c>
      <c r="D138" s="73"/>
      <c r="E138" s="75"/>
      <c r="F138" s="75"/>
      <c r="G138" s="75"/>
      <c r="H138" s="73"/>
      <c r="I138" s="75"/>
      <c r="J138" s="75"/>
      <c r="K138" s="75"/>
      <c r="L138" s="73"/>
      <c r="M138" s="78" t="str">
        <f aca="false">IF(OR(E138="",F138=""),"",MAX(0,((F138-E138-N(G138))*1440-N(H138)*10)/60))</f>
        <v/>
      </c>
      <c r="N138" s="78" t="str">
        <f aca="false">IF($D138="欠席",0,IF(OR(I138="",J138=""),"",MAX(0,((J138-I138-N(K138))*1440-N(L138)*10)/60)))</f>
        <v/>
      </c>
      <c r="O138" s="73"/>
    </row>
    <row r="139" customFormat="false" ht="15" hidden="false" customHeight="false" outlineLevel="0" collapsed="false">
      <c r="A139" s="77"/>
      <c r="B139" s="73"/>
      <c r="C139" s="71" t="str">
        <f aca="false">IF(B139="","",IFERROR(INDEX(マスタ!$F$2:$F$60,MATCH(B139,マスタ!$E$2:$E$60,0))&amp;"",""))</f>
        <v/>
      </c>
      <c r="D139" s="73"/>
      <c r="E139" s="75"/>
      <c r="F139" s="75"/>
      <c r="G139" s="75"/>
      <c r="H139" s="73"/>
      <c r="I139" s="75"/>
      <c r="J139" s="75"/>
      <c r="K139" s="75"/>
      <c r="L139" s="73"/>
      <c r="M139" s="78" t="str">
        <f aca="false">IF(OR(E139="",F139=""),"",MAX(0,((F139-E139-N(G139))*1440-N(H139)*10)/60))</f>
        <v/>
      </c>
      <c r="N139" s="78" t="str">
        <f aca="false">IF($D139="欠席",0,IF(OR(I139="",J139=""),"",MAX(0,((J139-I139-N(K139))*1440-N(L139)*10)/60)))</f>
        <v/>
      </c>
      <c r="O139" s="73"/>
    </row>
    <row r="140" customFormat="false" ht="15" hidden="false" customHeight="false" outlineLevel="0" collapsed="false">
      <c r="A140" s="77"/>
      <c r="B140" s="73"/>
      <c r="C140" s="71" t="str">
        <f aca="false">IF(B140="","",IFERROR(INDEX(マスタ!$F$2:$F$60,MATCH(B140,マスタ!$E$2:$E$60,0))&amp;"",""))</f>
        <v/>
      </c>
      <c r="D140" s="73"/>
      <c r="E140" s="75"/>
      <c r="F140" s="75"/>
      <c r="G140" s="75"/>
      <c r="H140" s="73"/>
      <c r="I140" s="75"/>
      <c r="J140" s="75"/>
      <c r="K140" s="75"/>
      <c r="L140" s="73"/>
      <c r="M140" s="78" t="str">
        <f aca="false">IF(OR(E140="",F140=""),"",MAX(0,((F140-E140-N(G140))*1440-N(H140)*10)/60))</f>
        <v/>
      </c>
      <c r="N140" s="78" t="str">
        <f aca="false">IF($D140="欠席",0,IF(OR(I140="",J140=""),"",MAX(0,((J140-I140-N(K140))*1440-N(L140)*10)/60)))</f>
        <v/>
      </c>
      <c r="O140" s="73"/>
    </row>
    <row r="141" customFormat="false" ht="15" hidden="false" customHeight="false" outlineLevel="0" collapsed="false">
      <c r="A141" s="77"/>
      <c r="B141" s="73"/>
      <c r="C141" s="71" t="str">
        <f aca="false">IF(B141="","",IFERROR(INDEX(マスタ!$F$2:$F$60,MATCH(B141,マスタ!$E$2:$E$60,0))&amp;"",""))</f>
        <v/>
      </c>
      <c r="D141" s="73"/>
      <c r="E141" s="75"/>
      <c r="F141" s="75"/>
      <c r="G141" s="75"/>
      <c r="H141" s="73"/>
      <c r="I141" s="75"/>
      <c r="J141" s="75"/>
      <c r="K141" s="75"/>
      <c r="L141" s="73"/>
      <c r="M141" s="78" t="str">
        <f aca="false">IF(OR(E141="",F141=""),"",MAX(0,((F141-E141-N(G141))*1440-N(H141)*10)/60))</f>
        <v/>
      </c>
      <c r="N141" s="78" t="str">
        <f aca="false">IF($D141="欠席",0,IF(OR(I141="",J141=""),"",MAX(0,((J141-I141-N(K141))*1440-N(L141)*10)/60)))</f>
        <v/>
      </c>
      <c r="O141" s="73"/>
    </row>
    <row r="142" customFormat="false" ht="15" hidden="false" customHeight="false" outlineLevel="0" collapsed="false">
      <c r="A142" s="77"/>
      <c r="B142" s="73"/>
      <c r="C142" s="71" t="str">
        <f aca="false">IF(B142="","",IFERROR(INDEX(マスタ!$F$2:$F$60,MATCH(B142,マスタ!$E$2:$E$60,0))&amp;"",""))</f>
        <v/>
      </c>
      <c r="D142" s="73"/>
      <c r="E142" s="75"/>
      <c r="F142" s="75"/>
      <c r="G142" s="75"/>
      <c r="H142" s="73"/>
      <c r="I142" s="75"/>
      <c r="J142" s="75"/>
      <c r="K142" s="75"/>
      <c r="L142" s="73"/>
      <c r="M142" s="78" t="str">
        <f aca="false">IF(OR(E142="",F142=""),"",MAX(0,((F142-E142-N(G142))*1440-N(H142)*10)/60))</f>
        <v/>
      </c>
      <c r="N142" s="78" t="str">
        <f aca="false">IF($D142="欠席",0,IF(OR(I142="",J142=""),"",MAX(0,((J142-I142-N(K142))*1440-N(L142)*10)/60)))</f>
        <v/>
      </c>
      <c r="O142" s="73"/>
    </row>
    <row r="143" customFormat="false" ht="15" hidden="false" customHeight="false" outlineLevel="0" collapsed="false">
      <c r="A143" s="77"/>
      <c r="B143" s="73"/>
      <c r="C143" s="71" t="str">
        <f aca="false">IF(B143="","",IFERROR(INDEX(マスタ!$F$2:$F$60,MATCH(B143,マスタ!$E$2:$E$60,0))&amp;"",""))</f>
        <v/>
      </c>
      <c r="D143" s="73"/>
      <c r="E143" s="75"/>
      <c r="F143" s="75"/>
      <c r="G143" s="75"/>
      <c r="H143" s="73"/>
      <c r="I143" s="75"/>
      <c r="J143" s="75"/>
      <c r="K143" s="75"/>
      <c r="L143" s="73"/>
      <c r="M143" s="78" t="str">
        <f aca="false">IF(OR(E143="",F143=""),"",MAX(0,((F143-E143-N(G143))*1440-N(H143)*10)/60))</f>
        <v/>
      </c>
      <c r="N143" s="78" t="str">
        <f aca="false">IF($D143="欠席",0,IF(OR(I143="",J143=""),"",MAX(0,((J143-I143-N(K143))*1440-N(L143)*10)/60)))</f>
        <v/>
      </c>
      <c r="O143" s="73"/>
    </row>
    <row r="144" customFormat="false" ht="15" hidden="false" customHeight="false" outlineLevel="0" collapsed="false">
      <c r="A144" s="77"/>
      <c r="B144" s="73"/>
      <c r="C144" s="71" t="str">
        <f aca="false">IF(B144="","",IFERROR(INDEX(マスタ!$F$2:$F$60,MATCH(B144,マスタ!$E$2:$E$60,0))&amp;"",""))</f>
        <v/>
      </c>
      <c r="D144" s="73"/>
      <c r="E144" s="75"/>
      <c r="F144" s="75"/>
      <c r="G144" s="75"/>
      <c r="H144" s="73"/>
      <c r="I144" s="75"/>
      <c r="J144" s="75"/>
      <c r="K144" s="75"/>
      <c r="L144" s="73"/>
      <c r="M144" s="78" t="str">
        <f aca="false">IF(OR(E144="",F144=""),"",MAX(0,((F144-E144-N(G144))*1440-N(H144)*10)/60))</f>
        <v/>
      </c>
      <c r="N144" s="78" t="str">
        <f aca="false">IF($D144="欠席",0,IF(OR(I144="",J144=""),"",MAX(0,((J144-I144-N(K144))*1440-N(L144)*10)/60)))</f>
        <v/>
      </c>
      <c r="O144" s="73"/>
    </row>
    <row r="145" customFormat="false" ht="15" hidden="false" customHeight="false" outlineLevel="0" collapsed="false">
      <c r="A145" s="77"/>
      <c r="B145" s="73"/>
      <c r="C145" s="71" t="str">
        <f aca="false">IF(B145="","",IFERROR(INDEX(マスタ!$F$2:$F$60,MATCH(B145,マスタ!$E$2:$E$60,0))&amp;"",""))</f>
        <v/>
      </c>
      <c r="D145" s="73"/>
      <c r="E145" s="75"/>
      <c r="F145" s="75"/>
      <c r="G145" s="75"/>
      <c r="H145" s="73"/>
      <c r="I145" s="75"/>
      <c r="J145" s="75"/>
      <c r="K145" s="75"/>
      <c r="L145" s="73"/>
      <c r="M145" s="78" t="str">
        <f aca="false">IF(OR(E145="",F145=""),"",MAX(0,((F145-E145-N(G145))*1440-N(H145)*10)/60))</f>
        <v/>
      </c>
      <c r="N145" s="78" t="str">
        <f aca="false">IF($D145="欠席",0,IF(OR(I145="",J145=""),"",MAX(0,((J145-I145-N(K145))*1440-N(L145)*10)/60)))</f>
        <v/>
      </c>
      <c r="O145" s="73"/>
    </row>
    <row r="146" customFormat="false" ht="15" hidden="false" customHeight="false" outlineLevel="0" collapsed="false">
      <c r="A146" s="77"/>
      <c r="B146" s="73"/>
      <c r="C146" s="71" t="str">
        <f aca="false">IF(B146="","",IFERROR(INDEX(マスタ!$F$2:$F$60,MATCH(B146,マスタ!$E$2:$E$60,0))&amp;"",""))</f>
        <v/>
      </c>
      <c r="D146" s="73"/>
      <c r="E146" s="75"/>
      <c r="F146" s="75"/>
      <c r="G146" s="75"/>
      <c r="H146" s="73"/>
      <c r="I146" s="75"/>
      <c r="J146" s="75"/>
      <c r="K146" s="75"/>
      <c r="L146" s="73"/>
      <c r="M146" s="78" t="str">
        <f aca="false">IF(OR(E146="",F146=""),"",MAX(0,((F146-E146-N(G146))*1440-N(H146)*10)/60))</f>
        <v/>
      </c>
      <c r="N146" s="78" t="str">
        <f aca="false">IF($D146="欠席",0,IF(OR(I146="",J146=""),"",MAX(0,((J146-I146-N(K146))*1440-N(L146)*10)/60)))</f>
        <v/>
      </c>
      <c r="O146" s="73"/>
    </row>
    <row r="147" customFormat="false" ht="15" hidden="false" customHeight="false" outlineLevel="0" collapsed="false">
      <c r="A147" s="77"/>
      <c r="B147" s="73"/>
      <c r="C147" s="71" t="str">
        <f aca="false">IF(B147="","",IFERROR(INDEX(マスタ!$F$2:$F$60,MATCH(B147,マスタ!$E$2:$E$60,0))&amp;"",""))</f>
        <v/>
      </c>
      <c r="D147" s="73"/>
      <c r="E147" s="75"/>
      <c r="F147" s="75"/>
      <c r="G147" s="75"/>
      <c r="H147" s="73"/>
      <c r="I147" s="75"/>
      <c r="J147" s="75"/>
      <c r="K147" s="75"/>
      <c r="L147" s="73"/>
      <c r="M147" s="78" t="str">
        <f aca="false">IF(OR(E147="",F147=""),"",MAX(0,((F147-E147-N(G147))*1440-N(H147)*10)/60))</f>
        <v/>
      </c>
      <c r="N147" s="78" t="str">
        <f aca="false">IF($D147="欠席",0,IF(OR(I147="",J147=""),"",MAX(0,((J147-I147-N(K147))*1440-N(L147)*10)/60)))</f>
        <v/>
      </c>
      <c r="O147" s="73"/>
    </row>
    <row r="148" customFormat="false" ht="15" hidden="false" customHeight="false" outlineLevel="0" collapsed="false">
      <c r="A148" s="77"/>
      <c r="B148" s="73"/>
      <c r="C148" s="71" t="str">
        <f aca="false">IF(B148="","",IFERROR(INDEX(マスタ!$F$2:$F$60,MATCH(B148,マスタ!$E$2:$E$60,0))&amp;"",""))</f>
        <v/>
      </c>
      <c r="D148" s="73"/>
      <c r="E148" s="75"/>
      <c r="F148" s="75"/>
      <c r="G148" s="75"/>
      <c r="H148" s="73"/>
      <c r="I148" s="75"/>
      <c r="J148" s="75"/>
      <c r="K148" s="75"/>
      <c r="L148" s="73"/>
      <c r="M148" s="78" t="str">
        <f aca="false">IF(OR(E148="",F148=""),"",MAX(0,((F148-E148-N(G148))*1440-N(H148)*10)/60))</f>
        <v/>
      </c>
      <c r="N148" s="78" t="str">
        <f aca="false">IF($D148="欠席",0,IF(OR(I148="",J148=""),"",MAX(0,((J148-I148-N(K148))*1440-N(L148)*10)/60)))</f>
        <v/>
      </c>
      <c r="O148" s="73"/>
    </row>
    <row r="149" customFormat="false" ht="15" hidden="false" customHeight="false" outlineLevel="0" collapsed="false">
      <c r="A149" s="77"/>
      <c r="B149" s="73"/>
      <c r="C149" s="71" t="str">
        <f aca="false">IF(B149="","",IFERROR(INDEX(マスタ!$F$2:$F$60,MATCH(B149,マスタ!$E$2:$E$60,0))&amp;"",""))</f>
        <v/>
      </c>
      <c r="D149" s="73"/>
      <c r="E149" s="75"/>
      <c r="F149" s="75"/>
      <c r="G149" s="75"/>
      <c r="H149" s="73"/>
      <c r="I149" s="75"/>
      <c r="J149" s="75"/>
      <c r="K149" s="75"/>
      <c r="L149" s="73"/>
      <c r="M149" s="78" t="str">
        <f aca="false">IF(OR(E149="",F149=""),"",MAX(0,((F149-E149-N(G149))*1440-N(H149)*10)/60))</f>
        <v/>
      </c>
      <c r="N149" s="78" t="str">
        <f aca="false">IF($D149="欠席",0,IF(OR(I149="",J149=""),"",MAX(0,((J149-I149-N(K149))*1440-N(L149)*10)/60)))</f>
        <v/>
      </c>
      <c r="O149" s="73"/>
    </row>
    <row r="150" customFormat="false" ht="15" hidden="false" customHeight="false" outlineLevel="0" collapsed="false">
      <c r="A150" s="77"/>
      <c r="B150" s="73"/>
      <c r="C150" s="71" t="str">
        <f aca="false">IF(B150="","",IFERROR(INDEX(マスタ!$F$2:$F$60,MATCH(B150,マスタ!$E$2:$E$60,0))&amp;"",""))</f>
        <v/>
      </c>
      <c r="D150" s="73"/>
      <c r="E150" s="75"/>
      <c r="F150" s="75"/>
      <c r="G150" s="75"/>
      <c r="H150" s="73"/>
      <c r="I150" s="75"/>
      <c r="J150" s="75"/>
      <c r="K150" s="75"/>
      <c r="L150" s="73"/>
      <c r="M150" s="78" t="str">
        <f aca="false">IF(OR(E150="",F150=""),"",MAX(0,((F150-E150-N(G150))*1440-N(H150)*10)/60))</f>
        <v/>
      </c>
      <c r="N150" s="78" t="str">
        <f aca="false">IF($D150="欠席",0,IF(OR(I150="",J150=""),"",MAX(0,((J150-I150-N(K150))*1440-N(L150)*10)/60)))</f>
        <v/>
      </c>
      <c r="O150" s="73"/>
    </row>
    <row r="151" customFormat="false" ht="15" hidden="false" customHeight="false" outlineLevel="0" collapsed="false">
      <c r="A151" s="77"/>
      <c r="B151" s="73"/>
      <c r="C151" s="71" t="str">
        <f aca="false">IF(B151="","",IFERROR(INDEX(マスタ!$F$2:$F$60,MATCH(B151,マスタ!$E$2:$E$60,0))&amp;"",""))</f>
        <v/>
      </c>
      <c r="D151" s="73"/>
      <c r="E151" s="75"/>
      <c r="F151" s="75"/>
      <c r="G151" s="75"/>
      <c r="H151" s="73"/>
      <c r="I151" s="75"/>
      <c r="J151" s="75"/>
      <c r="K151" s="75"/>
      <c r="L151" s="73"/>
      <c r="M151" s="78" t="str">
        <f aca="false">IF(OR(E151="",F151=""),"",MAX(0,((F151-E151-N(G151))*1440-N(H151)*10)/60))</f>
        <v/>
      </c>
      <c r="N151" s="78" t="str">
        <f aca="false">IF($D151="欠席",0,IF(OR(I151="",J151=""),"",MAX(0,((J151-I151-N(K151))*1440-N(L151)*10)/60)))</f>
        <v/>
      </c>
      <c r="O151" s="73"/>
    </row>
    <row r="152" customFormat="false" ht="15" hidden="false" customHeight="false" outlineLevel="0" collapsed="false">
      <c r="A152" s="77"/>
      <c r="B152" s="73"/>
      <c r="C152" s="71" t="str">
        <f aca="false">IF(B152="","",IFERROR(INDEX(マスタ!$F$2:$F$60,MATCH(B152,マスタ!$E$2:$E$60,0))&amp;"",""))</f>
        <v/>
      </c>
      <c r="D152" s="73"/>
      <c r="E152" s="75"/>
      <c r="F152" s="75"/>
      <c r="G152" s="75"/>
      <c r="H152" s="73"/>
      <c r="I152" s="75"/>
      <c r="J152" s="75"/>
      <c r="K152" s="75"/>
      <c r="L152" s="73"/>
      <c r="M152" s="78" t="str">
        <f aca="false">IF(OR(E152="",F152=""),"",MAX(0,((F152-E152-N(G152))*1440-N(H152)*10)/60))</f>
        <v/>
      </c>
      <c r="N152" s="78" t="str">
        <f aca="false">IF($D152="欠席",0,IF(OR(I152="",J152=""),"",MAX(0,((J152-I152-N(K152))*1440-N(L152)*10)/60)))</f>
        <v/>
      </c>
      <c r="O152" s="73"/>
    </row>
    <row r="153" customFormat="false" ht="15" hidden="false" customHeight="false" outlineLevel="0" collapsed="false">
      <c r="A153" s="77"/>
      <c r="B153" s="73"/>
      <c r="C153" s="71" t="str">
        <f aca="false">IF(B153="","",IFERROR(INDEX(マスタ!$F$2:$F$60,MATCH(B153,マスタ!$E$2:$E$60,0))&amp;"",""))</f>
        <v/>
      </c>
      <c r="D153" s="73"/>
      <c r="E153" s="75"/>
      <c r="F153" s="75"/>
      <c r="G153" s="75"/>
      <c r="H153" s="73"/>
      <c r="I153" s="75"/>
      <c r="J153" s="75"/>
      <c r="K153" s="75"/>
      <c r="L153" s="73"/>
      <c r="M153" s="78" t="str">
        <f aca="false">IF(OR(E153="",F153=""),"",MAX(0,((F153-E153-N(G153))*1440-N(H153)*10)/60))</f>
        <v/>
      </c>
      <c r="N153" s="78" t="str">
        <f aca="false">IF($D153="欠席",0,IF(OR(I153="",J153=""),"",MAX(0,((J153-I153-N(K153))*1440-N(L153)*10)/60)))</f>
        <v/>
      </c>
      <c r="O153" s="73"/>
    </row>
    <row r="154" customFormat="false" ht="15" hidden="false" customHeight="false" outlineLevel="0" collapsed="false">
      <c r="A154" s="77"/>
      <c r="B154" s="73"/>
      <c r="C154" s="71" t="str">
        <f aca="false">IF(B154="","",IFERROR(INDEX(マスタ!$F$2:$F$60,MATCH(B154,マスタ!$E$2:$E$60,0))&amp;"",""))</f>
        <v/>
      </c>
      <c r="D154" s="73"/>
      <c r="E154" s="75"/>
      <c r="F154" s="75"/>
      <c r="G154" s="75"/>
      <c r="H154" s="73"/>
      <c r="I154" s="75"/>
      <c r="J154" s="75"/>
      <c r="K154" s="75"/>
      <c r="L154" s="73"/>
      <c r="M154" s="78" t="str">
        <f aca="false">IF(OR(E154="",F154=""),"",MAX(0,((F154-E154-N(G154))*1440-N(H154)*10)/60))</f>
        <v/>
      </c>
      <c r="N154" s="78" t="str">
        <f aca="false">IF($D154="欠席",0,IF(OR(I154="",J154=""),"",MAX(0,((J154-I154-N(K154))*1440-N(L154)*10)/60)))</f>
        <v/>
      </c>
      <c r="O154" s="73"/>
    </row>
    <row r="155" customFormat="false" ht="15" hidden="false" customHeight="false" outlineLevel="0" collapsed="false">
      <c r="A155" s="77"/>
      <c r="B155" s="73"/>
      <c r="C155" s="71" t="str">
        <f aca="false">IF(B155="","",IFERROR(INDEX(マスタ!$F$2:$F$60,MATCH(B155,マスタ!$E$2:$E$60,0))&amp;"",""))</f>
        <v/>
      </c>
      <c r="D155" s="73"/>
      <c r="E155" s="75"/>
      <c r="F155" s="75"/>
      <c r="G155" s="75"/>
      <c r="H155" s="73"/>
      <c r="I155" s="75"/>
      <c r="J155" s="75"/>
      <c r="K155" s="75"/>
      <c r="L155" s="73"/>
      <c r="M155" s="78" t="str">
        <f aca="false">IF(OR(E155="",F155=""),"",MAX(0,((F155-E155-N(G155))*1440-N(H155)*10)/60))</f>
        <v/>
      </c>
      <c r="N155" s="78" t="str">
        <f aca="false">IF($D155="欠席",0,IF(OR(I155="",J155=""),"",MAX(0,((J155-I155-N(K155))*1440-N(L155)*10)/60)))</f>
        <v/>
      </c>
      <c r="O155" s="73"/>
    </row>
    <row r="156" customFormat="false" ht="15" hidden="false" customHeight="false" outlineLevel="0" collapsed="false">
      <c r="A156" s="77"/>
      <c r="B156" s="73"/>
      <c r="C156" s="71" t="str">
        <f aca="false">IF(B156="","",IFERROR(INDEX(マスタ!$F$2:$F$60,MATCH(B156,マスタ!$E$2:$E$60,0))&amp;"",""))</f>
        <v/>
      </c>
      <c r="D156" s="73"/>
      <c r="E156" s="75"/>
      <c r="F156" s="75"/>
      <c r="G156" s="75"/>
      <c r="H156" s="73"/>
      <c r="I156" s="75"/>
      <c r="J156" s="75"/>
      <c r="K156" s="75"/>
      <c r="L156" s="73"/>
      <c r="M156" s="78" t="str">
        <f aca="false">IF(OR(E156="",F156=""),"",MAX(0,((F156-E156-N(G156))*1440-N(H156)*10)/60))</f>
        <v/>
      </c>
      <c r="N156" s="78" t="str">
        <f aca="false">IF($D156="欠席",0,IF(OR(I156="",J156=""),"",MAX(0,((J156-I156-N(K156))*1440-N(L156)*10)/60)))</f>
        <v/>
      </c>
      <c r="O156" s="73"/>
    </row>
    <row r="157" customFormat="false" ht="15" hidden="false" customHeight="false" outlineLevel="0" collapsed="false">
      <c r="A157" s="77"/>
      <c r="B157" s="73"/>
      <c r="C157" s="71" t="str">
        <f aca="false">IF(B157="","",IFERROR(INDEX(マスタ!$F$2:$F$60,MATCH(B157,マスタ!$E$2:$E$60,0))&amp;"",""))</f>
        <v/>
      </c>
      <c r="D157" s="73"/>
      <c r="E157" s="75"/>
      <c r="F157" s="75"/>
      <c r="G157" s="75"/>
      <c r="H157" s="73"/>
      <c r="I157" s="75"/>
      <c r="J157" s="75"/>
      <c r="K157" s="75"/>
      <c r="L157" s="73"/>
      <c r="M157" s="78" t="str">
        <f aca="false">IF(OR(E157="",F157=""),"",MAX(0,((F157-E157-N(G157))*1440-N(H157)*10)/60))</f>
        <v/>
      </c>
      <c r="N157" s="78" t="str">
        <f aca="false">IF($D157="欠席",0,IF(OR(I157="",J157=""),"",MAX(0,((J157-I157-N(K157))*1440-N(L157)*10)/60)))</f>
        <v/>
      </c>
      <c r="O157" s="73"/>
    </row>
    <row r="158" customFormat="false" ht="15" hidden="false" customHeight="false" outlineLevel="0" collapsed="false">
      <c r="A158" s="77"/>
      <c r="B158" s="73"/>
      <c r="C158" s="71" t="str">
        <f aca="false">IF(B158="","",IFERROR(INDEX(マスタ!$F$2:$F$60,MATCH(B158,マスタ!$E$2:$E$60,0))&amp;"",""))</f>
        <v/>
      </c>
      <c r="D158" s="73"/>
      <c r="E158" s="75"/>
      <c r="F158" s="75"/>
      <c r="G158" s="75"/>
      <c r="H158" s="73"/>
      <c r="I158" s="75"/>
      <c r="J158" s="75"/>
      <c r="K158" s="75"/>
      <c r="L158" s="73"/>
      <c r="M158" s="78" t="str">
        <f aca="false">IF(OR(E158="",F158=""),"",MAX(0,((F158-E158-N(G158))*1440-N(H158)*10)/60))</f>
        <v/>
      </c>
      <c r="N158" s="78" t="str">
        <f aca="false">IF($D158="欠席",0,IF(OR(I158="",J158=""),"",MAX(0,((J158-I158-N(K158))*1440-N(L158)*10)/60)))</f>
        <v/>
      </c>
      <c r="O158" s="73"/>
    </row>
    <row r="159" customFormat="false" ht="15" hidden="false" customHeight="false" outlineLevel="0" collapsed="false">
      <c r="A159" s="77"/>
      <c r="B159" s="73"/>
      <c r="C159" s="71" t="str">
        <f aca="false">IF(B159="","",IFERROR(INDEX(マスタ!$F$2:$F$60,MATCH(B159,マスタ!$E$2:$E$60,0))&amp;"",""))</f>
        <v/>
      </c>
      <c r="D159" s="73"/>
      <c r="E159" s="75"/>
      <c r="F159" s="75"/>
      <c r="G159" s="75"/>
      <c r="H159" s="73"/>
      <c r="I159" s="75"/>
      <c r="J159" s="75"/>
      <c r="K159" s="75"/>
      <c r="L159" s="73"/>
      <c r="M159" s="78" t="str">
        <f aca="false">IF(OR(E159="",F159=""),"",MAX(0,((F159-E159-N(G159))*1440-N(H159)*10)/60))</f>
        <v/>
      </c>
      <c r="N159" s="78" t="str">
        <f aca="false">IF($D159="欠席",0,IF(OR(I159="",J159=""),"",MAX(0,((J159-I159-N(K159))*1440-N(L159)*10)/60)))</f>
        <v/>
      </c>
      <c r="O159" s="73"/>
    </row>
    <row r="160" customFormat="false" ht="15" hidden="false" customHeight="false" outlineLevel="0" collapsed="false">
      <c r="A160" s="77"/>
      <c r="B160" s="73"/>
      <c r="C160" s="71" t="str">
        <f aca="false">IF(B160="","",IFERROR(INDEX(マスタ!$F$2:$F$60,MATCH(B160,マスタ!$E$2:$E$60,0))&amp;"",""))</f>
        <v/>
      </c>
      <c r="D160" s="73"/>
      <c r="E160" s="75"/>
      <c r="F160" s="75"/>
      <c r="G160" s="75"/>
      <c r="H160" s="73"/>
      <c r="I160" s="75"/>
      <c r="J160" s="75"/>
      <c r="K160" s="75"/>
      <c r="L160" s="73"/>
      <c r="M160" s="78" t="str">
        <f aca="false">IF(OR(E160="",F160=""),"",MAX(0,((F160-E160-N(G160))*1440-N(H160)*10)/60))</f>
        <v/>
      </c>
      <c r="N160" s="78" t="str">
        <f aca="false">IF($D160="欠席",0,IF(OR(I160="",J160=""),"",MAX(0,((J160-I160-N(K160))*1440-N(L160)*10)/60)))</f>
        <v/>
      </c>
      <c r="O160" s="73"/>
    </row>
    <row r="161" customFormat="false" ht="15" hidden="false" customHeight="false" outlineLevel="0" collapsed="false">
      <c r="A161" s="77"/>
      <c r="B161" s="73"/>
      <c r="C161" s="71" t="str">
        <f aca="false">IF(B161="","",IFERROR(INDEX(マスタ!$F$2:$F$60,MATCH(B161,マスタ!$E$2:$E$60,0))&amp;"",""))</f>
        <v/>
      </c>
      <c r="D161" s="73"/>
      <c r="E161" s="75"/>
      <c r="F161" s="75"/>
      <c r="G161" s="75"/>
      <c r="H161" s="73"/>
      <c r="I161" s="75"/>
      <c r="J161" s="75"/>
      <c r="K161" s="75"/>
      <c r="L161" s="73"/>
      <c r="M161" s="78" t="str">
        <f aca="false">IF(OR(E161="",F161=""),"",MAX(0,((F161-E161-N(G161))*1440-N(H161)*10)/60))</f>
        <v/>
      </c>
      <c r="N161" s="78" t="str">
        <f aca="false">IF($D161="欠席",0,IF(OR(I161="",J161=""),"",MAX(0,((J161-I161-N(K161))*1440-N(L161)*10)/60)))</f>
        <v/>
      </c>
      <c r="O161" s="73"/>
    </row>
    <row r="162" customFormat="false" ht="15" hidden="false" customHeight="false" outlineLevel="0" collapsed="false">
      <c r="A162" s="77"/>
      <c r="B162" s="73"/>
      <c r="C162" s="71" t="str">
        <f aca="false">IF(B162="","",IFERROR(INDEX(マスタ!$F$2:$F$60,MATCH(B162,マスタ!$E$2:$E$60,0))&amp;"",""))</f>
        <v/>
      </c>
      <c r="D162" s="73"/>
      <c r="E162" s="75"/>
      <c r="F162" s="75"/>
      <c r="G162" s="75"/>
      <c r="H162" s="73"/>
      <c r="I162" s="75"/>
      <c r="J162" s="75"/>
      <c r="K162" s="75"/>
      <c r="L162" s="73"/>
      <c r="M162" s="78" t="str">
        <f aca="false">IF(OR(E162="",F162=""),"",MAX(0,((F162-E162-N(G162))*1440-N(H162)*10)/60))</f>
        <v/>
      </c>
      <c r="N162" s="78" t="str">
        <f aca="false">IF($D162="欠席",0,IF(OR(I162="",J162=""),"",MAX(0,((J162-I162-N(K162))*1440-N(L162)*10)/60)))</f>
        <v/>
      </c>
      <c r="O162" s="73"/>
    </row>
    <row r="163" customFormat="false" ht="15" hidden="false" customHeight="false" outlineLevel="0" collapsed="false">
      <c r="A163" s="77"/>
      <c r="B163" s="73"/>
      <c r="C163" s="71" t="str">
        <f aca="false">IF(B163="","",IFERROR(INDEX(マスタ!$F$2:$F$60,MATCH(B163,マスタ!$E$2:$E$60,0))&amp;"",""))</f>
        <v/>
      </c>
      <c r="D163" s="73"/>
      <c r="E163" s="75"/>
      <c r="F163" s="75"/>
      <c r="G163" s="75"/>
      <c r="H163" s="73"/>
      <c r="I163" s="75"/>
      <c r="J163" s="75"/>
      <c r="K163" s="75"/>
      <c r="L163" s="73"/>
      <c r="M163" s="78" t="str">
        <f aca="false">IF(OR(E163="",F163=""),"",MAX(0,((F163-E163-N(G163))*1440-N(H163)*10)/60))</f>
        <v/>
      </c>
      <c r="N163" s="78" t="str">
        <f aca="false">IF($D163="欠席",0,IF(OR(I163="",J163=""),"",MAX(0,((J163-I163-N(K163))*1440-N(L163)*10)/60)))</f>
        <v/>
      </c>
      <c r="O163" s="73"/>
    </row>
    <row r="164" customFormat="false" ht="15" hidden="false" customHeight="false" outlineLevel="0" collapsed="false">
      <c r="A164" s="77"/>
      <c r="B164" s="73"/>
      <c r="C164" s="71" t="str">
        <f aca="false">IF(B164="","",IFERROR(INDEX(マスタ!$F$2:$F$60,MATCH(B164,マスタ!$E$2:$E$60,0))&amp;"",""))</f>
        <v/>
      </c>
      <c r="D164" s="73"/>
      <c r="E164" s="75"/>
      <c r="F164" s="75"/>
      <c r="G164" s="75"/>
      <c r="H164" s="73"/>
      <c r="I164" s="75"/>
      <c r="J164" s="75"/>
      <c r="K164" s="75"/>
      <c r="L164" s="73"/>
      <c r="M164" s="78" t="str">
        <f aca="false">IF(OR(E164="",F164=""),"",MAX(0,((F164-E164-N(G164))*1440-N(H164)*10)/60))</f>
        <v/>
      </c>
      <c r="N164" s="78" t="str">
        <f aca="false">IF($D164="欠席",0,IF(OR(I164="",J164=""),"",MAX(0,((J164-I164-N(K164))*1440-N(L164)*10)/60)))</f>
        <v/>
      </c>
      <c r="O164" s="73"/>
    </row>
    <row r="165" customFormat="false" ht="15" hidden="false" customHeight="false" outlineLevel="0" collapsed="false">
      <c r="A165" s="77"/>
      <c r="B165" s="73"/>
      <c r="C165" s="71" t="str">
        <f aca="false">IF(B165="","",IFERROR(INDEX(マスタ!$F$2:$F$60,MATCH(B165,マスタ!$E$2:$E$60,0))&amp;"",""))</f>
        <v/>
      </c>
      <c r="D165" s="73"/>
      <c r="E165" s="75"/>
      <c r="F165" s="75"/>
      <c r="G165" s="75"/>
      <c r="H165" s="73"/>
      <c r="I165" s="75"/>
      <c r="J165" s="75"/>
      <c r="K165" s="75"/>
      <c r="L165" s="73"/>
      <c r="M165" s="78" t="str">
        <f aca="false">IF(OR(E165="",F165=""),"",MAX(0,((F165-E165-N(G165))*1440-N(H165)*10)/60))</f>
        <v/>
      </c>
      <c r="N165" s="78" t="str">
        <f aca="false">IF($D165="欠席",0,IF(OR(I165="",J165=""),"",MAX(0,((J165-I165-N(K165))*1440-N(L165)*10)/60)))</f>
        <v/>
      </c>
      <c r="O165" s="73"/>
    </row>
    <row r="166" customFormat="false" ht="15" hidden="false" customHeight="false" outlineLevel="0" collapsed="false">
      <c r="A166" s="77"/>
      <c r="B166" s="73"/>
      <c r="C166" s="71" t="str">
        <f aca="false">IF(B166="","",IFERROR(INDEX(マスタ!$F$2:$F$60,MATCH(B166,マスタ!$E$2:$E$60,0))&amp;"",""))</f>
        <v/>
      </c>
      <c r="D166" s="73"/>
      <c r="E166" s="75"/>
      <c r="F166" s="75"/>
      <c r="G166" s="75"/>
      <c r="H166" s="73"/>
      <c r="I166" s="75"/>
      <c r="J166" s="75"/>
      <c r="K166" s="75"/>
      <c r="L166" s="73"/>
      <c r="M166" s="78" t="str">
        <f aca="false">IF(OR(E166="",F166=""),"",MAX(0,((F166-E166-N(G166))*1440-N(H166)*10)/60))</f>
        <v/>
      </c>
      <c r="N166" s="78" t="str">
        <f aca="false">IF($D166="欠席",0,IF(OR(I166="",J166=""),"",MAX(0,((J166-I166-N(K166))*1440-N(L166)*10)/60)))</f>
        <v/>
      </c>
      <c r="O166" s="73"/>
    </row>
    <row r="167" customFormat="false" ht="15" hidden="false" customHeight="false" outlineLevel="0" collapsed="false">
      <c r="A167" s="77"/>
      <c r="B167" s="73"/>
      <c r="C167" s="71" t="str">
        <f aca="false">IF(B167="","",IFERROR(INDEX(マスタ!$F$2:$F$60,MATCH(B167,マスタ!$E$2:$E$60,0))&amp;"",""))</f>
        <v/>
      </c>
      <c r="D167" s="73"/>
      <c r="E167" s="75"/>
      <c r="F167" s="75"/>
      <c r="G167" s="75"/>
      <c r="H167" s="73"/>
      <c r="I167" s="75"/>
      <c r="J167" s="75"/>
      <c r="K167" s="75"/>
      <c r="L167" s="73"/>
      <c r="M167" s="78" t="str">
        <f aca="false">IF(OR(E167="",F167=""),"",MAX(0,((F167-E167-N(G167))*1440-N(H167)*10)/60))</f>
        <v/>
      </c>
      <c r="N167" s="78" t="str">
        <f aca="false">IF($D167="欠席",0,IF(OR(I167="",J167=""),"",MAX(0,((J167-I167-N(K167))*1440-N(L167)*10)/60)))</f>
        <v/>
      </c>
      <c r="O167" s="73"/>
    </row>
    <row r="168" customFormat="false" ht="15" hidden="false" customHeight="false" outlineLevel="0" collapsed="false">
      <c r="A168" s="77"/>
      <c r="B168" s="73"/>
      <c r="C168" s="71" t="str">
        <f aca="false">IF(B168="","",IFERROR(INDEX(マスタ!$F$2:$F$60,MATCH(B168,マスタ!$E$2:$E$60,0))&amp;"",""))</f>
        <v/>
      </c>
      <c r="D168" s="73"/>
      <c r="E168" s="75"/>
      <c r="F168" s="75"/>
      <c r="G168" s="75"/>
      <c r="H168" s="73"/>
      <c r="I168" s="75"/>
      <c r="J168" s="75"/>
      <c r="K168" s="75"/>
      <c r="L168" s="73"/>
      <c r="M168" s="78" t="str">
        <f aca="false">IF(OR(E168="",F168=""),"",MAX(0,((F168-E168-N(G168))*1440-N(H168)*10)/60))</f>
        <v/>
      </c>
      <c r="N168" s="78" t="str">
        <f aca="false">IF($D168="欠席",0,IF(OR(I168="",J168=""),"",MAX(0,((J168-I168-N(K168))*1440-N(L168)*10)/60)))</f>
        <v/>
      </c>
      <c r="O168" s="73"/>
    </row>
    <row r="169" customFormat="false" ht="15" hidden="false" customHeight="false" outlineLevel="0" collapsed="false">
      <c r="A169" s="77"/>
      <c r="B169" s="73"/>
      <c r="C169" s="71" t="str">
        <f aca="false">IF(B169="","",IFERROR(INDEX(マスタ!$F$2:$F$60,MATCH(B169,マスタ!$E$2:$E$60,0))&amp;"",""))</f>
        <v/>
      </c>
      <c r="D169" s="73"/>
      <c r="E169" s="75"/>
      <c r="F169" s="75"/>
      <c r="G169" s="75"/>
      <c r="H169" s="73"/>
      <c r="I169" s="75"/>
      <c r="J169" s="75"/>
      <c r="K169" s="75"/>
      <c r="L169" s="73"/>
      <c r="M169" s="78" t="str">
        <f aca="false">IF(OR(E169="",F169=""),"",MAX(0,((F169-E169-N(G169))*1440-N(H169)*10)/60))</f>
        <v/>
      </c>
      <c r="N169" s="78" t="str">
        <f aca="false">IF($D169="欠席",0,IF(OR(I169="",J169=""),"",MAX(0,((J169-I169-N(K169))*1440-N(L169)*10)/60)))</f>
        <v/>
      </c>
      <c r="O169" s="73"/>
    </row>
    <row r="170" customFormat="false" ht="15" hidden="false" customHeight="false" outlineLevel="0" collapsed="false">
      <c r="A170" s="77"/>
      <c r="B170" s="73"/>
      <c r="C170" s="71" t="str">
        <f aca="false">IF(B170="","",IFERROR(INDEX(マスタ!$F$2:$F$60,MATCH(B170,マスタ!$E$2:$E$60,0))&amp;"",""))</f>
        <v/>
      </c>
      <c r="D170" s="73"/>
      <c r="E170" s="75"/>
      <c r="F170" s="75"/>
      <c r="G170" s="75"/>
      <c r="H170" s="73"/>
      <c r="I170" s="75"/>
      <c r="J170" s="75"/>
      <c r="K170" s="75"/>
      <c r="L170" s="73"/>
      <c r="M170" s="78" t="str">
        <f aca="false">IF(OR(E170="",F170=""),"",MAX(0,((F170-E170-N(G170))*1440-N(H170)*10)/60))</f>
        <v/>
      </c>
      <c r="N170" s="78" t="str">
        <f aca="false">IF($D170="欠席",0,IF(OR(I170="",J170=""),"",MAX(0,((J170-I170-N(K170))*1440-N(L170)*10)/60)))</f>
        <v/>
      </c>
      <c r="O170" s="73"/>
    </row>
    <row r="171" customFormat="false" ht="15" hidden="false" customHeight="false" outlineLevel="0" collapsed="false">
      <c r="A171" s="77"/>
      <c r="B171" s="73"/>
      <c r="C171" s="71" t="str">
        <f aca="false">IF(B171="","",IFERROR(INDEX(マスタ!$F$2:$F$60,MATCH(B171,マスタ!$E$2:$E$60,0))&amp;"",""))</f>
        <v/>
      </c>
      <c r="D171" s="73"/>
      <c r="E171" s="75"/>
      <c r="F171" s="75"/>
      <c r="G171" s="75"/>
      <c r="H171" s="73"/>
      <c r="I171" s="75"/>
      <c r="J171" s="75"/>
      <c r="K171" s="75"/>
      <c r="L171" s="73"/>
      <c r="M171" s="78" t="str">
        <f aca="false">IF(OR(E171="",F171=""),"",MAX(0,((F171-E171-N(G171))*1440-N(H171)*10)/60))</f>
        <v/>
      </c>
      <c r="N171" s="78" t="str">
        <f aca="false">IF($D171="欠席",0,IF(OR(I171="",J171=""),"",MAX(0,((J171-I171-N(K171))*1440-N(L171)*10)/60)))</f>
        <v/>
      </c>
      <c r="O171" s="73"/>
    </row>
    <row r="172" customFormat="false" ht="15" hidden="false" customHeight="false" outlineLevel="0" collapsed="false">
      <c r="A172" s="77"/>
      <c r="B172" s="73"/>
      <c r="C172" s="71" t="str">
        <f aca="false">IF(B172="","",IFERROR(INDEX(マスタ!$F$2:$F$60,MATCH(B172,マスタ!$E$2:$E$60,0))&amp;"",""))</f>
        <v/>
      </c>
      <c r="D172" s="73"/>
      <c r="E172" s="75"/>
      <c r="F172" s="75"/>
      <c r="G172" s="75"/>
      <c r="H172" s="73"/>
      <c r="I172" s="75"/>
      <c r="J172" s="75"/>
      <c r="K172" s="75"/>
      <c r="L172" s="73"/>
      <c r="M172" s="78" t="str">
        <f aca="false">IF(OR(E172="",F172=""),"",MAX(0,((F172-E172-N(G172))*1440-N(H172)*10)/60))</f>
        <v/>
      </c>
      <c r="N172" s="78" t="str">
        <f aca="false">IF($D172="欠席",0,IF(OR(I172="",J172=""),"",MAX(0,((J172-I172-N(K172))*1440-N(L172)*10)/60)))</f>
        <v/>
      </c>
      <c r="O172" s="73"/>
    </row>
    <row r="173" customFormat="false" ht="15" hidden="false" customHeight="false" outlineLevel="0" collapsed="false">
      <c r="A173" s="77"/>
      <c r="B173" s="73"/>
      <c r="C173" s="71" t="str">
        <f aca="false">IF(B173="","",IFERROR(INDEX(マスタ!$F$2:$F$60,MATCH(B173,マスタ!$E$2:$E$60,0))&amp;"",""))</f>
        <v/>
      </c>
      <c r="D173" s="73"/>
      <c r="E173" s="75"/>
      <c r="F173" s="75"/>
      <c r="G173" s="75"/>
      <c r="H173" s="73"/>
      <c r="I173" s="75"/>
      <c r="J173" s="75"/>
      <c r="K173" s="75"/>
      <c r="L173" s="73"/>
      <c r="M173" s="78" t="str">
        <f aca="false">IF(OR(E173="",F173=""),"",MAX(0,((F173-E173-N(G173))*1440-N(H173)*10)/60))</f>
        <v/>
      </c>
      <c r="N173" s="78" t="str">
        <f aca="false">IF($D173="欠席",0,IF(OR(I173="",J173=""),"",MAX(0,((J173-I173-N(K173))*1440-N(L173)*10)/60)))</f>
        <v/>
      </c>
      <c r="O173" s="73"/>
    </row>
    <row r="174" customFormat="false" ht="15" hidden="false" customHeight="false" outlineLevel="0" collapsed="false">
      <c r="A174" s="77"/>
      <c r="B174" s="73"/>
      <c r="C174" s="71" t="str">
        <f aca="false">IF(B174="","",IFERROR(INDEX(マスタ!$F$2:$F$60,MATCH(B174,マスタ!$E$2:$E$60,0))&amp;"",""))</f>
        <v/>
      </c>
      <c r="D174" s="73"/>
      <c r="E174" s="75"/>
      <c r="F174" s="75"/>
      <c r="G174" s="75"/>
      <c r="H174" s="73"/>
      <c r="I174" s="75"/>
      <c r="J174" s="75"/>
      <c r="K174" s="75"/>
      <c r="L174" s="73"/>
      <c r="M174" s="78" t="str">
        <f aca="false">IF(OR(E174="",F174=""),"",MAX(0,((F174-E174-N(G174))*1440-N(H174)*10)/60))</f>
        <v/>
      </c>
      <c r="N174" s="78" t="str">
        <f aca="false">IF($D174="欠席",0,IF(OR(I174="",J174=""),"",MAX(0,((J174-I174-N(K174))*1440-N(L174)*10)/60)))</f>
        <v/>
      </c>
      <c r="O174" s="73"/>
    </row>
    <row r="175" customFormat="false" ht="15" hidden="false" customHeight="false" outlineLevel="0" collapsed="false">
      <c r="A175" s="77"/>
      <c r="B175" s="73"/>
      <c r="C175" s="71" t="str">
        <f aca="false">IF(B175="","",IFERROR(INDEX(マスタ!$F$2:$F$60,MATCH(B175,マスタ!$E$2:$E$60,0))&amp;"",""))</f>
        <v/>
      </c>
      <c r="D175" s="73"/>
      <c r="E175" s="75"/>
      <c r="F175" s="75"/>
      <c r="G175" s="75"/>
      <c r="H175" s="73"/>
      <c r="I175" s="75"/>
      <c r="J175" s="75"/>
      <c r="K175" s="75"/>
      <c r="L175" s="73"/>
      <c r="M175" s="78" t="str">
        <f aca="false">IF(OR(E175="",F175=""),"",MAX(0,((F175-E175-N(G175))*1440-N(H175)*10)/60))</f>
        <v/>
      </c>
      <c r="N175" s="78" t="str">
        <f aca="false">IF($D175="欠席",0,IF(OR(I175="",J175=""),"",MAX(0,((J175-I175-N(K175))*1440-N(L175)*10)/60)))</f>
        <v/>
      </c>
      <c r="O175" s="73"/>
    </row>
    <row r="176" customFormat="false" ht="15" hidden="false" customHeight="false" outlineLevel="0" collapsed="false">
      <c r="A176" s="77"/>
      <c r="B176" s="73"/>
      <c r="C176" s="71" t="str">
        <f aca="false">IF(B176="","",IFERROR(INDEX(マスタ!$F$2:$F$60,MATCH(B176,マスタ!$E$2:$E$60,0))&amp;"",""))</f>
        <v/>
      </c>
      <c r="D176" s="73"/>
      <c r="E176" s="75"/>
      <c r="F176" s="75"/>
      <c r="G176" s="75"/>
      <c r="H176" s="73"/>
      <c r="I176" s="75"/>
      <c r="J176" s="75"/>
      <c r="K176" s="75"/>
      <c r="L176" s="73"/>
      <c r="M176" s="78" t="str">
        <f aca="false">IF(OR(E176="",F176=""),"",MAX(0,((F176-E176-N(G176))*1440-N(H176)*10)/60))</f>
        <v/>
      </c>
      <c r="N176" s="78" t="str">
        <f aca="false">IF($D176="欠席",0,IF(OR(I176="",J176=""),"",MAX(0,((J176-I176-N(K176))*1440-N(L176)*10)/60)))</f>
        <v/>
      </c>
      <c r="O176" s="73"/>
    </row>
    <row r="177" customFormat="false" ht="15" hidden="false" customHeight="false" outlineLevel="0" collapsed="false">
      <c r="A177" s="77"/>
      <c r="B177" s="73"/>
      <c r="C177" s="71" t="str">
        <f aca="false">IF(B177="","",IFERROR(INDEX(マスタ!$F$2:$F$60,MATCH(B177,マスタ!$E$2:$E$60,0))&amp;"",""))</f>
        <v/>
      </c>
      <c r="D177" s="73"/>
      <c r="E177" s="75"/>
      <c r="F177" s="75"/>
      <c r="G177" s="75"/>
      <c r="H177" s="73"/>
      <c r="I177" s="75"/>
      <c r="J177" s="75"/>
      <c r="K177" s="75"/>
      <c r="L177" s="73"/>
      <c r="M177" s="78" t="str">
        <f aca="false">IF(OR(E177="",F177=""),"",MAX(0,((F177-E177-N(G177))*1440-N(H177)*10)/60))</f>
        <v/>
      </c>
      <c r="N177" s="78" t="str">
        <f aca="false">IF($D177="欠席",0,IF(OR(I177="",J177=""),"",MAX(0,((J177-I177-N(K177))*1440-N(L177)*10)/60)))</f>
        <v/>
      </c>
      <c r="O177" s="73"/>
    </row>
    <row r="178" customFormat="false" ht="15" hidden="false" customHeight="false" outlineLevel="0" collapsed="false">
      <c r="A178" s="77"/>
      <c r="B178" s="73"/>
      <c r="C178" s="71" t="str">
        <f aca="false">IF(B178="","",IFERROR(INDEX(マスタ!$F$2:$F$60,MATCH(B178,マスタ!$E$2:$E$60,0))&amp;"",""))</f>
        <v/>
      </c>
      <c r="D178" s="73"/>
      <c r="E178" s="75"/>
      <c r="F178" s="75"/>
      <c r="G178" s="75"/>
      <c r="H178" s="73"/>
      <c r="I178" s="75"/>
      <c r="J178" s="75"/>
      <c r="K178" s="75"/>
      <c r="L178" s="73"/>
      <c r="M178" s="78" t="str">
        <f aca="false">IF(OR(E178="",F178=""),"",MAX(0,((F178-E178-N(G178))*1440-N(H178)*10)/60))</f>
        <v/>
      </c>
      <c r="N178" s="78" t="str">
        <f aca="false">IF($D178="欠席",0,IF(OR(I178="",J178=""),"",MAX(0,((J178-I178-N(K178))*1440-N(L178)*10)/60)))</f>
        <v/>
      </c>
      <c r="O178" s="73"/>
    </row>
    <row r="179" customFormat="false" ht="15" hidden="false" customHeight="false" outlineLevel="0" collapsed="false">
      <c r="A179" s="77"/>
      <c r="B179" s="73"/>
      <c r="C179" s="71" t="str">
        <f aca="false">IF(B179="","",IFERROR(INDEX(マスタ!$F$2:$F$60,MATCH(B179,マスタ!$E$2:$E$60,0))&amp;"",""))</f>
        <v/>
      </c>
      <c r="D179" s="73"/>
      <c r="E179" s="75"/>
      <c r="F179" s="75"/>
      <c r="G179" s="75"/>
      <c r="H179" s="73"/>
      <c r="I179" s="75"/>
      <c r="J179" s="75"/>
      <c r="K179" s="75"/>
      <c r="L179" s="73"/>
      <c r="M179" s="78" t="str">
        <f aca="false">IF(OR(E179="",F179=""),"",MAX(0,((F179-E179-N(G179))*1440-N(H179)*10)/60))</f>
        <v/>
      </c>
      <c r="N179" s="78" t="str">
        <f aca="false">IF($D179="欠席",0,IF(OR(I179="",J179=""),"",MAX(0,((J179-I179-N(K179))*1440-N(L179)*10)/60)))</f>
        <v/>
      </c>
      <c r="O179" s="73"/>
    </row>
    <row r="180" customFormat="false" ht="15" hidden="false" customHeight="false" outlineLevel="0" collapsed="false">
      <c r="A180" s="77"/>
      <c r="B180" s="73"/>
      <c r="C180" s="71" t="str">
        <f aca="false">IF(B180="","",IFERROR(INDEX(マスタ!$F$2:$F$60,MATCH(B180,マスタ!$E$2:$E$60,0))&amp;"",""))</f>
        <v/>
      </c>
      <c r="D180" s="73"/>
      <c r="E180" s="75"/>
      <c r="F180" s="75"/>
      <c r="G180" s="75"/>
      <c r="H180" s="73"/>
      <c r="I180" s="75"/>
      <c r="J180" s="75"/>
      <c r="K180" s="75"/>
      <c r="L180" s="73"/>
      <c r="M180" s="78" t="str">
        <f aca="false">IF(OR(E180="",F180=""),"",MAX(0,((F180-E180-N(G180))*1440-N(H180)*10)/60))</f>
        <v/>
      </c>
      <c r="N180" s="78" t="str">
        <f aca="false">IF($D180="欠席",0,IF(OR(I180="",J180=""),"",MAX(0,((J180-I180-N(K180))*1440-N(L180)*10)/60)))</f>
        <v/>
      </c>
      <c r="O180" s="73"/>
    </row>
    <row r="181" customFormat="false" ht="15" hidden="false" customHeight="false" outlineLevel="0" collapsed="false">
      <c r="A181" s="77"/>
      <c r="B181" s="73"/>
      <c r="C181" s="71" t="str">
        <f aca="false">IF(B181="","",IFERROR(INDEX(マスタ!$F$2:$F$60,MATCH(B181,マスタ!$E$2:$E$60,0))&amp;"",""))</f>
        <v/>
      </c>
      <c r="D181" s="73"/>
      <c r="E181" s="75"/>
      <c r="F181" s="75"/>
      <c r="G181" s="75"/>
      <c r="H181" s="73"/>
      <c r="I181" s="75"/>
      <c r="J181" s="75"/>
      <c r="K181" s="75"/>
      <c r="L181" s="73"/>
      <c r="M181" s="78" t="str">
        <f aca="false">IF(OR(E181="",F181=""),"",MAX(0,((F181-E181-N(G181))*1440-N(H181)*10)/60))</f>
        <v/>
      </c>
      <c r="N181" s="78" t="str">
        <f aca="false">IF($D181="欠席",0,IF(OR(I181="",J181=""),"",MAX(0,((J181-I181-N(K181))*1440-N(L181)*10)/60)))</f>
        <v/>
      </c>
      <c r="O181" s="73"/>
    </row>
    <row r="182" customFormat="false" ht="15" hidden="false" customHeight="false" outlineLevel="0" collapsed="false">
      <c r="A182" s="77"/>
      <c r="B182" s="73"/>
      <c r="C182" s="71" t="str">
        <f aca="false">IF(B182="","",IFERROR(INDEX(マスタ!$F$2:$F$60,MATCH(B182,マスタ!$E$2:$E$60,0))&amp;"",""))</f>
        <v/>
      </c>
      <c r="D182" s="73"/>
      <c r="E182" s="75"/>
      <c r="F182" s="75"/>
      <c r="G182" s="75"/>
      <c r="H182" s="73"/>
      <c r="I182" s="75"/>
      <c r="J182" s="75"/>
      <c r="K182" s="75"/>
      <c r="L182" s="73"/>
      <c r="M182" s="78" t="str">
        <f aca="false">IF(OR(E182="",F182=""),"",MAX(0,((F182-E182-N(G182))*1440-N(H182)*10)/60))</f>
        <v/>
      </c>
      <c r="N182" s="78" t="str">
        <f aca="false">IF($D182="欠席",0,IF(OR(I182="",J182=""),"",MAX(0,((J182-I182-N(K182))*1440-N(L182)*10)/60)))</f>
        <v/>
      </c>
      <c r="O182" s="73"/>
    </row>
    <row r="183" customFormat="false" ht="15" hidden="false" customHeight="false" outlineLevel="0" collapsed="false">
      <c r="A183" s="77"/>
      <c r="B183" s="73"/>
      <c r="C183" s="71" t="str">
        <f aca="false">IF(B183="","",IFERROR(INDEX(マスタ!$F$2:$F$60,MATCH(B183,マスタ!$E$2:$E$60,0))&amp;"",""))</f>
        <v/>
      </c>
      <c r="D183" s="73"/>
      <c r="E183" s="75"/>
      <c r="F183" s="75"/>
      <c r="G183" s="75"/>
      <c r="H183" s="73"/>
      <c r="I183" s="75"/>
      <c r="J183" s="75"/>
      <c r="K183" s="75"/>
      <c r="L183" s="73"/>
      <c r="M183" s="78" t="str">
        <f aca="false">IF(OR(E183="",F183=""),"",MAX(0,((F183-E183-N(G183))*1440-N(H183)*10)/60))</f>
        <v/>
      </c>
      <c r="N183" s="78" t="str">
        <f aca="false">IF($D183="欠席",0,IF(OR(I183="",J183=""),"",MAX(0,((J183-I183-N(K183))*1440-N(L183)*10)/60)))</f>
        <v/>
      </c>
      <c r="O183" s="73"/>
    </row>
    <row r="184" customFormat="false" ht="15" hidden="false" customHeight="false" outlineLevel="0" collapsed="false">
      <c r="A184" s="77"/>
      <c r="B184" s="73"/>
      <c r="C184" s="71" t="str">
        <f aca="false">IF(B184="","",IFERROR(INDEX(マスタ!$F$2:$F$60,MATCH(B184,マスタ!$E$2:$E$60,0))&amp;"",""))</f>
        <v/>
      </c>
      <c r="D184" s="73"/>
      <c r="E184" s="75"/>
      <c r="F184" s="75"/>
      <c r="G184" s="75"/>
      <c r="H184" s="73"/>
      <c r="I184" s="75"/>
      <c r="J184" s="75"/>
      <c r="K184" s="75"/>
      <c r="L184" s="73"/>
      <c r="M184" s="78" t="str">
        <f aca="false">IF(OR(E184="",F184=""),"",MAX(0,((F184-E184-N(G184))*1440-N(H184)*10)/60))</f>
        <v/>
      </c>
      <c r="N184" s="78" t="str">
        <f aca="false">IF($D184="欠席",0,IF(OR(I184="",J184=""),"",MAX(0,((J184-I184-N(K184))*1440-N(L184)*10)/60)))</f>
        <v/>
      </c>
      <c r="O184" s="73"/>
    </row>
    <row r="185" customFormat="false" ht="15" hidden="false" customHeight="false" outlineLevel="0" collapsed="false">
      <c r="A185" s="77"/>
      <c r="B185" s="73"/>
      <c r="C185" s="71" t="str">
        <f aca="false">IF(B185="","",IFERROR(INDEX(マスタ!$F$2:$F$60,MATCH(B185,マスタ!$E$2:$E$60,0))&amp;"",""))</f>
        <v/>
      </c>
      <c r="D185" s="73"/>
      <c r="E185" s="75"/>
      <c r="F185" s="75"/>
      <c r="G185" s="75"/>
      <c r="H185" s="73"/>
      <c r="I185" s="75"/>
      <c r="J185" s="75"/>
      <c r="K185" s="75"/>
      <c r="L185" s="73"/>
      <c r="M185" s="78" t="str">
        <f aca="false">IF(OR(E185="",F185=""),"",MAX(0,((F185-E185-N(G185))*1440-N(H185)*10)/60))</f>
        <v/>
      </c>
      <c r="N185" s="78" t="str">
        <f aca="false">IF($D185="欠席",0,IF(OR(I185="",J185=""),"",MAX(0,((J185-I185-N(K185))*1440-N(L185)*10)/60)))</f>
        <v/>
      </c>
      <c r="O185" s="73"/>
    </row>
    <row r="186" customFormat="false" ht="15" hidden="false" customHeight="false" outlineLevel="0" collapsed="false">
      <c r="A186" s="77"/>
      <c r="B186" s="73"/>
      <c r="C186" s="71" t="str">
        <f aca="false">IF(B186="","",IFERROR(INDEX(マスタ!$F$2:$F$60,MATCH(B186,マスタ!$E$2:$E$60,0))&amp;"",""))</f>
        <v/>
      </c>
      <c r="D186" s="73"/>
      <c r="E186" s="75"/>
      <c r="F186" s="75"/>
      <c r="G186" s="75"/>
      <c r="H186" s="73"/>
      <c r="I186" s="75"/>
      <c r="J186" s="75"/>
      <c r="K186" s="75"/>
      <c r="L186" s="73"/>
      <c r="M186" s="78" t="str">
        <f aca="false">IF(OR(E186="",F186=""),"",MAX(0,((F186-E186-N(G186))*1440-N(H186)*10)/60))</f>
        <v/>
      </c>
      <c r="N186" s="78" t="str">
        <f aca="false">IF($D186="欠席",0,IF(OR(I186="",J186=""),"",MAX(0,((J186-I186-N(K186))*1440-N(L186)*10)/60)))</f>
        <v/>
      </c>
      <c r="O186" s="73"/>
    </row>
    <row r="187" customFormat="false" ht="15" hidden="false" customHeight="false" outlineLevel="0" collapsed="false">
      <c r="A187" s="77"/>
      <c r="B187" s="73"/>
      <c r="C187" s="71" t="str">
        <f aca="false">IF(B187="","",IFERROR(INDEX(マスタ!$F$2:$F$60,MATCH(B187,マスタ!$E$2:$E$60,0))&amp;"",""))</f>
        <v/>
      </c>
      <c r="D187" s="73"/>
      <c r="E187" s="75"/>
      <c r="F187" s="75"/>
      <c r="G187" s="75"/>
      <c r="H187" s="73"/>
      <c r="I187" s="75"/>
      <c r="J187" s="75"/>
      <c r="K187" s="75"/>
      <c r="L187" s="73"/>
      <c r="M187" s="78" t="str">
        <f aca="false">IF(OR(E187="",F187=""),"",MAX(0,((F187-E187-N(G187))*1440-N(H187)*10)/60))</f>
        <v/>
      </c>
      <c r="N187" s="78" t="str">
        <f aca="false">IF($D187="欠席",0,IF(OR(I187="",J187=""),"",MAX(0,((J187-I187-N(K187))*1440-N(L187)*10)/60)))</f>
        <v/>
      </c>
      <c r="O187" s="73"/>
    </row>
    <row r="188" customFormat="false" ht="15" hidden="false" customHeight="false" outlineLevel="0" collapsed="false">
      <c r="A188" s="77"/>
      <c r="B188" s="73"/>
      <c r="C188" s="71" t="str">
        <f aca="false">IF(B188="","",IFERROR(INDEX(マスタ!$F$2:$F$60,MATCH(B188,マスタ!$E$2:$E$60,0))&amp;"",""))</f>
        <v/>
      </c>
      <c r="D188" s="73"/>
      <c r="E188" s="75"/>
      <c r="F188" s="75"/>
      <c r="G188" s="75"/>
      <c r="H188" s="73"/>
      <c r="I188" s="75"/>
      <c r="J188" s="75"/>
      <c r="K188" s="75"/>
      <c r="L188" s="73"/>
      <c r="M188" s="78" t="str">
        <f aca="false">IF(OR(E188="",F188=""),"",MAX(0,((F188-E188-N(G188))*1440-N(H188)*10)/60))</f>
        <v/>
      </c>
      <c r="N188" s="78" t="str">
        <f aca="false">IF($D188="欠席",0,IF(OR(I188="",J188=""),"",MAX(0,((J188-I188-N(K188))*1440-N(L188)*10)/60)))</f>
        <v/>
      </c>
      <c r="O188" s="73"/>
    </row>
    <row r="189" customFormat="false" ht="15" hidden="false" customHeight="false" outlineLevel="0" collapsed="false">
      <c r="A189" s="77"/>
      <c r="B189" s="73"/>
      <c r="C189" s="71" t="str">
        <f aca="false">IF(B189="","",IFERROR(INDEX(マスタ!$F$2:$F$60,MATCH(B189,マスタ!$E$2:$E$60,0))&amp;"",""))</f>
        <v/>
      </c>
      <c r="D189" s="73"/>
      <c r="E189" s="75"/>
      <c r="F189" s="75"/>
      <c r="G189" s="75"/>
      <c r="H189" s="73"/>
      <c r="I189" s="75"/>
      <c r="J189" s="75"/>
      <c r="K189" s="75"/>
      <c r="L189" s="73"/>
      <c r="M189" s="78" t="str">
        <f aca="false">IF(OR(E189="",F189=""),"",MAX(0,((F189-E189-N(G189))*1440-N(H189)*10)/60))</f>
        <v/>
      </c>
      <c r="N189" s="78" t="str">
        <f aca="false">IF($D189="欠席",0,IF(OR(I189="",J189=""),"",MAX(0,((J189-I189-N(K189))*1440-N(L189)*10)/60)))</f>
        <v/>
      </c>
      <c r="O189" s="73"/>
    </row>
    <row r="190" customFormat="false" ht="15" hidden="false" customHeight="false" outlineLevel="0" collapsed="false">
      <c r="A190" s="77"/>
      <c r="B190" s="73"/>
      <c r="C190" s="71" t="str">
        <f aca="false">IF(B190="","",IFERROR(INDEX(マスタ!$F$2:$F$60,MATCH(B190,マスタ!$E$2:$E$60,0))&amp;"",""))</f>
        <v/>
      </c>
      <c r="D190" s="73"/>
      <c r="E190" s="75"/>
      <c r="F190" s="75"/>
      <c r="G190" s="75"/>
      <c r="H190" s="73"/>
      <c r="I190" s="75"/>
      <c r="J190" s="75"/>
      <c r="K190" s="75"/>
      <c r="L190" s="73"/>
      <c r="M190" s="78" t="str">
        <f aca="false">IF(OR(E190="",F190=""),"",MAX(0,((F190-E190-N(G190))*1440-N(H190)*10)/60))</f>
        <v/>
      </c>
      <c r="N190" s="78" t="str">
        <f aca="false">IF($D190="欠席",0,IF(OR(I190="",J190=""),"",MAX(0,((J190-I190-N(K190))*1440-N(L190)*10)/60)))</f>
        <v/>
      </c>
      <c r="O190" s="73"/>
    </row>
    <row r="191" customFormat="false" ht="15" hidden="false" customHeight="false" outlineLevel="0" collapsed="false">
      <c r="A191" s="77"/>
      <c r="B191" s="73"/>
      <c r="C191" s="71" t="str">
        <f aca="false">IF(B191="","",IFERROR(INDEX(マスタ!$F$2:$F$60,MATCH(B191,マスタ!$E$2:$E$60,0))&amp;"",""))</f>
        <v/>
      </c>
      <c r="D191" s="73"/>
      <c r="E191" s="75"/>
      <c r="F191" s="75"/>
      <c r="G191" s="75"/>
      <c r="H191" s="73"/>
      <c r="I191" s="75"/>
      <c r="J191" s="75"/>
      <c r="K191" s="75"/>
      <c r="L191" s="73"/>
      <c r="M191" s="78" t="str">
        <f aca="false">IF(OR(E191="",F191=""),"",MAX(0,((F191-E191-N(G191))*1440-N(H191)*10)/60))</f>
        <v/>
      </c>
      <c r="N191" s="78" t="str">
        <f aca="false">IF($D191="欠席",0,IF(OR(I191="",J191=""),"",MAX(0,((J191-I191-N(K191))*1440-N(L191)*10)/60)))</f>
        <v/>
      </c>
      <c r="O191" s="73"/>
    </row>
    <row r="192" customFormat="false" ht="15" hidden="false" customHeight="false" outlineLevel="0" collapsed="false">
      <c r="A192" s="77"/>
      <c r="B192" s="73"/>
      <c r="C192" s="71" t="str">
        <f aca="false">IF(B192="","",IFERROR(INDEX(マスタ!$F$2:$F$60,MATCH(B192,マスタ!$E$2:$E$60,0))&amp;"",""))</f>
        <v/>
      </c>
      <c r="D192" s="73"/>
      <c r="E192" s="75"/>
      <c r="F192" s="75"/>
      <c r="G192" s="75"/>
      <c r="H192" s="73"/>
      <c r="I192" s="75"/>
      <c r="J192" s="75"/>
      <c r="K192" s="75"/>
      <c r="L192" s="73"/>
      <c r="M192" s="78" t="str">
        <f aca="false">IF(OR(E192="",F192=""),"",MAX(0,((F192-E192-N(G192))*1440-N(H192)*10)/60))</f>
        <v/>
      </c>
      <c r="N192" s="78" t="str">
        <f aca="false">IF($D192="欠席",0,IF(OR(I192="",J192=""),"",MAX(0,((J192-I192-N(K192))*1440-N(L192)*10)/60)))</f>
        <v/>
      </c>
      <c r="O192" s="73"/>
    </row>
    <row r="193" customFormat="false" ht="15" hidden="false" customHeight="false" outlineLevel="0" collapsed="false">
      <c r="A193" s="77"/>
      <c r="B193" s="73"/>
      <c r="C193" s="71" t="str">
        <f aca="false">IF(B193="","",IFERROR(INDEX(マスタ!$F$2:$F$60,MATCH(B193,マスタ!$E$2:$E$60,0))&amp;"",""))</f>
        <v/>
      </c>
      <c r="D193" s="73"/>
      <c r="E193" s="75"/>
      <c r="F193" s="75"/>
      <c r="G193" s="75"/>
      <c r="H193" s="73"/>
      <c r="I193" s="75"/>
      <c r="J193" s="75"/>
      <c r="K193" s="75"/>
      <c r="L193" s="73"/>
      <c r="M193" s="78" t="str">
        <f aca="false">IF(OR(E193="",F193=""),"",MAX(0,((F193-E193-N(G193))*1440-N(H193)*10)/60))</f>
        <v/>
      </c>
      <c r="N193" s="78" t="str">
        <f aca="false">IF($D193="欠席",0,IF(OR(I193="",J193=""),"",MAX(0,((J193-I193-N(K193))*1440-N(L193)*10)/60)))</f>
        <v/>
      </c>
      <c r="O193" s="73"/>
    </row>
    <row r="194" customFormat="false" ht="15" hidden="false" customHeight="false" outlineLevel="0" collapsed="false">
      <c r="A194" s="77"/>
      <c r="B194" s="73"/>
      <c r="C194" s="71" t="str">
        <f aca="false">IF(B194="","",IFERROR(INDEX(マスタ!$F$2:$F$60,MATCH(B194,マスタ!$E$2:$E$60,0))&amp;"",""))</f>
        <v/>
      </c>
      <c r="D194" s="73"/>
      <c r="E194" s="75"/>
      <c r="F194" s="75"/>
      <c r="G194" s="75"/>
      <c r="H194" s="73"/>
      <c r="I194" s="75"/>
      <c r="J194" s="75"/>
      <c r="K194" s="75"/>
      <c r="L194" s="73"/>
      <c r="M194" s="78" t="str">
        <f aca="false">IF(OR(E194="",F194=""),"",MAX(0,((F194-E194-N(G194))*1440-N(H194)*10)/60))</f>
        <v/>
      </c>
      <c r="N194" s="78" t="str">
        <f aca="false">IF($D194="欠席",0,IF(OR(I194="",J194=""),"",MAX(0,((J194-I194-N(K194))*1440-N(L194)*10)/60)))</f>
        <v/>
      </c>
      <c r="O194" s="73"/>
    </row>
    <row r="195" customFormat="false" ht="15" hidden="false" customHeight="false" outlineLevel="0" collapsed="false">
      <c r="A195" s="77"/>
      <c r="B195" s="73"/>
      <c r="C195" s="71" t="str">
        <f aca="false">IF(B195="","",IFERROR(INDEX(マスタ!$F$2:$F$60,MATCH(B195,マスタ!$E$2:$E$60,0))&amp;"",""))</f>
        <v/>
      </c>
      <c r="D195" s="73"/>
      <c r="E195" s="75"/>
      <c r="F195" s="75"/>
      <c r="G195" s="75"/>
      <c r="H195" s="73"/>
      <c r="I195" s="75"/>
      <c r="J195" s="75"/>
      <c r="K195" s="75"/>
      <c r="L195" s="73"/>
      <c r="M195" s="78" t="str">
        <f aca="false">IF(OR(E195="",F195=""),"",MAX(0,((F195-E195-N(G195))*1440-N(H195)*10)/60))</f>
        <v/>
      </c>
      <c r="N195" s="78" t="str">
        <f aca="false">IF($D195="欠席",0,IF(OR(I195="",J195=""),"",MAX(0,((J195-I195-N(K195))*1440-N(L195)*10)/60)))</f>
        <v/>
      </c>
      <c r="O195" s="73"/>
    </row>
    <row r="196" customFormat="false" ht="15" hidden="false" customHeight="false" outlineLevel="0" collapsed="false">
      <c r="A196" s="77"/>
      <c r="B196" s="73"/>
      <c r="C196" s="71" t="str">
        <f aca="false">IF(B196="","",IFERROR(INDEX(マスタ!$F$2:$F$60,MATCH(B196,マスタ!$E$2:$E$60,0))&amp;"",""))</f>
        <v/>
      </c>
      <c r="D196" s="73"/>
      <c r="E196" s="75"/>
      <c r="F196" s="75"/>
      <c r="G196" s="75"/>
      <c r="H196" s="73"/>
      <c r="I196" s="75"/>
      <c r="J196" s="75"/>
      <c r="K196" s="75"/>
      <c r="L196" s="73"/>
      <c r="M196" s="78" t="str">
        <f aca="false">IF(OR(E196="",F196=""),"",MAX(0,((F196-E196-N(G196))*1440-N(H196)*10)/60))</f>
        <v/>
      </c>
      <c r="N196" s="78" t="str">
        <f aca="false">IF($D196="欠席",0,IF(OR(I196="",J196=""),"",MAX(0,((J196-I196-N(K196))*1440-N(L196)*10)/60)))</f>
        <v/>
      </c>
      <c r="O196" s="73"/>
    </row>
    <row r="197" customFormat="false" ht="15" hidden="false" customHeight="false" outlineLevel="0" collapsed="false">
      <c r="A197" s="77"/>
      <c r="B197" s="73"/>
      <c r="C197" s="71" t="str">
        <f aca="false">IF(B197="","",IFERROR(INDEX(マスタ!$F$2:$F$60,MATCH(B197,マスタ!$E$2:$E$60,0))&amp;"",""))</f>
        <v/>
      </c>
      <c r="D197" s="73"/>
      <c r="E197" s="75"/>
      <c r="F197" s="75"/>
      <c r="G197" s="75"/>
      <c r="H197" s="73"/>
      <c r="I197" s="75"/>
      <c r="J197" s="75"/>
      <c r="K197" s="75"/>
      <c r="L197" s="73"/>
      <c r="M197" s="78" t="str">
        <f aca="false">IF(OR(E197="",F197=""),"",MAX(0,((F197-E197-N(G197))*1440-N(H197)*10)/60))</f>
        <v/>
      </c>
      <c r="N197" s="78" t="str">
        <f aca="false">IF($D197="欠席",0,IF(OR(I197="",J197=""),"",MAX(0,((J197-I197-N(K197))*1440-N(L197)*10)/60)))</f>
        <v/>
      </c>
      <c r="O197" s="73"/>
    </row>
    <row r="198" customFormat="false" ht="15" hidden="false" customHeight="false" outlineLevel="0" collapsed="false">
      <c r="A198" s="77"/>
      <c r="B198" s="73"/>
      <c r="C198" s="71" t="str">
        <f aca="false">IF(B198="","",IFERROR(INDEX(マスタ!$F$2:$F$60,MATCH(B198,マスタ!$E$2:$E$60,0))&amp;"",""))</f>
        <v/>
      </c>
      <c r="D198" s="73"/>
      <c r="E198" s="75"/>
      <c r="F198" s="75"/>
      <c r="G198" s="75"/>
      <c r="H198" s="73"/>
      <c r="I198" s="75"/>
      <c r="J198" s="75"/>
      <c r="K198" s="75"/>
      <c r="L198" s="73"/>
      <c r="M198" s="78" t="str">
        <f aca="false">IF(OR(E198="",F198=""),"",MAX(0,((F198-E198-N(G198))*1440-N(H198)*10)/60))</f>
        <v/>
      </c>
      <c r="N198" s="78" t="str">
        <f aca="false">IF($D198="欠席",0,IF(OR(I198="",J198=""),"",MAX(0,((J198-I198-N(K198))*1440-N(L198)*10)/60)))</f>
        <v/>
      </c>
      <c r="O198" s="73"/>
    </row>
    <row r="199" customFormat="false" ht="15" hidden="false" customHeight="false" outlineLevel="0" collapsed="false">
      <c r="A199" s="77"/>
      <c r="B199" s="73"/>
      <c r="C199" s="71" t="str">
        <f aca="false">IF(B199="","",IFERROR(INDEX(マスタ!$F$2:$F$60,MATCH(B199,マスタ!$E$2:$E$60,0))&amp;"",""))</f>
        <v/>
      </c>
      <c r="D199" s="73"/>
      <c r="E199" s="75"/>
      <c r="F199" s="75"/>
      <c r="G199" s="75"/>
      <c r="H199" s="73"/>
      <c r="I199" s="75"/>
      <c r="J199" s="75"/>
      <c r="K199" s="75"/>
      <c r="L199" s="73"/>
      <c r="M199" s="78" t="str">
        <f aca="false">IF(OR(E199="",F199=""),"",MAX(0,((F199-E199-N(G199))*1440-N(H199)*10)/60))</f>
        <v/>
      </c>
      <c r="N199" s="78" t="str">
        <f aca="false">IF($D199="欠席",0,IF(OR(I199="",J199=""),"",MAX(0,((J199-I199-N(K199))*1440-N(L199)*10)/60)))</f>
        <v/>
      </c>
      <c r="O199" s="73"/>
    </row>
    <row r="200" customFormat="false" ht="15" hidden="false" customHeight="false" outlineLevel="0" collapsed="false">
      <c r="A200" s="77"/>
      <c r="B200" s="73"/>
      <c r="C200" s="71" t="str">
        <f aca="false">IF(B200="","",IFERROR(INDEX(マスタ!$F$2:$F$60,MATCH(B200,マスタ!$E$2:$E$60,0))&amp;"",""))</f>
        <v/>
      </c>
      <c r="D200" s="73"/>
      <c r="E200" s="75"/>
      <c r="F200" s="75"/>
      <c r="G200" s="75"/>
      <c r="H200" s="73"/>
      <c r="I200" s="75"/>
      <c r="J200" s="75"/>
      <c r="K200" s="75"/>
      <c r="L200" s="73"/>
      <c r="M200" s="78" t="str">
        <f aca="false">IF(OR(E200="",F200=""),"",MAX(0,((F200-E200-N(G200))*1440-N(H200)*10)/60))</f>
        <v/>
      </c>
      <c r="N200" s="78" t="str">
        <f aca="false">IF($D200="欠席",0,IF(OR(I200="",J200=""),"",MAX(0,((J200-I200-N(K200))*1440-N(L200)*10)/60)))</f>
        <v/>
      </c>
      <c r="O200" s="73"/>
    </row>
    <row r="201" customFormat="false" ht="15" hidden="false" customHeight="false" outlineLevel="0" collapsed="false">
      <c r="A201" s="77"/>
      <c r="B201" s="73"/>
      <c r="C201" s="71" t="str">
        <f aca="false">IF(B201="","",IFERROR(INDEX(マスタ!$F$2:$F$60,MATCH(B201,マスタ!$E$2:$E$60,0))&amp;"",""))</f>
        <v/>
      </c>
      <c r="D201" s="73"/>
      <c r="E201" s="75"/>
      <c r="F201" s="75"/>
      <c r="G201" s="75"/>
      <c r="H201" s="73"/>
      <c r="I201" s="75"/>
      <c r="J201" s="75"/>
      <c r="K201" s="75"/>
      <c r="L201" s="73"/>
      <c r="M201" s="78" t="str">
        <f aca="false">IF(OR(E201="",F201=""),"",MAX(0,((F201-E201-N(G201))*1440-N(H201)*10)/60))</f>
        <v/>
      </c>
      <c r="N201" s="78" t="str">
        <f aca="false">IF($D201="欠席",0,IF(OR(I201="",J201=""),"",MAX(0,((J201-I201-N(K201))*1440-N(L201)*10)/60)))</f>
        <v/>
      </c>
      <c r="O201" s="73"/>
    </row>
    <row r="202" customFormat="false" ht="15" hidden="false" customHeight="false" outlineLevel="0" collapsed="false">
      <c r="A202" s="77"/>
      <c r="B202" s="73"/>
      <c r="C202" s="71" t="str">
        <f aca="false">IF(B202="","",IFERROR(INDEX(マスタ!$F$2:$F$60,MATCH(B202,マスタ!$E$2:$E$60,0))&amp;"",""))</f>
        <v/>
      </c>
      <c r="D202" s="73"/>
      <c r="E202" s="75"/>
      <c r="F202" s="75"/>
      <c r="G202" s="75"/>
      <c r="H202" s="73"/>
      <c r="I202" s="75"/>
      <c r="J202" s="75"/>
      <c r="K202" s="75"/>
      <c r="L202" s="73"/>
      <c r="M202" s="78" t="str">
        <f aca="false">IF(OR(E202="",F202=""),"",MAX(0,((F202-E202-N(G202))*1440-N(H202)*10)/60))</f>
        <v/>
      </c>
      <c r="N202" s="78" t="str">
        <f aca="false">IF($D202="欠席",0,IF(OR(I202="",J202=""),"",MAX(0,((J202-I202-N(K202))*1440-N(L202)*10)/60)))</f>
        <v/>
      </c>
      <c r="O202" s="73"/>
    </row>
    <row r="203" customFormat="false" ht="15" hidden="false" customHeight="false" outlineLevel="0" collapsed="false">
      <c r="A203" s="77"/>
      <c r="B203" s="73"/>
      <c r="C203" s="71" t="str">
        <f aca="false">IF(B203="","",IFERROR(INDEX(マスタ!$F$2:$F$60,MATCH(B203,マスタ!$E$2:$E$60,0))&amp;"",""))</f>
        <v/>
      </c>
      <c r="D203" s="73"/>
      <c r="E203" s="75"/>
      <c r="F203" s="75"/>
      <c r="G203" s="75"/>
      <c r="H203" s="73"/>
      <c r="I203" s="75"/>
      <c r="J203" s="75"/>
      <c r="K203" s="75"/>
      <c r="L203" s="73"/>
      <c r="M203" s="78" t="str">
        <f aca="false">IF(OR(E203="",F203=""),"",MAX(0,((F203-E203-N(G203))*1440-N(H203)*10)/60))</f>
        <v/>
      </c>
      <c r="N203" s="78" t="str">
        <f aca="false">IF($D203="欠席",0,IF(OR(I203="",J203=""),"",MAX(0,((J203-I203-N(K203))*1440-N(L203)*10)/60)))</f>
        <v/>
      </c>
      <c r="O203" s="73"/>
    </row>
    <row r="204" customFormat="false" ht="15" hidden="false" customHeight="false" outlineLevel="0" collapsed="false">
      <c r="A204" s="77"/>
      <c r="B204" s="73"/>
      <c r="C204" s="71" t="str">
        <f aca="false">IF(B204="","",IFERROR(INDEX(マスタ!$F$2:$F$60,MATCH(B204,マスタ!$E$2:$E$60,0))&amp;"",""))</f>
        <v/>
      </c>
      <c r="D204" s="73"/>
      <c r="E204" s="75"/>
      <c r="F204" s="75"/>
      <c r="G204" s="75"/>
      <c r="H204" s="73"/>
      <c r="I204" s="75"/>
      <c r="J204" s="75"/>
      <c r="K204" s="75"/>
      <c r="L204" s="73"/>
      <c r="M204" s="78" t="str">
        <f aca="false">IF(OR(E204="",F204=""),"",MAX(0,((F204-E204-N(G204))*1440-N(H204)*10)/60))</f>
        <v/>
      </c>
      <c r="N204" s="78" t="str">
        <f aca="false">IF($D204="欠席",0,IF(OR(I204="",J204=""),"",MAX(0,((J204-I204-N(K204))*1440-N(L204)*10)/60)))</f>
        <v/>
      </c>
      <c r="O204" s="73"/>
    </row>
    <row r="205" customFormat="false" ht="15" hidden="false" customHeight="false" outlineLevel="0" collapsed="false">
      <c r="A205" s="77"/>
      <c r="B205" s="73"/>
      <c r="C205" s="71" t="str">
        <f aca="false">IF(B205="","",IFERROR(INDEX(マスタ!$F$2:$F$60,MATCH(B205,マスタ!$E$2:$E$60,0))&amp;"",""))</f>
        <v/>
      </c>
      <c r="D205" s="73"/>
      <c r="E205" s="75"/>
      <c r="F205" s="75"/>
      <c r="G205" s="75"/>
      <c r="H205" s="73"/>
      <c r="I205" s="75"/>
      <c r="J205" s="75"/>
      <c r="K205" s="75"/>
      <c r="L205" s="73"/>
      <c r="M205" s="78" t="str">
        <f aca="false">IF(OR(E205="",F205=""),"",MAX(0,((F205-E205-N(G205))*1440-N(H205)*10)/60))</f>
        <v/>
      </c>
      <c r="N205" s="78" t="str">
        <f aca="false">IF($D205="欠席",0,IF(OR(I205="",J205=""),"",MAX(0,((J205-I205-N(K205))*1440-N(L205)*10)/60)))</f>
        <v/>
      </c>
      <c r="O205" s="73"/>
    </row>
    <row r="206" customFormat="false" ht="15" hidden="false" customHeight="false" outlineLevel="0" collapsed="false">
      <c r="A206" s="77"/>
      <c r="B206" s="73"/>
      <c r="C206" s="71" t="str">
        <f aca="false">IF(B206="","",IFERROR(INDEX(マスタ!$F$2:$F$60,MATCH(B206,マスタ!$E$2:$E$60,0))&amp;"",""))</f>
        <v/>
      </c>
      <c r="D206" s="73"/>
      <c r="E206" s="75"/>
      <c r="F206" s="75"/>
      <c r="G206" s="75"/>
      <c r="H206" s="73"/>
      <c r="I206" s="75"/>
      <c r="J206" s="75"/>
      <c r="K206" s="75"/>
      <c r="L206" s="73"/>
      <c r="M206" s="78" t="str">
        <f aca="false">IF(OR(E206="",F206=""),"",MAX(0,((F206-E206-N(G206))*1440-N(H206)*10)/60))</f>
        <v/>
      </c>
      <c r="N206" s="78" t="str">
        <f aca="false">IF($D206="欠席",0,IF(OR(I206="",J206=""),"",MAX(0,((J206-I206-N(K206))*1440-N(L206)*10)/60)))</f>
        <v/>
      </c>
      <c r="O206" s="73"/>
    </row>
    <row r="207" customFormat="false" ht="15" hidden="false" customHeight="false" outlineLevel="0" collapsed="false">
      <c r="A207" s="77"/>
      <c r="B207" s="73"/>
      <c r="C207" s="71" t="str">
        <f aca="false">IF(B207="","",IFERROR(INDEX(マスタ!$F$2:$F$60,MATCH(B207,マスタ!$E$2:$E$60,0))&amp;"",""))</f>
        <v/>
      </c>
      <c r="D207" s="73"/>
      <c r="E207" s="75"/>
      <c r="F207" s="75"/>
      <c r="G207" s="75"/>
      <c r="H207" s="73"/>
      <c r="I207" s="75"/>
      <c r="J207" s="75"/>
      <c r="K207" s="75"/>
      <c r="L207" s="73"/>
      <c r="M207" s="78" t="str">
        <f aca="false">IF(OR(E207="",F207=""),"",MAX(0,((F207-E207-N(G207))*1440-N(H207)*10)/60))</f>
        <v/>
      </c>
      <c r="N207" s="78" t="str">
        <f aca="false">IF($D207="欠席",0,IF(OR(I207="",J207=""),"",MAX(0,((J207-I207-N(K207))*1440-N(L207)*10)/60)))</f>
        <v/>
      </c>
      <c r="O207" s="73"/>
    </row>
    <row r="208" customFormat="false" ht="15" hidden="false" customHeight="false" outlineLevel="0" collapsed="false">
      <c r="A208" s="77"/>
      <c r="B208" s="73"/>
      <c r="C208" s="71" t="str">
        <f aca="false">IF(B208="","",IFERROR(INDEX(マスタ!$F$2:$F$60,MATCH(B208,マスタ!$E$2:$E$60,0))&amp;"",""))</f>
        <v/>
      </c>
      <c r="D208" s="73"/>
      <c r="E208" s="75"/>
      <c r="F208" s="75"/>
      <c r="G208" s="75"/>
      <c r="H208" s="73"/>
      <c r="I208" s="75"/>
      <c r="J208" s="75"/>
      <c r="K208" s="75"/>
      <c r="L208" s="73"/>
      <c r="M208" s="78" t="str">
        <f aca="false">IF(OR(E208="",F208=""),"",MAX(0,((F208-E208-N(G208))*1440-N(H208)*10)/60))</f>
        <v/>
      </c>
      <c r="N208" s="78" t="str">
        <f aca="false">IF($D208="欠席",0,IF(OR(I208="",J208=""),"",MAX(0,((J208-I208-N(K208))*1440-N(L208)*10)/60)))</f>
        <v/>
      </c>
      <c r="O208" s="73"/>
    </row>
    <row r="209" customFormat="false" ht="15" hidden="false" customHeight="false" outlineLevel="0" collapsed="false">
      <c r="A209" s="77"/>
      <c r="B209" s="73"/>
      <c r="C209" s="71" t="str">
        <f aca="false">IF(B209="","",IFERROR(INDEX(マスタ!$F$2:$F$60,MATCH(B209,マスタ!$E$2:$E$60,0))&amp;"",""))</f>
        <v/>
      </c>
      <c r="D209" s="73"/>
      <c r="E209" s="75"/>
      <c r="F209" s="75"/>
      <c r="G209" s="75"/>
      <c r="H209" s="73"/>
      <c r="I209" s="75"/>
      <c r="J209" s="75"/>
      <c r="K209" s="75"/>
      <c r="L209" s="73"/>
      <c r="M209" s="78" t="str">
        <f aca="false">IF(OR(E209="",F209=""),"",MAX(0,((F209-E209-N(G209))*1440-N(H209)*10)/60))</f>
        <v/>
      </c>
      <c r="N209" s="78" t="str">
        <f aca="false">IF($D209="欠席",0,IF(OR(I209="",J209=""),"",MAX(0,((J209-I209-N(K209))*1440-N(L209)*10)/60)))</f>
        <v/>
      </c>
      <c r="O209" s="73"/>
    </row>
    <row r="210" customFormat="false" ht="15" hidden="false" customHeight="false" outlineLevel="0" collapsed="false">
      <c r="A210" s="77"/>
      <c r="B210" s="73"/>
      <c r="C210" s="71" t="str">
        <f aca="false">IF(B210="","",IFERROR(INDEX(マスタ!$F$2:$F$60,MATCH(B210,マスタ!$E$2:$E$60,0))&amp;"",""))</f>
        <v/>
      </c>
      <c r="D210" s="73"/>
      <c r="E210" s="75"/>
      <c r="F210" s="75"/>
      <c r="G210" s="75"/>
      <c r="H210" s="73"/>
      <c r="I210" s="75"/>
      <c r="J210" s="75"/>
      <c r="K210" s="75"/>
      <c r="L210" s="73"/>
      <c r="M210" s="78" t="str">
        <f aca="false">IF(OR(E210="",F210=""),"",MAX(0,((F210-E210-N(G210))*1440-N(H210)*10)/60))</f>
        <v/>
      </c>
      <c r="N210" s="78" t="str">
        <f aca="false">IF($D210="欠席",0,IF(OR(I210="",J210=""),"",MAX(0,((J210-I210-N(K210))*1440-N(L210)*10)/60)))</f>
        <v/>
      </c>
      <c r="O210" s="73"/>
    </row>
    <row r="211" customFormat="false" ht="15" hidden="false" customHeight="false" outlineLevel="0" collapsed="false">
      <c r="A211" s="77"/>
      <c r="B211" s="73"/>
      <c r="C211" s="71" t="str">
        <f aca="false">IF(B211="","",IFERROR(INDEX(マスタ!$F$2:$F$60,MATCH(B211,マスタ!$E$2:$E$60,0))&amp;"",""))</f>
        <v/>
      </c>
      <c r="D211" s="73"/>
      <c r="E211" s="75"/>
      <c r="F211" s="75"/>
      <c r="G211" s="75"/>
      <c r="H211" s="73"/>
      <c r="I211" s="75"/>
      <c r="J211" s="75"/>
      <c r="K211" s="75"/>
      <c r="L211" s="73"/>
      <c r="M211" s="78" t="str">
        <f aca="false">IF(OR(E211="",F211=""),"",MAX(0,((F211-E211-N(G211))*1440-N(H211)*10)/60))</f>
        <v/>
      </c>
      <c r="N211" s="78" t="str">
        <f aca="false">IF($D211="欠席",0,IF(OR(I211="",J211=""),"",MAX(0,((J211-I211-N(K211))*1440-N(L211)*10)/60)))</f>
        <v/>
      </c>
      <c r="O211" s="73"/>
    </row>
    <row r="212" customFormat="false" ht="15" hidden="false" customHeight="false" outlineLevel="0" collapsed="false">
      <c r="A212" s="77"/>
      <c r="B212" s="73"/>
      <c r="C212" s="71" t="str">
        <f aca="false">IF(B212="","",IFERROR(INDEX(マスタ!$F$2:$F$60,MATCH(B212,マスタ!$E$2:$E$60,0))&amp;"",""))</f>
        <v/>
      </c>
      <c r="D212" s="73"/>
      <c r="E212" s="75"/>
      <c r="F212" s="75"/>
      <c r="G212" s="75"/>
      <c r="H212" s="73"/>
      <c r="I212" s="75"/>
      <c r="J212" s="75"/>
      <c r="K212" s="75"/>
      <c r="L212" s="73"/>
      <c r="M212" s="78" t="str">
        <f aca="false">IF(OR(E212="",F212=""),"",MAX(0,((F212-E212-N(G212))*1440-N(H212)*10)/60))</f>
        <v/>
      </c>
      <c r="N212" s="78" t="str">
        <f aca="false">IF($D212="欠席",0,IF(OR(I212="",J212=""),"",MAX(0,((J212-I212-N(K212))*1440-N(L212)*10)/60)))</f>
        <v/>
      </c>
      <c r="O212" s="73"/>
    </row>
    <row r="213" customFormat="false" ht="15" hidden="false" customHeight="false" outlineLevel="0" collapsed="false">
      <c r="A213" s="77"/>
      <c r="B213" s="73"/>
      <c r="C213" s="71" t="str">
        <f aca="false">IF(B213="","",IFERROR(INDEX(マスタ!$F$2:$F$60,MATCH(B213,マスタ!$E$2:$E$60,0))&amp;"",""))</f>
        <v/>
      </c>
      <c r="D213" s="73"/>
      <c r="E213" s="75"/>
      <c r="F213" s="75"/>
      <c r="G213" s="75"/>
      <c r="H213" s="73"/>
      <c r="I213" s="75"/>
      <c r="J213" s="75"/>
      <c r="K213" s="75"/>
      <c r="L213" s="73"/>
      <c r="M213" s="78" t="str">
        <f aca="false">IF(OR(E213="",F213=""),"",MAX(0,((F213-E213-N(G213))*1440-N(H213)*10)/60))</f>
        <v/>
      </c>
      <c r="N213" s="78" t="str">
        <f aca="false">IF($D213="欠席",0,IF(OR(I213="",J213=""),"",MAX(0,((J213-I213-N(K213))*1440-N(L213)*10)/60)))</f>
        <v/>
      </c>
      <c r="O213" s="73"/>
    </row>
    <row r="214" customFormat="false" ht="15" hidden="false" customHeight="false" outlineLevel="0" collapsed="false">
      <c r="A214" s="77"/>
      <c r="B214" s="73"/>
      <c r="C214" s="71" t="str">
        <f aca="false">IF(B214="","",IFERROR(INDEX(マスタ!$F$2:$F$60,MATCH(B214,マスタ!$E$2:$E$60,0))&amp;"",""))</f>
        <v/>
      </c>
      <c r="D214" s="73"/>
      <c r="E214" s="75"/>
      <c r="F214" s="75"/>
      <c r="G214" s="75"/>
      <c r="H214" s="73"/>
      <c r="I214" s="75"/>
      <c r="J214" s="75"/>
      <c r="K214" s="75"/>
      <c r="L214" s="73"/>
      <c r="M214" s="78" t="str">
        <f aca="false">IF(OR(E214="",F214=""),"",MAX(0,((F214-E214-N(G214))*1440-N(H214)*10)/60))</f>
        <v/>
      </c>
      <c r="N214" s="78" t="str">
        <f aca="false">IF($D214="欠席",0,IF(OR(I214="",J214=""),"",MAX(0,((J214-I214-N(K214))*1440-N(L214)*10)/60)))</f>
        <v/>
      </c>
      <c r="O214" s="73"/>
    </row>
    <row r="215" customFormat="false" ht="15" hidden="false" customHeight="false" outlineLevel="0" collapsed="false">
      <c r="A215" s="77"/>
      <c r="B215" s="73"/>
      <c r="C215" s="71" t="str">
        <f aca="false">IF(B215="","",IFERROR(INDEX(マスタ!$F$2:$F$60,MATCH(B215,マスタ!$E$2:$E$60,0))&amp;"",""))</f>
        <v/>
      </c>
      <c r="D215" s="73"/>
      <c r="E215" s="75"/>
      <c r="F215" s="75"/>
      <c r="G215" s="75"/>
      <c r="H215" s="73"/>
      <c r="I215" s="75"/>
      <c r="J215" s="75"/>
      <c r="K215" s="75"/>
      <c r="L215" s="73"/>
      <c r="M215" s="78" t="str">
        <f aca="false">IF(OR(E215="",F215=""),"",MAX(0,((F215-E215-N(G215))*1440-N(H215)*10)/60))</f>
        <v/>
      </c>
      <c r="N215" s="78" t="str">
        <f aca="false">IF($D215="欠席",0,IF(OR(I215="",J215=""),"",MAX(0,((J215-I215-N(K215))*1440-N(L215)*10)/60)))</f>
        <v/>
      </c>
      <c r="O215" s="73"/>
    </row>
    <row r="216" customFormat="false" ht="15" hidden="false" customHeight="false" outlineLevel="0" collapsed="false">
      <c r="A216" s="77"/>
      <c r="B216" s="73"/>
      <c r="C216" s="71" t="str">
        <f aca="false">IF(B216="","",IFERROR(INDEX(マスタ!$F$2:$F$60,MATCH(B216,マスタ!$E$2:$E$60,0))&amp;"",""))</f>
        <v/>
      </c>
      <c r="D216" s="73"/>
      <c r="E216" s="75"/>
      <c r="F216" s="75"/>
      <c r="G216" s="75"/>
      <c r="H216" s="73"/>
      <c r="I216" s="75"/>
      <c r="J216" s="75"/>
      <c r="K216" s="75"/>
      <c r="L216" s="73"/>
      <c r="M216" s="78" t="str">
        <f aca="false">IF(OR(E216="",F216=""),"",MAX(0,((F216-E216-N(G216))*1440-N(H216)*10)/60))</f>
        <v/>
      </c>
      <c r="N216" s="78" t="str">
        <f aca="false">IF($D216="欠席",0,IF(OR(I216="",J216=""),"",MAX(0,((J216-I216-N(K216))*1440-N(L216)*10)/60)))</f>
        <v/>
      </c>
      <c r="O216" s="73"/>
    </row>
    <row r="217" customFormat="false" ht="15" hidden="false" customHeight="false" outlineLevel="0" collapsed="false">
      <c r="A217" s="77"/>
      <c r="B217" s="73"/>
      <c r="C217" s="71" t="str">
        <f aca="false">IF(B217="","",IFERROR(INDEX(マスタ!$F$2:$F$60,MATCH(B217,マスタ!$E$2:$E$60,0))&amp;"",""))</f>
        <v/>
      </c>
      <c r="D217" s="73"/>
      <c r="E217" s="75"/>
      <c r="F217" s="75"/>
      <c r="G217" s="75"/>
      <c r="H217" s="73"/>
      <c r="I217" s="75"/>
      <c r="J217" s="75"/>
      <c r="K217" s="75"/>
      <c r="L217" s="73"/>
      <c r="M217" s="78" t="str">
        <f aca="false">IF(OR(E217="",F217=""),"",MAX(0,((F217-E217-N(G217))*1440-N(H217)*10)/60))</f>
        <v/>
      </c>
      <c r="N217" s="78" t="str">
        <f aca="false">IF($D217="欠席",0,IF(OR(I217="",J217=""),"",MAX(0,((J217-I217-N(K217))*1440-N(L217)*10)/60)))</f>
        <v/>
      </c>
      <c r="O217" s="73"/>
    </row>
    <row r="218" customFormat="false" ht="15" hidden="false" customHeight="false" outlineLevel="0" collapsed="false">
      <c r="A218" s="77"/>
      <c r="B218" s="73"/>
      <c r="C218" s="71" t="str">
        <f aca="false">IF(B218="","",IFERROR(INDEX(マスタ!$F$2:$F$60,MATCH(B218,マスタ!$E$2:$E$60,0))&amp;"",""))</f>
        <v/>
      </c>
      <c r="D218" s="73"/>
      <c r="E218" s="75"/>
      <c r="F218" s="75"/>
      <c r="G218" s="75"/>
      <c r="H218" s="73"/>
      <c r="I218" s="75"/>
      <c r="J218" s="75"/>
      <c r="K218" s="75"/>
      <c r="L218" s="73"/>
      <c r="M218" s="78" t="str">
        <f aca="false">IF(OR(E218="",F218=""),"",MAX(0,((F218-E218-N(G218))*1440-N(H218)*10)/60))</f>
        <v/>
      </c>
      <c r="N218" s="78" t="str">
        <f aca="false">IF($D218="欠席",0,IF(OR(I218="",J218=""),"",MAX(0,((J218-I218-N(K218))*1440-N(L218)*10)/60)))</f>
        <v/>
      </c>
      <c r="O218" s="73"/>
    </row>
    <row r="219" customFormat="false" ht="15" hidden="false" customHeight="false" outlineLevel="0" collapsed="false">
      <c r="A219" s="77"/>
      <c r="B219" s="73"/>
      <c r="C219" s="71" t="str">
        <f aca="false">IF(B219="","",IFERROR(INDEX(マスタ!$F$2:$F$60,MATCH(B219,マスタ!$E$2:$E$60,0))&amp;"",""))</f>
        <v/>
      </c>
      <c r="D219" s="73"/>
      <c r="E219" s="75"/>
      <c r="F219" s="75"/>
      <c r="G219" s="75"/>
      <c r="H219" s="73"/>
      <c r="I219" s="75"/>
      <c r="J219" s="75"/>
      <c r="K219" s="75"/>
      <c r="L219" s="73"/>
      <c r="M219" s="78" t="str">
        <f aca="false">IF(OR(E219="",F219=""),"",MAX(0,((F219-E219-N(G219))*1440-N(H219)*10)/60))</f>
        <v/>
      </c>
      <c r="N219" s="78" t="str">
        <f aca="false">IF($D219="欠席",0,IF(OR(I219="",J219=""),"",MAX(0,((J219-I219-N(K219))*1440-N(L219)*10)/60)))</f>
        <v/>
      </c>
      <c r="O219" s="73"/>
    </row>
    <row r="220" customFormat="false" ht="15" hidden="false" customHeight="false" outlineLevel="0" collapsed="false">
      <c r="A220" s="77"/>
      <c r="B220" s="73"/>
      <c r="C220" s="71" t="str">
        <f aca="false">IF(B220="","",IFERROR(INDEX(マスタ!$F$2:$F$60,MATCH(B220,マスタ!$E$2:$E$60,0))&amp;"",""))</f>
        <v/>
      </c>
      <c r="D220" s="73"/>
      <c r="E220" s="75"/>
      <c r="F220" s="75"/>
      <c r="G220" s="75"/>
      <c r="H220" s="73"/>
      <c r="I220" s="75"/>
      <c r="J220" s="75"/>
      <c r="K220" s="75"/>
      <c r="L220" s="73"/>
      <c r="M220" s="78" t="str">
        <f aca="false">IF(OR(E220="",F220=""),"",MAX(0,((F220-E220-N(G220))*1440-N(H220)*10)/60))</f>
        <v/>
      </c>
      <c r="N220" s="78" t="str">
        <f aca="false">IF($D220="欠席",0,IF(OR(I220="",J220=""),"",MAX(0,((J220-I220-N(K220))*1440-N(L220)*10)/60)))</f>
        <v/>
      </c>
      <c r="O220" s="73"/>
    </row>
    <row r="221" customFormat="false" ht="15" hidden="false" customHeight="false" outlineLevel="0" collapsed="false">
      <c r="A221" s="77"/>
      <c r="B221" s="73"/>
      <c r="C221" s="71" t="str">
        <f aca="false">IF(B221="","",IFERROR(INDEX(マスタ!$F$2:$F$60,MATCH(B221,マスタ!$E$2:$E$60,0))&amp;"",""))</f>
        <v/>
      </c>
      <c r="D221" s="73"/>
      <c r="E221" s="75"/>
      <c r="F221" s="75"/>
      <c r="G221" s="75"/>
      <c r="H221" s="73"/>
      <c r="I221" s="75"/>
      <c r="J221" s="75"/>
      <c r="K221" s="75"/>
      <c r="L221" s="73"/>
      <c r="M221" s="78" t="str">
        <f aca="false">IF(OR(E221="",F221=""),"",MAX(0,((F221-E221-N(G221))*1440-N(H221)*10)/60))</f>
        <v/>
      </c>
      <c r="N221" s="78" t="str">
        <f aca="false">IF($D221="欠席",0,IF(OR(I221="",J221=""),"",MAX(0,((J221-I221-N(K221))*1440-N(L221)*10)/60)))</f>
        <v/>
      </c>
      <c r="O221" s="73"/>
    </row>
    <row r="222" customFormat="false" ht="15" hidden="false" customHeight="false" outlineLevel="0" collapsed="false">
      <c r="A222" s="77"/>
      <c r="B222" s="73"/>
      <c r="C222" s="71" t="str">
        <f aca="false">IF(B222="","",IFERROR(INDEX(マスタ!$F$2:$F$60,MATCH(B222,マスタ!$E$2:$E$60,0))&amp;"",""))</f>
        <v/>
      </c>
      <c r="D222" s="73"/>
      <c r="E222" s="75"/>
      <c r="F222" s="75"/>
      <c r="G222" s="75"/>
      <c r="H222" s="73"/>
      <c r="I222" s="75"/>
      <c r="J222" s="75"/>
      <c r="K222" s="75"/>
      <c r="L222" s="73"/>
      <c r="M222" s="78" t="str">
        <f aca="false">IF(OR(E222="",F222=""),"",MAX(0,((F222-E222-N(G222))*1440-N(H222)*10)/60))</f>
        <v/>
      </c>
      <c r="N222" s="78" t="str">
        <f aca="false">IF($D222="欠席",0,IF(OR(I222="",J222=""),"",MAX(0,((J222-I222-N(K222))*1440-N(L222)*10)/60)))</f>
        <v/>
      </c>
      <c r="O222" s="73"/>
    </row>
    <row r="223" customFormat="false" ht="15" hidden="false" customHeight="false" outlineLevel="0" collapsed="false">
      <c r="A223" s="77"/>
      <c r="B223" s="73"/>
      <c r="C223" s="71" t="str">
        <f aca="false">IF(B223="","",IFERROR(INDEX(マスタ!$F$2:$F$60,MATCH(B223,マスタ!$E$2:$E$60,0))&amp;"",""))</f>
        <v/>
      </c>
      <c r="D223" s="73"/>
      <c r="E223" s="75"/>
      <c r="F223" s="75"/>
      <c r="G223" s="75"/>
      <c r="H223" s="73"/>
      <c r="I223" s="75"/>
      <c r="J223" s="75"/>
      <c r="K223" s="75"/>
      <c r="L223" s="73"/>
      <c r="M223" s="78" t="str">
        <f aca="false">IF(OR(E223="",F223=""),"",MAX(0,((F223-E223-N(G223))*1440-N(H223)*10)/60))</f>
        <v/>
      </c>
      <c r="N223" s="78" t="str">
        <f aca="false">IF($D223="欠席",0,IF(OR(I223="",J223=""),"",MAX(0,((J223-I223-N(K223))*1440-N(L223)*10)/60)))</f>
        <v/>
      </c>
      <c r="O223" s="73"/>
    </row>
    <row r="224" customFormat="false" ht="15" hidden="false" customHeight="false" outlineLevel="0" collapsed="false">
      <c r="A224" s="77"/>
      <c r="B224" s="73"/>
      <c r="C224" s="71" t="str">
        <f aca="false">IF(B224="","",IFERROR(INDEX(マスタ!$F$2:$F$60,MATCH(B224,マスタ!$E$2:$E$60,0))&amp;"",""))</f>
        <v/>
      </c>
      <c r="D224" s="73"/>
      <c r="E224" s="75"/>
      <c r="F224" s="75"/>
      <c r="G224" s="75"/>
      <c r="H224" s="73"/>
      <c r="I224" s="75"/>
      <c r="J224" s="75"/>
      <c r="K224" s="75"/>
      <c r="L224" s="73"/>
      <c r="M224" s="78" t="str">
        <f aca="false">IF(OR(E224="",F224=""),"",MAX(0,((F224-E224-N(G224))*1440-N(H224)*10)/60))</f>
        <v/>
      </c>
      <c r="N224" s="78" t="str">
        <f aca="false">IF($D224="欠席",0,IF(OR(I224="",J224=""),"",MAX(0,((J224-I224-N(K224))*1440-N(L224)*10)/60)))</f>
        <v/>
      </c>
      <c r="O224" s="73"/>
    </row>
    <row r="225" customFormat="false" ht="15" hidden="false" customHeight="false" outlineLevel="0" collapsed="false">
      <c r="A225" s="77"/>
      <c r="B225" s="73"/>
      <c r="C225" s="71" t="str">
        <f aca="false">IF(B225="","",IFERROR(INDEX(マスタ!$F$2:$F$60,MATCH(B225,マスタ!$E$2:$E$60,0))&amp;"",""))</f>
        <v/>
      </c>
      <c r="D225" s="73"/>
      <c r="E225" s="75"/>
      <c r="F225" s="75"/>
      <c r="G225" s="75"/>
      <c r="H225" s="73"/>
      <c r="I225" s="75"/>
      <c r="J225" s="75"/>
      <c r="K225" s="75"/>
      <c r="L225" s="73"/>
      <c r="M225" s="78" t="str">
        <f aca="false">IF(OR(E225="",F225=""),"",MAX(0,((F225-E225-N(G225))*1440-N(H225)*10)/60))</f>
        <v/>
      </c>
      <c r="N225" s="78" t="str">
        <f aca="false">IF($D225="欠席",0,IF(OR(I225="",J225=""),"",MAX(0,((J225-I225-N(K225))*1440-N(L225)*10)/60)))</f>
        <v/>
      </c>
      <c r="O225" s="73"/>
    </row>
    <row r="226" customFormat="false" ht="15" hidden="false" customHeight="false" outlineLevel="0" collapsed="false">
      <c r="A226" s="77"/>
      <c r="B226" s="73"/>
      <c r="C226" s="71" t="str">
        <f aca="false">IF(B226="","",IFERROR(INDEX(マスタ!$F$2:$F$60,MATCH(B226,マスタ!$E$2:$E$60,0))&amp;"",""))</f>
        <v/>
      </c>
      <c r="D226" s="73"/>
      <c r="E226" s="75"/>
      <c r="F226" s="75"/>
      <c r="G226" s="75"/>
      <c r="H226" s="73"/>
      <c r="I226" s="75"/>
      <c r="J226" s="75"/>
      <c r="K226" s="75"/>
      <c r="L226" s="73"/>
      <c r="M226" s="78" t="str">
        <f aca="false">IF(OR(E226="",F226=""),"",MAX(0,((F226-E226-N(G226))*1440-N(H226)*10)/60))</f>
        <v/>
      </c>
      <c r="N226" s="78" t="str">
        <f aca="false">IF($D226="欠席",0,IF(OR(I226="",J226=""),"",MAX(0,((J226-I226-N(K226))*1440-N(L226)*10)/60)))</f>
        <v/>
      </c>
      <c r="O226" s="73"/>
    </row>
    <row r="227" customFormat="false" ht="15" hidden="false" customHeight="false" outlineLevel="0" collapsed="false">
      <c r="A227" s="77"/>
      <c r="B227" s="73"/>
      <c r="C227" s="71" t="str">
        <f aca="false">IF(B227="","",IFERROR(INDEX(マスタ!$F$2:$F$60,MATCH(B227,マスタ!$E$2:$E$60,0))&amp;"",""))</f>
        <v/>
      </c>
      <c r="D227" s="73"/>
      <c r="E227" s="75"/>
      <c r="F227" s="75"/>
      <c r="G227" s="75"/>
      <c r="H227" s="73"/>
      <c r="I227" s="75"/>
      <c r="J227" s="75"/>
      <c r="K227" s="75"/>
      <c r="L227" s="73"/>
      <c r="M227" s="78" t="str">
        <f aca="false">IF(OR(E227="",F227=""),"",MAX(0,((F227-E227-N(G227))*1440-N(H227)*10)/60))</f>
        <v/>
      </c>
      <c r="N227" s="78" t="str">
        <f aca="false">IF($D227="欠席",0,IF(OR(I227="",J227=""),"",MAX(0,((J227-I227-N(K227))*1440-N(L227)*10)/60)))</f>
        <v/>
      </c>
      <c r="O227" s="73"/>
    </row>
    <row r="228" customFormat="false" ht="15" hidden="false" customHeight="false" outlineLevel="0" collapsed="false">
      <c r="A228" s="77"/>
      <c r="B228" s="73"/>
      <c r="C228" s="71" t="str">
        <f aca="false">IF(B228="","",IFERROR(INDEX(マスタ!$F$2:$F$60,MATCH(B228,マスタ!$E$2:$E$60,0))&amp;"",""))</f>
        <v/>
      </c>
      <c r="D228" s="73"/>
      <c r="E228" s="75"/>
      <c r="F228" s="75"/>
      <c r="G228" s="75"/>
      <c r="H228" s="73"/>
      <c r="I228" s="75"/>
      <c r="J228" s="75"/>
      <c r="K228" s="75"/>
      <c r="L228" s="73"/>
      <c r="M228" s="78" t="str">
        <f aca="false">IF(OR(E228="",F228=""),"",MAX(0,((F228-E228-N(G228))*1440-N(H228)*10)/60))</f>
        <v/>
      </c>
      <c r="N228" s="78" t="str">
        <f aca="false">IF($D228="欠席",0,IF(OR(I228="",J228=""),"",MAX(0,((J228-I228-N(K228))*1440-N(L228)*10)/60)))</f>
        <v/>
      </c>
      <c r="O228" s="73"/>
    </row>
    <row r="229" customFormat="false" ht="15" hidden="false" customHeight="false" outlineLevel="0" collapsed="false">
      <c r="A229" s="77"/>
      <c r="B229" s="73"/>
      <c r="C229" s="71" t="str">
        <f aca="false">IF(B229="","",IFERROR(INDEX(マスタ!$F$2:$F$60,MATCH(B229,マスタ!$E$2:$E$60,0))&amp;"",""))</f>
        <v/>
      </c>
      <c r="D229" s="73"/>
      <c r="E229" s="75"/>
      <c r="F229" s="75"/>
      <c r="G229" s="75"/>
      <c r="H229" s="73"/>
      <c r="I229" s="75"/>
      <c r="J229" s="75"/>
      <c r="K229" s="75"/>
      <c r="L229" s="73"/>
      <c r="M229" s="78" t="str">
        <f aca="false">IF(OR(E229="",F229=""),"",MAX(0,((F229-E229-N(G229))*1440-N(H229)*10)/60))</f>
        <v/>
      </c>
      <c r="N229" s="78" t="str">
        <f aca="false">IF($D229="欠席",0,IF(OR(I229="",J229=""),"",MAX(0,((J229-I229-N(K229))*1440-N(L229)*10)/60)))</f>
        <v/>
      </c>
      <c r="O229" s="73"/>
    </row>
    <row r="230" customFormat="false" ht="15" hidden="false" customHeight="false" outlineLevel="0" collapsed="false">
      <c r="A230" s="77"/>
      <c r="B230" s="73"/>
      <c r="C230" s="71" t="str">
        <f aca="false">IF(B230="","",IFERROR(INDEX(マスタ!$F$2:$F$60,MATCH(B230,マスタ!$E$2:$E$60,0))&amp;"",""))</f>
        <v/>
      </c>
      <c r="D230" s="73"/>
      <c r="E230" s="75"/>
      <c r="F230" s="75"/>
      <c r="G230" s="75"/>
      <c r="H230" s="73"/>
      <c r="I230" s="75"/>
      <c r="J230" s="75"/>
      <c r="K230" s="75"/>
      <c r="L230" s="73"/>
      <c r="M230" s="78" t="str">
        <f aca="false">IF(OR(E230="",F230=""),"",MAX(0,((F230-E230-N(G230))*1440-N(H230)*10)/60))</f>
        <v/>
      </c>
      <c r="N230" s="78" t="str">
        <f aca="false">IF($D230="欠席",0,IF(OR(I230="",J230=""),"",MAX(0,((J230-I230-N(K230))*1440-N(L230)*10)/60)))</f>
        <v/>
      </c>
      <c r="O230" s="73"/>
    </row>
    <row r="231" customFormat="false" ht="15" hidden="false" customHeight="false" outlineLevel="0" collapsed="false">
      <c r="A231" s="77"/>
      <c r="B231" s="73"/>
      <c r="C231" s="71" t="str">
        <f aca="false">IF(B231="","",IFERROR(INDEX(マスタ!$F$2:$F$60,MATCH(B231,マスタ!$E$2:$E$60,0))&amp;"",""))</f>
        <v/>
      </c>
      <c r="D231" s="73"/>
      <c r="E231" s="75"/>
      <c r="F231" s="75"/>
      <c r="G231" s="75"/>
      <c r="H231" s="73"/>
      <c r="I231" s="75"/>
      <c r="J231" s="75"/>
      <c r="K231" s="75"/>
      <c r="L231" s="73"/>
      <c r="M231" s="78" t="str">
        <f aca="false">IF(OR(E231="",F231=""),"",MAX(0,((F231-E231-N(G231))*1440-N(H231)*10)/60))</f>
        <v/>
      </c>
      <c r="N231" s="78" t="str">
        <f aca="false">IF($D231="欠席",0,IF(OR(I231="",J231=""),"",MAX(0,((J231-I231-N(K231))*1440-N(L231)*10)/60)))</f>
        <v/>
      </c>
      <c r="O231" s="73"/>
    </row>
    <row r="232" customFormat="false" ht="15" hidden="false" customHeight="false" outlineLevel="0" collapsed="false">
      <c r="A232" s="77"/>
      <c r="B232" s="73"/>
      <c r="C232" s="71" t="str">
        <f aca="false">IF(B232="","",IFERROR(INDEX(マスタ!$F$2:$F$60,MATCH(B232,マスタ!$E$2:$E$60,0))&amp;"",""))</f>
        <v/>
      </c>
      <c r="D232" s="73"/>
      <c r="E232" s="75"/>
      <c r="F232" s="75"/>
      <c r="G232" s="75"/>
      <c r="H232" s="73"/>
      <c r="I232" s="75"/>
      <c r="J232" s="75"/>
      <c r="K232" s="75"/>
      <c r="L232" s="73"/>
      <c r="M232" s="78" t="str">
        <f aca="false">IF(OR(E232="",F232=""),"",MAX(0,((F232-E232-N(G232))*1440-N(H232)*10)/60))</f>
        <v/>
      </c>
      <c r="N232" s="78" t="str">
        <f aca="false">IF($D232="欠席",0,IF(OR(I232="",J232=""),"",MAX(0,((J232-I232-N(K232))*1440-N(L232)*10)/60)))</f>
        <v/>
      </c>
      <c r="O232" s="73"/>
    </row>
    <row r="233" customFormat="false" ht="15" hidden="false" customHeight="false" outlineLevel="0" collapsed="false">
      <c r="A233" s="77"/>
      <c r="B233" s="73"/>
      <c r="C233" s="71" t="str">
        <f aca="false">IF(B233="","",IFERROR(INDEX(マスタ!$F$2:$F$60,MATCH(B233,マスタ!$E$2:$E$60,0))&amp;"",""))</f>
        <v/>
      </c>
      <c r="D233" s="73"/>
      <c r="E233" s="75"/>
      <c r="F233" s="75"/>
      <c r="G233" s="75"/>
      <c r="H233" s="73"/>
      <c r="I233" s="75"/>
      <c r="J233" s="75"/>
      <c r="K233" s="75"/>
      <c r="L233" s="73"/>
      <c r="M233" s="78" t="str">
        <f aca="false">IF(OR(E233="",F233=""),"",MAX(0,((F233-E233-N(G233))*1440-N(H233)*10)/60))</f>
        <v/>
      </c>
      <c r="N233" s="78" t="str">
        <f aca="false">IF($D233="欠席",0,IF(OR(I233="",J233=""),"",MAX(0,((J233-I233-N(K233))*1440-N(L233)*10)/60)))</f>
        <v/>
      </c>
      <c r="O233" s="73"/>
    </row>
    <row r="234" customFormat="false" ht="15" hidden="false" customHeight="false" outlineLevel="0" collapsed="false">
      <c r="A234" s="77"/>
      <c r="B234" s="73"/>
      <c r="C234" s="71" t="str">
        <f aca="false">IF(B234="","",IFERROR(INDEX(マスタ!$F$2:$F$60,MATCH(B234,マスタ!$E$2:$E$60,0))&amp;"",""))</f>
        <v/>
      </c>
      <c r="D234" s="73"/>
      <c r="E234" s="75"/>
      <c r="F234" s="75"/>
      <c r="G234" s="75"/>
      <c r="H234" s="73"/>
      <c r="I234" s="75"/>
      <c r="J234" s="75"/>
      <c r="K234" s="75"/>
      <c r="L234" s="73"/>
      <c r="M234" s="78" t="str">
        <f aca="false">IF(OR(E234="",F234=""),"",MAX(0,((F234-E234-N(G234))*1440-N(H234)*10)/60))</f>
        <v/>
      </c>
      <c r="N234" s="78" t="str">
        <f aca="false">IF($D234="欠席",0,IF(OR(I234="",J234=""),"",MAX(0,((J234-I234-N(K234))*1440-N(L234)*10)/60)))</f>
        <v/>
      </c>
      <c r="O234" s="73"/>
    </row>
    <row r="235" customFormat="false" ht="15" hidden="false" customHeight="false" outlineLevel="0" collapsed="false">
      <c r="A235" s="77"/>
      <c r="B235" s="73"/>
      <c r="C235" s="71" t="str">
        <f aca="false">IF(B235="","",IFERROR(INDEX(マスタ!$F$2:$F$60,MATCH(B235,マスタ!$E$2:$E$60,0))&amp;"",""))</f>
        <v/>
      </c>
      <c r="D235" s="73"/>
      <c r="E235" s="75"/>
      <c r="F235" s="75"/>
      <c r="G235" s="75"/>
      <c r="H235" s="73"/>
      <c r="I235" s="75"/>
      <c r="J235" s="75"/>
      <c r="K235" s="75"/>
      <c r="L235" s="73"/>
      <c r="M235" s="78" t="str">
        <f aca="false">IF(OR(E235="",F235=""),"",MAX(0,((F235-E235-N(G235))*1440-N(H235)*10)/60))</f>
        <v/>
      </c>
      <c r="N235" s="78" t="str">
        <f aca="false">IF($D235="欠席",0,IF(OR(I235="",J235=""),"",MAX(0,((J235-I235-N(K235))*1440-N(L235)*10)/60)))</f>
        <v/>
      </c>
      <c r="O235" s="73"/>
    </row>
    <row r="236" customFormat="false" ht="15" hidden="false" customHeight="false" outlineLevel="0" collapsed="false">
      <c r="A236" s="77"/>
      <c r="B236" s="73"/>
      <c r="C236" s="71" t="str">
        <f aca="false">IF(B236="","",IFERROR(INDEX(マスタ!$F$2:$F$60,MATCH(B236,マスタ!$E$2:$E$60,0))&amp;"",""))</f>
        <v/>
      </c>
      <c r="D236" s="73"/>
      <c r="E236" s="75"/>
      <c r="F236" s="75"/>
      <c r="G236" s="75"/>
      <c r="H236" s="73"/>
      <c r="I236" s="75"/>
      <c r="J236" s="75"/>
      <c r="K236" s="75"/>
      <c r="L236" s="73"/>
      <c r="M236" s="78" t="str">
        <f aca="false">IF(OR(E236="",F236=""),"",MAX(0,((F236-E236-N(G236))*1440-N(H236)*10)/60))</f>
        <v/>
      </c>
      <c r="N236" s="78" t="str">
        <f aca="false">IF($D236="欠席",0,IF(OR(I236="",J236=""),"",MAX(0,((J236-I236-N(K236))*1440-N(L236)*10)/60)))</f>
        <v/>
      </c>
      <c r="O236" s="73"/>
    </row>
    <row r="237" customFormat="false" ht="15" hidden="false" customHeight="false" outlineLevel="0" collapsed="false">
      <c r="A237" s="77"/>
      <c r="B237" s="73"/>
      <c r="C237" s="71" t="str">
        <f aca="false">IF(B237="","",IFERROR(INDEX(マスタ!$F$2:$F$60,MATCH(B237,マスタ!$E$2:$E$60,0))&amp;"",""))</f>
        <v/>
      </c>
      <c r="D237" s="73"/>
      <c r="E237" s="75"/>
      <c r="F237" s="75"/>
      <c r="G237" s="75"/>
      <c r="H237" s="73"/>
      <c r="I237" s="75"/>
      <c r="J237" s="75"/>
      <c r="K237" s="75"/>
      <c r="L237" s="73"/>
      <c r="M237" s="78" t="str">
        <f aca="false">IF(OR(E237="",F237=""),"",MAX(0,((F237-E237-N(G237))*1440-N(H237)*10)/60))</f>
        <v/>
      </c>
      <c r="N237" s="78" t="str">
        <f aca="false">IF($D237="欠席",0,IF(OR(I237="",J237=""),"",MAX(0,((J237-I237-N(K237))*1440-N(L237)*10)/60)))</f>
        <v/>
      </c>
      <c r="O237" s="73"/>
    </row>
    <row r="238" customFormat="false" ht="15" hidden="false" customHeight="false" outlineLevel="0" collapsed="false">
      <c r="A238" s="77"/>
      <c r="B238" s="73"/>
      <c r="C238" s="71" t="str">
        <f aca="false">IF(B238="","",IFERROR(INDEX(マスタ!$F$2:$F$60,MATCH(B238,マスタ!$E$2:$E$60,0))&amp;"",""))</f>
        <v/>
      </c>
      <c r="D238" s="73"/>
      <c r="E238" s="75"/>
      <c r="F238" s="75"/>
      <c r="G238" s="75"/>
      <c r="H238" s="73"/>
      <c r="I238" s="75"/>
      <c r="J238" s="75"/>
      <c r="K238" s="75"/>
      <c r="L238" s="73"/>
      <c r="M238" s="78" t="str">
        <f aca="false">IF(OR(E238="",F238=""),"",MAX(0,((F238-E238-N(G238))*1440-N(H238)*10)/60))</f>
        <v/>
      </c>
      <c r="N238" s="78" t="str">
        <f aca="false">IF($D238="欠席",0,IF(OR(I238="",J238=""),"",MAX(0,((J238-I238-N(K238))*1440-N(L238)*10)/60)))</f>
        <v/>
      </c>
      <c r="O238" s="73"/>
    </row>
    <row r="239" customFormat="false" ht="15" hidden="false" customHeight="false" outlineLevel="0" collapsed="false">
      <c r="A239" s="77"/>
      <c r="B239" s="73"/>
      <c r="C239" s="71" t="str">
        <f aca="false">IF(B239="","",IFERROR(INDEX(マスタ!$F$2:$F$60,MATCH(B239,マスタ!$E$2:$E$60,0))&amp;"",""))</f>
        <v/>
      </c>
      <c r="D239" s="73"/>
      <c r="E239" s="75"/>
      <c r="F239" s="75"/>
      <c r="G239" s="75"/>
      <c r="H239" s="73"/>
      <c r="I239" s="75"/>
      <c r="J239" s="75"/>
      <c r="K239" s="75"/>
      <c r="L239" s="73"/>
      <c r="M239" s="78" t="str">
        <f aca="false">IF(OR(E239="",F239=""),"",MAX(0,((F239-E239-N(G239))*1440-N(H239)*10)/60))</f>
        <v/>
      </c>
      <c r="N239" s="78" t="str">
        <f aca="false">IF($D239="欠席",0,IF(OR(I239="",J239=""),"",MAX(0,((J239-I239-N(K239))*1440-N(L239)*10)/60)))</f>
        <v/>
      </c>
      <c r="O239" s="73"/>
    </row>
    <row r="240" customFormat="false" ht="15" hidden="false" customHeight="false" outlineLevel="0" collapsed="false">
      <c r="A240" s="77"/>
      <c r="B240" s="73"/>
      <c r="C240" s="71" t="str">
        <f aca="false">IF(B240="","",IFERROR(INDEX(マスタ!$F$2:$F$60,MATCH(B240,マスタ!$E$2:$E$60,0))&amp;"",""))</f>
        <v/>
      </c>
      <c r="D240" s="73"/>
      <c r="E240" s="75"/>
      <c r="F240" s="75"/>
      <c r="G240" s="75"/>
      <c r="H240" s="73"/>
      <c r="I240" s="75"/>
      <c r="J240" s="75"/>
      <c r="K240" s="75"/>
      <c r="L240" s="73"/>
      <c r="M240" s="78" t="str">
        <f aca="false">IF(OR(E240="",F240=""),"",MAX(0,((F240-E240-N(G240))*1440-N(H240)*10)/60))</f>
        <v/>
      </c>
      <c r="N240" s="78" t="str">
        <f aca="false">IF($D240="欠席",0,IF(OR(I240="",J240=""),"",MAX(0,((J240-I240-N(K240))*1440-N(L240)*10)/60)))</f>
        <v/>
      </c>
      <c r="O240" s="73"/>
    </row>
    <row r="241" customFormat="false" ht="15" hidden="false" customHeight="false" outlineLevel="0" collapsed="false">
      <c r="A241" s="77"/>
      <c r="B241" s="73"/>
      <c r="C241" s="71" t="str">
        <f aca="false">IF(B241="","",IFERROR(INDEX(マスタ!$F$2:$F$60,MATCH(B241,マスタ!$E$2:$E$60,0))&amp;"",""))</f>
        <v/>
      </c>
      <c r="D241" s="73"/>
      <c r="E241" s="75"/>
      <c r="F241" s="75"/>
      <c r="G241" s="75"/>
      <c r="H241" s="73"/>
      <c r="I241" s="75"/>
      <c r="J241" s="75"/>
      <c r="K241" s="75"/>
      <c r="L241" s="73"/>
      <c r="M241" s="78" t="str">
        <f aca="false">IF(OR(E241="",F241=""),"",MAX(0,((F241-E241-N(G241))*1440-N(H241)*10)/60))</f>
        <v/>
      </c>
      <c r="N241" s="78" t="str">
        <f aca="false">IF($D241="欠席",0,IF(OR(I241="",J241=""),"",MAX(0,((J241-I241-N(K241))*1440-N(L241)*10)/60)))</f>
        <v/>
      </c>
      <c r="O241" s="73"/>
    </row>
    <row r="242" customFormat="false" ht="15" hidden="false" customHeight="false" outlineLevel="0" collapsed="false">
      <c r="A242" s="77"/>
      <c r="B242" s="73"/>
      <c r="C242" s="71" t="str">
        <f aca="false">IF(B242="","",IFERROR(INDEX(マスタ!$F$2:$F$60,MATCH(B242,マスタ!$E$2:$E$60,0))&amp;"",""))</f>
        <v/>
      </c>
      <c r="D242" s="73"/>
      <c r="E242" s="75"/>
      <c r="F242" s="75"/>
      <c r="G242" s="75"/>
      <c r="H242" s="73"/>
      <c r="I242" s="75"/>
      <c r="J242" s="75"/>
      <c r="K242" s="75"/>
      <c r="L242" s="73"/>
      <c r="M242" s="78" t="str">
        <f aca="false">IF(OR(E242="",F242=""),"",MAX(0,((F242-E242-N(G242))*1440-N(H242)*10)/60))</f>
        <v/>
      </c>
      <c r="N242" s="78" t="str">
        <f aca="false">IF($D242="欠席",0,IF(OR(I242="",J242=""),"",MAX(0,((J242-I242-N(K242))*1440-N(L242)*10)/60)))</f>
        <v/>
      </c>
      <c r="O242" s="73"/>
    </row>
    <row r="243" customFormat="false" ht="15" hidden="false" customHeight="false" outlineLevel="0" collapsed="false">
      <c r="A243" s="77"/>
      <c r="B243" s="73"/>
      <c r="C243" s="71" t="str">
        <f aca="false">IF(B243="","",IFERROR(INDEX(マスタ!$F$2:$F$60,MATCH(B243,マスタ!$E$2:$E$60,0))&amp;"",""))</f>
        <v/>
      </c>
      <c r="D243" s="73"/>
      <c r="E243" s="75"/>
      <c r="F243" s="75"/>
      <c r="G243" s="75"/>
      <c r="H243" s="73"/>
      <c r="I243" s="75"/>
      <c r="J243" s="75"/>
      <c r="K243" s="75"/>
      <c r="L243" s="73"/>
      <c r="M243" s="78" t="str">
        <f aca="false">IF(OR(E243="",F243=""),"",MAX(0,((F243-E243-N(G243))*1440-N(H243)*10)/60))</f>
        <v/>
      </c>
      <c r="N243" s="78" t="str">
        <f aca="false">IF($D243="欠席",0,IF(OR(I243="",J243=""),"",MAX(0,((J243-I243-N(K243))*1440-N(L243)*10)/60)))</f>
        <v/>
      </c>
      <c r="O243" s="73"/>
    </row>
    <row r="244" customFormat="false" ht="15" hidden="false" customHeight="false" outlineLevel="0" collapsed="false">
      <c r="A244" s="77"/>
      <c r="B244" s="73"/>
      <c r="C244" s="71" t="str">
        <f aca="false">IF(B244="","",IFERROR(INDEX(マスタ!$F$2:$F$60,MATCH(B244,マスタ!$E$2:$E$60,0))&amp;"",""))</f>
        <v/>
      </c>
      <c r="D244" s="73"/>
      <c r="E244" s="75"/>
      <c r="F244" s="75"/>
      <c r="G244" s="75"/>
      <c r="H244" s="73"/>
      <c r="I244" s="75"/>
      <c r="J244" s="75"/>
      <c r="K244" s="75"/>
      <c r="L244" s="73"/>
      <c r="M244" s="78" t="str">
        <f aca="false">IF(OR(E244="",F244=""),"",MAX(0,((F244-E244-N(G244))*1440-N(H244)*10)/60))</f>
        <v/>
      </c>
      <c r="N244" s="78" t="str">
        <f aca="false">IF($D244="欠席",0,IF(OR(I244="",J244=""),"",MAX(0,((J244-I244-N(K244))*1440-N(L244)*10)/60)))</f>
        <v/>
      </c>
      <c r="O244" s="73"/>
    </row>
    <row r="245" customFormat="false" ht="15" hidden="false" customHeight="false" outlineLevel="0" collapsed="false">
      <c r="A245" s="77"/>
      <c r="B245" s="73"/>
      <c r="C245" s="71" t="str">
        <f aca="false">IF(B245="","",IFERROR(INDEX(マスタ!$F$2:$F$60,MATCH(B245,マスタ!$E$2:$E$60,0))&amp;"",""))</f>
        <v/>
      </c>
      <c r="D245" s="73"/>
      <c r="E245" s="75"/>
      <c r="F245" s="75"/>
      <c r="G245" s="75"/>
      <c r="H245" s="73"/>
      <c r="I245" s="75"/>
      <c r="J245" s="75"/>
      <c r="K245" s="75"/>
      <c r="L245" s="73"/>
      <c r="M245" s="78" t="str">
        <f aca="false">IF(OR(E245="",F245=""),"",MAX(0,((F245-E245-N(G245))*1440-N(H245)*10)/60))</f>
        <v/>
      </c>
      <c r="N245" s="78" t="str">
        <f aca="false">IF($D245="欠席",0,IF(OR(I245="",J245=""),"",MAX(0,((J245-I245-N(K245))*1440-N(L245)*10)/60)))</f>
        <v/>
      </c>
      <c r="O245" s="73"/>
    </row>
    <row r="246" customFormat="false" ht="15" hidden="false" customHeight="false" outlineLevel="0" collapsed="false">
      <c r="A246" s="77"/>
      <c r="B246" s="73"/>
      <c r="C246" s="71" t="str">
        <f aca="false">IF(B246="","",IFERROR(INDEX(マスタ!$F$2:$F$60,MATCH(B246,マスタ!$E$2:$E$60,0))&amp;"",""))</f>
        <v/>
      </c>
      <c r="D246" s="73"/>
      <c r="E246" s="75"/>
      <c r="F246" s="75"/>
      <c r="G246" s="75"/>
      <c r="H246" s="73"/>
      <c r="I246" s="75"/>
      <c r="J246" s="75"/>
      <c r="K246" s="75"/>
      <c r="L246" s="73"/>
      <c r="M246" s="78" t="str">
        <f aca="false">IF(OR(E246="",F246=""),"",MAX(0,((F246-E246-N(G246))*1440-N(H246)*10)/60))</f>
        <v/>
      </c>
      <c r="N246" s="78" t="str">
        <f aca="false">IF($D246="欠席",0,IF(OR(I246="",J246=""),"",MAX(0,((J246-I246-N(K246))*1440-N(L246)*10)/60)))</f>
        <v/>
      </c>
      <c r="O246" s="73"/>
    </row>
    <row r="247" customFormat="false" ht="15" hidden="false" customHeight="false" outlineLevel="0" collapsed="false">
      <c r="A247" s="77"/>
      <c r="B247" s="73"/>
      <c r="C247" s="71" t="str">
        <f aca="false">IF(B247="","",IFERROR(INDEX(マスタ!$F$2:$F$60,MATCH(B247,マスタ!$E$2:$E$60,0))&amp;"",""))</f>
        <v/>
      </c>
      <c r="D247" s="73"/>
      <c r="E247" s="75"/>
      <c r="F247" s="75"/>
      <c r="G247" s="75"/>
      <c r="H247" s="73"/>
      <c r="I247" s="75"/>
      <c r="J247" s="75"/>
      <c r="K247" s="75"/>
      <c r="L247" s="73"/>
      <c r="M247" s="78" t="str">
        <f aca="false">IF(OR(E247="",F247=""),"",MAX(0,((F247-E247-N(G247))*1440-N(H247)*10)/60))</f>
        <v/>
      </c>
      <c r="N247" s="78" t="str">
        <f aca="false">IF($D247="欠席",0,IF(OR(I247="",J247=""),"",MAX(0,((J247-I247-N(K247))*1440-N(L247)*10)/60)))</f>
        <v/>
      </c>
      <c r="O247" s="73"/>
    </row>
    <row r="248" customFormat="false" ht="15" hidden="false" customHeight="false" outlineLevel="0" collapsed="false">
      <c r="A248" s="77"/>
      <c r="B248" s="73"/>
      <c r="C248" s="71" t="str">
        <f aca="false">IF(B248="","",IFERROR(INDEX(マスタ!$F$2:$F$60,MATCH(B248,マスタ!$E$2:$E$60,0))&amp;"",""))</f>
        <v/>
      </c>
      <c r="D248" s="73"/>
      <c r="E248" s="75"/>
      <c r="F248" s="75"/>
      <c r="G248" s="75"/>
      <c r="H248" s="73"/>
      <c r="I248" s="75"/>
      <c r="J248" s="75"/>
      <c r="K248" s="75"/>
      <c r="L248" s="73"/>
      <c r="M248" s="78" t="str">
        <f aca="false">IF(OR(E248="",F248=""),"",MAX(0,((F248-E248-N(G248))*1440-N(H248)*10)/60))</f>
        <v/>
      </c>
      <c r="N248" s="78" t="str">
        <f aca="false">IF($D248="欠席",0,IF(OR(I248="",J248=""),"",MAX(0,((J248-I248-N(K248))*1440-N(L248)*10)/60)))</f>
        <v/>
      </c>
      <c r="O248" s="73"/>
    </row>
    <row r="249" customFormat="false" ht="15" hidden="false" customHeight="false" outlineLevel="0" collapsed="false">
      <c r="A249" s="77"/>
      <c r="B249" s="73"/>
      <c r="C249" s="71" t="str">
        <f aca="false">IF(B249="","",IFERROR(INDEX(マスタ!$F$2:$F$60,MATCH(B249,マスタ!$E$2:$E$60,0))&amp;"",""))</f>
        <v/>
      </c>
      <c r="D249" s="73"/>
      <c r="E249" s="75"/>
      <c r="F249" s="75"/>
      <c r="G249" s="75"/>
      <c r="H249" s="73"/>
      <c r="I249" s="75"/>
      <c r="J249" s="75"/>
      <c r="K249" s="75"/>
      <c r="L249" s="73"/>
      <c r="M249" s="78" t="str">
        <f aca="false">IF(OR(E249="",F249=""),"",MAX(0,((F249-E249-N(G249))*1440-N(H249)*10)/60))</f>
        <v/>
      </c>
      <c r="N249" s="78" t="str">
        <f aca="false">IF($D249="欠席",0,IF(OR(I249="",J249=""),"",MAX(0,((J249-I249-N(K249))*1440-N(L249)*10)/60)))</f>
        <v/>
      </c>
      <c r="O249" s="73"/>
    </row>
    <row r="250" customFormat="false" ht="15" hidden="false" customHeight="false" outlineLevel="0" collapsed="false">
      <c r="A250" s="77"/>
      <c r="B250" s="73"/>
      <c r="C250" s="71" t="str">
        <f aca="false">IF(B250="","",IFERROR(INDEX(マスタ!$F$2:$F$60,MATCH(B250,マスタ!$E$2:$E$60,0))&amp;"",""))</f>
        <v/>
      </c>
      <c r="D250" s="73"/>
      <c r="E250" s="75"/>
      <c r="F250" s="75"/>
      <c r="G250" s="75"/>
      <c r="H250" s="73"/>
      <c r="I250" s="75"/>
      <c r="J250" s="75"/>
      <c r="K250" s="75"/>
      <c r="L250" s="73"/>
      <c r="M250" s="78" t="str">
        <f aca="false">IF(OR(E250="",F250=""),"",MAX(0,((F250-E250-N(G250))*1440-N(H250)*10)/60))</f>
        <v/>
      </c>
      <c r="N250" s="78" t="str">
        <f aca="false">IF($D250="欠席",0,IF(OR(I250="",J250=""),"",MAX(0,((J250-I250-N(K250))*1440-N(L250)*10)/60)))</f>
        <v/>
      </c>
      <c r="O250" s="73"/>
    </row>
    <row r="251" customFormat="false" ht="15" hidden="false" customHeight="false" outlineLevel="0" collapsed="false">
      <c r="A251" s="77"/>
      <c r="B251" s="73"/>
      <c r="C251" s="71" t="str">
        <f aca="false">IF(B251="","",IFERROR(INDEX(マスタ!$F$2:$F$60,MATCH(B251,マスタ!$E$2:$E$60,0))&amp;"",""))</f>
        <v/>
      </c>
      <c r="D251" s="73"/>
      <c r="E251" s="75"/>
      <c r="F251" s="75"/>
      <c r="G251" s="75"/>
      <c r="H251" s="73"/>
      <c r="I251" s="75"/>
      <c r="J251" s="75"/>
      <c r="K251" s="75"/>
      <c r="L251" s="73"/>
      <c r="M251" s="78" t="str">
        <f aca="false">IF(OR(E251="",F251=""),"",MAX(0,((F251-E251-N(G251))*1440-N(H251)*10)/60))</f>
        <v/>
      </c>
      <c r="N251" s="78" t="str">
        <f aca="false">IF($D251="欠席",0,IF(OR(I251="",J251=""),"",MAX(0,((J251-I251-N(K251))*1440-N(L251)*10)/60)))</f>
        <v/>
      </c>
      <c r="O251" s="73"/>
    </row>
    <row r="252" customFormat="false" ht="15" hidden="false" customHeight="false" outlineLevel="0" collapsed="false">
      <c r="A252" s="77"/>
      <c r="B252" s="73"/>
      <c r="C252" s="71" t="str">
        <f aca="false">IF(B252="","",IFERROR(INDEX(マスタ!$F$2:$F$60,MATCH(B252,マスタ!$E$2:$E$60,0))&amp;"",""))</f>
        <v/>
      </c>
      <c r="D252" s="73"/>
      <c r="E252" s="75"/>
      <c r="F252" s="75"/>
      <c r="G252" s="75"/>
      <c r="H252" s="73"/>
      <c r="I252" s="75"/>
      <c r="J252" s="75"/>
      <c r="K252" s="75"/>
      <c r="L252" s="73"/>
      <c r="M252" s="78" t="str">
        <f aca="false">IF(OR(E252="",F252=""),"",MAX(0,((F252-E252-N(G252))*1440-N(H252)*10)/60))</f>
        <v/>
      </c>
      <c r="N252" s="78" t="str">
        <f aca="false">IF($D252="欠席",0,IF(OR(I252="",J252=""),"",MAX(0,((J252-I252-N(K252))*1440-N(L252)*10)/60)))</f>
        <v/>
      </c>
      <c r="O252" s="73"/>
    </row>
    <row r="253" customFormat="false" ht="15" hidden="false" customHeight="false" outlineLevel="0" collapsed="false">
      <c r="A253" s="77"/>
      <c r="B253" s="73"/>
      <c r="C253" s="71" t="str">
        <f aca="false">IF(B253="","",IFERROR(INDEX(マスタ!$F$2:$F$60,MATCH(B253,マスタ!$E$2:$E$60,0))&amp;"",""))</f>
        <v/>
      </c>
      <c r="D253" s="73"/>
      <c r="E253" s="75"/>
      <c r="F253" s="75"/>
      <c r="G253" s="75"/>
      <c r="H253" s="73"/>
      <c r="I253" s="75"/>
      <c r="J253" s="75"/>
      <c r="K253" s="75"/>
      <c r="L253" s="73"/>
      <c r="M253" s="78" t="str">
        <f aca="false">IF(OR(E253="",F253=""),"",MAX(0,((F253-E253-N(G253))*1440-N(H253)*10)/60))</f>
        <v/>
      </c>
      <c r="N253" s="78" t="str">
        <f aca="false">IF($D253="欠席",0,IF(OR(I253="",J253=""),"",MAX(0,((J253-I253-N(K253))*1440-N(L253)*10)/60)))</f>
        <v/>
      </c>
      <c r="O253" s="73"/>
    </row>
    <row r="254" customFormat="false" ht="15" hidden="false" customHeight="false" outlineLevel="0" collapsed="false">
      <c r="A254" s="77"/>
      <c r="B254" s="73"/>
      <c r="C254" s="71" t="str">
        <f aca="false">IF(B254="","",IFERROR(INDEX(マスタ!$F$2:$F$60,MATCH(B254,マスタ!$E$2:$E$60,0))&amp;"",""))</f>
        <v/>
      </c>
      <c r="D254" s="73"/>
      <c r="E254" s="75"/>
      <c r="F254" s="75"/>
      <c r="G254" s="75"/>
      <c r="H254" s="73"/>
      <c r="I254" s="75"/>
      <c r="J254" s="75"/>
      <c r="K254" s="75"/>
      <c r="L254" s="73"/>
      <c r="M254" s="78" t="str">
        <f aca="false">IF(OR(E254="",F254=""),"",MAX(0,((F254-E254-N(G254))*1440-N(H254)*10)/60))</f>
        <v/>
      </c>
      <c r="N254" s="78" t="str">
        <f aca="false">IF($D254="欠席",0,IF(OR(I254="",J254=""),"",MAX(0,((J254-I254-N(K254))*1440-N(L254)*10)/60)))</f>
        <v/>
      </c>
      <c r="O254" s="73"/>
    </row>
    <row r="255" customFormat="false" ht="15" hidden="false" customHeight="false" outlineLevel="0" collapsed="false">
      <c r="A255" s="77"/>
      <c r="B255" s="73"/>
      <c r="C255" s="71" t="str">
        <f aca="false">IF(B255="","",IFERROR(INDEX(マスタ!$F$2:$F$60,MATCH(B255,マスタ!$E$2:$E$60,0))&amp;"",""))</f>
        <v/>
      </c>
      <c r="D255" s="73"/>
      <c r="E255" s="75"/>
      <c r="F255" s="75"/>
      <c r="G255" s="75"/>
      <c r="H255" s="73"/>
      <c r="I255" s="75"/>
      <c r="J255" s="75"/>
      <c r="K255" s="75"/>
      <c r="L255" s="73"/>
      <c r="M255" s="78" t="str">
        <f aca="false">IF(OR(E255="",F255=""),"",MAX(0,((F255-E255-N(G255))*1440-N(H255)*10)/60))</f>
        <v/>
      </c>
      <c r="N255" s="78" t="str">
        <f aca="false">IF($D255="欠席",0,IF(OR(I255="",J255=""),"",MAX(0,((J255-I255-N(K255))*1440-N(L255)*10)/60)))</f>
        <v/>
      </c>
      <c r="O255" s="73"/>
    </row>
    <row r="256" customFormat="false" ht="15" hidden="false" customHeight="false" outlineLevel="0" collapsed="false">
      <c r="A256" s="77"/>
      <c r="B256" s="73"/>
      <c r="C256" s="71" t="str">
        <f aca="false">IF(B256="","",IFERROR(INDEX(マスタ!$F$2:$F$60,MATCH(B256,マスタ!$E$2:$E$60,0))&amp;"",""))</f>
        <v/>
      </c>
      <c r="D256" s="73"/>
      <c r="E256" s="75"/>
      <c r="F256" s="75"/>
      <c r="G256" s="75"/>
      <c r="H256" s="73"/>
      <c r="I256" s="75"/>
      <c r="J256" s="75"/>
      <c r="K256" s="75"/>
      <c r="L256" s="73"/>
      <c r="M256" s="78" t="str">
        <f aca="false">IF(OR(E256="",F256=""),"",MAX(0,((F256-E256-N(G256))*1440-N(H256)*10)/60))</f>
        <v/>
      </c>
      <c r="N256" s="78" t="str">
        <f aca="false">IF($D256="欠席",0,IF(OR(I256="",J256=""),"",MAX(0,((J256-I256-N(K256))*1440-N(L256)*10)/60)))</f>
        <v/>
      </c>
      <c r="O256" s="73"/>
    </row>
    <row r="257" customFormat="false" ht="15" hidden="false" customHeight="false" outlineLevel="0" collapsed="false">
      <c r="A257" s="77"/>
      <c r="B257" s="73"/>
      <c r="C257" s="71" t="str">
        <f aca="false">IF(B257="","",IFERROR(INDEX(マスタ!$F$2:$F$60,MATCH(B257,マスタ!$E$2:$E$60,0))&amp;"",""))</f>
        <v/>
      </c>
      <c r="D257" s="73"/>
      <c r="E257" s="75"/>
      <c r="F257" s="75"/>
      <c r="G257" s="75"/>
      <c r="H257" s="73"/>
      <c r="I257" s="75"/>
      <c r="J257" s="75"/>
      <c r="K257" s="75"/>
      <c r="L257" s="73"/>
      <c r="M257" s="78" t="str">
        <f aca="false">IF(OR(E257="",F257=""),"",MAX(0,((F257-E257-N(G257))*1440-N(H257)*10)/60))</f>
        <v/>
      </c>
      <c r="N257" s="78" t="str">
        <f aca="false">IF($D257="欠席",0,IF(OR(I257="",J257=""),"",MAX(0,((J257-I257-N(K257))*1440-N(L257)*10)/60)))</f>
        <v/>
      </c>
      <c r="O257" s="73"/>
    </row>
    <row r="258" customFormat="false" ht="15" hidden="false" customHeight="false" outlineLevel="0" collapsed="false">
      <c r="A258" s="77"/>
      <c r="B258" s="73"/>
      <c r="C258" s="71" t="str">
        <f aca="false">IF(B258="","",IFERROR(INDEX(マスタ!$F$2:$F$60,MATCH(B258,マスタ!$E$2:$E$60,0))&amp;"",""))</f>
        <v/>
      </c>
      <c r="D258" s="73"/>
      <c r="E258" s="75"/>
      <c r="F258" s="75"/>
      <c r="G258" s="75"/>
      <c r="H258" s="73"/>
      <c r="I258" s="75"/>
      <c r="J258" s="75"/>
      <c r="K258" s="75"/>
      <c r="L258" s="73"/>
      <c r="M258" s="78" t="str">
        <f aca="false">IF(OR(E258="",F258=""),"",MAX(0,((F258-E258-N(G258))*1440-N(H258)*10)/60))</f>
        <v/>
      </c>
      <c r="N258" s="78" t="str">
        <f aca="false">IF($D258="欠席",0,IF(OR(I258="",J258=""),"",MAX(0,((J258-I258-N(K258))*1440-N(L258)*10)/60)))</f>
        <v/>
      </c>
      <c r="O258" s="73"/>
    </row>
    <row r="259" customFormat="false" ht="15" hidden="false" customHeight="false" outlineLevel="0" collapsed="false">
      <c r="A259" s="77"/>
      <c r="B259" s="73"/>
      <c r="C259" s="71" t="str">
        <f aca="false">IF(B259="","",IFERROR(INDEX(マスタ!$F$2:$F$60,MATCH(B259,マスタ!$E$2:$E$60,0))&amp;"",""))</f>
        <v/>
      </c>
      <c r="D259" s="73"/>
      <c r="E259" s="75"/>
      <c r="F259" s="75"/>
      <c r="G259" s="75"/>
      <c r="H259" s="73"/>
      <c r="I259" s="75"/>
      <c r="J259" s="75"/>
      <c r="K259" s="75"/>
      <c r="L259" s="73"/>
      <c r="M259" s="78" t="str">
        <f aca="false">IF(OR(E259="",F259=""),"",MAX(0,((F259-E259-N(G259))*1440-N(H259)*10)/60))</f>
        <v/>
      </c>
      <c r="N259" s="78" t="str">
        <f aca="false">IF($D259="欠席",0,IF(OR(I259="",J259=""),"",MAX(0,((J259-I259-N(K259))*1440-N(L259)*10)/60)))</f>
        <v/>
      </c>
      <c r="O259" s="73"/>
    </row>
    <row r="260" customFormat="false" ht="15" hidden="false" customHeight="false" outlineLevel="0" collapsed="false">
      <c r="A260" s="77"/>
      <c r="B260" s="73"/>
      <c r="C260" s="71" t="str">
        <f aca="false">IF(B260="","",IFERROR(INDEX(マスタ!$F$2:$F$60,MATCH(B260,マスタ!$E$2:$E$60,0))&amp;"",""))</f>
        <v/>
      </c>
      <c r="D260" s="73"/>
      <c r="E260" s="75"/>
      <c r="F260" s="75"/>
      <c r="G260" s="75"/>
      <c r="H260" s="73"/>
      <c r="I260" s="75"/>
      <c r="J260" s="75"/>
      <c r="K260" s="75"/>
      <c r="L260" s="73"/>
      <c r="M260" s="78" t="str">
        <f aca="false">IF(OR(E260="",F260=""),"",MAX(0,((F260-E260-N(G260))*1440-N(H260)*10)/60))</f>
        <v/>
      </c>
      <c r="N260" s="78" t="str">
        <f aca="false">IF($D260="欠席",0,IF(OR(I260="",J260=""),"",MAX(0,((J260-I260-N(K260))*1440-N(L260)*10)/60)))</f>
        <v/>
      </c>
      <c r="O260" s="73"/>
    </row>
    <row r="261" customFormat="false" ht="15" hidden="false" customHeight="false" outlineLevel="0" collapsed="false">
      <c r="A261" s="77"/>
      <c r="B261" s="73"/>
      <c r="C261" s="71" t="str">
        <f aca="false">IF(B261="","",IFERROR(INDEX(マスタ!$F$2:$F$60,MATCH(B261,マスタ!$E$2:$E$60,0))&amp;"",""))</f>
        <v/>
      </c>
      <c r="D261" s="73"/>
      <c r="E261" s="75"/>
      <c r="F261" s="75"/>
      <c r="G261" s="75"/>
      <c r="H261" s="73"/>
      <c r="I261" s="75"/>
      <c r="J261" s="75"/>
      <c r="K261" s="75"/>
      <c r="L261" s="73"/>
      <c r="M261" s="78" t="str">
        <f aca="false">IF(OR(E261="",F261=""),"",MAX(0,((F261-E261-N(G261))*1440-N(H261)*10)/60))</f>
        <v/>
      </c>
      <c r="N261" s="78" t="str">
        <f aca="false">IF($D261="欠席",0,IF(OR(I261="",J261=""),"",MAX(0,((J261-I261-N(K261))*1440-N(L261)*10)/60)))</f>
        <v/>
      </c>
      <c r="O261" s="73"/>
    </row>
    <row r="262" customFormat="false" ht="15" hidden="false" customHeight="false" outlineLevel="0" collapsed="false">
      <c r="A262" s="77"/>
      <c r="B262" s="73"/>
      <c r="C262" s="71" t="str">
        <f aca="false">IF(B262="","",IFERROR(INDEX(マスタ!$F$2:$F$60,MATCH(B262,マスタ!$E$2:$E$60,0))&amp;"",""))</f>
        <v/>
      </c>
      <c r="D262" s="73"/>
      <c r="E262" s="75"/>
      <c r="F262" s="75"/>
      <c r="G262" s="75"/>
      <c r="H262" s="73"/>
      <c r="I262" s="75"/>
      <c r="J262" s="75"/>
      <c r="K262" s="75"/>
      <c r="L262" s="73"/>
      <c r="M262" s="78" t="str">
        <f aca="false">IF(OR(E262="",F262=""),"",MAX(0,((F262-E262-N(G262))*1440-N(H262)*10)/60))</f>
        <v/>
      </c>
      <c r="N262" s="78" t="str">
        <f aca="false">IF($D262="欠席",0,IF(OR(I262="",J262=""),"",MAX(0,((J262-I262-N(K262))*1440-N(L262)*10)/60)))</f>
        <v/>
      </c>
      <c r="O262" s="73"/>
    </row>
    <row r="263" customFormat="false" ht="15" hidden="false" customHeight="false" outlineLevel="0" collapsed="false">
      <c r="A263" s="77"/>
      <c r="B263" s="73"/>
      <c r="C263" s="71" t="str">
        <f aca="false">IF(B263="","",IFERROR(INDEX(マスタ!$F$2:$F$60,MATCH(B263,マスタ!$E$2:$E$60,0))&amp;"",""))</f>
        <v/>
      </c>
      <c r="D263" s="73"/>
      <c r="E263" s="75"/>
      <c r="F263" s="75"/>
      <c r="G263" s="75"/>
      <c r="H263" s="73"/>
      <c r="I263" s="75"/>
      <c r="J263" s="75"/>
      <c r="K263" s="75"/>
      <c r="L263" s="73"/>
      <c r="M263" s="78" t="str">
        <f aca="false">IF(OR(E263="",F263=""),"",MAX(0,((F263-E263-N(G263))*1440-N(H263)*10)/60))</f>
        <v/>
      </c>
      <c r="N263" s="78" t="str">
        <f aca="false">IF($D263="欠席",0,IF(OR(I263="",J263=""),"",MAX(0,((J263-I263-N(K263))*1440-N(L263)*10)/60)))</f>
        <v/>
      </c>
      <c r="O263" s="73"/>
    </row>
    <row r="264" customFormat="false" ht="15" hidden="false" customHeight="false" outlineLevel="0" collapsed="false">
      <c r="A264" s="77"/>
      <c r="B264" s="73"/>
      <c r="C264" s="71" t="str">
        <f aca="false">IF(B264="","",IFERROR(INDEX(マスタ!$F$2:$F$60,MATCH(B264,マスタ!$E$2:$E$60,0))&amp;"",""))</f>
        <v/>
      </c>
      <c r="D264" s="73"/>
      <c r="E264" s="75"/>
      <c r="F264" s="75"/>
      <c r="G264" s="75"/>
      <c r="H264" s="73"/>
      <c r="I264" s="75"/>
      <c r="J264" s="75"/>
      <c r="K264" s="75"/>
      <c r="L264" s="73"/>
      <c r="M264" s="78" t="str">
        <f aca="false">IF(OR(E264="",F264=""),"",MAX(0,((F264-E264-N(G264))*1440-N(H264)*10)/60))</f>
        <v/>
      </c>
      <c r="N264" s="78" t="str">
        <f aca="false">IF($D264="欠席",0,IF(OR(I264="",J264=""),"",MAX(0,((J264-I264-N(K264))*1440-N(L264)*10)/60)))</f>
        <v/>
      </c>
      <c r="O264" s="73"/>
    </row>
    <row r="265" customFormat="false" ht="15" hidden="false" customHeight="false" outlineLevel="0" collapsed="false">
      <c r="A265" s="77"/>
      <c r="B265" s="73"/>
      <c r="C265" s="71" t="str">
        <f aca="false">IF(B265="","",IFERROR(INDEX(マスタ!$F$2:$F$60,MATCH(B265,マスタ!$E$2:$E$60,0))&amp;"",""))</f>
        <v/>
      </c>
      <c r="D265" s="73"/>
      <c r="E265" s="75"/>
      <c r="F265" s="75"/>
      <c r="G265" s="75"/>
      <c r="H265" s="73"/>
      <c r="I265" s="75"/>
      <c r="J265" s="75"/>
      <c r="K265" s="75"/>
      <c r="L265" s="73"/>
      <c r="M265" s="78" t="str">
        <f aca="false">IF(OR(E265="",F265=""),"",MAX(0,((F265-E265-N(G265))*1440-N(H265)*10)/60))</f>
        <v/>
      </c>
      <c r="N265" s="78" t="str">
        <f aca="false">IF($D265="欠席",0,IF(OR(I265="",J265=""),"",MAX(0,((J265-I265-N(K265))*1440-N(L265)*10)/60)))</f>
        <v/>
      </c>
      <c r="O265" s="73"/>
    </row>
    <row r="266" customFormat="false" ht="15" hidden="false" customHeight="false" outlineLevel="0" collapsed="false">
      <c r="A266" s="77"/>
      <c r="B266" s="73"/>
      <c r="C266" s="71" t="str">
        <f aca="false">IF(B266="","",IFERROR(INDEX(マスタ!$F$2:$F$60,MATCH(B266,マスタ!$E$2:$E$60,0))&amp;"",""))</f>
        <v/>
      </c>
      <c r="D266" s="73"/>
      <c r="E266" s="75"/>
      <c r="F266" s="75"/>
      <c r="G266" s="75"/>
      <c r="H266" s="73"/>
      <c r="I266" s="75"/>
      <c r="J266" s="75"/>
      <c r="K266" s="75"/>
      <c r="L266" s="73"/>
      <c r="M266" s="78" t="str">
        <f aca="false">IF(OR(E266="",F266=""),"",MAX(0,((F266-E266-N(G266))*1440-N(H266)*10)/60))</f>
        <v/>
      </c>
      <c r="N266" s="78" t="str">
        <f aca="false">IF($D266="欠席",0,IF(OR(I266="",J266=""),"",MAX(0,((J266-I266-N(K266))*1440-N(L266)*10)/60)))</f>
        <v/>
      </c>
      <c r="O266" s="73"/>
    </row>
    <row r="267" customFormat="false" ht="15" hidden="false" customHeight="false" outlineLevel="0" collapsed="false">
      <c r="A267" s="77"/>
      <c r="B267" s="73"/>
      <c r="C267" s="71" t="str">
        <f aca="false">IF(B267="","",IFERROR(INDEX(マスタ!$F$2:$F$60,MATCH(B267,マスタ!$E$2:$E$60,0))&amp;"",""))</f>
        <v/>
      </c>
      <c r="D267" s="73"/>
      <c r="E267" s="75"/>
      <c r="F267" s="75"/>
      <c r="G267" s="75"/>
      <c r="H267" s="73"/>
      <c r="I267" s="75"/>
      <c r="J267" s="75"/>
      <c r="K267" s="75"/>
      <c r="L267" s="73"/>
      <c r="M267" s="78" t="str">
        <f aca="false">IF(OR(E267="",F267=""),"",MAX(0,((F267-E267-N(G267))*1440-N(H267)*10)/60))</f>
        <v/>
      </c>
      <c r="N267" s="78" t="str">
        <f aca="false">IF($D267="欠席",0,IF(OR(I267="",J267=""),"",MAX(0,((J267-I267-N(K267))*1440-N(L267)*10)/60)))</f>
        <v/>
      </c>
      <c r="O267" s="73"/>
    </row>
    <row r="268" customFormat="false" ht="15" hidden="false" customHeight="false" outlineLevel="0" collapsed="false">
      <c r="A268" s="77"/>
      <c r="B268" s="73"/>
      <c r="C268" s="71" t="str">
        <f aca="false">IF(B268="","",IFERROR(INDEX(マスタ!$F$2:$F$60,MATCH(B268,マスタ!$E$2:$E$60,0))&amp;"",""))</f>
        <v/>
      </c>
      <c r="D268" s="73"/>
      <c r="E268" s="75"/>
      <c r="F268" s="75"/>
      <c r="G268" s="75"/>
      <c r="H268" s="73"/>
      <c r="I268" s="75"/>
      <c r="J268" s="75"/>
      <c r="K268" s="75"/>
      <c r="L268" s="73"/>
      <c r="M268" s="78" t="str">
        <f aca="false">IF(OR(E268="",F268=""),"",MAX(0,((F268-E268-N(G268))*1440-N(H268)*10)/60))</f>
        <v/>
      </c>
      <c r="N268" s="78" t="str">
        <f aca="false">IF($D268="欠席",0,IF(OR(I268="",J268=""),"",MAX(0,((J268-I268-N(K268))*1440-N(L268)*10)/60)))</f>
        <v/>
      </c>
      <c r="O268" s="73"/>
    </row>
    <row r="269" customFormat="false" ht="15" hidden="false" customHeight="false" outlineLevel="0" collapsed="false">
      <c r="A269" s="77"/>
      <c r="B269" s="73"/>
      <c r="C269" s="71" t="str">
        <f aca="false">IF(B269="","",IFERROR(INDEX(マスタ!$F$2:$F$60,MATCH(B269,マスタ!$E$2:$E$60,0))&amp;"",""))</f>
        <v/>
      </c>
      <c r="D269" s="73"/>
      <c r="E269" s="75"/>
      <c r="F269" s="75"/>
      <c r="G269" s="75"/>
      <c r="H269" s="73"/>
      <c r="I269" s="75"/>
      <c r="J269" s="75"/>
      <c r="K269" s="75"/>
      <c r="L269" s="73"/>
      <c r="M269" s="78" t="str">
        <f aca="false">IF(OR(E269="",F269=""),"",MAX(0,((F269-E269-N(G269))*1440-N(H269)*10)/60))</f>
        <v/>
      </c>
      <c r="N269" s="78" t="str">
        <f aca="false">IF($D269="欠席",0,IF(OR(I269="",J269=""),"",MAX(0,((J269-I269-N(K269))*1440-N(L269)*10)/60)))</f>
        <v/>
      </c>
      <c r="O269" s="73"/>
    </row>
    <row r="270" customFormat="false" ht="15" hidden="false" customHeight="false" outlineLevel="0" collapsed="false">
      <c r="A270" s="77"/>
      <c r="B270" s="73"/>
      <c r="C270" s="71" t="str">
        <f aca="false">IF(B270="","",IFERROR(INDEX(マスタ!$F$2:$F$60,MATCH(B270,マスタ!$E$2:$E$60,0))&amp;"",""))</f>
        <v/>
      </c>
      <c r="D270" s="73"/>
      <c r="E270" s="75"/>
      <c r="F270" s="75"/>
      <c r="G270" s="75"/>
      <c r="H270" s="73"/>
      <c r="I270" s="75"/>
      <c r="J270" s="75"/>
      <c r="K270" s="75"/>
      <c r="L270" s="73"/>
      <c r="M270" s="78" t="str">
        <f aca="false">IF(OR(E270="",F270=""),"",MAX(0,((F270-E270-N(G270))*1440-N(H270)*10)/60))</f>
        <v/>
      </c>
      <c r="N270" s="78" t="str">
        <f aca="false">IF($D270="欠席",0,IF(OR(I270="",J270=""),"",MAX(0,((J270-I270-N(K270))*1440-N(L270)*10)/60)))</f>
        <v/>
      </c>
      <c r="O270" s="73"/>
    </row>
    <row r="271" customFormat="false" ht="15" hidden="false" customHeight="false" outlineLevel="0" collapsed="false">
      <c r="A271" s="77"/>
      <c r="B271" s="73"/>
      <c r="C271" s="71" t="str">
        <f aca="false">IF(B271="","",IFERROR(INDEX(マスタ!$F$2:$F$60,MATCH(B271,マスタ!$E$2:$E$60,0))&amp;"",""))</f>
        <v/>
      </c>
      <c r="D271" s="73"/>
      <c r="E271" s="75"/>
      <c r="F271" s="75"/>
      <c r="G271" s="75"/>
      <c r="H271" s="73"/>
      <c r="I271" s="75"/>
      <c r="J271" s="75"/>
      <c r="K271" s="75"/>
      <c r="L271" s="73"/>
      <c r="M271" s="78" t="str">
        <f aca="false">IF(OR(E271="",F271=""),"",MAX(0,((F271-E271-N(G271))*1440-N(H271)*10)/60))</f>
        <v/>
      </c>
      <c r="N271" s="78" t="str">
        <f aca="false">IF($D271="欠席",0,IF(OR(I271="",J271=""),"",MAX(0,((J271-I271-N(K271))*1440-N(L271)*10)/60)))</f>
        <v/>
      </c>
      <c r="O271" s="73"/>
    </row>
    <row r="272" customFormat="false" ht="15" hidden="false" customHeight="false" outlineLevel="0" collapsed="false">
      <c r="A272" s="77"/>
      <c r="B272" s="73"/>
      <c r="C272" s="71" t="str">
        <f aca="false">IF(B272="","",IFERROR(INDEX(マスタ!$F$2:$F$60,MATCH(B272,マスタ!$E$2:$E$60,0))&amp;"",""))</f>
        <v/>
      </c>
      <c r="D272" s="73"/>
      <c r="E272" s="75"/>
      <c r="F272" s="75"/>
      <c r="G272" s="75"/>
      <c r="H272" s="73"/>
      <c r="I272" s="75"/>
      <c r="J272" s="75"/>
      <c r="K272" s="75"/>
      <c r="L272" s="73"/>
      <c r="M272" s="78" t="str">
        <f aca="false">IF(OR(E272="",F272=""),"",MAX(0,((F272-E272-N(G272))*1440-N(H272)*10)/60))</f>
        <v/>
      </c>
      <c r="N272" s="78" t="str">
        <f aca="false">IF($D272="欠席",0,IF(OR(I272="",J272=""),"",MAX(0,((J272-I272-N(K272))*1440-N(L272)*10)/60)))</f>
        <v/>
      </c>
      <c r="O272" s="73"/>
    </row>
    <row r="273" customFormat="false" ht="15" hidden="false" customHeight="false" outlineLevel="0" collapsed="false">
      <c r="A273" s="77"/>
      <c r="B273" s="73"/>
      <c r="C273" s="71" t="str">
        <f aca="false">IF(B273="","",IFERROR(INDEX(マスタ!$F$2:$F$60,MATCH(B273,マスタ!$E$2:$E$60,0))&amp;"",""))</f>
        <v/>
      </c>
      <c r="D273" s="73"/>
      <c r="E273" s="75"/>
      <c r="F273" s="75"/>
      <c r="G273" s="75"/>
      <c r="H273" s="73"/>
      <c r="I273" s="75"/>
      <c r="J273" s="75"/>
      <c r="K273" s="75"/>
      <c r="L273" s="73"/>
      <c r="M273" s="78" t="str">
        <f aca="false">IF(OR(E273="",F273=""),"",MAX(0,((F273-E273-N(G273))*1440-N(H273)*10)/60))</f>
        <v/>
      </c>
      <c r="N273" s="78" t="str">
        <f aca="false">IF($D273="欠席",0,IF(OR(I273="",J273=""),"",MAX(0,((J273-I273-N(K273))*1440-N(L273)*10)/60)))</f>
        <v/>
      </c>
      <c r="O273" s="73"/>
    </row>
    <row r="274" customFormat="false" ht="15" hidden="false" customHeight="false" outlineLevel="0" collapsed="false">
      <c r="A274" s="77"/>
      <c r="B274" s="73"/>
      <c r="C274" s="71" t="str">
        <f aca="false">IF(B274="","",IFERROR(INDEX(マスタ!$F$2:$F$60,MATCH(B274,マスタ!$E$2:$E$60,0))&amp;"",""))</f>
        <v/>
      </c>
      <c r="D274" s="73"/>
      <c r="E274" s="75"/>
      <c r="F274" s="75"/>
      <c r="G274" s="75"/>
      <c r="H274" s="73"/>
      <c r="I274" s="75"/>
      <c r="J274" s="75"/>
      <c r="K274" s="75"/>
      <c r="L274" s="73"/>
      <c r="M274" s="78" t="str">
        <f aca="false">IF(OR(E274="",F274=""),"",MAX(0,((F274-E274-N(G274))*1440-N(H274)*10)/60))</f>
        <v/>
      </c>
      <c r="N274" s="78" t="str">
        <f aca="false">IF($D274="欠席",0,IF(OR(I274="",J274=""),"",MAX(0,((J274-I274-N(K274))*1440-N(L274)*10)/60)))</f>
        <v/>
      </c>
      <c r="O274" s="73"/>
    </row>
    <row r="275" customFormat="false" ht="15" hidden="false" customHeight="false" outlineLevel="0" collapsed="false">
      <c r="A275" s="77"/>
      <c r="B275" s="73"/>
      <c r="C275" s="71" t="str">
        <f aca="false">IF(B275="","",IFERROR(INDEX(マスタ!$F$2:$F$60,MATCH(B275,マスタ!$E$2:$E$60,0))&amp;"",""))</f>
        <v/>
      </c>
      <c r="D275" s="73"/>
      <c r="E275" s="75"/>
      <c r="F275" s="75"/>
      <c r="G275" s="75"/>
      <c r="H275" s="73"/>
      <c r="I275" s="75"/>
      <c r="J275" s="75"/>
      <c r="K275" s="75"/>
      <c r="L275" s="73"/>
      <c r="M275" s="78" t="str">
        <f aca="false">IF(OR(E275="",F275=""),"",MAX(0,((F275-E275-N(G275))*1440-N(H275)*10)/60))</f>
        <v/>
      </c>
      <c r="N275" s="78" t="str">
        <f aca="false">IF($D275="欠席",0,IF(OR(I275="",J275=""),"",MAX(0,((J275-I275-N(K275))*1440-N(L275)*10)/60)))</f>
        <v/>
      </c>
      <c r="O275" s="73"/>
    </row>
    <row r="276" customFormat="false" ht="15" hidden="false" customHeight="false" outlineLevel="0" collapsed="false">
      <c r="A276" s="77"/>
      <c r="B276" s="73"/>
      <c r="C276" s="71" t="str">
        <f aca="false">IF(B276="","",IFERROR(INDEX(マスタ!$F$2:$F$60,MATCH(B276,マスタ!$E$2:$E$60,0))&amp;"",""))</f>
        <v/>
      </c>
      <c r="D276" s="73"/>
      <c r="E276" s="75"/>
      <c r="F276" s="75"/>
      <c r="G276" s="75"/>
      <c r="H276" s="73"/>
      <c r="I276" s="75"/>
      <c r="J276" s="75"/>
      <c r="K276" s="75"/>
      <c r="L276" s="73"/>
      <c r="M276" s="78" t="str">
        <f aca="false">IF(OR(E276="",F276=""),"",MAX(0,((F276-E276-N(G276))*1440-N(H276)*10)/60))</f>
        <v/>
      </c>
      <c r="N276" s="78" t="str">
        <f aca="false">IF($D276="欠席",0,IF(OR(I276="",J276=""),"",MAX(0,((J276-I276-N(K276))*1440-N(L276)*10)/60)))</f>
        <v/>
      </c>
      <c r="O276" s="73"/>
    </row>
    <row r="277" customFormat="false" ht="15" hidden="false" customHeight="false" outlineLevel="0" collapsed="false">
      <c r="A277" s="77"/>
      <c r="B277" s="73"/>
      <c r="C277" s="71" t="str">
        <f aca="false">IF(B277="","",IFERROR(INDEX(マスタ!$F$2:$F$60,MATCH(B277,マスタ!$E$2:$E$60,0))&amp;"",""))</f>
        <v/>
      </c>
      <c r="D277" s="73"/>
      <c r="E277" s="75"/>
      <c r="F277" s="75"/>
      <c r="G277" s="75"/>
      <c r="H277" s="73"/>
      <c r="I277" s="75"/>
      <c r="J277" s="75"/>
      <c r="K277" s="75"/>
      <c r="L277" s="73"/>
      <c r="M277" s="78" t="str">
        <f aca="false">IF(OR(E277="",F277=""),"",MAX(0,((F277-E277-N(G277))*1440-N(H277)*10)/60))</f>
        <v/>
      </c>
      <c r="N277" s="78" t="str">
        <f aca="false">IF($D277="欠席",0,IF(OR(I277="",J277=""),"",MAX(0,((J277-I277-N(K277))*1440-N(L277)*10)/60)))</f>
        <v/>
      </c>
      <c r="O277" s="73"/>
    </row>
    <row r="278" customFormat="false" ht="15" hidden="false" customHeight="false" outlineLevel="0" collapsed="false">
      <c r="A278" s="77"/>
      <c r="B278" s="73"/>
      <c r="C278" s="71" t="str">
        <f aca="false">IF(B278="","",IFERROR(INDEX(マスタ!$F$2:$F$60,MATCH(B278,マスタ!$E$2:$E$60,0))&amp;"",""))</f>
        <v/>
      </c>
      <c r="D278" s="73"/>
      <c r="E278" s="75"/>
      <c r="F278" s="75"/>
      <c r="G278" s="75"/>
      <c r="H278" s="73"/>
      <c r="I278" s="75"/>
      <c r="J278" s="75"/>
      <c r="K278" s="75"/>
      <c r="L278" s="73"/>
      <c r="M278" s="78" t="str">
        <f aca="false">IF(OR(E278="",F278=""),"",MAX(0,((F278-E278-N(G278))*1440-N(H278)*10)/60))</f>
        <v/>
      </c>
      <c r="N278" s="78" t="str">
        <f aca="false">IF($D278="欠席",0,IF(OR(I278="",J278=""),"",MAX(0,((J278-I278-N(K278))*1440-N(L278)*10)/60)))</f>
        <v/>
      </c>
      <c r="O278" s="73"/>
    </row>
    <row r="279" customFormat="false" ht="15" hidden="false" customHeight="false" outlineLevel="0" collapsed="false">
      <c r="A279" s="77"/>
      <c r="B279" s="73"/>
      <c r="C279" s="71" t="str">
        <f aca="false">IF(B279="","",IFERROR(INDEX(マスタ!$F$2:$F$60,MATCH(B279,マスタ!$E$2:$E$60,0))&amp;"",""))</f>
        <v/>
      </c>
      <c r="D279" s="73"/>
      <c r="E279" s="75"/>
      <c r="F279" s="75"/>
      <c r="G279" s="75"/>
      <c r="H279" s="73"/>
      <c r="I279" s="75"/>
      <c r="J279" s="75"/>
      <c r="K279" s="75"/>
      <c r="L279" s="73"/>
      <c r="M279" s="78" t="str">
        <f aca="false">IF(OR(E279="",F279=""),"",MAX(0,((F279-E279-N(G279))*1440-N(H279)*10)/60))</f>
        <v/>
      </c>
      <c r="N279" s="78" t="str">
        <f aca="false">IF($D279="欠席",0,IF(OR(I279="",J279=""),"",MAX(0,((J279-I279-N(K279))*1440-N(L279)*10)/60)))</f>
        <v/>
      </c>
      <c r="O279" s="73"/>
    </row>
    <row r="280" customFormat="false" ht="15" hidden="false" customHeight="false" outlineLevel="0" collapsed="false">
      <c r="A280" s="77"/>
      <c r="B280" s="73"/>
      <c r="C280" s="71" t="str">
        <f aca="false">IF(B280="","",IFERROR(INDEX(マスタ!$F$2:$F$60,MATCH(B280,マスタ!$E$2:$E$60,0))&amp;"",""))</f>
        <v/>
      </c>
      <c r="D280" s="73"/>
      <c r="E280" s="75"/>
      <c r="F280" s="75"/>
      <c r="G280" s="75"/>
      <c r="H280" s="73"/>
      <c r="I280" s="75"/>
      <c r="J280" s="75"/>
      <c r="K280" s="75"/>
      <c r="L280" s="73"/>
      <c r="M280" s="78" t="str">
        <f aca="false">IF(OR(E280="",F280=""),"",MAX(0,((F280-E280-N(G280))*1440-N(H280)*10)/60))</f>
        <v/>
      </c>
      <c r="N280" s="78" t="str">
        <f aca="false">IF($D280="欠席",0,IF(OR(I280="",J280=""),"",MAX(0,((J280-I280-N(K280))*1440-N(L280)*10)/60)))</f>
        <v/>
      </c>
      <c r="O280" s="73"/>
    </row>
    <row r="281" customFormat="false" ht="15" hidden="false" customHeight="false" outlineLevel="0" collapsed="false">
      <c r="A281" s="77"/>
      <c r="B281" s="73"/>
      <c r="C281" s="71" t="str">
        <f aca="false">IF(B281="","",IFERROR(INDEX(マスタ!$F$2:$F$60,MATCH(B281,マスタ!$E$2:$E$60,0))&amp;"",""))</f>
        <v/>
      </c>
      <c r="D281" s="73"/>
      <c r="E281" s="75"/>
      <c r="F281" s="75"/>
      <c r="G281" s="75"/>
      <c r="H281" s="73"/>
      <c r="I281" s="75"/>
      <c r="J281" s="75"/>
      <c r="K281" s="75"/>
      <c r="L281" s="73"/>
      <c r="M281" s="78" t="str">
        <f aca="false">IF(OR(E281="",F281=""),"",MAX(0,((F281-E281-N(G281))*1440-N(H281)*10)/60))</f>
        <v/>
      </c>
      <c r="N281" s="78" t="str">
        <f aca="false">IF($D281="欠席",0,IF(OR(I281="",J281=""),"",MAX(0,((J281-I281-N(K281))*1440-N(L281)*10)/60)))</f>
        <v/>
      </c>
      <c r="O281" s="73"/>
    </row>
    <row r="282" customFormat="false" ht="15" hidden="false" customHeight="false" outlineLevel="0" collapsed="false">
      <c r="A282" s="77"/>
      <c r="B282" s="73"/>
      <c r="C282" s="71" t="str">
        <f aca="false">IF(B282="","",IFERROR(INDEX(マスタ!$F$2:$F$60,MATCH(B282,マスタ!$E$2:$E$60,0))&amp;"",""))</f>
        <v/>
      </c>
      <c r="D282" s="73"/>
      <c r="E282" s="75"/>
      <c r="F282" s="75"/>
      <c r="G282" s="75"/>
      <c r="H282" s="73"/>
      <c r="I282" s="75"/>
      <c r="J282" s="75"/>
      <c r="K282" s="75"/>
      <c r="L282" s="73"/>
      <c r="M282" s="78" t="str">
        <f aca="false">IF(OR(E282="",F282=""),"",MAX(0,((F282-E282-N(G282))*1440-N(H282)*10)/60))</f>
        <v/>
      </c>
      <c r="N282" s="78" t="str">
        <f aca="false">IF($D282="欠席",0,IF(OR(I282="",J282=""),"",MAX(0,((J282-I282-N(K282))*1440-N(L282)*10)/60)))</f>
        <v/>
      </c>
      <c r="O282" s="73"/>
    </row>
    <row r="283" customFormat="false" ht="15" hidden="false" customHeight="false" outlineLevel="0" collapsed="false">
      <c r="A283" s="77"/>
      <c r="B283" s="73"/>
      <c r="C283" s="71" t="str">
        <f aca="false">IF(B283="","",IFERROR(INDEX(マスタ!$F$2:$F$60,MATCH(B283,マスタ!$E$2:$E$60,0))&amp;"",""))</f>
        <v/>
      </c>
      <c r="D283" s="73"/>
      <c r="E283" s="75"/>
      <c r="F283" s="75"/>
      <c r="G283" s="75"/>
      <c r="H283" s="73"/>
      <c r="I283" s="75"/>
      <c r="J283" s="75"/>
      <c r="K283" s="75"/>
      <c r="L283" s="73"/>
      <c r="M283" s="78" t="str">
        <f aca="false">IF(OR(E283="",F283=""),"",MAX(0,((F283-E283-N(G283))*1440-N(H283)*10)/60))</f>
        <v/>
      </c>
      <c r="N283" s="78" t="str">
        <f aca="false">IF($D283="欠席",0,IF(OR(I283="",J283=""),"",MAX(0,((J283-I283-N(K283))*1440-N(L283)*10)/60)))</f>
        <v/>
      </c>
      <c r="O283" s="73"/>
    </row>
    <row r="284" customFormat="false" ht="15" hidden="false" customHeight="false" outlineLevel="0" collapsed="false">
      <c r="A284" s="77"/>
      <c r="B284" s="73"/>
      <c r="C284" s="71" t="str">
        <f aca="false">IF(B284="","",IFERROR(INDEX(マスタ!$F$2:$F$60,MATCH(B284,マスタ!$E$2:$E$60,0))&amp;"",""))</f>
        <v/>
      </c>
      <c r="D284" s="73"/>
      <c r="E284" s="75"/>
      <c r="F284" s="75"/>
      <c r="G284" s="75"/>
      <c r="H284" s="73"/>
      <c r="I284" s="75"/>
      <c r="J284" s="75"/>
      <c r="K284" s="75"/>
      <c r="L284" s="73"/>
      <c r="M284" s="78" t="str">
        <f aca="false">IF(OR(E284="",F284=""),"",MAX(0,((F284-E284-N(G284))*1440-N(H284)*10)/60))</f>
        <v/>
      </c>
      <c r="N284" s="78" t="str">
        <f aca="false">IF($D284="欠席",0,IF(OR(I284="",J284=""),"",MAX(0,((J284-I284-N(K284))*1440-N(L284)*10)/60)))</f>
        <v/>
      </c>
      <c r="O284" s="73"/>
    </row>
    <row r="285" customFormat="false" ht="15" hidden="false" customHeight="false" outlineLevel="0" collapsed="false">
      <c r="A285" s="77"/>
      <c r="B285" s="73"/>
      <c r="C285" s="71" t="str">
        <f aca="false">IF(B285="","",IFERROR(INDEX(マスタ!$F$2:$F$60,MATCH(B285,マスタ!$E$2:$E$60,0))&amp;"",""))</f>
        <v/>
      </c>
      <c r="D285" s="73"/>
      <c r="E285" s="75"/>
      <c r="F285" s="75"/>
      <c r="G285" s="75"/>
      <c r="H285" s="73"/>
      <c r="I285" s="75"/>
      <c r="J285" s="75"/>
      <c r="K285" s="75"/>
      <c r="L285" s="73"/>
      <c r="M285" s="78" t="str">
        <f aca="false">IF(OR(E285="",F285=""),"",MAX(0,((F285-E285-N(G285))*1440-N(H285)*10)/60))</f>
        <v/>
      </c>
      <c r="N285" s="78" t="str">
        <f aca="false">IF($D285="欠席",0,IF(OR(I285="",J285=""),"",MAX(0,((J285-I285-N(K285))*1440-N(L285)*10)/60)))</f>
        <v/>
      </c>
      <c r="O285" s="73"/>
    </row>
    <row r="286" customFormat="false" ht="15" hidden="false" customHeight="false" outlineLevel="0" collapsed="false">
      <c r="A286" s="77"/>
      <c r="B286" s="73"/>
      <c r="C286" s="71" t="str">
        <f aca="false">IF(B286="","",IFERROR(INDEX(マスタ!$F$2:$F$60,MATCH(B286,マスタ!$E$2:$E$60,0))&amp;"",""))</f>
        <v/>
      </c>
      <c r="D286" s="73"/>
      <c r="E286" s="75"/>
      <c r="F286" s="75"/>
      <c r="G286" s="75"/>
      <c r="H286" s="73"/>
      <c r="I286" s="75"/>
      <c r="J286" s="75"/>
      <c r="K286" s="75"/>
      <c r="L286" s="73"/>
      <c r="M286" s="78" t="str">
        <f aca="false">IF(OR(E286="",F286=""),"",MAX(0,((F286-E286-N(G286))*1440-N(H286)*10)/60))</f>
        <v/>
      </c>
      <c r="N286" s="78" t="str">
        <f aca="false">IF($D286="欠席",0,IF(OR(I286="",J286=""),"",MAX(0,((J286-I286-N(K286))*1440-N(L286)*10)/60)))</f>
        <v/>
      </c>
      <c r="O286" s="73"/>
    </row>
    <row r="287" customFormat="false" ht="15" hidden="false" customHeight="false" outlineLevel="0" collapsed="false">
      <c r="A287" s="77"/>
      <c r="B287" s="73"/>
      <c r="C287" s="71" t="str">
        <f aca="false">IF(B287="","",IFERROR(INDEX(マスタ!$F$2:$F$60,MATCH(B287,マスタ!$E$2:$E$60,0))&amp;"",""))</f>
        <v/>
      </c>
      <c r="D287" s="73"/>
      <c r="E287" s="75"/>
      <c r="F287" s="75"/>
      <c r="G287" s="75"/>
      <c r="H287" s="73"/>
      <c r="I287" s="75"/>
      <c r="J287" s="75"/>
      <c r="K287" s="75"/>
      <c r="L287" s="73"/>
      <c r="M287" s="78" t="str">
        <f aca="false">IF(OR(E287="",F287=""),"",MAX(0,((F287-E287-N(G287))*1440-N(H287)*10)/60))</f>
        <v/>
      </c>
      <c r="N287" s="78" t="str">
        <f aca="false">IF($D287="欠席",0,IF(OR(I287="",J287=""),"",MAX(0,((J287-I287-N(K287))*1440-N(L287)*10)/60)))</f>
        <v/>
      </c>
      <c r="O287" s="73"/>
    </row>
    <row r="288" customFormat="false" ht="15" hidden="false" customHeight="false" outlineLevel="0" collapsed="false">
      <c r="A288" s="77"/>
      <c r="B288" s="73"/>
      <c r="C288" s="71" t="str">
        <f aca="false">IF(B288="","",IFERROR(INDEX(マスタ!$F$2:$F$60,MATCH(B288,マスタ!$E$2:$E$60,0))&amp;"",""))</f>
        <v/>
      </c>
      <c r="D288" s="73"/>
      <c r="E288" s="75"/>
      <c r="F288" s="75"/>
      <c r="G288" s="75"/>
      <c r="H288" s="73"/>
      <c r="I288" s="75"/>
      <c r="J288" s="75"/>
      <c r="K288" s="75"/>
      <c r="L288" s="73"/>
      <c r="M288" s="78" t="str">
        <f aca="false">IF(OR(E288="",F288=""),"",MAX(0,((F288-E288-N(G288))*1440-N(H288)*10)/60))</f>
        <v/>
      </c>
      <c r="N288" s="78" t="str">
        <f aca="false">IF($D288="欠席",0,IF(OR(I288="",J288=""),"",MAX(0,((J288-I288-N(K288))*1440-N(L288)*10)/60)))</f>
        <v/>
      </c>
      <c r="O288" s="73"/>
    </row>
    <row r="289" customFormat="false" ht="15" hidden="false" customHeight="false" outlineLevel="0" collapsed="false">
      <c r="A289" s="77"/>
      <c r="B289" s="73"/>
      <c r="C289" s="71" t="str">
        <f aca="false">IF(B289="","",IFERROR(INDEX(マスタ!$F$2:$F$60,MATCH(B289,マスタ!$E$2:$E$60,0))&amp;"",""))</f>
        <v/>
      </c>
      <c r="D289" s="73"/>
      <c r="E289" s="75"/>
      <c r="F289" s="75"/>
      <c r="G289" s="75"/>
      <c r="H289" s="73"/>
      <c r="I289" s="75"/>
      <c r="J289" s="75"/>
      <c r="K289" s="75"/>
      <c r="L289" s="73"/>
      <c r="M289" s="78" t="str">
        <f aca="false">IF(OR(E289="",F289=""),"",MAX(0,((F289-E289-N(G289))*1440-N(H289)*10)/60))</f>
        <v/>
      </c>
      <c r="N289" s="78" t="str">
        <f aca="false">IF($D289="欠席",0,IF(OR(I289="",J289=""),"",MAX(0,((J289-I289-N(K289))*1440-N(L289)*10)/60)))</f>
        <v/>
      </c>
      <c r="O289" s="73"/>
    </row>
    <row r="290" customFormat="false" ht="15" hidden="false" customHeight="false" outlineLevel="0" collapsed="false">
      <c r="A290" s="77"/>
      <c r="B290" s="73"/>
      <c r="C290" s="71" t="str">
        <f aca="false">IF(B290="","",IFERROR(INDEX(マスタ!$F$2:$F$60,MATCH(B290,マスタ!$E$2:$E$60,0))&amp;"",""))</f>
        <v/>
      </c>
      <c r="D290" s="73"/>
      <c r="E290" s="75"/>
      <c r="F290" s="75"/>
      <c r="G290" s="75"/>
      <c r="H290" s="73"/>
      <c r="I290" s="75"/>
      <c r="J290" s="75"/>
      <c r="K290" s="75"/>
      <c r="L290" s="73"/>
      <c r="M290" s="78" t="str">
        <f aca="false">IF(OR(E290="",F290=""),"",MAX(0,((F290-E290-N(G290))*1440-N(H290)*10)/60))</f>
        <v/>
      </c>
      <c r="N290" s="78" t="str">
        <f aca="false">IF($D290="欠席",0,IF(OR(I290="",J290=""),"",MAX(0,((J290-I290-N(K290))*1440-N(L290)*10)/60)))</f>
        <v/>
      </c>
      <c r="O290" s="73"/>
    </row>
    <row r="291" customFormat="false" ht="15" hidden="false" customHeight="false" outlineLevel="0" collapsed="false">
      <c r="A291" s="77"/>
      <c r="B291" s="73"/>
      <c r="C291" s="71" t="str">
        <f aca="false">IF(B291="","",IFERROR(INDEX(マスタ!$F$2:$F$60,MATCH(B291,マスタ!$E$2:$E$60,0))&amp;"",""))</f>
        <v/>
      </c>
      <c r="D291" s="73"/>
      <c r="E291" s="75"/>
      <c r="F291" s="75"/>
      <c r="G291" s="75"/>
      <c r="H291" s="73"/>
      <c r="I291" s="75"/>
      <c r="J291" s="75"/>
      <c r="K291" s="75"/>
      <c r="L291" s="73"/>
      <c r="M291" s="78" t="str">
        <f aca="false">IF(OR(E291="",F291=""),"",MAX(0,((F291-E291-N(G291))*1440-N(H291)*10)/60))</f>
        <v/>
      </c>
      <c r="N291" s="78" t="str">
        <f aca="false">IF($D291="欠席",0,IF(OR(I291="",J291=""),"",MAX(0,((J291-I291-N(K291))*1440-N(L291)*10)/60)))</f>
        <v/>
      </c>
      <c r="O291" s="73"/>
    </row>
    <row r="292" customFormat="false" ht="15" hidden="false" customHeight="false" outlineLevel="0" collapsed="false">
      <c r="A292" s="77"/>
      <c r="B292" s="73"/>
      <c r="C292" s="71" t="str">
        <f aca="false">IF(B292="","",IFERROR(INDEX(マスタ!$F$2:$F$60,MATCH(B292,マスタ!$E$2:$E$60,0))&amp;"",""))</f>
        <v/>
      </c>
      <c r="D292" s="73"/>
      <c r="E292" s="75"/>
      <c r="F292" s="75"/>
      <c r="G292" s="75"/>
      <c r="H292" s="73"/>
      <c r="I292" s="75"/>
      <c r="J292" s="75"/>
      <c r="K292" s="75"/>
      <c r="L292" s="73"/>
      <c r="M292" s="78" t="str">
        <f aca="false">IF(OR(E292="",F292=""),"",MAX(0,((F292-E292-N(G292))*1440-N(H292)*10)/60))</f>
        <v/>
      </c>
      <c r="N292" s="78" t="str">
        <f aca="false">IF($D292="欠席",0,IF(OR(I292="",J292=""),"",MAX(0,((J292-I292-N(K292))*1440-N(L292)*10)/60)))</f>
        <v/>
      </c>
      <c r="O292" s="73"/>
    </row>
    <row r="293" customFormat="false" ht="15" hidden="false" customHeight="false" outlineLevel="0" collapsed="false">
      <c r="A293" s="77"/>
      <c r="B293" s="73"/>
      <c r="C293" s="71" t="str">
        <f aca="false">IF(B293="","",IFERROR(INDEX(マスタ!$F$2:$F$60,MATCH(B293,マスタ!$E$2:$E$60,0))&amp;"",""))</f>
        <v/>
      </c>
      <c r="D293" s="73"/>
      <c r="E293" s="75"/>
      <c r="F293" s="75"/>
      <c r="G293" s="75"/>
      <c r="H293" s="73"/>
      <c r="I293" s="75"/>
      <c r="J293" s="75"/>
      <c r="K293" s="75"/>
      <c r="L293" s="73"/>
      <c r="M293" s="78" t="str">
        <f aca="false">IF(OR(E293="",F293=""),"",MAX(0,((F293-E293-N(G293))*1440-N(H293)*10)/60))</f>
        <v/>
      </c>
      <c r="N293" s="78" t="str">
        <f aca="false">IF($D293="欠席",0,IF(OR(I293="",J293=""),"",MAX(0,((J293-I293-N(K293))*1440-N(L293)*10)/60)))</f>
        <v/>
      </c>
      <c r="O293" s="73"/>
    </row>
    <row r="294" customFormat="false" ht="15" hidden="false" customHeight="false" outlineLevel="0" collapsed="false">
      <c r="A294" s="77"/>
      <c r="B294" s="73"/>
      <c r="C294" s="71" t="str">
        <f aca="false">IF(B294="","",IFERROR(INDEX(マスタ!$F$2:$F$60,MATCH(B294,マスタ!$E$2:$E$60,0))&amp;"",""))</f>
        <v/>
      </c>
      <c r="D294" s="73"/>
      <c r="E294" s="75"/>
      <c r="F294" s="75"/>
      <c r="G294" s="75"/>
      <c r="H294" s="73"/>
      <c r="I294" s="75"/>
      <c r="J294" s="75"/>
      <c r="K294" s="75"/>
      <c r="L294" s="73"/>
      <c r="M294" s="78" t="str">
        <f aca="false">IF(OR(E294="",F294=""),"",MAX(0,((F294-E294-N(G294))*1440-N(H294)*10)/60))</f>
        <v/>
      </c>
      <c r="N294" s="78" t="str">
        <f aca="false">IF($D294="欠席",0,IF(OR(I294="",J294=""),"",MAX(0,((J294-I294-N(K294))*1440-N(L294)*10)/60)))</f>
        <v/>
      </c>
      <c r="O294" s="73"/>
    </row>
    <row r="295" customFormat="false" ht="15" hidden="false" customHeight="false" outlineLevel="0" collapsed="false">
      <c r="A295" s="77"/>
      <c r="B295" s="73"/>
      <c r="C295" s="71" t="str">
        <f aca="false">IF(B295="","",IFERROR(INDEX(マスタ!$F$2:$F$60,MATCH(B295,マスタ!$E$2:$E$60,0))&amp;"",""))</f>
        <v/>
      </c>
      <c r="D295" s="73"/>
      <c r="E295" s="75"/>
      <c r="F295" s="75"/>
      <c r="G295" s="75"/>
      <c r="H295" s="73"/>
      <c r="I295" s="75"/>
      <c r="J295" s="75"/>
      <c r="K295" s="75"/>
      <c r="L295" s="73"/>
      <c r="M295" s="78" t="str">
        <f aca="false">IF(OR(E295="",F295=""),"",MAX(0,((F295-E295-N(G295))*1440-N(H295)*10)/60))</f>
        <v/>
      </c>
      <c r="N295" s="78" t="str">
        <f aca="false">IF($D295="欠席",0,IF(OR(I295="",J295=""),"",MAX(0,((J295-I295-N(K295))*1440-N(L295)*10)/60)))</f>
        <v/>
      </c>
      <c r="O295" s="73"/>
    </row>
    <row r="296" customFormat="false" ht="15" hidden="false" customHeight="false" outlineLevel="0" collapsed="false">
      <c r="A296" s="77"/>
      <c r="B296" s="73"/>
      <c r="C296" s="71" t="str">
        <f aca="false">IF(B296="","",IFERROR(INDEX(マスタ!$F$2:$F$60,MATCH(B296,マスタ!$E$2:$E$60,0))&amp;"",""))</f>
        <v/>
      </c>
      <c r="D296" s="73"/>
      <c r="E296" s="75"/>
      <c r="F296" s="75"/>
      <c r="G296" s="75"/>
      <c r="H296" s="73"/>
      <c r="I296" s="75"/>
      <c r="J296" s="75"/>
      <c r="K296" s="75"/>
      <c r="L296" s="73"/>
      <c r="M296" s="78" t="str">
        <f aca="false">IF(OR(E296="",F296=""),"",MAX(0,((F296-E296-N(G296))*1440-N(H296)*10)/60))</f>
        <v/>
      </c>
      <c r="N296" s="78" t="str">
        <f aca="false">IF($D296="欠席",0,IF(OR(I296="",J296=""),"",MAX(0,((J296-I296-N(K296))*1440-N(L296)*10)/60)))</f>
        <v/>
      </c>
      <c r="O296" s="73"/>
    </row>
    <row r="297" customFormat="false" ht="15" hidden="false" customHeight="false" outlineLevel="0" collapsed="false">
      <c r="A297" s="77"/>
      <c r="B297" s="73"/>
      <c r="C297" s="71" t="str">
        <f aca="false">IF(B297="","",IFERROR(INDEX(マスタ!$F$2:$F$60,MATCH(B297,マスタ!$E$2:$E$60,0))&amp;"",""))</f>
        <v/>
      </c>
      <c r="D297" s="73"/>
      <c r="E297" s="75"/>
      <c r="F297" s="75"/>
      <c r="G297" s="75"/>
      <c r="H297" s="73"/>
      <c r="I297" s="75"/>
      <c r="J297" s="75"/>
      <c r="K297" s="75"/>
      <c r="L297" s="73"/>
      <c r="M297" s="78" t="str">
        <f aca="false">IF(OR(E297="",F297=""),"",MAX(0,((F297-E297-N(G297))*1440-N(H297)*10)/60))</f>
        <v/>
      </c>
      <c r="N297" s="78" t="str">
        <f aca="false">IF($D297="欠席",0,IF(OR(I297="",J297=""),"",MAX(0,((J297-I297-N(K297))*1440-N(L297)*10)/60)))</f>
        <v/>
      </c>
      <c r="O297" s="73"/>
    </row>
    <row r="298" customFormat="false" ht="15" hidden="false" customHeight="false" outlineLevel="0" collapsed="false">
      <c r="A298" s="77"/>
      <c r="B298" s="73"/>
      <c r="C298" s="71" t="str">
        <f aca="false">IF(B298="","",IFERROR(INDEX(マスタ!$F$2:$F$60,MATCH(B298,マスタ!$E$2:$E$60,0))&amp;"",""))</f>
        <v/>
      </c>
      <c r="D298" s="73"/>
      <c r="E298" s="75"/>
      <c r="F298" s="75"/>
      <c r="G298" s="75"/>
      <c r="H298" s="73"/>
      <c r="I298" s="75"/>
      <c r="J298" s="75"/>
      <c r="K298" s="75"/>
      <c r="L298" s="73"/>
      <c r="M298" s="78" t="str">
        <f aca="false">IF(OR(E298="",F298=""),"",MAX(0,((F298-E298-N(G298))*1440-N(H298)*10)/60))</f>
        <v/>
      </c>
      <c r="N298" s="78" t="str">
        <f aca="false">IF($D298="欠席",0,IF(OR(I298="",J298=""),"",MAX(0,((J298-I298-N(K298))*1440-N(L298)*10)/60)))</f>
        <v/>
      </c>
      <c r="O298" s="73"/>
    </row>
    <row r="299" customFormat="false" ht="15" hidden="false" customHeight="false" outlineLevel="0" collapsed="false">
      <c r="A299" s="77"/>
      <c r="B299" s="73"/>
      <c r="C299" s="71" t="str">
        <f aca="false">IF(B299="","",IFERROR(INDEX(マスタ!$F$2:$F$60,MATCH(B299,マスタ!$E$2:$E$60,0))&amp;"",""))</f>
        <v/>
      </c>
      <c r="D299" s="73"/>
      <c r="E299" s="75"/>
      <c r="F299" s="75"/>
      <c r="G299" s="75"/>
      <c r="H299" s="73"/>
      <c r="I299" s="75"/>
      <c r="J299" s="75"/>
      <c r="K299" s="75"/>
      <c r="L299" s="73"/>
      <c r="M299" s="78" t="str">
        <f aca="false">IF(OR(E299="",F299=""),"",MAX(0,((F299-E299-N(G299))*1440-N(H299)*10)/60))</f>
        <v/>
      </c>
      <c r="N299" s="78" t="str">
        <f aca="false">IF($D299="欠席",0,IF(OR(I299="",J299=""),"",MAX(0,((J299-I299-N(K299))*1440-N(L299)*10)/60)))</f>
        <v/>
      </c>
      <c r="O299" s="73"/>
    </row>
    <row r="300" customFormat="false" ht="15" hidden="false" customHeight="false" outlineLevel="0" collapsed="false">
      <c r="A300" s="77"/>
      <c r="B300" s="73"/>
      <c r="C300" s="71" t="str">
        <f aca="false">IF(B300="","",IFERROR(INDEX(マスタ!$F$2:$F$60,MATCH(B300,マスタ!$E$2:$E$60,0))&amp;"",""))</f>
        <v/>
      </c>
      <c r="D300" s="73"/>
      <c r="E300" s="75"/>
      <c r="F300" s="75"/>
      <c r="G300" s="75"/>
      <c r="H300" s="73"/>
      <c r="I300" s="75"/>
      <c r="J300" s="75"/>
      <c r="K300" s="75"/>
      <c r="L300" s="73"/>
      <c r="M300" s="78" t="str">
        <f aca="false">IF(OR(E300="",F300=""),"",MAX(0,((F300-E300-N(G300))*1440-N(H300)*10)/60))</f>
        <v/>
      </c>
      <c r="N300" s="78" t="str">
        <f aca="false">IF($D300="欠席",0,IF(OR(I300="",J300=""),"",MAX(0,((J300-I300-N(K300))*1440-N(L300)*10)/60)))</f>
        <v/>
      </c>
      <c r="O300" s="73"/>
    </row>
    <row r="301" customFormat="false" ht="15" hidden="false" customHeight="false" outlineLevel="0" collapsed="false">
      <c r="A301" s="77"/>
      <c r="B301" s="73"/>
      <c r="C301" s="71" t="str">
        <f aca="false">IF(B301="","",IFERROR(INDEX(マスタ!$F$2:$F$60,MATCH(B301,マスタ!$E$2:$E$60,0))&amp;"",""))</f>
        <v/>
      </c>
      <c r="D301" s="73"/>
      <c r="E301" s="75"/>
      <c r="F301" s="75"/>
      <c r="G301" s="75"/>
      <c r="H301" s="73"/>
      <c r="I301" s="75"/>
      <c r="J301" s="75"/>
      <c r="K301" s="75"/>
      <c r="L301" s="73"/>
      <c r="M301" s="78" t="str">
        <f aca="false">IF(OR(E301="",F301=""),"",MAX(0,((F301-E301-N(G301))*1440-N(H301)*10)/60))</f>
        <v/>
      </c>
      <c r="N301" s="78" t="str">
        <f aca="false">IF($D301="欠席",0,IF(OR(I301="",J301=""),"",MAX(0,((J301-I301-N(K301))*1440-N(L301)*10)/60)))</f>
        <v/>
      </c>
      <c r="O301" s="73"/>
    </row>
    <row r="302" customFormat="false" ht="15" hidden="false" customHeight="false" outlineLevel="0" collapsed="false">
      <c r="A302" s="77"/>
      <c r="B302" s="73"/>
      <c r="C302" s="71" t="str">
        <f aca="false">IF(B302="","",IFERROR(INDEX(マスタ!$F$2:$F$60,MATCH(B302,マスタ!$E$2:$E$60,0))&amp;"",""))</f>
        <v/>
      </c>
      <c r="D302" s="73"/>
      <c r="E302" s="75"/>
      <c r="F302" s="75"/>
      <c r="G302" s="75"/>
      <c r="H302" s="73"/>
      <c r="I302" s="75"/>
      <c r="J302" s="75"/>
      <c r="K302" s="75"/>
      <c r="L302" s="73"/>
      <c r="M302" s="78" t="str">
        <f aca="false">IF(OR(E302="",F302=""),"",MAX(0,((F302-E302-N(G302))*1440-N(H302)*10)/60))</f>
        <v/>
      </c>
      <c r="N302" s="78" t="str">
        <f aca="false">IF($D302="欠席",0,IF(OR(I302="",J302=""),"",MAX(0,((J302-I302-N(K302))*1440-N(L302)*10)/60)))</f>
        <v/>
      </c>
      <c r="O302" s="73"/>
    </row>
    <row r="303" customFormat="false" ht="15" hidden="false" customHeight="false" outlineLevel="0" collapsed="false">
      <c r="A303" s="77"/>
      <c r="B303" s="73"/>
      <c r="C303" s="71" t="str">
        <f aca="false">IF(B303="","",IFERROR(INDEX(マスタ!$F$2:$F$60,MATCH(B303,マスタ!$E$2:$E$60,0))&amp;"",""))</f>
        <v/>
      </c>
      <c r="D303" s="73"/>
      <c r="E303" s="75"/>
      <c r="F303" s="75"/>
      <c r="G303" s="75"/>
      <c r="H303" s="73"/>
      <c r="I303" s="75"/>
      <c r="J303" s="75"/>
      <c r="K303" s="75"/>
      <c r="L303" s="73"/>
      <c r="M303" s="78" t="str">
        <f aca="false">IF(OR(E303="",F303=""),"",MAX(0,((F303-E303-N(G303))*1440-N(H303)*10)/60))</f>
        <v/>
      </c>
      <c r="N303" s="78" t="str">
        <f aca="false">IF($D303="欠席",0,IF(OR(I303="",J303=""),"",MAX(0,((J303-I303-N(K303))*1440-N(L303)*10)/60)))</f>
        <v/>
      </c>
      <c r="O303" s="73"/>
    </row>
    <row r="304" customFormat="false" ht="15" hidden="false" customHeight="false" outlineLevel="0" collapsed="false">
      <c r="A304" s="77"/>
      <c r="B304" s="73"/>
      <c r="C304" s="71" t="str">
        <f aca="false">IF(B304="","",IFERROR(INDEX(マスタ!$F$2:$F$60,MATCH(B304,マスタ!$E$2:$E$60,0))&amp;"",""))</f>
        <v/>
      </c>
      <c r="D304" s="73"/>
      <c r="E304" s="75"/>
      <c r="F304" s="75"/>
      <c r="G304" s="75"/>
      <c r="H304" s="73"/>
      <c r="I304" s="75"/>
      <c r="J304" s="75"/>
      <c r="K304" s="75"/>
      <c r="L304" s="73"/>
      <c r="M304" s="78" t="str">
        <f aca="false">IF(OR(E304="",F304=""),"",MAX(0,((F304-E304-N(G304))*1440-N(H304)*10)/60))</f>
        <v/>
      </c>
      <c r="N304" s="78" t="str">
        <f aca="false">IF($D304="欠席",0,IF(OR(I304="",J304=""),"",MAX(0,((J304-I304-N(K304))*1440-N(L304)*10)/60)))</f>
        <v/>
      </c>
      <c r="O304" s="73"/>
    </row>
    <row r="305" customFormat="false" ht="15" hidden="false" customHeight="false" outlineLevel="0" collapsed="false">
      <c r="A305" s="77"/>
      <c r="B305" s="73"/>
      <c r="C305" s="71" t="str">
        <f aca="false">IF(B305="","",IFERROR(INDEX(マスタ!$F$2:$F$60,MATCH(B305,マスタ!$E$2:$E$60,0))&amp;"",""))</f>
        <v/>
      </c>
      <c r="D305" s="73"/>
      <c r="E305" s="75"/>
      <c r="F305" s="75"/>
      <c r="G305" s="75"/>
      <c r="H305" s="73"/>
      <c r="I305" s="75"/>
      <c r="J305" s="75"/>
      <c r="K305" s="75"/>
      <c r="L305" s="73"/>
      <c r="M305" s="78" t="str">
        <f aca="false">IF(OR(E305="",F305=""),"",MAX(0,((F305-E305-N(G305))*1440-N(H305)*10)/60))</f>
        <v/>
      </c>
      <c r="N305" s="78" t="str">
        <f aca="false">IF($D305="欠席",0,IF(OR(I305="",J305=""),"",MAX(0,((J305-I305-N(K305))*1440-N(L305)*10)/60)))</f>
        <v/>
      </c>
      <c r="O305" s="73"/>
    </row>
    <row r="306" customFormat="false" ht="15" hidden="false" customHeight="false" outlineLevel="0" collapsed="false">
      <c r="A306" s="77"/>
      <c r="B306" s="73"/>
      <c r="C306" s="71" t="str">
        <f aca="false">IF(B306="","",IFERROR(INDEX(マスタ!$F$2:$F$60,MATCH(B306,マスタ!$E$2:$E$60,0))&amp;"",""))</f>
        <v/>
      </c>
      <c r="D306" s="73"/>
      <c r="E306" s="75"/>
      <c r="F306" s="75"/>
      <c r="G306" s="75"/>
      <c r="H306" s="73"/>
      <c r="I306" s="75"/>
      <c r="J306" s="75"/>
      <c r="K306" s="75"/>
      <c r="L306" s="73"/>
      <c r="M306" s="78" t="str">
        <f aca="false">IF(OR(E306="",F306=""),"",MAX(0,((F306-E306-N(G306))*1440-N(H306)*10)/60))</f>
        <v/>
      </c>
      <c r="N306" s="78" t="str">
        <f aca="false">IF($D306="欠席",0,IF(OR(I306="",J306=""),"",MAX(0,((J306-I306-N(K306))*1440-N(L306)*10)/60)))</f>
        <v/>
      </c>
      <c r="O306" s="73"/>
    </row>
    <row r="307" customFormat="false" ht="15" hidden="false" customHeight="false" outlineLevel="0" collapsed="false">
      <c r="A307" s="77"/>
      <c r="B307" s="73"/>
      <c r="C307" s="71" t="str">
        <f aca="false">IF(B307="","",IFERROR(INDEX(マスタ!$F$2:$F$60,MATCH(B307,マスタ!$E$2:$E$60,0))&amp;"",""))</f>
        <v/>
      </c>
      <c r="D307" s="73"/>
      <c r="E307" s="75"/>
      <c r="F307" s="75"/>
      <c r="G307" s="75"/>
      <c r="H307" s="73"/>
      <c r="I307" s="75"/>
      <c r="J307" s="75"/>
      <c r="K307" s="75"/>
      <c r="L307" s="73"/>
      <c r="M307" s="78" t="str">
        <f aca="false">IF(OR(E307="",F307=""),"",MAX(0,((F307-E307-N(G307))*1440-N(H307)*10)/60))</f>
        <v/>
      </c>
      <c r="N307" s="78" t="str">
        <f aca="false">IF($D307="欠席",0,IF(OR(I307="",J307=""),"",MAX(0,((J307-I307-N(K307))*1440-N(L307)*10)/60)))</f>
        <v/>
      </c>
      <c r="O307" s="73"/>
    </row>
    <row r="308" customFormat="false" ht="15" hidden="false" customHeight="false" outlineLevel="0" collapsed="false">
      <c r="A308" s="77"/>
      <c r="B308" s="73"/>
      <c r="C308" s="71" t="str">
        <f aca="false">IF(B308="","",IFERROR(INDEX(マスタ!$F$2:$F$60,MATCH(B308,マスタ!$E$2:$E$60,0))&amp;"",""))</f>
        <v/>
      </c>
      <c r="D308" s="73"/>
      <c r="E308" s="75"/>
      <c r="F308" s="75"/>
      <c r="G308" s="75"/>
      <c r="H308" s="73"/>
      <c r="I308" s="75"/>
      <c r="J308" s="75"/>
      <c r="K308" s="75"/>
      <c r="L308" s="73"/>
      <c r="M308" s="78" t="str">
        <f aca="false">IF(OR(E308="",F308=""),"",MAX(0,((F308-E308-N(G308))*1440-N(H308)*10)/60))</f>
        <v/>
      </c>
      <c r="N308" s="78" t="str">
        <f aca="false">IF($D308="欠席",0,IF(OR(I308="",J308=""),"",MAX(0,((J308-I308-N(K308))*1440-N(L308)*10)/60)))</f>
        <v/>
      </c>
      <c r="O308" s="73"/>
    </row>
    <row r="309" customFormat="false" ht="15" hidden="false" customHeight="false" outlineLevel="0" collapsed="false">
      <c r="A309" s="77"/>
      <c r="B309" s="73"/>
      <c r="C309" s="71" t="str">
        <f aca="false">IF(B309="","",IFERROR(INDEX(マスタ!$F$2:$F$60,MATCH(B309,マスタ!$E$2:$E$60,0))&amp;"",""))</f>
        <v/>
      </c>
      <c r="D309" s="73"/>
      <c r="E309" s="75"/>
      <c r="F309" s="75"/>
      <c r="G309" s="75"/>
      <c r="H309" s="73"/>
      <c r="I309" s="75"/>
      <c r="J309" s="75"/>
      <c r="K309" s="75"/>
      <c r="L309" s="73"/>
      <c r="M309" s="78" t="str">
        <f aca="false">IF(OR(E309="",F309=""),"",MAX(0,((F309-E309-N(G309))*1440-N(H309)*10)/60))</f>
        <v/>
      </c>
      <c r="N309" s="78" t="str">
        <f aca="false">IF($D309="欠席",0,IF(OR(I309="",J309=""),"",MAX(0,((J309-I309-N(K309))*1440-N(L309)*10)/60)))</f>
        <v/>
      </c>
      <c r="O309" s="73"/>
    </row>
    <row r="310" customFormat="false" ht="15" hidden="false" customHeight="false" outlineLevel="0" collapsed="false">
      <c r="A310" s="77"/>
      <c r="B310" s="73"/>
      <c r="C310" s="71" t="str">
        <f aca="false">IF(B310="","",IFERROR(INDEX(マスタ!$F$2:$F$60,MATCH(B310,マスタ!$E$2:$E$60,0))&amp;"",""))</f>
        <v/>
      </c>
      <c r="D310" s="73"/>
      <c r="E310" s="75"/>
      <c r="F310" s="75"/>
      <c r="G310" s="75"/>
      <c r="H310" s="73"/>
      <c r="I310" s="75"/>
      <c r="J310" s="75"/>
      <c r="K310" s="75"/>
      <c r="L310" s="73"/>
      <c r="M310" s="78" t="str">
        <f aca="false">IF(OR(E310="",F310=""),"",MAX(0,((F310-E310-N(G310))*1440-N(H310)*10)/60))</f>
        <v/>
      </c>
      <c r="N310" s="78" t="str">
        <f aca="false">IF($D310="欠席",0,IF(OR(I310="",J310=""),"",MAX(0,((J310-I310-N(K310))*1440-N(L310)*10)/60)))</f>
        <v/>
      </c>
      <c r="O310" s="73"/>
    </row>
    <row r="311" customFormat="false" ht="15" hidden="false" customHeight="false" outlineLevel="0" collapsed="false">
      <c r="A311" s="77"/>
      <c r="B311" s="73"/>
      <c r="C311" s="71" t="str">
        <f aca="false">IF(B311="","",IFERROR(INDEX(マスタ!$F$2:$F$60,MATCH(B311,マスタ!$E$2:$E$60,0))&amp;"",""))</f>
        <v/>
      </c>
      <c r="D311" s="73"/>
      <c r="E311" s="75"/>
      <c r="F311" s="75"/>
      <c r="G311" s="75"/>
      <c r="H311" s="73"/>
      <c r="I311" s="75"/>
      <c r="J311" s="75"/>
      <c r="K311" s="75"/>
      <c r="L311" s="73"/>
      <c r="M311" s="78" t="str">
        <f aca="false">IF(OR(E311="",F311=""),"",MAX(0,((F311-E311-N(G311))*1440-N(H311)*10)/60))</f>
        <v/>
      </c>
      <c r="N311" s="78" t="str">
        <f aca="false">IF($D311="欠席",0,IF(OR(I311="",J311=""),"",MAX(0,((J311-I311-N(K311))*1440-N(L311)*10)/60)))</f>
        <v/>
      </c>
      <c r="O311" s="73"/>
    </row>
    <row r="312" customFormat="false" ht="15" hidden="false" customHeight="false" outlineLevel="0" collapsed="false">
      <c r="A312" s="77"/>
      <c r="B312" s="73"/>
      <c r="C312" s="71" t="str">
        <f aca="false">IF(B312="","",IFERROR(INDEX(マスタ!$F$2:$F$60,MATCH(B312,マスタ!$E$2:$E$60,0))&amp;"",""))</f>
        <v/>
      </c>
      <c r="D312" s="73"/>
      <c r="E312" s="75"/>
      <c r="F312" s="75"/>
      <c r="G312" s="75"/>
      <c r="H312" s="73"/>
      <c r="I312" s="75"/>
      <c r="J312" s="75"/>
      <c r="K312" s="75"/>
      <c r="L312" s="73"/>
      <c r="M312" s="78" t="str">
        <f aca="false">IF(OR(E312="",F312=""),"",MAX(0,((F312-E312-N(G312))*1440-N(H312)*10)/60))</f>
        <v/>
      </c>
      <c r="N312" s="78" t="str">
        <f aca="false">IF($D312="欠席",0,IF(OR(I312="",J312=""),"",MAX(0,((J312-I312-N(K312))*1440-N(L312)*10)/60)))</f>
        <v/>
      </c>
      <c r="O312" s="73"/>
    </row>
    <row r="313" customFormat="false" ht="15" hidden="false" customHeight="false" outlineLevel="0" collapsed="false">
      <c r="A313" s="77"/>
      <c r="B313" s="73"/>
      <c r="C313" s="71" t="str">
        <f aca="false">IF(B313="","",IFERROR(INDEX(マスタ!$F$2:$F$60,MATCH(B313,マスタ!$E$2:$E$60,0))&amp;"",""))</f>
        <v/>
      </c>
      <c r="D313" s="73"/>
      <c r="E313" s="75"/>
      <c r="F313" s="75"/>
      <c r="G313" s="75"/>
      <c r="H313" s="73"/>
      <c r="I313" s="75"/>
      <c r="J313" s="75"/>
      <c r="K313" s="75"/>
      <c r="L313" s="73"/>
      <c r="M313" s="78" t="str">
        <f aca="false">IF(OR(E313="",F313=""),"",MAX(0,((F313-E313-N(G313))*1440-N(H313)*10)/60))</f>
        <v/>
      </c>
      <c r="N313" s="78" t="str">
        <f aca="false">IF($D313="欠席",0,IF(OR(I313="",J313=""),"",MAX(0,((J313-I313-N(K313))*1440-N(L313)*10)/60)))</f>
        <v/>
      </c>
      <c r="O313" s="73"/>
    </row>
    <row r="314" customFormat="false" ht="15" hidden="false" customHeight="false" outlineLevel="0" collapsed="false">
      <c r="A314" s="77"/>
      <c r="B314" s="73"/>
      <c r="C314" s="71" t="str">
        <f aca="false">IF(B314="","",IFERROR(INDEX(マスタ!$F$2:$F$60,MATCH(B314,マスタ!$E$2:$E$60,0))&amp;"",""))</f>
        <v/>
      </c>
      <c r="D314" s="73"/>
      <c r="E314" s="75"/>
      <c r="F314" s="75"/>
      <c r="G314" s="75"/>
      <c r="H314" s="73"/>
      <c r="I314" s="75"/>
      <c r="J314" s="75"/>
      <c r="K314" s="75"/>
      <c r="L314" s="73"/>
      <c r="M314" s="78" t="str">
        <f aca="false">IF(OR(E314="",F314=""),"",MAX(0,((F314-E314-N(G314))*1440-N(H314)*10)/60))</f>
        <v/>
      </c>
      <c r="N314" s="78" t="str">
        <f aca="false">IF($D314="欠席",0,IF(OR(I314="",J314=""),"",MAX(0,((J314-I314-N(K314))*1440-N(L314)*10)/60)))</f>
        <v/>
      </c>
      <c r="O314" s="73"/>
    </row>
    <row r="315" customFormat="false" ht="15" hidden="false" customHeight="false" outlineLevel="0" collapsed="false">
      <c r="A315" s="77"/>
      <c r="B315" s="73"/>
      <c r="C315" s="71" t="str">
        <f aca="false">IF(B315="","",IFERROR(INDEX(マスタ!$F$2:$F$60,MATCH(B315,マスタ!$E$2:$E$60,0))&amp;"",""))</f>
        <v/>
      </c>
      <c r="D315" s="73"/>
      <c r="E315" s="75"/>
      <c r="F315" s="75"/>
      <c r="G315" s="75"/>
      <c r="H315" s="73"/>
      <c r="I315" s="75"/>
      <c r="J315" s="75"/>
      <c r="K315" s="75"/>
      <c r="L315" s="73"/>
      <c r="M315" s="78" t="str">
        <f aca="false">IF(OR(E315="",F315=""),"",MAX(0,((F315-E315-N(G315))*1440-N(H315)*10)/60))</f>
        <v/>
      </c>
      <c r="N315" s="78" t="str">
        <f aca="false">IF($D315="欠席",0,IF(OR(I315="",J315=""),"",MAX(0,((J315-I315-N(K315))*1440-N(L315)*10)/60)))</f>
        <v/>
      </c>
      <c r="O315" s="73"/>
    </row>
    <row r="316" customFormat="false" ht="15" hidden="false" customHeight="false" outlineLevel="0" collapsed="false">
      <c r="A316" s="77"/>
      <c r="B316" s="73"/>
      <c r="C316" s="71" t="str">
        <f aca="false">IF(B316="","",IFERROR(INDEX(マスタ!$F$2:$F$60,MATCH(B316,マスタ!$E$2:$E$60,0))&amp;"",""))</f>
        <v/>
      </c>
      <c r="D316" s="73"/>
      <c r="E316" s="75"/>
      <c r="F316" s="75"/>
      <c r="G316" s="75"/>
      <c r="H316" s="73"/>
      <c r="I316" s="75"/>
      <c r="J316" s="75"/>
      <c r="K316" s="75"/>
      <c r="L316" s="73"/>
      <c r="M316" s="78" t="str">
        <f aca="false">IF(OR(E316="",F316=""),"",MAX(0,((F316-E316-N(G316))*1440-N(H316)*10)/60))</f>
        <v/>
      </c>
      <c r="N316" s="78" t="str">
        <f aca="false">IF($D316="欠席",0,IF(OR(I316="",J316=""),"",MAX(0,((J316-I316-N(K316))*1440-N(L316)*10)/60)))</f>
        <v/>
      </c>
      <c r="O316" s="73"/>
    </row>
    <row r="317" customFormat="false" ht="15" hidden="false" customHeight="false" outlineLevel="0" collapsed="false">
      <c r="A317" s="77"/>
      <c r="B317" s="73"/>
      <c r="C317" s="71" t="str">
        <f aca="false">IF(B317="","",IFERROR(INDEX(マスタ!$F$2:$F$60,MATCH(B317,マスタ!$E$2:$E$60,0))&amp;"",""))</f>
        <v/>
      </c>
      <c r="D317" s="73"/>
      <c r="E317" s="75"/>
      <c r="F317" s="75"/>
      <c r="G317" s="75"/>
      <c r="H317" s="73"/>
      <c r="I317" s="75"/>
      <c r="J317" s="75"/>
      <c r="K317" s="75"/>
      <c r="L317" s="73"/>
      <c r="M317" s="78" t="str">
        <f aca="false">IF(OR(E317="",F317=""),"",MAX(0,((F317-E317-N(G317))*1440-N(H317)*10)/60))</f>
        <v/>
      </c>
      <c r="N317" s="78" t="str">
        <f aca="false">IF($D317="欠席",0,IF(OR(I317="",J317=""),"",MAX(0,((J317-I317-N(K317))*1440-N(L317)*10)/60)))</f>
        <v/>
      </c>
      <c r="O317" s="73"/>
    </row>
    <row r="318" customFormat="false" ht="15" hidden="false" customHeight="false" outlineLevel="0" collapsed="false">
      <c r="A318" s="77"/>
      <c r="B318" s="73"/>
      <c r="C318" s="71" t="str">
        <f aca="false">IF(B318="","",IFERROR(INDEX(マスタ!$F$2:$F$60,MATCH(B318,マスタ!$E$2:$E$60,0))&amp;"",""))</f>
        <v/>
      </c>
      <c r="D318" s="73"/>
      <c r="E318" s="75"/>
      <c r="F318" s="75"/>
      <c r="G318" s="75"/>
      <c r="H318" s="73"/>
      <c r="I318" s="75"/>
      <c r="J318" s="75"/>
      <c r="K318" s="75"/>
      <c r="L318" s="73"/>
      <c r="M318" s="78" t="str">
        <f aca="false">IF(OR(E318="",F318=""),"",MAX(0,((F318-E318-N(G318))*1440-N(H318)*10)/60))</f>
        <v/>
      </c>
      <c r="N318" s="78" t="str">
        <f aca="false">IF($D318="欠席",0,IF(OR(I318="",J318=""),"",MAX(0,((J318-I318-N(K318))*1440-N(L318)*10)/60)))</f>
        <v/>
      </c>
      <c r="O318" s="73"/>
    </row>
    <row r="319" customFormat="false" ht="15" hidden="false" customHeight="false" outlineLevel="0" collapsed="false">
      <c r="A319" s="77"/>
      <c r="B319" s="73"/>
      <c r="C319" s="71" t="str">
        <f aca="false">IF(B319="","",IFERROR(INDEX(マスタ!$F$2:$F$60,MATCH(B319,マスタ!$E$2:$E$60,0))&amp;"",""))</f>
        <v/>
      </c>
      <c r="D319" s="73"/>
      <c r="E319" s="75"/>
      <c r="F319" s="75"/>
      <c r="G319" s="75"/>
      <c r="H319" s="73"/>
      <c r="I319" s="75"/>
      <c r="J319" s="75"/>
      <c r="K319" s="75"/>
      <c r="L319" s="73"/>
      <c r="M319" s="78" t="str">
        <f aca="false">IF(OR(E319="",F319=""),"",MAX(0,((F319-E319-N(G319))*1440-N(H319)*10)/60))</f>
        <v/>
      </c>
      <c r="N319" s="78" t="str">
        <f aca="false">IF($D319="欠席",0,IF(OR(I319="",J319=""),"",MAX(0,((J319-I319-N(K319))*1440-N(L319)*10)/60)))</f>
        <v/>
      </c>
      <c r="O319" s="73"/>
    </row>
    <row r="320" customFormat="false" ht="15" hidden="false" customHeight="false" outlineLevel="0" collapsed="false">
      <c r="A320" s="77"/>
      <c r="B320" s="73"/>
      <c r="C320" s="71" t="str">
        <f aca="false">IF(B320="","",IFERROR(INDEX(マスタ!$F$2:$F$60,MATCH(B320,マスタ!$E$2:$E$60,0))&amp;"",""))</f>
        <v/>
      </c>
      <c r="D320" s="73"/>
      <c r="E320" s="75"/>
      <c r="F320" s="75"/>
      <c r="G320" s="75"/>
      <c r="H320" s="73"/>
      <c r="I320" s="75"/>
      <c r="J320" s="75"/>
      <c r="K320" s="75"/>
      <c r="L320" s="73"/>
      <c r="M320" s="78" t="str">
        <f aca="false">IF(OR(E320="",F320=""),"",MAX(0,((F320-E320-N(G320))*1440-N(H320)*10)/60))</f>
        <v/>
      </c>
      <c r="N320" s="78" t="str">
        <f aca="false">IF($D320="欠席",0,IF(OR(I320="",J320=""),"",MAX(0,((J320-I320-N(K320))*1440-N(L320)*10)/60)))</f>
        <v/>
      </c>
      <c r="O320" s="73"/>
    </row>
    <row r="321" customFormat="false" ht="15" hidden="false" customHeight="false" outlineLevel="0" collapsed="false">
      <c r="A321" s="77"/>
      <c r="B321" s="73"/>
      <c r="C321" s="71" t="str">
        <f aca="false">IF(B321="","",IFERROR(INDEX(マスタ!$F$2:$F$60,MATCH(B321,マスタ!$E$2:$E$60,0))&amp;"",""))</f>
        <v/>
      </c>
      <c r="D321" s="73"/>
      <c r="E321" s="75"/>
      <c r="F321" s="75"/>
      <c r="G321" s="75"/>
      <c r="H321" s="73"/>
      <c r="I321" s="75"/>
      <c r="J321" s="75"/>
      <c r="K321" s="75"/>
      <c r="L321" s="73"/>
      <c r="M321" s="78" t="str">
        <f aca="false">IF(OR(E321="",F321=""),"",MAX(0,((F321-E321-N(G321))*1440-N(H321)*10)/60))</f>
        <v/>
      </c>
      <c r="N321" s="78" t="str">
        <f aca="false">IF($D321="欠席",0,IF(OR(I321="",J321=""),"",MAX(0,((J321-I321-N(K321))*1440-N(L321)*10)/60)))</f>
        <v/>
      </c>
      <c r="O321" s="73"/>
    </row>
    <row r="322" customFormat="false" ht="15" hidden="false" customHeight="false" outlineLevel="0" collapsed="false">
      <c r="A322" s="77"/>
      <c r="B322" s="73"/>
      <c r="C322" s="71" t="str">
        <f aca="false">IF(B322="","",IFERROR(INDEX(マスタ!$F$2:$F$60,MATCH(B322,マスタ!$E$2:$E$60,0))&amp;"",""))</f>
        <v/>
      </c>
      <c r="D322" s="73"/>
      <c r="E322" s="75"/>
      <c r="F322" s="75"/>
      <c r="G322" s="75"/>
      <c r="H322" s="73"/>
      <c r="I322" s="75"/>
      <c r="J322" s="75"/>
      <c r="K322" s="75"/>
      <c r="L322" s="73"/>
      <c r="M322" s="78" t="str">
        <f aca="false">IF(OR(E322="",F322=""),"",MAX(0,((F322-E322-N(G322))*1440-N(H322)*10)/60))</f>
        <v/>
      </c>
      <c r="N322" s="78" t="str">
        <f aca="false">IF($D322="欠席",0,IF(OR(I322="",J322=""),"",MAX(0,((J322-I322-N(K322))*1440-N(L322)*10)/60)))</f>
        <v/>
      </c>
      <c r="O322" s="73"/>
    </row>
    <row r="323" customFormat="false" ht="15" hidden="false" customHeight="false" outlineLevel="0" collapsed="false">
      <c r="A323" s="77"/>
      <c r="B323" s="73"/>
      <c r="C323" s="71" t="str">
        <f aca="false">IF(B323="","",IFERROR(INDEX(マスタ!$F$2:$F$60,MATCH(B323,マスタ!$E$2:$E$60,0))&amp;"",""))</f>
        <v/>
      </c>
      <c r="D323" s="73"/>
      <c r="E323" s="75"/>
      <c r="F323" s="75"/>
      <c r="G323" s="75"/>
      <c r="H323" s="73"/>
      <c r="I323" s="75"/>
      <c r="J323" s="75"/>
      <c r="K323" s="75"/>
      <c r="L323" s="73"/>
      <c r="M323" s="78" t="str">
        <f aca="false">IF(OR(E323="",F323=""),"",MAX(0,((F323-E323-N(G323))*1440-N(H323)*10)/60))</f>
        <v/>
      </c>
      <c r="N323" s="78" t="str">
        <f aca="false">IF($D323="欠席",0,IF(OR(I323="",J323=""),"",MAX(0,((J323-I323-N(K323))*1440-N(L323)*10)/60)))</f>
        <v/>
      </c>
      <c r="O323" s="73"/>
    </row>
    <row r="324" customFormat="false" ht="15" hidden="false" customHeight="false" outlineLevel="0" collapsed="false">
      <c r="A324" s="77"/>
      <c r="B324" s="73"/>
      <c r="C324" s="71" t="str">
        <f aca="false">IF(B324="","",IFERROR(INDEX(マスタ!$F$2:$F$60,MATCH(B324,マスタ!$E$2:$E$60,0))&amp;"",""))</f>
        <v/>
      </c>
      <c r="D324" s="73"/>
      <c r="E324" s="75"/>
      <c r="F324" s="75"/>
      <c r="G324" s="75"/>
      <c r="H324" s="73"/>
      <c r="I324" s="75"/>
      <c r="J324" s="75"/>
      <c r="K324" s="75"/>
      <c r="L324" s="73"/>
      <c r="M324" s="78" t="str">
        <f aca="false">IF(OR(E324="",F324=""),"",MAX(0,((F324-E324-N(G324))*1440-N(H324)*10)/60))</f>
        <v/>
      </c>
      <c r="N324" s="78" t="str">
        <f aca="false">IF($D324="欠席",0,IF(OR(I324="",J324=""),"",MAX(0,((J324-I324-N(K324))*1440-N(L324)*10)/60)))</f>
        <v/>
      </c>
      <c r="O324" s="73"/>
    </row>
    <row r="325" customFormat="false" ht="15" hidden="false" customHeight="false" outlineLevel="0" collapsed="false">
      <c r="A325" s="77"/>
      <c r="B325" s="73"/>
      <c r="C325" s="71" t="str">
        <f aca="false">IF(B325="","",IFERROR(INDEX(マスタ!$F$2:$F$60,MATCH(B325,マスタ!$E$2:$E$60,0))&amp;"",""))</f>
        <v/>
      </c>
      <c r="D325" s="73"/>
      <c r="E325" s="75"/>
      <c r="F325" s="75"/>
      <c r="G325" s="75"/>
      <c r="H325" s="73"/>
      <c r="I325" s="75"/>
      <c r="J325" s="75"/>
      <c r="K325" s="75"/>
      <c r="L325" s="73"/>
      <c r="M325" s="78" t="str">
        <f aca="false">IF(OR(E325="",F325=""),"",MAX(0,((F325-E325-N(G325))*1440-N(H325)*10)/60))</f>
        <v/>
      </c>
      <c r="N325" s="78" t="str">
        <f aca="false">IF($D325="欠席",0,IF(OR(I325="",J325=""),"",MAX(0,((J325-I325-N(K325))*1440-N(L325)*10)/60)))</f>
        <v/>
      </c>
      <c r="O325" s="73"/>
    </row>
    <row r="326" customFormat="false" ht="15" hidden="false" customHeight="false" outlineLevel="0" collapsed="false">
      <c r="A326" s="77"/>
      <c r="B326" s="73"/>
      <c r="C326" s="71" t="str">
        <f aca="false">IF(B326="","",IFERROR(INDEX(マスタ!$F$2:$F$60,MATCH(B326,マスタ!$E$2:$E$60,0))&amp;"",""))</f>
        <v/>
      </c>
      <c r="D326" s="73"/>
      <c r="E326" s="75"/>
      <c r="F326" s="75"/>
      <c r="G326" s="75"/>
      <c r="H326" s="73"/>
      <c r="I326" s="75"/>
      <c r="J326" s="75"/>
      <c r="K326" s="75"/>
      <c r="L326" s="73"/>
      <c r="M326" s="78" t="str">
        <f aca="false">IF(OR(E326="",F326=""),"",MAX(0,((F326-E326-N(G326))*1440-N(H326)*10)/60))</f>
        <v/>
      </c>
      <c r="N326" s="78" t="str">
        <f aca="false">IF($D326="欠席",0,IF(OR(I326="",J326=""),"",MAX(0,((J326-I326-N(K326))*1440-N(L326)*10)/60)))</f>
        <v/>
      </c>
      <c r="O326" s="73"/>
    </row>
    <row r="327" customFormat="false" ht="15" hidden="false" customHeight="false" outlineLevel="0" collapsed="false">
      <c r="A327" s="77"/>
      <c r="B327" s="73"/>
      <c r="C327" s="71" t="str">
        <f aca="false">IF(B327="","",IFERROR(INDEX(マスタ!$F$2:$F$60,MATCH(B327,マスタ!$E$2:$E$60,0))&amp;"",""))</f>
        <v/>
      </c>
      <c r="D327" s="73"/>
      <c r="E327" s="75"/>
      <c r="F327" s="75"/>
      <c r="G327" s="75"/>
      <c r="H327" s="73"/>
      <c r="I327" s="75"/>
      <c r="J327" s="75"/>
      <c r="K327" s="75"/>
      <c r="L327" s="73"/>
      <c r="M327" s="78" t="str">
        <f aca="false">IF(OR(E327="",F327=""),"",MAX(0,((F327-E327-N(G327))*1440-N(H327)*10)/60))</f>
        <v/>
      </c>
      <c r="N327" s="78" t="str">
        <f aca="false">IF($D327="欠席",0,IF(OR(I327="",J327=""),"",MAX(0,((J327-I327-N(K327))*1440-N(L327)*10)/60)))</f>
        <v/>
      </c>
      <c r="O327" s="73"/>
    </row>
    <row r="328" customFormat="false" ht="15" hidden="false" customHeight="false" outlineLevel="0" collapsed="false">
      <c r="A328" s="77"/>
      <c r="B328" s="73"/>
      <c r="C328" s="71" t="str">
        <f aca="false">IF(B328="","",IFERROR(INDEX(マスタ!$F$2:$F$60,MATCH(B328,マスタ!$E$2:$E$60,0))&amp;"",""))</f>
        <v/>
      </c>
      <c r="D328" s="73"/>
      <c r="E328" s="75"/>
      <c r="F328" s="75"/>
      <c r="G328" s="75"/>
      <c r="H328" s="73"/>
      <c r="I328" s="75"/>
      <c r="J328" s="75"/>
      <c r="K328" s="75"/>
      <c r="L328" s="73"/>
      <c r="M328" s="78" t="str">
        <f aca="false">IF(OR(E328="",F328=""),"",MAX(0,((F328-E328-N(G328))*1440-N(H328)*10)/60))</f>
        <v/>
      </c>
      <c r="N328" s="78" t="str">
        <f aca="false">IF($D328="欠席",0,IF(OR(I328="",J328=""),"",MAX(0,((J328-I328-N(K328))*1440-N(L328)*10)/60)))</f>
        <v/>
      </c>
      <c r="O328" s="73"/>
    </row>
    <row r="329" customFormat="false" ht="15" hidden="false" customHeight="false" outlineLevel="0" collapsed="false">
      <c r="A329" s="77"/>
      <c r="B329" s="73"/>
      <c r="C329" s="71" t="str">
        <f aca="false">IF(B329="","",IFERROR(INDEX(マスタ!$F$2:$F$60,MATCH(B329,マスタ!$E$2:$E$60,0))&amp;"",""))</f>
        <v/>
      </c>
      <c r="D329" s="73"/>
      <c r="E329" s="75"/>
      <c r="F329" s="75"/>
      <c r="G329" s="75"/>
      <c r="H329" s="73"/>
      <c r="I329" s="75"/>
      <c r="J329" s="75"/>
      <c r="K329" s="75"/>
      <c r="L329" s="73"/>
      <c r="M329" s="78" t="str">
        <f aca="false">IF(OR(E329="",F329=""),"",MAX(0,((F329-E329-N(G329))*1440-N(H329)*10)/60))</f>
        <v/>
      </c>
      <c r="N329" s="78" t="str">
        <f aca="false">IF($D329="欠席",0,IF(OR(I329="",J329=""),"",MAX(0,((J329-I329-N(K329))*1440-N(L329)*10)/60)))</f>
        <v/>
      </c>
      <c r="O329" s="73"/>
    </row>
    <row r="330" customFormat="false" ht="15" hidden="false" customHeight="false" outlineLevel="0" collapsed="false">
      <c r="A330" s="77"/>
      <c r="B330" s="73"/>
      <c r="C330" s="71" t="str">
        <f aca="false">IF(B330="","",IFERROR(INDEX(マスタ!$F$2:$F$60,MATCH(B330,マスタ!$E$2:$E$60,0))&amp;"",""))</f>
        <v/>
      </c>
      <c r="D330" s="73"/>
      <c r="E330" s="75"/>
      <c r="F330" s="75"/>
      <c r="G330" s="75"/>
      <c r="H330" s="73"/>
      <c r="I330" s="75"/>
      <c r="J330" s="75"/>
      <c r="K330" s="75"/>
      <c r="L330" s="73"/>
      <c r="M330" s="78" t="str">
        <f aca="false">IF(OR(E330="",F330=""),"",MAX(0,((F330-E330-N(G330))*1440-N(H330)*10)/60))</f>
        <v/>
      </c>
      <c r="N330" s="78" t="str">
        <f aca="false">IF($D330="欠席",0,IF(OR(I330="",J330=""),"",MAX(0,((J330-I330-N(K330))*1440-N(L330)*10)/60)))</f>
        <v/>
      </c>
      <c r="O330" s="73"/>
    </row>
    <row r="331" customFormat="false" ht="15" hidden="false" customHeight="false" outlineLevel="0" collapsed="false">
      <c r="A331" s="77"/>
      <c r="B331" s="73"/>
      <c r="C331" s="71" t="str">
        <f aca="false">IF(B331="","",IFERROR(INDEX(マスタ!$F$2:$F$60,MATCH(B331,マスタ!$E$2:$E$60,0))&amp;"",""))</f>
        <v/>
      </c>
      <c r="D331" s="73"/>
      <c r="E331" s="75"/>
      <c r="F331" s="75"/>
      <c r="G331" s="75"/>
      <c r="H331" s="73"/>
      <c r="I331" s="75"/>
      <c r="J331" s="75"/>
      <c r="K331" s="75"/>
      <c r="L331" s="73"/>
      <c r="M331" s="78" t="str">
        <f aca="false">IF(OR(E331="",F331=""),"",MAX(0,((F331-E331-N(G331))*1440-N(H331)*10)/60))</f>
        <v/>
      </c>
      <c r="N331" s="78" t="str">
        <f aca="false">IF($D331="欠席",0,IF(OR(I331="",J331=""),"",MAX(0,((J331-I331-N(K331))*1440-N(L331)*10)/60)))</f>
        <v/>
      </c>
      <c r="O331" s="73"/>
    </row>
    <row r="332" customFormat="false" ht="15" hidden="false" customHeight="false" outlineLevel="0" collapsed="false">
      <c r="A332" s="77"/>
      <c r="B332" s="73"/>
      <c r="C332" s="71" t="str">
        <f aca="false">IF(B332="","",IFERROR(INDEX(マスタ!$F$2:$F$60,MATCH(B332,マスタ!$E$2:$E$60,0))&amp;"",""))</f>
        <v/>
      </c>
      <c r="D332" s="73"/>
      <c r="E332" s="75"/>
      <c r="F332" s="75"/>
      <c r="G332" s="75"/>
      <c r="H332" s="73"/>
      <c r="I332" s="75"/>
      <c r="J332" s="75"/>
      <c r="K332" s="75"/>
      <c r="L332" s="73"/>
      <c r="M332" s="78" t="str">
        <f aca="false">IF(OR(E332="",F332=""),"",MAX(0,((F332-E332-N(G332))*1440-N(H332)*10)/60))</f>
        <v/>
      </c>
      <c r="N332" s="78" t="str">
        <f aca="false">IF($D332="欠席",0,IF(OR(I332="",J332=""),"",MAX(0,((J332-I332-N(K332))*1440-N(L332)*10)/60)))</f>
        <v/>
      </c>
      <c r="O332" s="73"/>
    </row>
    <row r="333" customFormat="false" ht="15" hidden="false" customHeight="false" outlineLevel="0" collapsed="false">
      <c r="A333" s="77"/>
      <c r="B333" s="73"/>
      <c r="C333" s="71" t="str">
        <f aca="false">IF(B333="","",IFERROR(INDEX(マスタ!$F$2:$F$60,MATCH(B333,マスタ!$E$2:$E$60,0))&amp;"",""))</f>
        <v/>
      </c>
      <c r="D333" s="73"/>
      <c r="E333" s="75"/>
      <c r="F333" s="75"/>
      <c r="G333" s="75"/>
      <c r="H333" s="73"/>
      <c r="I333" s="75"/>
      <c r="J333" s="75"/>
      <c r="K333" s="75"/>
      <c r="L333" s="73"/>
      <c r="M333" s="78" t="str">
        <f aca="false">IF(OR(E333="",F333=""),"",MAX(0,((F333-E333-N(G333))*1440-N(H333)*10)/60))</f>
        <v/>
      </c>
      <c r="N333" s="78" t="str">
        <f aca="false">IF($D333="欠席",0,IF(OR(I333="",J333=""),"",MAX(0,((J333-I333-N(K333))*1440-N(L333)*10)/60)))</f>
        <v/>
      </c>
      <c r="O333" s="73"/>
    </row>
    <row r="334" customFormat="false" ht="15" hidden="false" customHeight="false" outlineLevel="0" collapsed="false">
      <c r="A334" s="77"/>
      <c r="B334" s="73"/>
      <c r="C334" s="71" t="str">
        <f aca="false">IF(B334="","",IFERROR(INDEX(マスタ!$F$2:$F$60,MATCH(B334,マスタ!$E$2:$E$60,0))&amp;"",""))</f>
        <v/>
      </c>
      <c r="D334" s="73"/>
      <c r="E334" s="75"/>
      <c r="F334" s="75"/>
      <c r="G334" s="75"/>
      <c r="H334" s="73"/>
      <c r="I334" s="75"/>
      <c r="J334" s="75"/>
      <c r="K334" s="75"/>
      <c r="L334" s="73"/>
      <c r="M334" s="78" t="str">
        <f aca="false">IF(OR(E334="",F334=""),"",MAX(0,((F334-E334-N(G334))*1440-N(H334)*10)/60))</f>
        <v/>
      </c>
      <c r="N334" s="78" t="str">
        <f aca="false">IF($D334="欠席",0,IF(OR(I334="",J334=""),"",MAX(0,((J334-I334-N(K334))*1440-N(L334)*10)/60)))</f>
        <v/>
      </c>
      <c r="O334" s="73"/>
    </row>
    <row r="335" customFormat="false" ht="15" hidden="false" customHeight="false" outlineLevel="0" collapsed="false">
      <c r="A335" s="77"/>
      <c r="B335" s="73"/>
      <c r="C335" s="71" t="str">
        <f aca="false">IF(B335="","",IFERROR(INDEX(マスタ!$F$2:$F$60,MATCH(B335,マスタ!$E$2:$E$60,0))&amp;"",""))</f>
        <v/>
      </c>
      <c r="D335" s="73"/>
      <c r="E335" s="75"/>
      <c r="F335" s="75"/>
      <c r="G335" s="75"/>
      <c r="H335" s="73"/>
      <c r="I335" s="75"/>
      <c r="J335" s="75"/>
      <c r="K335" s="75"/>
      <c r="L335" s="73"/>
      <c r="M335" s="78" t="str">
        <f aca="false">IF(OR(E335="",F335=""),"",MAX(0,((F335-E335-N(G335))*1440-N(H335)*10)/60))</f>
        <v/>
      </c>
      <c r="N335" s="78" t="str">
        <f aca="false">IF($D335="欠席",0,IF(OR(I335="",J335=""),"",MAX(0,((J335-I335-N(K335))*1440-N(L335)*10)/60)))</f>
        <v/>
      </c>
      <c r="O335" s="73"/>
    </row>
    <row r="336" customFormat="false" ht="15" hidden="false" customHeight="false" outlineLevel="0" collapsed="false">
      <c r="A336" s="77"/>
      <c r="B336" s="73"/>
      <c r="C336" s="71" t="str">
        <f aca="false">IF(B336="","",IFERROR(INDEX(マスタ!$F$2:$F$60,MATCH(B336,マスタ!$E$2:$E$60,0))&amp;"",""))</f>
        <v/>
      </c>
      <c r="D336" s="73"/>
      <c r="E336" s="75"/>
      <c r="F336" s="75"/>
      <c r="G336" s="75"/>
      <c r="H336" s="73"/>
      <c r="I336" s="75"/>
      <c r="J336" s="75"/>
      <c r="K336" s="75"/>
      <c r="L336" s="73"/>
      <c r="M336" s="78" t="str">
        <f aca="false">IF(OR(E336="",F336=""),"",MAX(0,((F336-E336-N(G336))*1440-N(H336)*10)/60))</f>
        <v/>
      </c>
      <c r="N336" s="78" t="str">
        <f aca="false">IF($D336="欠席",0,IF(OR(I336="",J336=""),"",MAX(0,((J336-I336-N(K336))*1440-N(L336)*10)/60)))</f>
        <v/>
      </c>
      <c r="O336" s="73"/>
    </row>
    <row r="337" customFormat="false" ht="15" hidden="false" customHeight="false" outlineLevel="0" collapsed="false">
      <c r="A337" s="77"/>
      <c r="B337" s="73"/>
      <c r="C337" s="71" t="str">
        <f aca="false">IF(B337="","",IFERROR(INDEX(マスタ!$F$2:$F$60,MATCH(B337,マスタ!$E$2:$E$60,0))&amp;"",""))</f>
        <v/>
      </c>
      <c r="D337" s="73"/>
      <c r="E337" s="75"/>
      <c r="F337" s="75"/>
      <c r="G337" s="75"/>
      <c r="H337" s="73"/>
      <c r="I337" s="75"/>
      <c r="J337" s="75"/>
      <c r="K337" s="75"/>
      <c r="L337" s="73"/>
      <c r="M337" s="78" t="str">
        <f aca="false">IF(OR(E337="",F337=""),"",MAX(0,((F337-E337-N(G337))*1440-N(H337)*10)/60))</f>
        <v/>
      </c>
      <c r="N337" s="78" t="str">
        <f aca="false">IF($D337="欠席",0,IF(OR(I337="",J337=""),"",MAX(0,((J337-I337-N(K337))*1440-N(L337)*10)/60)))</f>
        <v/>
      </c>
      <c r="O337" s="73"/>
    </row>
    <row r="338" customFormat="false" ht="15" hidden="false" customHeight="false" outlineLevel="0" collapsed="false">
      <c r="A338" s="77"/>
      <c r="B338" s="73"/>
      <c r="C338" s="71" t="str">
        <f aca="false">IF(B338="","",IFERROR(INDEX(マスタ!$F$2:$F$60,MATCH(B338,マスタ!$E$2:$E$60,0))&amp;"",""))</f>
        <v/>
      </c>
      <c r="D338" s="73"/>
      <c r="E338" s="75"/>
      <c r="F338" s="75"/>
      <c r="G338" s="75"/>
      <c r="H338" s="73"/>
      <c r="I338" s="75"/>
      <c r="J338" s="75"/>
      <c r="K338" s="75"/>
      <c r="L338" s="73"/>
      <c r="M338" s="78" t="str">
        <f aca="false">IF(OR(E338="",F338=""),"",MAX(0,((F338-E338-N(G338))*1440-N(H338)*10)/60))</f>
        <v/>
      </c>
      <c r="N338" s="78" t="str">
        <f aca="false">IF($D338="欠席",0,IF(OR(I338="",J338=""),"",MAX(0,((J338-I338-N(K338))*1440-N(L338)*10)/60)))</f>
        <v/>
      </c>
      <c r="O338" s="73"/>
    </row>
    <row r="339" customFormat="false" ht="15" hidden="false" customHeight="false" outlineLevel="0" collapsed="false">
      <c r="A339" s="77"/>
      <c r="B339" s="73"/>
      <c r="C339" s="71" t="str">
        <f aca="false">IF(B339="","",IFERROR(INDEX(マスタ!$F$2:$F$60,MATCH(B339,マスタ!$E$2:$E$60,0))&amp;"",""))</f>
        <v/>
      </c>
      <c r="D339" s="73"/>
      <c r="E339" s="75"/>
      <c r="F339" s="75"/>
      <c r="G339" s="75"/>
      <c r="H339" s="73"/>
      <c r="I339" s="75"/>
      <c r="J339" s="75"/>
      <c r="K339" s="75"/>
      <c r="L339" s="73"/>
      <c r="M339" s="78" t="str">
        <f aca="false">IF(OR(E339="",F339=""),"",MAX(0,((F339-E339-N(G339))*1440-N(H339)*10)/60))</f>
        <v/>
      </c>
      <c r="N339" s="78" t="str">
        <f aca="false">IF($D339="欠席",0,IF(OR(I339="",J339=""),"",MAX(0,((J339-I339-N(K339))*1440-N(L339)*10)/60)))</f>
        <v/>
      </c>
      <c r="O339" s="73"/>
    </row>
    <row r="340" customFormat="false" ht="15" hidden="false" customHeight="false" outlineLevel="0" collapsed="false">
      <c r="A340" s="77"/>
      <c r="B340" s="73"/>
      <c r="C340" s="71" t="str">
        <f aca="false">IF(B340="","",IFERROR(INDEX(マスタ!$F$2:$F$60,MATCH(B340,マスタ!$E$2:$E$60,0))&amp;"",""))</f>
        <v/>
      </c>
      <c r="D340" s="73"/>
      <c r="E340" s="75"/>
      <c r="F340" s="75"/>
      <c r="G340" s="75"/>
      <c r="H340" s="73"/>
      <c r="I340" s="75"/>
      <c r="J340" s="75"/>
      <c r="K340" s="75"/>
      <c r="L340" s="73"/>
      <c r="M340" s="78" t="str">
        <f aca="false">IF(OR(E340="",F340=""),"",MAX(0,((F340-E340-N(G340))*1440-N(H340)*10)/60))</f>
        <v/>
      </c>
      <c r="N340" s="78" t="str">
        <f aca="false">IF($D340="欠席",0,IF(OR(I340="",J340=""),"",MAX(0,((J340-I340-N(K340))*1440-N(L340)*10)/60)))</f>
        <v/>
      </c>
      <c r="O340" s="73"/>
    </row>
    <row r="341" customFormat="false" ht="15" hidden="false" customHeight="false" outlineLevel="0" collapsed="false">
      <c r="A341" s="77"/>
      <c r="B341" s="73"/>
      <c r="C341" s="71" t="str">
        <f aca="false">IF(B341="","",IFERROR(INDEX(マスタ!$F$2:$F$60,MATCH(B341,マスタ!$E$2:$E$60,0))&amp;"",""))</f>
        <v/>
      </c>
      <c r="D341" s="73"/>
      <c r="E341" s="75"/>
      <c r="F341" s="75"/>
      <c r="G341" s="75"/>
      <c r="H341" s="73"/>
      <c r="I341" s="75"/>
      <c r="J341" s="75"/>
      <c r="K341" s="75"/>
      <c r="L341" s="73"/>
      <c r="M341" s="78" t="str">
        <f aca="false">IF(OR(E341="",F341=""),"",MAX(0,((F341-E341-N(G341))*1440-N(H341)*10)/60))</f>
        <v/>
      </c>
      <c r="N341" s="78" t="str">
        <f aca="false">IF($D341="欠席",0,IF(OR(I341="",J341=""),"",MAX(0,((J341-I341-N(K341))*1440-N(L341)*10)/60)))</f>
        <v/>
      </c>
      <c r="O341" s="73"/>
    </row>
    <row r="342" customFormat="false" ht="15" hidden="false" customHeight="false" outlineLevel="0" collapsed="false">
      <c r="A342" s="77"/>
      <c r="B342" s="73"/>
      <c r="C342" s="71" t="str">
        <f aca="false">IF(B342="","",IFERROR(INDEX(マスタ!$F$2:$F$60,MATCH(B342,マスタ!$E$2:$E$60,0))&amp;"",""))</f>
        <v/>
      </c>
      <c r="D342" s="73"/>
      <c r="E342" s="75"/>
      <c r="F342" s="75"/>
      <c r="G342" s="75"/>
      <c r="H342" s="73"/>
      <c r="I342" s="75"/>
      <c r="J342" s="75"/>
      <c r="K342" s="75"/>
      <c r="L342" s="73"/>
      <c r="M342" s="78" t="str">
        <f aca="false">IF(OR(E342="",F342=""),"",MAX(0,((F342-E342-N(G342))*1440-N(H342)*10)/60))</f>
        <v/>
      </c>
      <c r="N342" s="78" t="str">
        <f aca="false">IF($D342="欠席",0,IF(OR(I342="",J342=""),"",MAX(0,((J342-I342-N(K342))*1440-N(L342)*10)/60)))</f>
        <v/>
      </c>
      <c r="O342" s="73"/>
    </row>
    <row r="343" customFormat="false" ht="15" hidden="false" customHeight="false" outlineLevel="0" collapsed="false">
      <c r="A343" s="77"/>
      <c r="B343" s="73"/>
      <c r="C343" s="71" t="str">
        <f aca="false">IF(B343="","",IFERROR(INDEX(マスタ!$F$2:$F$60,MATCH(B343,マスタ!$E$2:$E$60,0))&amp;"",""))</f>
        <v/>
      </c>
      <c r="D343" s="73"/>
      <c r="E343" s="75"/>
      <c r="F343" s="75"/>
      <c r="G343" s="75"/>
      <c r="H343" s="73"/>
      <c r="I343" s="75"/>
      <c r="J343" s="75"/>
      <c r="K343" s="75"/>
      <c r="L343" s="73"/>
      <c r="M343" s="78" t="str">
        <f aca="false">IF(OR(E343="",F343=""),"",MAX(0,((F343-E343-N(G343))*1440-N(H343)*10)/60))</f>
        <v/>
      </c>
      <c r="N343" s="78" t="str">
        <f aca="false">IF($D343="欠席",0,IF(OR(I343="",J343=""),"",MAX(0,((J343-I343-N(K343))*1440-N(L343)*10)/60)))</f>
        <v/>
      </c>
      <c r="O343" s="73"/>
    </row>
    <row r="344" customFormat="false" ht="15" hidden="false" customHeight="false" outlineLevel="0" collapsed="false">
      <c r="A344" s="77"/>
      <c r="B344" s="73"/>
      <c r="C344" s="71" t="str">
        <f aca="false">IF(B344="","",IFERROR(INDEX(マスタ!$F$2:$F$60,MATCH(B344,マスタ!$E$2:$E$60,0))&amp;"",""))</f>
        <v/>
      </c>
      <c r="D344" s="73"/>
      <c r="E344" s="75"/>
      <c r="F344" s="75"/>
      <c r="G344" s="75"/>
      <c r="H344" s="73"/>
      <c r="I344" s="75"/>
      <c r="J344" s="75"/>
      <c r="K344" s="75"/>
      <c r="L344" s="73"/>
      <c r="M344" s="78" t="str">
        <f aca="false">IF(OR(E344="",F344=""),"",MAX(0,((F344-E344-N(G344))*1440-N(H344)*10)/60))</f>
        <v/>
      </c>
      <c r="N344" s="78" t="str">
        <f aca="false">IF($D344="欠席",0,IF(OR(I344="",J344=""),"",MAX(0,((J344-I344-N(K344))*1440-N(L344)*10)/60)))</f>
        <v/>
      </c>
      <c r="O344" s="73"/>
    </row>
    <row r="345" customFormat="false" ht="15" hidden="false" customHeight="false" outlineLevel="0" collapsed="false">
      <c r="A345" s="77"/>
      <c r="B345" s="73"/>
      <c r="C345" s="71" t="str">
        <f aca="false">IF(B345="","",IFERROR(INDEX(マスタ!$F$2:$F$60,MATCH(B345,マスタ!$E$2:$E$60,0))&amp;"",""))</f>
        <v/>
      </c>
      <c r="D345" s="73"/>
      <c r="E345" s="75"/>
      <c r="F345" s="75"/>
      <c r="G345" s="75"/>
      <c r="H345" s="73"/>
      <c r="I345" s="75"/>
      <c r="J345" s="75"/>
      <c r="K345" s="75"/>
      <c r="L345" s="73"/>
      <c r="M345" s="78" t="str">
        <f aca="false">IF(OR(E345="",F345=""),"",MAX(0,((F345-E345-N(G345))*1440-N(H345)*10)/60))</f>
        <v/>
      </c>
      <c r="N345" s="78" t="str">
        <f aca="false">IF($D345="欠席",0,IF(OR(I345="",J345=""),"",MAX(0,((J345-I345-N(K345))*1440-N(L345)*10)/60)))</f>
        <v/>
      </c>
      <c r="O345" s="73"/>
    </row>
    <row r="346" customFormat="false" ht="15" hidden="false" customHeight="false" outlineLevel="0" collapsed="false">
      <c r="A346" s="77"/>
      <c r="B346" s="73"/>
      <c r="C346" s="71" t="str">
        <f aca="false">IF(B346="","",IFERROR(INDEX(マスタ!$F$2:$F$60,MATCH(B346,マスタ!$E$2:$E$60,0))&amp;"",""))</f>
        <v/>
      </c>
      <c r="D346" s="73"/>
      <c r="E346" s="75"/>
      <c r="F346" s="75"/>
      <c r="G346" s="75"/>
      <c r="H346" s="73"/>
      <c r="I346" s="75"/>
      <c r="J346" s="75"/>
      <c r="K346" s="75"/>
      <c r="L346" s="73"/>
      <c r="M346" s="78" t="str">
        <f aca="false">IF(OR(E346="",F346=""),"",MAX(0,((F346-E346-N(G346))*1440-N(H346)*10)/60))</f>
        <v/>
      </c>
      <c r="N346" s="78" t="str">
        <f aca="false">IF($D346="欠席",0,IF(OR(I346="",J346=""),"",MAX(0,((J346-I346-N(K346))*1440-N(L346)*10)/60)))</f>
        <v/>
      </c>
      <c r="O346" s="73"/>
    </row>
    <row r="347" customFormat="false" ht="15" hidden="false" customHeight="false" outlineLevel="0" collapsed="false">
      <c r="A347" s="77"/>
      <c r="B347" s="73"/>
      <c r="C347" s="71" t="str">
        <f aca="false">IF(B347="","",IFERROR(INDEX(マスタ!$F$2:$F$60,MATCH(B347,マスタ!$E$2:$E$60,0))&amp;"",""))</f>
        <v/>
      </c>
      <c r="D347" s="73"/>
      <c r="E347" s="75"/>
      <c r="F347" s="75"/>
      <c r="G347" s="75"/>
      <c r="H347" s="73"/>
      <c r="I347" s="75"/>
      <c r="J347" s="75"/>
      <c r="K347" s="75"/>
      <c r="L347" s="73"/>
      <c r="M347" s="78" t="str">
        <f aca="false">IF(OR(E347="",F347=""),"",MAX(0,((F347-E347-N(G347))*1440-N(H347)*10)/60))</f>
        <v/>
      </c>
      <c r="N347" s="78" t="str">
        <f aca="false">IF($D347="欠席",0,IF(OR(I347="",J347=""),"",MAX(0,((J347-I347-N(K347))*1440-N(L347)*10)/60)))</f>
        <v/>
      </c>
      <c r="O347" s="73"/>
    </row>
    <row r="348" customFormat="false" ht="15" hidden="false" customHeight="false" outlineLevel="0" collapsed="false">
      <c r="A348" s="77"/>
      <c r="B348" s="73"/>
      <c r="C348" s="71" t="str">
        <f aca="false">IF(B348="","",IFERROR(INDEX(マスタ!$F$2:$F$60,MATCH(B348,マスタ!$E$2:$E$60,0))&amp;"",""))</f>
        <v/>
      </c>
      <c r="D348" s="73"/>
      <c r="E348" s="75"/>
      <c r="F348" s="75"/>
      <c r="G348" s="75"/>
      <c r="H348" s="73"/>
      <c r="I348" s="75"/>
      <c r="J348" s="75"/>
      <c r="K348" s="75"/>
      <c r="L348" s="73"/>
      <c r="M348" s="78" t="str">
        <f aca="false">IF(OR(E348="",F348=""),"",MAX(0,((F348-E348-N(G348))*1440-N(H348)*10)/60))</f>
        <v/>
      </c>
      <c r="N348" s="78" t="str">
        <f aca="false">IF($D348="欠席",0,IF(OR(I348="",J348=""),"",MAX(0,((J348-I348-N(K348))*1440-N(L348)*10)/60)))</f>
        <v/>
      </c>
      <c r="O348" s="73"/>
    </row>
    <row r="349" customFormat="false" ht="15" hidden="false" customHeight="false" outlineLevel="0" collapsed="false">
      <c r="A349" s="77"/>
      <c r="B349" s="73"/>
      <c r="C349" s="71" t="str">
        <f aca="false">IF(B349="","",IFERROR(INDEX(マスタ!$F$2:$F$60,MATCH(B349,マスタ!$E$2:$E$60,0))&amp;"",""))</f>
        <v/>
      </c>
      <c r="D349" s="73"/>
      <c r="E349" s="75"/>
      <c r="F349" s="75"/>
      <c r="G349" s="75"/>
      <c r="H349" s="73"/>
      <c r="I349" s="75"/>
      <c r="J349" s="75"/>
      <c r="K349" s="75"/>
      <c r="L349" s="73"/>
      <c r="M349" s="78" t="str">
        <f aca="false">IF(OR(E349="",F349=""),"",MAX(0,((F349-E349-N(G349))*1440-N(H349)*10)/60))</f>
        <v/>
      </c>
      <c r="N349" s="78" t="str">
        <f aca="false">IF($D349="欠席",0,IF(OR(I349="",J349=""),"",MAX(0,((J349-I349-N(K349))*1440-N(L349)*10)/60)))</f>
        <v/>
      </c>
      <c r="O349" s="73"/>
    </row>
    <row r="350" customFormat="false" ht="15" hidden="false" customHeight="false" outlineLevel="0" collapsed="false">
      <c r="A350" s="77"/>
      <c r="B350" s="73"/>
      <c r="C350" s="71" t="str">
        <f aca="false">IF(B350="","",IFERROR(INDEX(マスタ!$F$2:$F$60,MATCH(B350,マスタ!$E$2:$E$60,0))&amp;"",""))</f>
        <v/>
      </c>
      <c r="D350" s="73"/>
      <c r="E350" s="75"/>
      <c r="F350" s="75"/>
      <c r="G350" s="75"/>
      <c r="H350" s="73"/>
      <c r="I350" s="75"/>
      <c r="J350" s="75"/>
      <c r="K350" s="75"/>
      <c r="L350" s="73"/>
      <c r="M350" s="78" t="str">
        <f aca="false">IF(OR(E350="",F350=""),"",MAX(0,((F350-E350-N(G350))*1440-N(H350)*10)/60))</f>
        <v/>
      </c>
      <c r="N350" s="78" t="str">
        <f aca="false">IF($D350="欠席",0,IF(OR(I350="",J350=""),"",MAX(0,((J350-I350-N(K350))*1440-N(L350)*10)/60)))</f>
        <v/>
      </c>
      <c r="O350" s="73"/>
    </row>
    <row r="351" customFormat="false" ht="15" hidden="false" customHeight="false" outlineLevel="0" collapsed="false">
      <c r="A351" s="77"/>
      <c r="B351" s="73"/>
      <c r="C351" s="71" t="str">
        <f aca="false">IF(B351="","",IFERROR(INDEX(マスタ!$F$2:$F$60,MATCH(B351,マスタ!$E$2:$E$60,0))&amp;"",""))</f>
        <v/>
      </c>
      <c r="D351" s="73"/>
      <c r="E351" s="75"/>
      <c r="F351" s="75"/>
      <c r="G351" s="75"/>
      <c r="H351" s="73"/>
      <c r="I351" s="75"/>
      <c r="J351" s="75"/>
      <c r="K351" s="75"/>
      <c r="L351" s="73"/>
      <c r="M351" s="78" t="str">
        <f aca="false">IF(OR(E351="",F351=""),"",MAX(0,((F351-E351-N(G351))*1440-N(H351)*10)/60))</f>
        <v/>
      </c>
      <c r="N351" s="78" t="str">
        <f aca="false">IF($D351="欠席",0,IF(OR(I351="",J351=""),"",MAX(0,((J351-I351-N(K351))*1440-N(L351)*10)/60)))</f>
        <v/>
      </c>
      <c r="O351" s="73"/>
    </row>
    <row r="352" customFormat="false" ht="15" hidden="false" customHeight="false" outlineLevel="0" collapsed="false">
      <c r="A352" s="77"/>
      <c r="B352" s="73"/>
      <c r="C352" s="71" t="str">
        <f aca="false">IF(B352="","",IFERROR(INDEX(マスタ!$F$2:$F$60,MATCH(B352,マスタ!$E$2:$E$60,0))&amp;"",""))</f>
        <v/>
      </c>
      <c r="D352" s="73"/>
      <c r="E352" s="75"/>
      <c r="F352" s="75"/>
      <c r="G352" s="75"/>
      <c r="H352" s="73"/>
      <c r="I352" s="75"/>
      <c r="J352" s="75"/>
      <c r="K352" s="75"/>
      <c r="L352" s="73"/>
      <c r="M352" s="78" t="str">
        <f aca="false">IF(OR(E352="",F352=""),"",MAX(0,((F352-E352-N(G352))*1440-N(H352)*10)/60))</f>
        <v/>
      </c>
      <c r="N352" s="78" t="str">
        <f aca="false">IF($D352="欠席",0,IF(OR(I352="",J352=""),"",MAX(0,((J352-I352-N(K352))*1440-N(L352)*10)/60)))</f>
        <v/>
      </c>
      <c r="O352" s="73"/>
    </row>
    <row r="353" customFormat="false" ht="15" hidden="false" customHeight="false" outlineLevel="0" collapsed="false">
      <c r="A353" s="77"/>
      <c r="B353" s="73"/>
      <c r="C353" s="71" t="str">
        <f aca="false">IF(B353="","",IFERROR(INDEX(マスタ!$F$2:$F$60,MATCH(B353,マスタ!$E$2:$E$60,0))&amp;"",""))</f>
        <v/>
      </c>
      <c r="D353" s="73"/>
      <c r="E353" s="75"/>
      <c r="F353" s="75"/>
      <c r="G353" s="75"/>
      <c r="H353" s="73"/>
      <c r="I353" s="75"/>
      <c r="J353" s="75"/>
      <c r="K353" s="75"/>
      <c r="L353" s="73"/>
      <c r="M353" s="78" t="str">
        <f aca="false">IF(OR(E353="",F353=""),"",MAX(0,((F353-E353-N(G353))*1440-N(H353)*10)/60))</f>
        <v/>
      </c>
      <c r="N353" s="78" t="str">
        <f aca="false">IF($D353="欠席",0,IF(OR(I353="",J353=""),"",MAX(0,((J353-I353-N(K353))*1440-N(L353)*10)/60)))</f>
        <v/>
      </c>
      <c r="O353" s="73"/>
    </row>
    <row r="354" customFormat="false" ht="15" hidden="false" customHeight="false" outlineLevel="0" collapsed="false">
      <c r="A354" s="77"/>
      <c r="B354" s="73"/>
      <c r="C354" s="71" t="str">
        <f aca="false">IF(B354="","",IFERROR(INDEX(マスタ!$F$2:$F$60,MATCH(B354,マスタ!$E$2:$E$60,0))&amp;"",""))</f>
        <v/>
      </c>
      <c r="D354" s="73"/>
      <c r="E354" s="75"/>
      <c r="F354" s="75"/>
      <c r="G354" s="75"/>
      <c r="H354" s="73"/>
      <c r="I354" s="75"/>
      <c r="J354" s="75"/>
      <c r="K354" s="75"/>
      <c r="L354" s="73"/>
      <c r="M354" s="78" t="str">
        <f aca="false">IF(OR(E354="",F354=""),"",MAX(0,((F354-E354-N(G354))*1440-N(H354)*10)/60))</f>
        <v/>
      </c>
      <c r="N354" s="78" t="str">
        <f aca="false">IF($D354="欠席",0,IF(OR(I354="",J354=""),"",MAX(0,((J354-I354-N(K354))*1440-N(L354)*10)/60)))</f>
        <v/>
      </c>
      <c r="O354" s="73"/>
    </row>
    <row r="355" customFormat="false" ht="15" hidden="false" customHeight="false" outlineLevel="0" collapsed="false">
      <c r="A355" s="77"/>
      <c r="B355" s="73"/>
      <c r="C355" s="71" t="str">
        <f aca="false">IF(B355="","",IFERROR(INDEX(マスタ!$F$2:$F$60,MATCH(B355,マスタ!$E$2:$E$60,0))&amp;"",""))</f>
        <v/>
      </c>
      <c r="D355" s="73"/>
      <c r="E355" s="75"/>
      <c r="F355" s="75"/>
      <c r="G355" s="75"/>
      <c r="H355" s="73"/>
      <c r="I355" s="75"/>
      <c r="J355" s="75"/>
      <c r="K355" s="75"/>
      <c r="L355" s="73"/>
      <c r="M355" s="78" t="str">
        <f aca="false">IF(OR(E355="",F355=""),"",MAX(0,((F355-E355-N(G355))*1440-N(H355)*10)/60))</f>
        <v/>
      </c>
      <c r="N355" s="78" t="str">
        <f aca="false">IF($D355="欠席",0,IF(OR(I355="",J355=""),"",MAX(0,((J355-I355-N(K355))*1440-N(L355)*10)/60)))</f>
        <v/>
      </c>
      <c r="O355" s="73"/>
    </row>
    <row r="356" customFormat="false" ht="15" hidden="false" customHeight="false" outlineLevel="0" collapsed="false">
      <c r="A356" s="77"/>
      <c r="B356" s="73"/>
      <c r="C356" s="71" t="str">
        <f aca="false">IF(B356="","",IFERROR(INDEX(マスタ!$F$2:$F$60,MATCH(B356,マスタ!$E$2:$E$60,0))&amp;"",""))</f>
        <v/>
      </c>
      <c r="D356" s="73"/>
      <c r="E356" s="75"/>
      <c r="F356" s="75"/>
      <c r="G356" s="75"/>
      <c r="H356" s="73"/>
      <c r="I356" s="75"/>
      <c r="J356" s="75"/>
      <c r="K356" s="75"/>
      <c r="L356" s="73"/>
      <c r="M356" s="78" t="str">
        <f aca="false">IF(OR(E356="",F356=""),"",MAX(0,((F356-E356-N(G356))*1440-N(H356)*10)/60))</f>
        <v/>
      </c>
      <c r="N356" s="78" t="str">
        <f aca="false">IF($D356="欠席",0,IF(OR(I356="",J356=""),"",MAX(0,((J356-I356-N(K356))*1440-N(L356)*10)/60)))</f>
        <v/>
      </c>
      <c r="O356" s="73"/>
    </row>
    <row r="357" customFormat="false" ht="15" hidden="false" customHeight="false" outlineLevel="0" collapsed="false">
      <c r="A357" s="77"/>
      <c r="B357" s="73"/>
      <c r="C357" s="71" t="str">
        <f aca="false">IF(B357="","",IFERROR(INDEX(マスタ!$F$2:$F$60,MATCH(B357,マスタ!$E$2:$E$60,0))&amp;"",""))</f>
        <v/>
      </c>
      <c r="D357" s="73"/>
      <c r="E357" s="75"/>
      <c r="F357" s="75"/>
      <c r="G357" s="75"/>
      <c r="H357" s="73"/>
      <c r="I357" s="75"/>
      <c r="J357" s="75"/>
      <c r="K357" s="75"/>
      <c r="L357" s="73"/>
      <c r="M357" s="78" t="str">
        <f aca="false">IF(OR(E357="",F357=""),"",MAX(0,((F357-E357-N(G357))*1440-N(H357)*10)/60))</f>
        <v/>
      </c>
      <c r="N357" s="78" t="str">
        <f aca="false">IF($D357="欠席",0,IF(OR(I357="",J357=""),"",MAX(0,((J357-I357-N(K357))*1440-N(L357)*10)/60)))</f>
        <v/>
      </c>
      <c r="O357" s="73"/>
    </row>
    <row r="358" customFormat="false" ht="15" hidden="false" customHeight="false" outlineLevel="0" collapsed="false">
      <c r="A358" s="77"/>
      <c r="B358" s="73"/>
      <c r="C358" s="71" t="str">
        <f aca="false">IF(B358="","",IFERROR(INDEX(マスタ!$F$2:$F$60,MATCH(B358,マスタ!$E$2:$E$60,0))&amp;"",""))</f>
        <v/>
      </c>
      <c r="D358" s="73"/>
      <c r="E358" s="75"/>
      <c r="F358" s="75"/>
      <c r="G358" s="75"/>
      <c r="H358" s="73"/>
      <c r="I358" s="75"/>
      <c r="J358" s="75"/>
      <c r="K358" s="75"/>
      <c r="L358" s="73"/>
      <c r="M358" s="78" t="str">
        <f aca="false">IF(OR(E358="",F358=""),"",MAX(0,((F358-E358-N(G358))*1440-N(H358)*10)/60))</f>
        <v/>
      </c>
      <c r="N358" s="78" t="str">
        <f aca="false">IF($D358="欠席",0,IF(OR(I358="",J358=""),"",MAX(0,((J358-I358-N(K358))*1440-N(L358)*10)/60)))</f>
        <v/>
      </c>
      <c r="O358" s="73"/>
    </row>
    <row r="359" customFormat="false" ht="15" hidden="false" customHeight="false" outlineLevel="0" collapsed="false">
      <c r="A359" s="77"/>
      <c r="B359" s="73"/>
      <c r="C359" s="71" t="str">
        <f aca="false">IF(B359="","",IFERROR(INDEX(マスタ!$F$2:$F$60,MATCH(B359,マスタ!$E$2:$E$60,0))&amp;"",""))</f>
        <v/>
      </c>
      <c r="D359" s="73"/>
      <c r="E359" s="75"/>
      <c r="F359" s="75"/>
      <c r="G359" s="75"/>
      <c r="H359" s="73"/>
      <c r="I359" s="75"/>
      <c r="J359" s="75"/>
      <c r="K359" s="75"/>
      <c r="L359" s="73"/>
      <c r="M359" s="78" t="str">
        <f aca="false">IF(OR(E359="",F359=""),"",MAX(0,((F359-E359-N(G359))*1440-N(H359)*10)/60))</f>
        <v/>
      </c>
      <c r="N359" s="78" t="str">
        <f aca="false">IF($D359="欠席",0,IF(OR(I359="",J359=""),"",MAX(0,((J359-I359-N(K359))*1440-N(L359)*10)/60)))</f>
        <v/>
      </c>
      <c r="O359" s="73"/>
    </row>
    <row r="360" customFormat="false" ht="15" hidden="false" customHeight="false" outlineLevel="0" collapsed="false">
      <c r="A360" s="77"/>
      <c r="B360" s="73"/>
      <c r="C360" s="71" t="str">
        <f aca="false">IF(B360="","",IFERROR(INDEX(マスタ!$F$2:$F$60,MATCH(B360,マスタ!$E$2:$E$60,0))&amp;"",""))</f>
        <v/>
      </c>
      <c r="D360" s="73"/>
      <c r="E360" s="75"/>
      <c r="F360" s="75"/>
      <c r="G360" s="75"/>
      <c r="H360" s="73"/>
      <c r="I360" s="75"/>
      <c r="J360" s="75"/>
      <c r="K360" s="75"/>
      <c r="L360" s="73"/>
      <c r="M360" s="78" t="str">
        <f aca="false">IF(OR(E360="",F360=""),"",MAX(0,((F360-E360-N(G360))*1440-N(H360)*10)/60))</f>
        <v/>
      </c>
      <c r="N360" s="78" t="str">
        <f aca="false">IF($D360="欠席",0,IF(OR(I360="",J360=""),"",MAX(0,((J360-I360-N(K360))*1440-N(L360)*10)/60)))</f>
        <v/>
      </c>
      <c r="O360" s="73"/>
    </row>
    <row r="361" customFormat="false" ht="15" hidden="false" customHeight="false" outlineLevel="0" collapsed="false">
      <c r="A361" s="77"/>
      <c r="B361" s="73"/>
      <c r="C361" s="71" t="str">
        <f aca="false">IF(B361="","",IFERROR(INDEX(マスタ!$F$2:$F$60,MATCH(B361,マスタ!$E$2:$E$60,0))&amp;"",""))</f>
        <v/>
      </c>
      <c r="D361" s="73"/>
      <c r="E361" s="75"/>
      <c r="F361" s="75"/>
      <c r="G361" s="75"/>
      <c r="H361" s="73"/>
      <c r="I361" s="75"/>
      <c r="J361" s="75"/>
      <c r="K361" s="75"/>
      <c r="L361" s="73"/>
      <c r="M361" s="78" t="str">
        <f aca="false">IF(OR(E361="",F361=""),"",MAX(0,((F361-E361-N(G361))*1440-N(H361)*10)/60))</f>
        <v/>
      </c>
      <c r="N361" s="78" t="str">
        <f aca="false">IF($D361="欠席",0,IF(OR(I361="",J361=""),"",MAX(0,((J361-I361-N(K361))*1440-N(L361)*10)/60)))</f>
        <v/>
      </c>
      <c r="O361" s="73"/>
    </row>
    <row r="362" customFormat="false" ht="15" hidden="false" customHeight="false" outlineLevel="0" collapsed="false">
      <c r="A362" s="77"/>
      <c r="B362" s="73"/>
      <c r="C362" s="71" t="str">
        <f aca="false">IF(B362="","",IFERROR(INDEX(マスタ!$F$2:$F$60,MATCH(B362,マスタ!$E$2:$E$60,0))&amp;"",""))</f>
        <v/>
      </c>
      <c r="D362" s="73"/>
      <c r="E362" s="75"/>
      <c r="F362" s="75"/>
      <c r="G362" s="75"/>
      <c r="H362" s="73"/>
      <c r="I362" s="75"/>
      <c r="J362" s="75"/>
      <c r="K362" s="75"/>
      <c r="L362" s="73"/>
      <c r="M362" s="78" t="str">
        <f aca="false">IF(OR(E362="",F362=""),"",MAX(0,((F362-E362-N(G362))*1440-N(H362)*10)/60))</f>
        <v/>
      </c>
      <c r="N362" s="78" t="str">
        <f aca="false">IF($D362="欠席",0,IF(OR(I362="",J362=""),"",MAX(0,((J362-I362-N(K362))*1440-N(L362)*10)/60)))</f>
        <v/>
      </c>
      <c r="O362" s="73"/>
    </row>
    <row r="363" customFormat="false" ht="15" hidden="false" customHeight="false" outlineLevel="0" collapsed="false">
      <c r="A363" s="77"/>
      <c r="B363" s="73"/>
      <c r="C363" s="71" t="str">
        <f aca="false">IF(B363="","",IFERROR(INDEX(マスタ!$F$2:$F$60,MATCH(B363,マスタ!$E$2:$E$60,0))&amp;"",""))</f>
        <v/>
      </c>
      <c r="D363" s="73"/>
      <c r="E363" s="75"/>
      <c r="F363" s="75"/>
      <c r="G363" s="75"/>
      <c r="H363" s="73"/>
      <c r="I363" s="75"/>
      <c r="J363" s="75"/>
      <c r="K363" s="75"/>
      <c r="L363" s="73"/>
      <c r="M363" s="78" t="str">
        <f aca="false">IF(OR(E363="",F363=""),"",MAX(0,((F363-E363-N(G363))*1440-N(H363)*10)/60))</f>
        <v/>
      </c>
      <c r="N363" s="78" t="str">
        <f aca="false">IF($D363="欠席",0,IF(OR(I363="",J363=""),"",MAX(0,((J363-I363-N(K363))*1440-N(L363)*10)/60)))</f>
        <v/>
      </c>
      <c r="O363" s="73"/>
    </row>
    <row r="364" customFormat="false" ht="15" hidden="false" customHeight="false" outlineLevel="0" collapsed="false">
      <c r="A364" s="77"/>
      <c r="B364" s="73"/>
      <c r="C364" s="71" t="str">
        <f aca="false">IF(B364="","",IFERROR(INDEX(マスタ!$F$2:$F$60,MATCH(B364,マスタ!$E$2:$E$60,0))&amp;"",""))</f>
        <v/>
      </c>
      <c r="D364" s="73"/>
      <c r="E364" s="75"/>
      <c r="F364" s="75"/>
      <c r="G364" s="75"/>
      <c r="H364" s="73"/>
      <c r="I364" s="75"/>
      <c r="J364" s="75"/>
      <c r="K364" s="75"/>
      <c r="L364" s="73"/>
      <c r="M364" s="78" t="str">
        <f aca="false">IF(OR(E364="",F364=""),"",MAX(0,((F364-E364-N(G364))*1440-N(H364)*10)/60))</f>
        <v/>
      </c>
      <c r="N364" s="78" t="str">
        <f aca="false">IF($D364="欠席",0,IF(OR(I364="",J364=""),"",MAX(0,((J364-I364-N(K364))*1440-N(L364)*10)/60)))</f>
        <v/>
      </c>
      <c r="O364" s="73"/>
    </row>
    <row r="365" customFormat="false" ht="15" hidden="false" customHeight="false" outlineLevel="0" collapsed="false">
      <c r="A365" s="77"/>
      <c r="B365" s="73"/>
      <c r="C365" s="71" t="str">
        <f aca="false">IF(B365="","",IFERROR(INDEX(マスタ!$F$2:$F$60,MATCH(B365,マスタ!$E$2:$E$60,0))&amp;"",""))</f>
        <v/>
      </c>
      <c r="D365" s="73"/>
      <c r="E365" s="75"/>
      <c r="F365" s="75"/>
      <c r="G365" s="75"/>
      <c r="H365" s="73"/>
      <c r="I365" s="75"/>
      <c r="J365" s="75"/>
      <c r="K365" s="75"/>
      <c r="L365" s="73"/>
      <c r="M365" s="78" t="str">
        <f aca="false">IF(OR(E365="",F365=""),"",MAX(0,((F365-E365-N(G365))*1440-N(H365)*10)/60))</f>
        <v/>
      </c>
      <c r="N365" s="78" t="str">
        <f aca="false">IF($D365="欠席",0,IF(OR(I365="",J365=""),"",MAX(0,((J365-I365-N(K365))*1440-N(L365)*10)/60)))</f>
        <v/>
      </c>
      <c r="O365" s="73"/>
    </row>
    <row r="366" customFormat="false" ht="15" hidden="false" customHeight="false" outlineLevel="0" collapsed="false">
      <c r="A366" s="77"/>
      <c r="B366" s="73"/>
      <c r="C366" s="71" t="str">
        <f aca="false">IF(B366="","",IFERROR(INDEX(マスタ!$F$2:$F$60,MATCH(B366,マスタ!$E$2:$E$60,0))&amp;"",""))</f>
        <v/>
      </c>
      <c r="D366" s="73"/>
      <c r="E366" s="75"/>
      <c r="F366" s="75"/>
      <c r="G366" s="75"/>
      <c r="H366" s="73"/>
      <c r="I366" s="75"/>
      <c r="J366" s="75"/>
      <c r="K366" s="75"/>
      <c r="L366" s="73"/>
      <c r="M366" s="78" t="str">
        <f aca="false">IF(OR(E366="",F366=""),"",MAX(0,((F366-E366-N(G366))*1440-N(H366)*10)/60))</f>
        <v/>
      </c>
      <c r="N366" s="78" t="str">
        <f aca="false">IF($D366="欠席",0,IF(OR(I366="",J366=""),"",MAX(0,((J366-I366-N(K366))*1440-N(L366)*10)/60)))</f>
        <v/>
      </c>
      <c r="O366" s="73"/>
    </row>
    <row r="367" customFormat="false" ht="15" hidden="false" customHeight="false" outlineLevel="0" collapsed="false">
      <c r="A367" s="77"/>
      <c r="B367" s="73"/>
      <c r="C367" s="71" t="str">
        <f aca="false">IF(B367="","",IFERROR(INDEX(マスタ!$F$2:$F$60,MATCH(B367,マスタ!$E$2:$E$60,0))&amp;"",""))</f>
        <v/>
      </c>
      <c r="D367" s="73"/>
      <c r="E367" s="75"/>
      <c r="F367" s="75"/>
      <c r="G367" s="75"/>
      <c r="H367" s="73"/>
      <c r="I367" s="75"/>
      <c r="J367" s="75"/>
      <c r="K367" s="75"/>
      <c r="L367" s="73"/>
      <c r="M367" s="78" t="str">
        <f aca="false">IF(OR(E367="",F367=""),"",MAX(0,((F367-E367-N(G367))*1440-N(H367)*10)/60))</f>
        <v/>
      </c>
      <c r="N367" s="78" t="str">
        <f aca="false">IF($D367="欠席",0,IF(OR(I367="",J367=""),"",MAX(0,((J367-I367-N(K367))*1440-N(L367)*10)/60)))</f>
        <v/>
      </c>
      <c r="O367" s="73"/>
    </row>
    <row r="368" customFormat="false" ht="15" hidden="false" customHeight="false" outlineLevel="0" collapsed="false">
      <c r="A368" s="77"/>
      <c r="B368" s="73"/>
      <c r="C368" s="71" t="str">
        <f aca="false">IF(B368="","",IFERROR(INDEX(マスタ!$F$2:$F$60,MATCH(B368,マスタ!$E$2:$E$60,0))&amp;"",""))</f>
        <v/>
      </c>
      <c r="D368" s="73"/>
      <c r="E368" s="75"/>
      <c r="F368" s="75"/>
      <c r="G368" s="75"/>
      <c r="H368" s="73"/>
      <c r="I368" s="75"/>
      <c r="J368" s="75"/>
      <c r="K368" s="75"/>
      <c r="L368" s="73"/>
      <c r="M368" s="78" t="str">
        <f aca="false">IF(OR(E368="",F368=""),"",MAX(0,((F368-E368-N(G368))*1440-N(H368)*10)/60))</f>
        <v/>
      </c>
      <c r="N368" s="78" t="str">
        <f aca="false">IF($D368="欠席",0,IF(OR(I368="",J368=""),"",MAX(0,((J368-I368-N(K368))*1440-N(L368)*10)/60)))</f>
        <v/>
      </c>
      <c r="O368" s="73"/>
    </row>
    <row r="369" customFormat="false" ht="15" hidden="false" customHeight="false" outlineLevel="0" collapsed="false">
      <c r="A369" s="77"/>
      <c r="B369" s="73"/>
      <c r="C369" s="71" t="str">
        <f aca="false">IF(B369="","",IFERROR(INDEX(マスタ!$F$2:$F$60,MATCH(B369,マスタ!$E$2:$E$60,0))&amp;"",""))</f>
        <v/>
      </c>
      <c r="D369" s="73"/>
      <c r="E369" s="75"/>
      <c r="F369" s="75"/>
      <c r="G369" s="75"/>
      <c r="H369" s="73"/>
      <c r="I369" s="75"/>
      <c r="J369" s="75"/>
      <c r="K369" s="75"/>
      <c r="L369" s="73"/>
      <c r="M369" s="78" t="str">
        <f aca="false">IF(OR(E369="",F369=""),"",MAX(0,((F369-E369-N(G369))*1440-N(H369)*10)/60))</f>
        <v/>
      </c>
      <c r="N369" s="78" t="str">
        <f aca="false">IF($D369="欠席",0,IF(OR(I369="",J369=""),"",MAX(0,((J369-I369-N(K369))*1440-N(L369)*10)/60)))</f>
        <v/>
      </c>
      <c r="O369" s="73"/>
    </row>
    <row r="370" customFormat="false" ht="15" hidden="false" customHeight="false" outlineLevel="0" collapsed="false">
      <c r="A370" s="77"/>
      <c r="B370" s="73"/>
      <c r="C370" s="71" t="str">
        <f aca="false">IF(B370="","",IFERROR(INDEX(マスタ!$F$2:$F$60,MATCH(B370,マスタ!$E$2:$E$60,0))&amp;"",""))</f>
        <v/>
      </c>
      <c r="D370" s="73"/>
      <c r="E370" s="75"/>
      <c r="F370" s="75"/>
      <c r="G370" s="75"/>
      <c r="H370" s="73"/>
      <c r="I370" s="75"/>
      <c r="J370" s="75"/>
      <c r="K370" s="75"/>
      <c r="L370" s="73"/>
      <c r="M370" s="78" t="str">
        <f aca="false">IF(OR(E370="",F370=""),"",MAX(0,((F370-E370-N(G370))*1440-N(H370)*10)/60))</f>
        <v/>
      </c>
      <c r="N370" s="78" t="str">
        <f aca="false">IF($D370="欠席",0,IF(OR(I370="",J370=""),"",MAX(0,((J370-I370-N(K370))*1440-N(L370)*10)/60)))</f>
        <v/>
      </c>
      <c r="O370" s="73"/>
    </row>
    <row r="371" customFormat="false" ht="15" hidden="false" customHeight="false" outlineLevel="0" collapsed="false">
      <c r="A371" s="77"/>
      <c r="B371" s="73"/>
      <c r="C371" s="71" t="str">
        <f aca="false">IF(B371="","",IFERROR(INDEX(マスタ!$F$2:$F$60,MATCH(B371,マスタ!$E$2:$E$60,0))&amp;"",""))</f>
        <v/>
      </c>
      <c r="D371" s="73"/>
      <c r="E371" s="75"/>
      <c r="F371" s="75"/>
      <c r="G371" s="75"/>
      <c r="H371" s="73"/>
      <c r="I371" s="75"/>
      <c r="J371" s="75"/>
      <c r="K371" s="75"/>
      <c r="L371" s="73"/>
      <c r="M371" s="78" t="str">
        <f aca="false">IF(OR(E371="",F371=""),"",MAX(0,((F371-E371-N(G371))*1440-N(H371)*10)/60))</f>
        <v/>
      </c>
      <c r="N371" s="78" t="str">
        <f aca="false">IF($D371="欠席",0,IF(OR(I371="",J371=""),"",MAX(0,((J371-I371-N(K371))*1440-N(L371)*10)/60)))</f>
        <v/>
      </c>
      <c r="O371" s="73"/>
    </row>
    <row r="372" customFormat="false" ht="15" hidden="false" customHeight="false" outlineLevel="0" collapsed="false">
      <c r="A372" s="77"/>
      <c r="B372" s="73"/>
      <c r="C372" s="71" t="str">
        <f aca="false">IF(B372="","",IFERROR(INDEX(マスタ!$F$2:$F$60,MATCH(B372,マスタ!$E$2:$E$60,0))&amp;"",""))</f>
        <v/>
      </c>
      <c r="D372" s="73"/>
      <c r="E372" s="75"/>
      <c r="F372" s="75"/>
      <c r="G372" s="75"/>
      <c r="H372" s="73"/>
      <c r="I372" s="75"/>
      <c r="J372" s="75"/>
      <c r="K372" s="75"/>
      <c r="L372" s="73"/>
      <c r="M372" s="78" t="str">
        <f aca="false">IF(OR(E372="",F372=""),"",MAX(0,((F372-E372-N(G372))*1440-N(H372)*10)/60))</f>
        <v/>
      </c>
      <c r="N372" s="78" t="str">
        <f aca="false">IF($D372="欠席",0,IF(OR(I372="",J372=""),"",MAX(0,((J372-I372-N(K372))*1440-N(L372)*10)/60)))</f>
        <v/>
      </c>
      <c r="O372" s="73"/>
    </row>
    <row r="373" customFormat="false" ht="15" hidden="false" customHeight="false" outlineLevel="0" collapsed="false">
      <c r="A373" s="77"/>
      <c r="B373" s="73"/>
      <c r="C373" s="71" t="str">
        <f aca="false">IF(B373="","",IFERROR(INDEX(マスタ!$F$2:$F$60,MATCH(B373,マスタ!$E$2:$E$60,0))&amp;"",""))</f>
        <v/>
      </c>
      <c r="D373" s="73"/>
      <c r="E373" s="75"/>
      <c r="F373" s="75"/>
      <c r="G373" s="75"/>
      <c r="H373" s="73"/>
      <c r="I373" s="75"/>
      <c r="J373" s="75"/>
      <c r="K373" s="75"/>
      <c r="L373" s="73"/>
      <c r="M373" s="78" t="str">
        <f aca="false">IF(OR(E373="",F373=""),"",MAX(0,((F373-E373-N(G373))*1440-N(H373)*10)/60))</f>
        <v/>
      </c>
      <c r="N373" s="78" t="str">
        <f aca="false">IF($D373="欠席",0,IF(OR(I373="",J373=""),"",MAX(0,((J373-I373-N(K373))*1440-N(L373)*10)/60)))</f>
        <v/>
      </c>
      <c r="O373" s="73"/>
    </row>
    <row r="374" customFormat="false" ht="15" hidden="false" customHeight="false" outlineLevel="0" collapsed="false">
      <c r="A374" s="77"/>
      <c r="B374" s="73"/>
      <c r="C374" s="71" t="str">
        <f aca="false">IF(B374="","",IFERROR(INDEX(マスタ!$F$2:$F$60,MATCH(B374,マスタ!$E$2:$E$60,0))&amp;"",""))</f>
        <v/>
      </c>
      <c r="D374" s="73"/>
      <c r="E374" s="75"/>
      <c r="F374" s="75"/>
      <c r="G374" s="75"/>
      <c r="H374" s="73"/>
      <c r="I374" s="75"/>
      <c r="J374" s="75"/>
      <c r="K374" s="75"/>
      <c r="L374" s="73"/>
      <c r="M374" s="78" t="str">
        <f aca="false">IF(OR(E374="",F374=""),"",MAX(0,((F374-E374-N(G374))*1440-N(H374)*10)/60))</f>
        <v/>
      </c>
      <c r="N374" s="78" t="str">
        <f aca="false">IF($D374="欠席",0,IF(OR(I374="",J374=""),"",MAX(0,((J374-I374-N(K374))*1440-N(L374)*10)/60)))</f>
        <v/>
      </c>
      <c r="O374" s="73"/>
    </row>
    <row r="375" customFormat="false" ht="15" hidden="false" customHeight="false" outlineLevel="0" collapsed="false">
      <c r="A375" s="77"/>
      <c r="B375" s="73"/>
      <c r="C375" s="71" t="str">
        <f aca="false">IF(B375="","",IFERROR(INDEX(マスタ!$F$2:$F$60,MATCH(B375,マスタ!$E$2:$E$60,0))&amp;"",""))</f>
        <v/>
      </c>
      <c r="D375" s="73"/>
      <c r="E375" s="75"/>
      <c r="F375" s="75"/>
      <c r="G375" s="75"/>
      <c r="H375" s="73"/>
      <c r="I375" s="75"/>
      <c r="J375" s="75"/>
      <c r="K375" s="75"/>
      <c r="L375" s="73"/>
      <c r="M375" s="78" t="str">
        <f aca="false">IF(OR(E375="",F375=""),"",MAX(0,((F375-E375-N(G375))*1440-N(H375)*10)/60))</f>
        <v/>
      </c>
      <c r="N375" s="78" t="str">
        <f aca="false">IF($D375="欠席",0,IF(OR(I375="",J375=""),"",MAX(0,((J375-I375-N(K375))*1440-N(L375)*10)/60)))</f>
        <v/>
      </c>
      <c r="O375" s="73"/>
    </row>
    <row r="376" customFormat="false" ht="15" hidden="false" customHeight="false" outlineLevel="0" collapsed="false">
      <c r="A376" s="77"/>
      <c r="B376" s="73"/>
      <c r="C376" s="71" t="str">
        <f aca="false">IF(B376="","",IFERROR(INDEX(マスタ!$F$2:$F$60,MATCH(B376,マスタ!$E$2:$E$60,0))&amp;"",""))</f>
        <v/>
      </c>
      <c r="D376" s="73"/>
      <c r="E376" s="75"/>
      <c r="F376" s="75"/>
      <c r="G376" s="75"/>
      <c r="H376" s="73"/>
      <c r="I376" s="75"/>
      <c r="J376" s="75"/>
      <c r="K376" s="75"/>
      <c r="L376" s="73"/>
      <c r="M376" s="78" t="str">
        <f aca="false">IF(OR(E376="",F376=""),"",MAX(0,((F376-E376-N(G376))*1440-N(H376)*10)/60))</f>
        <v/>
      </c>
      <c r="N376" s="78" t="str">
        <f aca="false">IF($D376="欠席",0,IF(OR(I376="",J376=""),"",MAX(0,((J376-I376-N(K376))*1440-N(L376)*10)/60)))</f>
        <v/>
      </c>
      <c r="O376" s="73"/>
    </row>
    <row r="377" customFormat="false" ht="15" hidden="false" customHeight="false" outlineLevel="0" collapsed="false">
      <c r="A377" s="77"/>
      <c r="B377" s="73"/>
      <c r="C377" s="71" t="str">
        <f aca="false">IF(B377="","",IFERROR(INDEX(マスタ!$F$2:$F$60,MATCH(B377,マスタ!$E$2:$E$60,0))&amp;"",""))</f>
        <v/>
      </c>
      <c r="D377" s="73"/>
      <c r="E377" s="75"/>
      <c r="F377" s="75"/>
      <c r="G377" s="75"/>
      <c r="H377" s="73"/>
      <c r="I377" s="75"/>
      <c r="J377" s="75"/>
      <c r="K377" s="75"/>
      <c r="L377" s="73"/>
      <c r="M377" s="78" t="str">
        <f aca="false">IF(OR(E377="",F377=""),"",MAX(0,((F377-E377-N(G377))*1440-N(H377)*10)/60))</f>
        <v/>
      </c>
      <c r="N377" s="78" t="str">
        <f aca="false">IF($D377="欠席",0,IF(OR(I377="",J377=""),"",MAX(0,((J377-I377-N(K377))*1440-N(L377)*10)/60)))</f>
        <v/>
      </c>
      <c r="O377" s="73"/>
    </row>
    <row r="378" customFormat="false" ht="15" hidden="false" customHeight="false" outlineLevel="0" collapsed="false">
      <c r="A378" s="77"/>
      <c r="B378" s="73"/>
      <c r="C378" s="71" t="str">
        <f aca="false">IF(B378="","",IFERROR(INDEX(マスタ!$F$2:$F$60,MATCH(B378,マスタ!$E$2:$E$60,0))&amp;"",""))</f>
        <v/>
      </c>
      <c r="D378" s="73"/>
      <c r="E378" s="75"/>
      <c r="F378" s="75"/>
      <c r="G378" s="75"/>
      <c r="H378" s="73"/>
      <c r="I378" s="75"/>
      <c r="J378" s="75"/>
      <c r="K378" s="75"/>
      <c r="L378" s="73"/>
      <c r="M378" s="78" t="str">
        <f aca="false">IF(OR(E378="",F378=""),"",MAX(0,((F378-E378-N(G378))*1440-N(H378)*10)/60))</f>
        <v/>
      </c>
      <c r="N378" s="78" t="str">
        <f aca="false">IF($D378="欠席",0,IF(OR(I378="",J378=""),"",MAX(0,((J378-I378-N(K378))*1440-N(L378)*10)/60)))</f>
        <v/>
      </c>
      <c r="O378" s="73"/>
    </row>
    <row r="379" customFormat="false" ht="15" hidden="false" customHeight="false" outlineLevel="0" collapsed="false">
      <c r="A379" s="77"/>
      <c r="B379" s="73"/>
      <c r="C379" s="71" t="str">
        <f aca="false">IF(B379="","",IFERROR(INDEX(マスタ!$F$2:$F$60,MATCH(B379,マスタ!$E$2:$E$60,0))&amp;"",""))</f>
        <v/>
      </c>
      <c r="D379" s="73"/>
      <c r="E379" s="75"/>
      <c r="F379" s="75"/>
      <c r="G379" s="75"/>
      <c r="H379" s="73"/>
      <c r="I379" s="75"/>
      <c r="J379" s="75"/>
      <c r="K379" s="75"/>
      <c r="L379" s="73"/>
      <c r="M379" s="78" t="str">
        <f aca="false">IF(OR(E379="",F379=""),"",MAX(0,((F379-E379-N(G379))*1440-N(H379)*10)/60))</f>
        <v/>
      </c>
      <c r="N379" s="78" t="str">
        <f aca="false">IF($D379="欠席",0,IF(OR(I379="",J379=""),"",MAX(0,((J379-I379-N(K379))*1440-N(L379)*10)/60)))</f>
        <v/>
      </c>
      <c r="O379" s="73"/>
    </row>
    <row r="380" customFormat="false" ht="15" hidden="false" customHeight="false" outlineLevel="0" collapsed="false">
      <c r="A380" s="77"/>
      <c r="B380" s="73"/>
      <c r="C380" s="71" t="str">
        <f aca="false">IF(B380="","",IFERROR(INDEX(マスタ!$F$2:$F$60,MATCH(B380,マスタ!$E$2:$E$60,0))&amp;"",""))</f>
        <v/>
      </c>
      <c r="D380" s="73"/>
      <c r="E380" s="75"/>
      <c r="F380" s="75"/>
      <c r="G380" s="75"/>
      <c r="H380" s="73"/>
      <c r="I380" s="75"/>
      <c r="J380" s="75"/>
      <c r="K380" s="75"/>
      <c r="L380" s="73"/>
      <c r="M380" s="78" t="str">
        <f aca="false">IF(OR(E380="",F380=""),"",MAX(0,((F380-E380-N(G380))*1440-N(H380)*10)/60))</f>
        <v/>
      </c>
      <c r="N380" s="78" t="str">
        <f aca="false">IF($D380="欠席",0,IF(OR(I380="",J380=""),"",MAX(0,((J380-I380-N(K380))*1440-N(L380)*10)/60)))</f>
        <v/>
      </c>
      <c r="O380" s="73"/>
    </row>
    <row r="381" customFormat="false" ht="15" hidden="false" customHeight="false" outlineLevel="0" collapsed="false">
      <c r="A381" s="77"/>
      <c r="B381" s="73"/>
      <c r="C381" s="71" t="str">
        <f aca="false">IF(B381="","",IFERROR(INDEX(マスタ!$F$2:$F$60,MATCH(B381,マスタ!$E$2:$E$60,0))&amp;"",""))</f>
        <v/>
      </c>
      <c r="D381" s="73"/>
      <c r="E381" s="75"/>
      <c r="F381" s="75"/>
      <c r="G381" s="75"/>
      <c r="H381" s="73"/>
      <c r="I381" s="75"/>
      <c r="J381" s="75"/>
      <c r="K381" s="75"/>
      <c r="L381" s="73"/>
      <c r="M381" s="78" t="str">
        <f aca="false">IF(OR(E381="",F381=""),"",MAX(0,((F381-E381-N(G381))*1440-N(H381)*10)/60))</f>
        <v/>
      </c>
      <c r="N381" s="78" t="str">
        <f aca="false">IF($D381="欠席",0,IF(OR(I381="",J381=""),"",MAX(0,((J381-I381-N(K381))*1440-N(L381)*10)/60)))</f>
        <v/>
      </c>
      <c r="O381" s="73"/>
    </row>
    <row r="382" customFormat="false" ht="15" hidden="false" customHeight="false" outlineLevel="0" collapsed="false">
      <c r="A382" s="77"/>
      <c r="B382" s="73"/>
      <c r="C382" s="71" t="str">
        <f aca="false">IF(B382="","",IFERROR(INDEX(マスタ!$F$2:$F$60,MATCH(B382,マスタ!$E$2:$E$60,0))&amp;"",""))</f>
        <v/>
      </c>
      <c r="D382" s="73"/>
      <c r="E382" s="75"/>
      <c r="F382" s="75"/>
      <c r="G382" s="75"/>
      <c r="H382" s="73"/>
      <c r="I382" s="75"/>
      <c r="J382" s="75"/>
      <c r="K382" s="75"/>
      <c r="L382" s="73"/>
      <c r="M382" s="78" t="str">
        <f aca="false">IF(OR(E382="",F382=""),"",MAX(0,((F382-E382-N(G382))*1440-N(H382)*10)/60))</f>
        <v/>
      </c>
      <c r="N382" s="78" t="str">
        <f aca="false">IF($D382="欠席",0,IF(OR(I382="",J382=""),"",MAX(0,((J382-I382-N(K382))*1440-N(L382)*10)/60)))</f>
        <v/>
      </c>
      <c r="O382" s="73"/>
    </row>
    <row r="383" customFormat="false" ht="15" hidden="false" customHeight="false" outlineLevel="0" collapsed="false">
      <c r="A383" s="77"/>
      <c r="B383" s="73"/>
      <c r="C383" s="71" t="str">
        <f aca="false">IF(B383="","",IFERROR(INDEX(マスタ!$F$2:$F$60,MATCH(B383,マスタ!$E$2:$E$60,0))&amp;"",""))</f>
        <v/>
      </c>
      <c r="D383" s="73"/>
      <c r="E383" s="75"/>
      <c r="F383" s="75"/>
      <c r="G383" s="75"/>
      <c r="H383" s="73"/>
      <c r="I383" s="75"/>
      <c r="J383" s="75"/>
      <c r="K383" s="75"/>
      <c r="L383" s="73"/>
      <c r="M383" s="78" t="str">
        <f aca="false">IF(OR(E383="",F383=""),"",MAX(0,((F383-E383-N(G383))*1440-N(H383)*10)/60))</f>
        <v/>
      </c>
      <c r="N383" s="78" t="str">
        <f aca="false">IF($D383="欠席",0,IF(OR(I383="",J383=""),"",MAX(0,((J383-I383-N(K383))*1440-N(L383)*10)/60)))</f>
        <v/>
      </c>
      <c r="O383" s="73"/>
    </row>
    <row r="384" customFormat="false" ht="15" hidden="false" customHeight="false" outlineLevel="0" collapsed="false">
      <c r="A384" s="77"/>
      <c r="B384" s="73"/>
      <c r="C384" s="71" t="str">
        <f aca="false">IF(B384="","",IFERROR(INDEX(マスタ!$F$2:$F$60,MATCH(B384,マスタ!$E$2:$E$60,0))&amp;"",""))</f>
        <v/>
      </c>
      <c r="D384" s="73"/>
      <c r="E384" s="75"/>
      <c r="F384" s="75"/>
      <c r="G384" s="75"/>
      <c r="H384" s="73"/>
      <c r="I384" s="75"/>
      <c r="J384" s="75"/>
      <c r="K384" s="75"/>
      <c r="L384" s="73"/>
      <c r="M384" s="78" t="str">
        <f aca="false">IF(OR(E384="",F384=""),"",MAX(0,((F384-E384-N(G384))*1440-N(H384)*10)/60))</f>
        <v/>
      </c>
      <c r="N384" s="78" t="str">
        <f aca="false">IF($D384="欠席",0,IF(OR(I384="",J384=""),"",MAX(0,((J384-I384-N(K384))*1440-N(L384)*10)/60)))</f>
        <v/>
      </c>
      <c r="O384" s="73"/>
    </row>
    <row r="385" customFormat="false" ht="15" hidden="false" customHeight="false" outlineLevel="0" collapsed="false">
      <c r="A385" s="77"/>
      <c r="B385" s="73"/>
      <c r="C385" s="71" t="str">
        <f aca="false">IF(B385="","",IFERROR(INDEX(マスタ!$F$2:$F$60,MATCH(B385,マスタ!$E$2:$E$60,0))&amp;"",""))</f>
        <v/>
      </c>
      <c r="D385" s="73"/>
      <c r="E385" s="75"/>
      <c r="F385" s="75"/>
      <c r="G385" s="75"/>
      <c r="H385" s="73"/>
      <c r="I385" s="75"/>
      <c r="J385" s="75"/>
      <c r="K385" s="75"/>
      <c r="L385" s="73"/>
      <c r="M385" s="78" t="str">
        <f aca="false">IF(OR(E385="",F385=""),"",MAX(0,((F385-E385-N(G385))*1440-N(H385)*10)/60))</f>
        <v/>
      </c>
      <c r="N385" s="78" t="str">
        <f aca="false">IF($D385="欠席",0,IF(OR(I385="",J385=""),"",MAX(0,((J385-I385-N(K385))*1440-N(L385)*10)/60)))</f>
        <v/>
      </c>
      <c r="O385" s="73"/>
    </row>
    <row r="386" customFormat="false" ht="15" hidden="false" customHeight="false" outlineLevel="0" collapsed="false">
      <c r="A386" s="77"/>
      <c r="B386" s="73"/>
      <c r="C386" s="71" t="str">
        <f aca="false">IF(B386="","",IFERROR(INDEX(マスタ!$F$2:$F$60,MATCH(B386,マスタ!$E$2:$E$60,0))&amp;"",""))</f>
        <v/>
      </c>
      <c r="D386" s="73"/>
      <c r="E386" s="75"/>
      <c r="F386" s="75"/>
      <c r="G386" s="75"/>
      <c r="H386" s="73"/>
      <c r="I386" s="75"/>
      <c r="J386" s="75"/>
      <c r="K386" s="75"/>
      <c r="L386" s="73"/>
      <c r="M386" s="78" t="str">
        <f aca="false">IF(OR(E386="",F386=""),"",MAX(0,((F386-E386-N(G386))*1440-N(H386)*10)/60))</f>
        <v/>
      </c>
      <c r="N386" s="78" t="str">
        <f aca="false">IF($D386="欠席",0,IF(OR(I386="",J386=""),"",MAX(0,((J386-I386-N(K386))*1440-N(L386)*10)/60)))</f>
        <v/>
      </c>
      <c r="O386" s="73"/>
    </row>
    <row r="387" customFormat="false" ht="15" hidden="false" customHeight="false" outlineLevel="0" collapsed="false">
      <c r="A387" s="77"/>
      <c r="B387" s="73"/>
      <c r="C387" s="71" t="str">
        <f aca="false">IF(B387="","",IFERROR(INDEX(マスタ!$F$2:$F$60,MATCH(B387,マスタ!$E$2:$E$60,0))&amp;"",""))</f>
        <v/>
      </c>
      <c r="D387" s="73"/>
      <c r="E387" s="75"/>
      <c r="F387" s="75"/>
      <c r="G387" s="75"/>
      <c r="H387" s="73"/>
      <c r="I387" s="75"/>
      <c r="J387" s="75"/>
      <c r="K387" s="75"/>
      <c r="L387" s="73"/>
      <c r="M387" s="78" t="str">
        <f aca="false">IF(OR(E387="",F387=""),"",MAX(0,((F387-E387-N(G387))*1440-N(H387)*10)/60))</f>
        <v/>
      </c>
      <c r="N387" s="78" t="str">
        <f aca="false">IF($D387="欠席",0,IF(OR(I387="",J387=""),"",MAX(0,((J387-I387-N(K387))*1440-N(L387)*10)/60)))</f>
        <v/>
      </c>
      <c r="O387" s="73"/>
    </row>
    <row r="388" customFormat="false" ht="15" hidden="false" customHeight="false" outlineLevel="0" collapsed="false">
      <c r="A388" s="77"/>
      <c r="B388" s="73"/>
      <c r="C388" s="71" t="str">
        <f aca="false">IF(B388="","",IFERROR(INDEX(マスタ!$F$2:$F$60,MATCH(B388,マスタ!$E$2:$E$60,0))&amp;"",""))</f>
        <v/>
      </c>
      <c r="D388" s="73"/>
      <c r="E388" s="75"/>
      <c r="F388" s="75"/>
      <c r="G388" s="75"/>
      <c r="H388" s="73"/>
      <c r="I388" s="75"/>
      <c r="J388" s="75"/>
      <c r="K388" s="75"/>
      <c r="L388" s="73"/>
      <c r="M388" s="78" t="str">
        <f aca="false">IF(OR(E388="",F388=""),"",MAX(0,((F388-E388-N(G388))*1440-N(H388)*10)/60))</f>
        <v/>
      </c>
      <c r="N388" s="78" t="str">
        <f aca="false">IF($D388="欠席",0,IF(OR(I388="",J388=""),"",MAX(0,((J388-I388-N(K388))*1440-N(L388)*10)/60)))</f>
        <v/>
      </c>
      <c r="O388" s="73"/>
    </row>
    <row r="389" customFormat="false" ht="15" hidden="false" customHeight="false" outlineLevel="0" collapsed="false">
      <c r="A389" s="77"/>
      <c r="B389" s="73"/>
      <c r="C389" s="71" t="str">
        <f aca="false">IF(B389="","",IFERROR(INDEX(マスタ!$F$2:$F$60,MATCH(B389,マスタ!$E$2:$E$60,0))&amp;"",""))</f>
        <v/>
      </c>
      <c r="D389" s="73"/>
      <c r="E389" s="75"/>
      <c r="F389" s="75"/>
      <c r="G389" s="75"/>
      <c r="H389" s="73"/>
      <c r="I389" s="75"/>
      <c r="J389" s="75"/>
      <c r="K389" s="75"/>
      <c r="L389" s="73"/>
      <c r="M389" s="78" t="str">
        <f aca="false">IF(OR(E389="",F389=""),"",MAX(0,((F389-E389-N(G389))*1440-N(H389)*10)/60))</f>
        <v/>
      </c>
      <c r="N389" s="78" t="str">
        <f aca="false">IF($D389="欠席",0,IF(OR(I389="",J389=""),"",MAX(0,((J389-I389-N(K389))*1440-N(L389)*10)/60)))</f>
        <v/>
      </c>
      <c r="O389" s="73"/>
    </row>
    <row r="390" customFormat="false" ht="15" hidden="false" customHeight="false" outlineLevel="0" collapsed="false">
      <c r="A390" s="77"/>
      <c r="B390" s="73"/>
      <c r="C390" s="71" t="str">
        <f aca="false">IF(B390="","",IFERROR(INDEX(マスタ!$F$2:$F$60,MATCH(B390,マスタ!$E$2:$E$60,0))&amp;"",""))</f>
        <v/>
      </c>
      <c r="D390" s="73"/>
      <c r="E390" s="75"/>
      <c r="F390" s="75"/>
      <c r="G390" s="75"/>
      <c r="H390" s="73"/>
      <c r="I390" s="75"/>
      <c r="J390" s="75"/>
      <c r="K390" s="75"/>
      <c r="L390" s="73"/>
      <c r="M390" s="78" t="str">
        <f aca="false">IF(OR(E390="",F390=""),"",MAX(0,((F390-E390-N(G390))*1440-N(H390)*10)/60))</f>
        <v/>
      </c>
      <c r="N390" s="78" t="str">
        <f aca="false">IF($D390="欠席",0,IF(OR(I390="",J390=""),"",MAX(0,((J390-I390-N(K390))*1440-N(L390)*10)/60)))</f>
        <v/>
      </c>
      <c r="O390" s="73"/>
    </row>
    <row r="391" customFormat="false" ht="15" hidden="false" customHeight="false" outlineLevel="0" collapsed="false">
      <c r="A391" s="77"/>
      <c r="B391" s="73"/>
      <c r="C391" s="71" t="str">
        <f aca="false">IF(B391="","",IFERROR(INDEX(マスタ!$F$2:$F$60,MATCH(B391,マスタ!$E$2:$E$60,0))&amp;"",""))</f>
        <v/>
      </c>
      <c r="D391" s="73"/>
      <c r="E391" s="75"/>
      <c r="F391" s="75"/>
      <c r="G391" s="75"/>
      <c r="H391" s="73"/>
      <c r="I391" s="75"/>
      <c r="J391" s="75"/>
      <c r="K391" s="75"/>
      <c r="L391" s="73"/>
      <c r="M391" s="78" t="str">
        <f aca="false">IF(OR(E391="",F391=""),"",MAX(0,((F391-E391-N(G391))*1440-N(H391)*10)/60))</f>
        <v/>
      </c>
      <c r="N391" s="78" t="str">
        <f aca="false">IF($D391="欠席",0,IF(OR(I391="",J391=""),"",MAX(0,((J391-I391-N(K391))*1440-N(L391)*10)/60)))</f>
        <v/>
      </c>
      <c r="O391" s="73"/>
    </row>
    <row r="392" customFormat="false" ht="15" hidden="false" customHeight="false" outlineLevel="0" collapsed="false">
      <c r="A392" s="77"/>
      <c r="B392" s="73"/>
      <c r="C392" s="71" t="str">
        <f aca="false">IF(B392="","",IFERROR(INDEX(マスタ!$F$2:$F$60,MATCH(B392,マスタ!$E$2:$E$60,0))&amp;"",""))</f>
        <v/>
      </c>
      <c r="D392" s="73"/>
      <c r="E392" s="75"/>
      <c r="F392" s="75"/>
      <c r="G392" s="75"/>
      <c r="H392" s="73"/>
      <c r="I392" s="75"/>
      <c r="J392" s="75"/>
      <c r="K392" s="75"/>
      <c r="L392" s="73"/>
      <c r="M392" s="78" t="str">
        <f aca="false">IF(OR(E392="",F392=""),"",MAX(0,((F392-E392-N(G392))*1440-N(H392)*10)/60))</f>
        <v/>
      </c>
      <c r="N392" s="78" t="str">
        <f aca="false">IF($D392="欠席",0,IF(OR(I392="",J392=""),"",MAX(0,((J392-I392-N(K392))*1440-N(L392)*10)/60)))</f>
        <v/>
      </c>
      <c r="O392" s="73"/>
    </row>
    <row r="393" customFormat="false" ht="15" hidden="false" customHeight="false" outlineLevel="0" collapsed="false">
      <c r="A393" s="77"/>
      <c r="B393" s="73"/>
      <c r="C393" s="71" t="str">
        <f aca="false">IF(B393="","",IFERROR(INDEX(マスタ!$F$2:$F$60,MATCH(B393,マスタ!$E$2:$E$60,0))&amp;"",""))</f>
        <v/>
      </c>
      <c r="D393" s="73"/>
      <c r="E393" s="75"/>
      <c r="F393" s="75"/>
      <c r="G393" s="75"/>
      <c r="H393" s="73"/>
      <c r="I393" s="75"/>
      <c r="J393" s="75"/>
      <c r="K393" s="75"/>
      <c r="L393" s="73"/>
      <c r="M393" s="78" t="str">
        <f aca="false">IF(OR(E393="",F393=""),"",MAX(0,((F393-E393-N(G393))*1440-N(H393)*10)/60))</f>
        <v/>
      </c>
      <c r="N393" s="78" t="str">
        <f aca="false">IF($D393="欠席",0,IF(OR(I393="",J393=""),"",MAX(0,((J393-I393-N(K393))*1440-N(L393)*10)/60)))</f>
        <v/>
      </c>
      <c r="O393" s="73"/>
    </row>
    <row r="394" customFormat="false" ht="15" hidden="false" customHeight="false" outlineLevel="0" collapsed="false">
      <c r="A394" s="77"/>
      <c r="B394" s="73"/>
      <c r="C394" s="71" t="str">
        <f aca="false">IF(B394="","",IFERROR(INDEX(マスタ!$F$2:$F$60,MATCH(B394,マスタ!$E$2:$E$60,0))&amp;"",""))</f>
        <v/>
      </c>
      <c r="D394" s="73"/>
      <c r="E394" s="75"/>
      <c r="F394" s="75"/>
      <c r="G394" s="75"/>
      <c r="H394" s="73"/>
      <c r="I394" s="75"/>
      <c r="J394" s="75"/>
      <c r="K394" s="75"/>
      <c r="L394" s="73"/>
      <c r="M394" s="78" t="str">
        <f aca="false">IF(OR(E394="",F394=""),"",MAX(0,((F394-E394-N(G394))*1440-N(H394)*10)/60))</f>
        <v/>
      </c>
      <c r="N394" s="78" t="str">
        <f aca="false">IF($D394="欠席",0,IF(OR(I394="",J394=""),"",MAX(0,((J394-I394-N(K394))*1440-N(L394)*10)/60)))</f>
        <v/>
      </c>
      <c r="O394" s="73"/>
    </row>
    <row r="395" customFormat="false" ht="15" hidden="false" customHeight="false" outlineLevel="0" collapsed="false">
      <c r="A395" s="77"/>
      <c r="B395" s="73"/>
      <c r="C395" s="71" t="str">
        <f aca="false">IF(B395="","",IFERROR(INDEX(マスタ!$F$2:$F$60,MATCH(B395,マスタ!$E$2:$E$60,0))&amp;"",""))</f>
        <v/>
      </c>
      <c r="D395" s="73"/>
      <c r="E395" s="75"/>
      <c r="F395" s="75"/>
      <c r="G395" s="75"/>
      <c r="H395" s="73"/>
      <c r="I395" s="75"/>
      <c r="J395" s="75"/>
      <c r="K395" s="75"/>
      <c r="L395" s="73"/>
      <c r="M395" s="78" t="str">
        <f aca="false">IF(OR(E395="",F395=""),"",MAX(0,((F395-E395-N(G395))*1440-N(H395)*10)/60))</f>
        <v/>
      </c>
      <c r="N395" s="78" t="str">
        <f aca="false">IF($D395="欠席",0,IF(OR(I395="",J395=""),"",MAX(0,((J395-I395-N(K395))*1440-N(L395)*10)/60)))</f>
        <v/>
      </c>
      <c r="O395" s="73"/>
    </row>
    <row r="396" customFormat="false" ht="15" hidden="false" customHeight="false" outlineLevel="0" collapsed="false">
      <c r="A396" s="77"/>
      <c r="B396" s="73"/>
      <c r="C396" s="71" t="str">
        <f aca="false">IF(B396="","",IFERROR(INDEX(マスタ!$F$2:$F$60,MATCH(B396,マスタ!$E$2:$E$60,0))&amp;"",""))</f>
        <v/>
      </c>
      <c r="D396" s="73"/>
      <c r="E396" s="75"/>
      <c r="F396" s="75"/>
      <c r="G396" s="75"/>
      <c r="H396" s="73"/>
      <c r="I396" s="75"/>
      <c r="J396" s="75"/>
      <c r="K396" s="75"/>
      <c r="L396" s="73"/>
      <c r="M396" s="78" t="str">
        <f aca="false">IF(OR(E396="",F396=""),"",MAX(0,((F396-E396-N(G396))*1440-N(H396)*10)/60))</f>
        <v/>
      </c>
      <c r="N396" s="78" t="str">
        <f aca="false">IF($D396="欠席",0,IF(OR(I396="",J396=""),"",MAX(0,((J396-I396-N(K396))*1440-N(L396)*10)/60)))</f>
        <v/>
      </c>
      <c r="O396" s="73"/>
    </row>
    <row r="397" customFormat="false" ht="15" hidden="false" customHeight="false" outlineLevel="0" collapsed="false">
      <c r="A397" s="77"/>
      <c r="B397" s="73"/>
      <c r="C397" s="71" t="str">
        <f aca="false">IF(B397="","",IFERROR(INDEX(マスタ!$F$2:$F$60,MATCH(B397,マスタ!$E$2:$E$60,0))&amp;"",""))</f>
        <v/>
      </c>
      <c r="D397" s="73"/>
      <c r="E397" s="75"/>
      <c r="F397" s="75"/>
      <c r="G397" s="75"/>
      <c r="H397" s="73"/>
      <c r="I397" s="75"/>
      <c r="J397" s="75"/>
      <c r="K397" s="75"/>
      <c r="L397" s="73"/>
      <c r="M397" s="78" t="str">
        <f aca="false">IF(OR(E397="",F397=""),"",MAX(0,((F397-E397-N(G397))*1440-N(H397)*10)/60))</f>
        <v/>
      </c>
      <c r="N397" s="78" t="str">
        <f aca="false">IF($D397="欠席",0,IF(OR(I397="",J397=""),"",MAX(0,((J397-I397-N(K397))*1440-N(L397)*10)/60)))</f>
        <v/>
      </c>
      <c r="O397" s="73"/>
    </row>
    <row r="398" customFormat="false" ht="15" hidden="false" customHeight="false" outlineLevel="0" collapsed="false">
      <c r="A398" s="77"/>
      <c r="B398" s="73"/>
      <c r="C398" s="71" t="str">
        <f aca="false">IF(B398="","",IFERROR(INDEX(マスタ!$F$2:$F$60,MATCH(B398,マスタ!$E$2:$E$60,0))&amp;"",""))</f>
        <v/>
      </c>
      <c r="D398" s="73"/>
      <c r="E398" s="75"/>
      <c r="F398" s="75"/>
      <c r="G398" s="75"/>
      <c r="H398" s="73"/>
      <c r="I398" s="75"/>
      <c r="J398" s="75"/>
      <c r="K398" s="75"/>
      <c r="L398" s="73"/>
      <c r="M398" s="78" t="str">
        <f aca="false">IF(OR(E398="",F398=""),"",MAX(0,((F398-E398-N(G398))*1440-N(H398)*10)/60))</f>
        <v/>
      </c>
      <c r="N398" s="78" t="str">
        <f aca="false">IF($D398="欠席",0,IF(OR(I398="",J398=""),"",MAX(0,((J398-I398-N(K398))*1440-N(L398)*10)/60)))</f>
        <v/>
      </c>
      <c r="O398" s="73"/>
    </row>
    <row r="399" customFormat="false" ht="15" hidden="false" customHeight="false" outlineLevel="0" collapsed="false">
      <c r="A399" s="77"/>
      <c r="B399" s="73"/>
      <c r="C399" s="71" t="str">
        <f aca="false">IF(B399="","",IFERROR(INDEX(マスタ!$F$2:$F$60,MATCH(B399,マスタ!$E$2:$E$60,0))&amp;"",""))</f>
        <v/>
      </c>
      <c r="D399" s="73"/>
      <c r="E399" s="75"/>
      <c r="F399" s="75"/>
      <c r="G399" s="75"/>
      <c r="H399" s="73"/>
      <c r="I399" s="75"/>
      <c r="J399" s="75"/>
      <c r="K399" s="75"/>
      <c r="L399" s="73"/>
      <c r="M399" s="78" t="str">
        <f aca="false">IF(OR(E399="",F399=""),"",MAX(0,((F399-E399-N(G399))*1440-N(H399)*10)/60))</f>
        <v/>
      </c>
      <c r="N399" s="78" t="str">
        <f aca="false">IF($D399="欠席",0,IF(OR(I399="",J399=""),"",MAX(0,((J399-I399-N(K399))*1440-N(L399)*10)/60)))</f>
        <v/>
      </c>
      <c r="O399" s="73"/>
    </row>
    <row r="400" customFormat="false" ht="15" hidden="false" customHeight="false" outlineLevel="0" collapsed="false">
      <c r="A400" s="77"/>
      <c r="B400" s="73"/>
      <c r="C400" s="71" t="str">
        <f aca="false">IF(B400="","",IFERROR(INDEX(マスタ!$F$2:$F$60,MATCH(B400,マスタ!$E$2:$E$60,0))&amp;"",""))</f>
        <v/>
      </c>
      <c r="D400" s="73"/>
      <c r="E400" s="75"/>
      <c r="F400" s="75"/>
      <c r="G400" s="75"/>
      <c r="H400" s="73"/>
      <c r="I400" s="75"/>
      <c r="J400" s="75"/>
      <c r="K400" s="75"/>
      <c r="L400" s="73"/>
      <c r="M400" s="78" t="str">
        <f aca="false">IF(OR(E400="",F400=""),"",MAX(0,((F400-E400-N(G400))*1440-N(H400)*10)/60))</f>
        <v/>
      </c>
      <c r="N400" s="78" t="str">
        <f aca="false">IF($D400="欠席",0,IF(OR(I400="",J400=""),"",MAX(0,((J400-I400-N(K400))*1440-N(L400)*10)/60)))</f>
        <v/>
      </c>
      <c r="O400" s="73"/>
    </row>
    <row r="401" customFormat="false" ht="15" hidden="false" customHeight="false" outlineLevel="0" collapsed="false">
      <c r="A401" s="77"/>
      <c r="B401" s="73"/>
      <c r="C401" s="71" t="str">
        <f aca="false">IF(B401="","",IFERROR(INDEX(マスタ!$F$2:$F$60,MATCH(B401,マスタ!$E$2:$E$60,0))&amp;"",""))</f>
        <v/>
      </c>
      <c r="D401" s="73"/>
      <c r="E401" s="75"/>
      <c r="F401" s="75"/>
      <c r="G401" s="75"/>
      <c r="H401" s="73"/>
      <c r="I401" s="75"/>
      <c r="J401" s="75"/>
      <c r="K401" s="75"/>
      <c r="L401" s="73"/>
      <c r="M401" s="78" t="str">
        <f aca="false">IF(OR(E401="",F401=""),"",MAX(0,((F401-E401-N(G401))*1440-N(H401)*10)/60))</f>
        <v/>
      </c>
      <c r="N401" s="78" t="str">
        <f aca="false">IF($D401="欠席",0,IF(OR(I401="",J401=""),"",MAX(0,((J401-I401-N(K401))*1440-N(L401)*10)/60)))</f>
        <v/>
      </c>
      <c r="O401" s="73"/>
    </row>
    <row r="402" customFormat="false" ht="15" hidden="false" customHeight="false" outlineLevel="0" collapsed="false">
      <c r="A402" s="77"/>
      <c r="B402" s="73"/>
      <c r="C402" s="71" t="str">
        <f aca="false">IF(B402="","",IFERROR(INDEX(マスタ!$F$2:$F$60,MATCH(B402,マスタ!$E$2:$E$60,0))&amp;"",""))</f>
        <v/>
      </c>
      <c r="D402" s="73"/>
      <c r="E402" s="75"/>
      <c r="F402" s="75"/>
      <c r="G402" s="75"/>
      <c r="H402" s="73"/>
      <c r="I402" s="75"/>
      <c r="J402" s="75"/>
      <c r="K402" s="75"/>
      <c r="L402" s="73"/>
      <c r="M402" s="78" t="str">
        <f aca="false">IF(OR(E402="",F402=""),"",MAX(0,((F402-E402-N(G402))*1440-N(H402)*10)/60))</f>
        <v/>
      </c>
      <c r="N402" s="78" t="str">
        <f aca="false">IF($D402="欠席",0,IF(OR(I402="",J402=""),"",MAX(0,((J402-I402-N(K402))*1440-N(L402)*10)/60)))</f>
        <v/>
      </c>
      <c r="O402" s="73"/>
    </row>
    <row r="403" customFormat="false" ht="15" hidden="false" customHeight="false" outlineLevel="0" collapsed="false">
      <c r="A403" s="77"/>
      <c r="B403" s="73"/>
      <c r="C403" s="71" t="str">
        <f aca="false">IF(B403="","",IFERROR(INDEX(マスタ!$F$2:$F$60,MATCH(B403,マスタ!$E$2:$E$60,0))&amp;"",""))</f>
        <v/>
      </c>
      <c r="D403" s="73"/>
      <c r="E403" s="75"/>
      <c r="F403" s="75"/>
      <c r="G403" s="75"/>
      <c r="H403" s="73"/>
      <c r="I403" s="75"/>
      <c r="J403" s="75"/>
      <c r="K403" s="75"/>
      <c r="L403" s="73"/>
      <c r="M403" s="78" t="str">
        <f aca="false">IF(OR(E403="",F403=""),"",MAX(0,((F403-E403-N(G403))*1440-N(H403)*10)/60))</f>
        <v/>
      </c>
      <c r="N403" s="78" t="str">
        <f aca="false">IF($D403="欠席",0,IF(OR(I403="",J403=""),"",MAX(0,((J403-I403-N(K403))*1440-N(L403)*10)/60)))</f>
        <v/>
      </c>
      <c r="O403" s="73"/>
    </row>
    <row r="404" customFormat="false" ht="15" hidden="false" customHeight="false" outlineLevel="0" collapsed="false">
      <c r="A404" s="77"/>
      <c r="B404" s="73"/>
      <c r="C404" s="71" t="str">
        <f aca="false">IF(B404="","",IFERROR(INDEX(マスタ!$F$2:$F$60,MATCH(B404,マスタ!$E$2:$E$60,0))&amp;"",""))</f>
        <v/>
      </c>
      <c r="D404" s="73"/>
      <c r="E404" s="75"/>
      <c r="F404" s="75"/>
      <c r="G404" s="75"/>
      <c r="H404" s="73"/>
      <c r="I404" s="75"/>
      <c r="J404" s="75"/>
      <c r="K404" s="75"/>
      <c r="L404" s="73"/>
      <c r="M404" s="78" t="str">
        <f aca="false">IF(OR(E404="",F404=""),"",MAX(0,((F404-E404-N(G404))*1440-N(H404)*10)/60))</f>
        <v/>
      </c>
      <c r="N404" s="78" t="str">
        <f aca="false">IF($D404="欠席",0,IF(OR(I404="",J404=""),"",MAX(0,((J404-I404-N(K404))*1440-N(L404)*10)/60)))</f>
        <v/>
      </c>
      <c r="O404" s="73"/>
    </row>
    <row r="405" customFormat="false" ht="15" hidden="false" customHeight="false" outlineLevel="0" collapsed="false">
      <c r="A405" s="77"/>
      <c r="B405" s="73"/>
      <c r="C405" s="71" t="str">
        <f aca="false">IF(B405="","",IFERROR(INDEX(マスタ!$F$2:$F$60,MATCH(B405,マスタ!$E$2:$E$60,0))&amp;"",""))</f>
        <v/>
      </c>
      <c r="D405" s="73"/>
      <c r="E405" s="75"/>
      <c r="F405" s="75"/>
      <c r="G405" s="75"/>
      <c r="H405" s="73"/>
      <c r="I405" s="75"/>
      <c r="J405" s="75"/>
      <c r="K405" s="75"/>
      <c r="L405" s="73"/>
      <c r="M405" s="78" t="str">
        <f aca="false">IF(OR(E405="",F405=""),"",MAX(0,((F405-E405-N(G405))*1440-N(H405)*10)/60))</f>
        <v/>
      </c>
      <c r="N405" s="78" t="str">
        <f aca="false">IF($D405="欠席",0,IF(OR(I405="",J405=""),"",MAX(0,((J405-I405-N(K405))*1440-N(L405)*10)/60)))</f>
        <v/>
      </c>
      <c r="O405" s="73"/>
    </row>
    <row r="406" customFormat="false" ht="15" hidden="false" customHeight="false" outlineLevel="0" collapsed="false">
      <c r="A406" s="77"/>
      <c r="B406" s="73"/>
      <c r="C406" s="71" t="str">
        <f aca="false">IF(B406="","",IFERROR(INDEX(マスタ!$F$2:$F$60,MATCH(B406,マスタ!$E$2:$E$60,0))&amp;"",""))</f>
        <v/>
      </c>
      <c r="D406" s="73"/>
      <c r="E406" s="75"/>
      <c r="F406" s="75"/>
      <c r="G406" s="75"/>
      <c r="H406" s="73"/>
      <c r="I406" s="75"/>
      <c r="J406" s="75"/>
      <c r="K406" s="75"/>
      <c r="L406" s="73"/>
      <c r="M406" s="78" t="str">
        <f aca="false">IF(OR(E406="",F406=""),"",MAX(0,((F406-E406-N(G406))*1440-N(H406)*10)/60))</f>
        <v/>
      </c>
      <c r="N406" s="78" t="str">
        <f aca="false">IF($D406="欠席",0,IF(OR(I406="",J406=""),"",MAX(0,((J406-I406-N(K406))*1440-N(L406)*10)/60)))</f>
        <v/>
      </c>
      <c r="O406" s="73"/>
    </row>
    <row r="407" customFormat="false" ht="15" hidden="false" customHeight="false" outlineLevel="0" collapsed="false">
      <c r="A407" s="77"/>
      <c r="B407" s="73"/>
      <c r="C407" s="71" t="str">
        <f aca="false">IF(B407="","",IFERROR(INDEX(マスタ!$F$2:$F$60,MATCH(B407,マスタ!$E$2:$E$60,0))&amp;"",""))</f>
        <v/>
      </c>
      <c r="D407" s="73"/>
      <c r="E407" s="75"/>
      <c r="F407" s="75"/>
      <c r="G407" s="75"/>
      <c r="H407" s="73"/>
      <c r="I407" s="75"/>
      <c r="J407" s="75"/>
      <c r="K407" s="75"/>
      <c r="L407" s="73"/>
      <c r="M407" s="78" t="str">
        <f aca="false">IF(OR(E407="",F407=""),"",MAX(0,((F407-E407-N(G407))*1440-N(H407)*10)/60))</f>
        <v/>
      </c>
      <c r="N407" s="78" t="str">
        <f aca="false">IF($D407="欠席",0,IF(OR(I407="",J407=""),"",MAX(0,((J407-I407-N(K407))*1440-N(L407)*10)/60)))</f>
        <v/>
      </c>
      <c r="O407" s="73"/>
    </row>
    <row r="408" customFormat="false" ht="15" hidden="false" customHeight="false" outlineLevel="0" collapsed="false">
      <c r="A408" s="77"/>
      <c r="B408" s="73"/>
      <c r="C408" s="71" t="str">
        <f aca="false">IF(B408="","",IFERROR(INDEX(マスタ!$F$2:$F$60,MATCH(B408,マスタ!$E$2:$E$60,0))&amp;"",""))</f>
        <v/>
      </c>
      <c r="D408" s="73"/>
      <c r="E408" s="75"/>
      <c r="F408" s="75"/>
      <c r="G408" s="75"/>
      <c r="H408" s="73"/>
      <c r="I408" s="75"/>
      <c r="J408" s="75"/>
      <c r="K408" s="75"/>
      <c r="L408" s="73"/>
      <c r="M408" s="78" t="str">
        <f aca="false">IF(OR(E408="",F408=""),"",MAX(0,((F408-E408-N(G408))*1440-N(H408)*10)/60))</f>
        <v/>
      </c>
      <c r="N408" s="78" t="str">
        <f aca="false">IF($D408="欠席",0,IF(OR(I408="",J408=""),"",MAX(0,((J408-I408-N(K408))*1440-N(L408)*10)/60)))</f>
        <v/>
      </c>
      <c r="O408" s="73"/>
    </row>
    <row r="409" customFormat="false" ht="15" hidden="false" customHeight="false" outlineLevel="0" collapsed="false">
      <c r="A409" s="77"/>
      <c r="B409" s="73"/>
      <c r="C409" s="71" t="str">
        <f aca="false">IF(B409="","",IFERROR(INDEX(マスタ!$F$2:$F$60,MATCH(B409,マスタ!$E$2:$E$60,0))&amp;"",""))</f>
        <v/>
      </c>
      <c r="D409" s="73"/>
      <c r="E409" s="75"/>
      <c r="F409" s="75"/>
      <c r="G409" s="75"/>
      <c r="H409" s="73"/>
      <c r="I409" s="75"/>
      <c r="J409" s="75"/>
      <c r="K409" s="75"/>
      <c r="L409" s="73"/>
      <c r="M409" s="78" t="str">
        <f aca="false">IF(OR(E409="",F409=""),"",MAX(0,((F409-E409-N(G409))*1440-N(H409)*10)/60))</f>
        <v/>
      </c>
      <c r="N409" s="78" t="str">
        <f aca="false">IF($D409="欠席",0,IF(OR(I409="",J409=""),"",MAX(0,((J409-I409-N(K409))*1440-N(L409)*10)/60)))</f>
        <v/>
      </c>
      <c r="O409" s="73"/>
    </row>
    <row r="410" customFormat="false" ht="15" hidden="false" customHeight="false" outlineLevel="0" collapsed="false">
      <c r="A410" s="77"/>
      <c r="B410" s="73"/>
      <c r="C410" s="71" t="str">
        <f aca="false">IF(B410="","",IFERROR(INDEX(マスタ!$F$2:$F$60,MATCH(B410,マスタ!$E$2:$E$60,0))&amp;"",""))</f>
        <v/>
      </c>
      <c r="D410" s="73"/>
      <c r="E410" s="75"/>
      <c r="F410" s="75"/>
      <c r="G410" s="75"/>
      <c r="H410" s="73"/>
      <c r="I410" s="75"/>
      <c r="J410" s="75"/>
      <c r="K410" s="75"/>
      <c r="L410" s="73"/>
      <c r="M410" s="78" t="str">
        <f aca="false">IF(OR(E410="",F410=""),"",MAX(0,((F410-E410-N(G410))*1440-N(H410)*10)/60))</f>
        <v/>
      </c>
      <c r="N410" s="78" t="str">
        <f aca="false">IF($D410="欠席",0,IF(OR(I410="",J410=""),"",MAX(0,((J410-I410-N(K410))*1440-N(L410)*10)/60)))</f>
        <v/>
      </c>
      <c r="O410" s="73"/>
    </row>
    <row r="411" customFormat="false" ht="15" hidden="false" customHeight="false" outlineLevel="0" collapsed="false">
      <c r="A411" s="77"/>
      <c r="B411" s="73"/>
      <c r="C411" s="71" t="str">
        <f aca="false">IF(B411="","",IFERROR(INDEX(マスタ!$F$2:$F$60,MATCH(B411,マスタ!$E$2:$E$60,0))&amp;"",""))</f>
        <v/>
      </c>
      <c r="D411" s="73"/>
      <c r="E411" s="75"/>
      <c r="F411" s="75"/>
      <c r="G411" s="75"/>
      <c r="H411" s="73"/>
      <c r="I411" s="75"/>
      <c r="J411" s="75"/>
      <c r="K411" s="75"/>
      <c r="L411" s="73"/>
      <c r="M411" s="78" t="str">
        <f aca="false">IF(OR(E411="",F411=""),"",MAX(0,((F411-E411-N(G411))*1440-N(H411)*10)/60))</f>
        <v/>
      </c>
      <c r="N411" s="78" t="str">
        <f aca="false">IF($D411="欠席",0,IF(OR(I411="",J411=""),"",MAX(0,((J411-I411-N(K411))*1440-N(L411)*10)/60)))</f>
        <v/>
      </c>
      <c r="O411" s="73"/>
    </row>
    <row r="412" customFormat="false" ht="15" hidden="false" customHeight="false" outlineLevel="0" collapsed="false">
      <c r="A412" s="77"/>
      <c r="B412" s="73"/>
      <c r="C412" s="71" t="str">
        <f aca="false">IF(B412="","",IFERROR(INDEX(マスタ!$F$2:$F$60,MATCH(B412,マスタ!$E$2:$E$60,0))&amp;"",""))</f>
        <v/>
      </c>
      <c r="D412" s="73"/>
      <c r="E412" s="75"/>
      <c r="F412" s="75"/>
      <c r="G412" s="75"/>
      <c r="H412" s="73"/>
      <c r="I412" s="75"/>
      <c r="J412" s="75"/>
      <c r="K412" s="75"/>
      <c r="L412" s="73"/>
      <c r="M412" s="78" t="str">
        <f aca="false">IF(OR(E412="",F412=""),"",MAX(0,((F412-E412-N(G412))*1440-N(H412)*10)/60))</f>
        <v/>
      </c>
      <c r="N412" s="78" t="str">
        <f aca="false">IF($D412="欠席",0,IF(OR(I412="",J412=""),"",MAX(0,((J412-I412-N(K412))*1440-N(L412)*10)/60)))</f>
        <v/>
      </c>
      <c r="O412" s="73"/>
    </row>
    <row r="413" customFormat="false" ht="15" hidden="false" customHeight="false" outlineLevel="0" collapsed="false">
      <c r="A413" s="77"/>
      <c r="B413" s="73"/>
      <c r="C413" s="71" t="str">
        <f aca="false">IF(B413="","",IFERROR(INDEX(マスタ!$F$2:$F$60,MATCH(B413,マスタ!$E$2:$E$60,0))&amp;"",""))</f>
        <v/>
      </c>
      <c r="D413" s="73"/>
      <c r="E413" s="75"/>
      <c r="F413" s="75"/>
      <c r="G413" s="75"/>
      <c r="H413" s="73"/>
      <c r="I413" s="75"/>
      <c r="J413" s="75"/>
      <c r="K413" s="75"/>
      <c r="L413" s="73"/>
      <c r="M413" s="78" t="str">
        <f aca="false">IF(OR(E413="",F413=""),"",MAX(0,((F413-E413-N(G413))*1440-N(H413)*10)/60))</f>
        <v/>
      </c>
      <c r="N413" s="78" t="str">
        <f aca="false">IF($D413="欠席",0,IF(OR(I413="",J413=""),"",MAX(0,((J413-I413-N(K413))*1440-N(L413)*10)/60)))</f>
        <v/>
      </c>
      <c r="O413" s="73"/>
    </row>
    <row r="414" customFormat="false" ht="15" hidden="false" customHeight="false" outlineLevel="0" collapsed="false">
      <c r="A414" s="77"/>
      <c r="B414" s="73"/>
      <c r="C414" s="71" t="str">
        <f aca="false">IF(B414="","",IFERROR(INDEX(マスタ!$F$2:$F$60,MATCH(B414,マスタ!$E$2:$E$60,0))&amp;"",""))</f>
        <v/>
      </c>
      <c r="D414" s="73"/>
      <c r="E414" s="75"/>
      <c r="F414" s="75"/>
      <c r="G414" s="75"/>
      <c r="H414" s="73"/>
      <c r="I414" s="75"/>
      <c r="J414" s="75"/>
      <c r="K414" s="75"/>
      <c r="L414" s="73"/>
      <c r="M414" s="78" t="str">
        <f aca="false">IF(OR(E414="",F414=""),"",MAX(0,((F414-E414-N(G414))*1440-N(H414)*10)/60))</f>
        <v/>
      </c>
      <c r="N414" s="78" t="str">
        <f aca="false">IF($D414="欠席",0,IF(OR(I414="",J414=""),"",MAX(0,((J414-I414-N(K414))*1440-N(L414)*10)/60)))</f>
        <v/>
      </c>
      <c r="O414" s="73"/>
    </row>
    <row r="415" customFormat="false" ht="15" hidden="false" customHeight="false" outlineLevel="0" collapsed="false">
      <c r="A415" s="77"/>
      <c r="B415" s="73"/>
      <c r="C415" s="71" t="str">
        <f aca="false">IF(B415="","",IFERROR(INDEX(マスタ!$F$2:$F$60,MATCH(B415,マスタ!$E$2:$E$60,0))&amp;"",""))</f>
        <v/>
      </c>
      <c r="D415" s="73"/>
      <c r="E415" s="75"/>
      <c r="F415" s="75"/>
      <c r="G415" s="75"/>
      <c r="H415" s="73"/>
      <c r="I415" s="75"/>
      <c r="J415" s="75"/>
      <c r="K415" s="75"/>
      <c r="L415" s="73"/>
      <c r="M415" s="78" t="str">
        <f aca="false">IF(OR(E415="",F415=""),"",MAX(0,((F415-E415-N(G415))*1440-N(H415)*10)/60))</f>
        <v/>
      </c>
      <c r="N415" s="78" t="str">
        <f aca="false">IF($D415="欠席",0,IF(OR(I415="",J415=""),"",MAX(0,((J415-I415-N(K415))*1440-N(L415)*10)/60)))</f>
        <v/>
      </c>
      <c r="O415" s="73"/>
    </row>
    <row r="416" customFormat="false" ht="15" hidden="false" customHeight="false" outlineLevel="0" collapsed="false">
      <c r="A416" s="77"/>
      <c r="B416" s="73"/>
      <c r="C416" s="71" t="str">
        <f aca="false">IF(B416="","",IFERROR(INDEX(マスタ!$F$2:$F$60,MATCH(B416,マスタ!$E$2:$E$60,0))&amp;"",""))</f>
        <v/>
      </c>
      <c r="D416" s="73"/>
      <c r="E416" s="75"/>
      <c r="F416" s="75"/>
      <c r="G416" s="75"/>
      <c r="H416" s="73"/>
      <c r="I416" s="75"/>
      <c r="J416" s="75"/>
      <c r="K416" s="75"/>
      <c r="L416" s="73"/>
      <c r="M416" s="78" t="str">
        <f aca="false">IF(OR(E416="",F416=""),"",MAX(0,((F416-E416-N(G416))*1440-N(H416)*10)/60))</f>
        <v/>
      </c>
      <c r="N416" s="78" t="str">
        <f aca="false">IF($D416="欠席",0,IF(OR(I416="",J416=""),"",MAX(0,((J416-I416-N(K416))*1440-N(L416)*10)/60)))</f>
        <v/>
      </c>
      <c r="O416" s="73"/>
    </row>
    <row r="417" customFormat="false" ht="15" hidden="false" customHeight="false" outlineLevel="0" collapsed="false">
      <c r="A417" s="77"/>
      <c r="B417" s="73"/>
      <c r="C417" s="71" t="str">
        <f aca="false">IF(B417="","",IFERROR(INDEX(マスタ!$F$2:$F$60,MATCH(B417,マスタ!$E$2:$E$60,0))&amp;"",""))</f>
        <v/>
      </c>
      <c r="D417" s="73"/>
      <c r="E417" s="75"/>
      <c r="F417" s="75"/>
      <c r="G417" s="75"/>
      <c r="H417" s="73"/>
      <c r="I417" s="75"/>
      <c r="J417" s="75"/>
      <c r="K417" s="75"/>
      <c r="L417" s="73"/>
      <c r="M417" s="78" t="str">
        <f aca="false">IF(OR(E417="",F417=""),"",MAX(0,((F417-E417-N(G417))*1440-N(H417)*10)/60))</f>
        <v/>
      </c>
      <c r="N417" s="78" t="str">
        <f aca="false">IF($D417="欠席",0,IF(OR(I417="",J417=""),"",MAX(0,((J417-I417-N(K417))*1440-N(L417)*10)/60)))</f>
        <v/>
      </c>
      <c r="O417" s="73"/>
    </row>
    <row r="418" customFormat="false" ht="15" hidden="false" customHeight="false" outlineLevel="0" collapsed="false">
      <c r="A418" s="77"/>
      <c r="B418" s="73"/>
      <c r="C418" s="71" t="str">
        <f aca="false">IF(B418="","",IFERROR(INDEX(マスタ!$F$2:$F$60,MATCH(B418,マスタ!$E$2:$E$60,0))&amp;"",""))</f>
        <v/>
      </c>
      <c r="D418" s="73"/>
      <c r="E418" s="75"/>
      <c r="F418" s="75"/>
      <c r="G418" s="75"/>
      <c r="H418" s="73"/>
      <c r="I418" s="75"/>
      <c r="J418" s="75"/>
      <c r="K418" s="75"/>
      <c r="L418" s="73"/>
      <c r="M418" s="78" t="str">
        <f aca="false">IF(OR(E418="",F418=""),"",MAX(0,((F418-E418-N(G418))*1440-N(H418)*10)/60))</f>
        <v/>
      </c>
      <c r="N418" s="78" t="str">
        <f aca="false">IF($D418="欠席",0,IF(OR(I418="",J418=""),"",MAX(0,((J418-I418-N(K418))*1440-N(L418)*10)/60)))</f>
        <v/>
      </c>
      <c r="O418" s="73"/>
    </row>
    <row r="419" customFormat="false" ht="15" hidden="false" customHeight="false" outlineLevel="0" collapsed="false">
      <c r="A419" s="77"/>
      <c r="B419" s="73"/>
      <c r="C419" s="71" t="str">
        <f aca="false">IF(B419="","",IFERROR(INDEX(マスタ!$F$2:$F$60,MATCH(B419,マスタ!$E$2:$E$60,0))&amp;"",""))</f>
        <v/>
      </c>
      <c r="D419" s="73"/>
      <c r="E419" s="75"/>
      <c r="F419" s="75"/>
      <c r="G419" s="75"/>
      <c r="H419" s="73"/>
      <c r="I419" s="75"/>
      <c r="J419" s="75"/>
      <c r="K419" s="75"/>
      <c r="L419" s="73"/>
      <c r="M419" s="78" t="str">
        <f aca="false">IF(OR(E419="",F419=""),"",MAX(0,((F419-E419-N(G419))*1440-N(H419)*10)/60))</f>
        <v/>
      </c>
      <c r="N419" s="78" t="str">
        <f aca="false">IF($D419="欠席",0,IF(OR(I419="",J419=""),"",MAX(0,((J419-I419-N(K419))*1440-N(L419)*10)/60)))</f>
        <v/>
      </c>
      <c r="O419" s="73"/>
    </row>
    <row r="420" customFormat="false" ht="15" hidden="false" customHeight="false" outlineLevel="0" collapsed="false">
      <c r="A420" s="77"/>
      <c r="B420" s="73"/>
      <c r="C420" s="71" t="str">
        <f aca="false">IF(B420="","",IFERROR(INDEX(マスタ!$F$2:$F$60,MATCH(B420,マスタ!$E$2:$E$60,0))&amp;"",""))</f>
        <v/>
      </c>
      <c r="D420" s="73"/>
      <c r="E420" s="75"/>
      <c r="F420" s="75"/>
      <c r="G420" s="75"/>
      <c r="H420" s="73"/>
      <c r="I420" s="75"/>
      <c r="J420" s="75"/>
      <c r="K420" s="75"/>
      <c r="L420" s="73"/>
      <c r="M420" s="78" t="str">
        <f aca="false">IF(OR(E420="",F420=""),"",MAX(0,((F420-E420-N(G420))*1440-N(H420)*10)/60))</f>
        <v/>
      </c>
      <c r="N420" s="78" t="str">
        <f aca="false">IF($D420="欠席",0,IF(OR(I420="",J420=""),"",MAX(0,((J420-I420-N(K420))*1440-N(L420)*10)/60)))</f>
        <v/>
      </c>
      <c r="O420" s="73"/>
    </row>
    <row r="421" customFormat="false" ht="15" hidden="false" customHeight="false" outlineLevel="0" collapsed="false">
      <c r="A421" s="77"/>
      <c r="B421" s="73"/>
      <c r="C421" s="71" t="str">
        <f aca="false">IF(B421="","",IFERROR(INDEX(マスタ!$F$2:$F$60,MATCH(B421,マスタ!$E$2:$E$60,0))&amp;"",""))</f>
        <v/>
      </c>
      <c r="D421" s="73"/>
      <c r="E421" s="75"/>
      <c r="F421" s="75"/>
      <c r="G421" s="75"/>
      <c r="H421" s="73"/>
      <c r="I421" s="75"/>
      <c r="J421" s="75"/>
      <c r="K421" s="75"/>
      <c r="L421" s="73"/>
      <c r="M421" s="78" t="str">
        <f aca="false">IF(OR(E421="",F421=""),"",MAX(0,((F421-E421-N(G421))*1440-N(H421)*10)/60))</f>
        <v/>
      </c>
      <c r="N421" s="78" t="str">
        <f aca="false">IF($D421="欠席",0,IF(OR(I421="",J421=""),"",MAX(0,((J421-I421-N(K421))*1440-N(L421)*10)/60)))</f>
        <v/>
      </c>
      <c r="O421" s="73"/>
    </row>
    <row r="422" customFormat="false" ht="15" hidden="false" customHeight="false" outlineLevel="0" collapsed="false">
      <c r="A422" s="77"/>
      <c r="B422" s="73"/>
      <c r="C422" s="71" t="str">
        <f aca="false">IF(B422="","",IFERROR(INDEX(マスタ!$F$2:$F$60,MATCH(B422,マスタ!$E$2:$E$60,0))&amp;"",""))</f>
        <v/>
      </c>
      <c r="D422" s="73"/>
      <c r="E422" s="75"/>
      <c r="F422" s="75"/>
      <c r="G422" s="75"/>
      <c r="H422" s="73"/>
      <c r="I422" s="75"/>
      <c r="J422" s="75"/>
      <c r="K422" s="75"/>
      <c r="L422" s="73"/>
      <c r="M422" s="78" t="str">
        <f aca="false">IF(OR(E422="",F422=""),"",MAX(0,((F422-E422-N(G422))*1440-N(H422)*10)/60))</f>
        <v/>
      </c>
      <c r="N422" s="78" t="str">
        <f aca="false">IF($D422="欠席",0,IF(OR(I422="",J422=""),"",MAX(0,((J422-I422-N(K422))*1440-N(L422)*10)/60)))</f>
        <v/>
      </c>
      <c r="O422" s="73"/>
    </row>
    <row r="423" customFormat="false" ht="15" hidden="false" customHeight="false" outlineLevel="0" collapsed="false">
      <c r="A423" s="77"/>
      <c r="B423" s="73"/>
      <c r="C423" s="71" t="str">
        <f aca="false">IF(B423="","",IFERROR(INDEX(マスタ!$F$2:$F$60,MATCH(B423,マスタ!$E$2:$E$60,0))&amp;"",""))</f>
        <v/>
      </c>
      <c r="D423" s="73"/>
      <c r="E423" s="75"/>
      <c r="F423" s="75"/>
      <c r="G423" s="75"/>
      <c r="H423" s="73"/>
      <c r="I423" s="75"/>
      <c r="J423" s="75"/>
      <c r="K423" s="75"/>
      <c r="L423" s="73"/>
      <c r="M423" s="78" t="str">
        <f aca="false">IF(OR(E423="",F423=""),"",MAX(0,((F423-E423-N(G423))*1440-N(H423)*10)/60))</f>
        <v/>
      </c>
      <c r="N423" s="78" t="str">
        <f aca="false">IF($D423="欠席",0,IF(OR(I423="",J423=""),"",MAX(0,((J423-I423-N(K423))*1440-N(L423)*10)/60)))</f>
        <v/>
      </c>
      <c r="O423" s="73"/>
    </row>
    <row r="424" customFormat="false" ht="15" hidden="false" customHeight="false" outlineLevel="0" collapsed="false">
      <c r="A424" s="77"/>
      <c r="B424" s="73"/>
      <c r="C424" s="71" t="str">
        <f aca="false">IF(B424="","",IFERROR(INDEX(マスタ!$F$2:$F$60,MATCH(B424,マスタ!$E$2:$E$60,0))&amp;"",""))</f>
        <v/>
      </c>
      <c r="D424" s="73"/>
      <c r="E424" s="75"/>
      <c r="F424" s="75"/>
      <c r="G424" s="75"/>
      <c r="H424" s="73"/>
      <c r="I424" s="75"/>
      <c r="J424" s="75"/>
      <c r="K424" s="75"/>
      <c r="L424" s="73"/>
      <c r="M424" s="78" t="str">
        <f aca="false">IF(OR(E424="",F424=""),"",MAX(0,((F424-E424-N(G424))*1440-N(H424)*10)/60))</f>
        <v/>
      </c>
      <c r="N424" s="78" t="str">
        <f aca="false">IF($D424="欠席",0,IF(OR(I424="",J424=""),"",MAX(0,((J424-I424-N(K424))*1440-N(L424)*10)/60)))</f>
        <v/>
      </c>
      <c r="O424" s="73"/>
    </row>
    <row r="425" customFormat="false" ht="15" hidden="false" customHeight="false" outlineLevel="0" collapsed="false">
      <c r="A425" s="77"/>
      <c r="B425" s="73"/>
      <c r="C425" s="71" t="str">
        <f aca="false">IF(B425="","",IFERROR(INDEX(マスタ!$F$2:$F$60,MATCH(B425,マスタ!$E$2:$E$60,0))&amp;"",""))</f>
        <v/>
      </c>
      <c r="D425" s="73"/>
      <c r="E425" s="75"/>
      <c r="F425" s="75"/>
      <c r="G425" s="75"/>
      <c r="H425" s="73"/>
      <c r="I425" s="75"/>
      <c r="J425" s="75"/>
      <c r="K425" s="75"/>
      <c r="L425" s="73"/>
      <c r="M425" s="78" t="str">
        <f aca="false">IF(OR(E425="",F425=""),"",MAX(0,((F425-E425-N(G425))*1440-N(H425)*10)/60))</f>
        <v/>
      </c>
      <c r="N425" s="78" t="str">
        <f aca="false">IF($D425="欠席",0,IF(OR(I425="",J425=""),"",MAX(0,((J425-I425-N(K425))*1440-N(L425)*10)/60)))</f>
        <v/>
      </c>
      <c r="O425" s="73"/>
    </row>
    <row r="426" customFormat="false" ht="15" hidden="false" customHeight="false" outlineLevel="0" collapsed="false">
      <c r="A426" s="77"/>
      <c r="B426" s="73"/>
      <c r="C426" s="71" t="str">
        <f aca="false">IF(B426="","",IFERROR(INDEX(マスタ!$F$2:$F$60,MATCH(B426,マスタ!$E$2:$E$60,0))&amp;"",""))</f>
        <v/>
      </c>
      <c r="D426" s="73"/>
      <c r="E426" s="75"/>
      <c r="F426" s="75"/>
      <c r="G426" s="75"/>
      <c r="H426" s="73"/>
      <c r="I426" s="75"/>
      <c r="J426" s="75"/>
      <c r="K426" s="75"/>
      <c r="L426" s="73"/>
      <c r="M426" s="78" t="str">
        <f aca="false">IF(OR(E426="",F426=""),"",MAX(0,((F426-E426-N(G426))*1440-N(H426)*10)/60))</f>
        <v/>
      </c>
      <c r="N426" s="78" t="str">
        <f aca="false">IF($D426="欠席",0,IF(OR(I426="",J426=""),"",MAX(0,((J426-I426-N(K426))*1440-N(L426)*10)/60)))</f>
        <v/>
      </c>
      <c r="O426" s="73"/>
    </row>
    <row r="427" customFormat="false" ht="15" hidden="false" customHeight="false" outlineLevel="0" collapsed="false">
      <c r="A427" s="77"/>
      <c r="B427" s="73"/>
      <c r="C427" s="71" t="str">
        <f aca="false">IF(B427="","",IFERROR(INDEX(マスタ!$F$2:$F$60,MATCH(B427,マスタ!$E$2:$E$60,0))&amp;"",""))</f>
        <v/>
      </c>
      <c r="D427" s="73"/>
      <c r="E427" s="75"/>
      <c r="F427" s="75"/>
      <c r="G427" s="75"/>
      <c r="H427" s="73"/>
      <c r="I427" s="75"/>
      <c r="J427" s="75"/>
      <c r="K427" s="75"/>
      <c r="L427" s="73"/>
      <c r="M427" s="78" t="str">
        <f aca="false">IF(OR(E427="",F427=""),"",MAX(0,((F427-E427-N(G427))*1440-N(H427)*10)/60))</f>
        <v/>
      </c>
      <c r="N427" s="78" t="str">
        <f aca="false">IF($D427="欠席",0,IF(OR(I427="",J427=""),"",MAX(0,((J427-I427-N(K427))*1440-N(L427)*10)/60)))</f>
        <v/>
      </c>
      <c r="O427" s="73"/>
    </row>
    <row r="428" customFormat="false" ht="15" hidden="false" customHeight="false" outlineLevel="0" collapsed="false">
      <c r="A428" s="77"/>
      <c r="B428" s="73"/>
      <c r="C428" s="71" t="str">
        <f aca="false">IF(B428="","",IFERROR(INDEX(マスタ!$F$2:$F$60,MATCH(B428,マスタ!$E$2:$E$60,0))&amp;"",""))</f>
        <v/>
      </c>
      <c r="D428" s="73"/>
      <c r="E428" s="75"/>
      <c r="F428" s="75"/>
      <c r="G428" s="75"/>
      <c r="H428" s="73"/>
      <c r="I428" s="75"/>
      <c r="J428" s="75"/>
      <c r="K428" s="75"/>
      <c r="L428" s="73"/>
      <c r="M428" s="78" t="str">
        <f aca="false">IF(OR(E428="",F428=""),"",MAX(0,((F428-E428-N(G428))*1440-N(H428)*10)/60))</f>
        <v/>
      </c>
      <c r="N428" s="78" t="str">
        <f aca="false">IF($D428="欠席",0,IF(OR(I428="",J428=""),"",MAX(0,((J428-I428-N(K428))*1440-N(L428)*10)/60)))</f>
        <v/>
      </c>
      <c r="O428" s="73"/>
    </row>
    <row r="429" customFormat="false" ht="15" hidden="false" customHeight="false" outlineLevel="0" collapsed="false">
      <c r="A429" s="77"/>
      <c r="B429" s="73"/>
      <c r="C429" s="71" t="str">
        <f aca="false">IF(B429="","",IFERROR(INDEX(マスタ!$F$2:$F$60,MATCH(B429,マスタ!$E$2:$E$60,0))&amp;"",""))</f>
        <v/>
      </c>
      <c r="D429" s="73"/>
      <c r="E429" s="75"/>
      <c r="F429" s="75"/>
      <c r="G429" s="75"/>
      <c r="H429" s="73"/>
      <c r="I429" s="75"/>
      <c r="J429" s="75"/>
      <c r="K429" s="75"/>
      <c r="L429" s="73"/>
      <c r="M429" s="78" t="str">
        <f aca="false">IF(OR(E429="",F429=""),"",MAX(0,((F429-E429-N(G429))*1440-N(H429)*10)/60))</f>
        <v/>
      </c>
      <c r="N429" s="78" t="str">
        <f aca="false">IF($D429="欠席",0,IF(OR(I429="",J429=""),"",MAX(0,((J429-I429-N(K429))*1440-N(L429)*10)/60)))</f>
        <v/>
      </c>
      <c r="O429" s="73"/>
    </row>
    <row r="430" customFormat="false" ht="15" hidden="false" customHeight="false" outlineLevel="0" collapsed="false">
      <c r="A430" s="77"/>
      <c r="B430" s="73"/>
      <c r="C430" s="71" t="str">
        <f aca="false">IF(B430="","",IFERROR(INDEX(マスタ!$F$2:$F$60,MATCH(B430,マスタ!$E$2:$E$60,0))&amp;"",""))</f>
        <v/>
      </c>
      <c r="D430" s="73"/>
      <c r="E430" s="75"/>
      <c r="F430" s="75"/>
      <c r="G430" s="75"/>
      <c r="H430" s="73"/>
      <c r="I430" s="75"/>
      <c r="J430" s="75"/>
      <c r="K430" s="75"/>
      <c r="L430" s="73"/>
      <c r="M430" s="78" t="str">
        <f aca="false">IF(OR(E430="",F430=""),"",MAX(0,((F430-E430-N(G430))*1440-N(H430)*10)/60))</f>
        <v/>
      </c>
      <c r="N430" s="78" t="str">
        <f aca="false">IF($D430="欠席",0,IF(OR(I430="",J430=""),"",MAX(0,((J430-I430-N(K430))*1440-N(L430)*10)/60)))</f>
        <v/>
      </c>
      <c r="O430" s="73"/>
    </row>
    <row r="431" customFormat="false" ht="15" hidden="false" customHeight="false" outlineLevel="0" collapsed="false">
      <c r="A431" s="77"/>
      <c r="B431" s="73"/>
      <c r="C431" s="71" t="str">
        <f aca="false">IF(B431="","",IFERROR(INDEX(マスタ!$F$2:$F$60,MATCH(B431,マスタ!$E$2:$E$60,0))&amp;"",""))</f>
        <v/>
      </c>
      <c r="D431" s="73"/>
      <c r="E431" s="75"/>
      <c r="F431" s="75"/>
      <c r="G431" s="75"/>
      <c r="H431" s="73"/>
      <c r="I431" s="75"/>
      <c r="J431" s="75"/>
      <c r="K431" s="75"/>
      <c r="L431" s="73"/>
      <c r="M431" s="78" t="str">
        <f aca="false">IF(OR(E431="",F431=""),"",MAX(0,((F431-E431-N(G431))*1440-N(H431)*10)/60))</f>
        <v/>
      </c>
      <c r="N431" s="78" t="str">
        <f aca="false">IF($D431="欠席",0,IF(OR(I431="",J431=""),"",MAX(0,((J431-I431-N(K431))*1440-N(L431)*10)/60)))</f>
        <v/>
      </c>
      <c r="O431" s="73"/>
    </row>
    <row r="432" customFormat="false" ht="15" hidden="false" customHeight="false" outlineLevel="0" collapsed="false">
      <c r="A432" s="77"/>
      <c r="B432" s="73"/>
      <c r="C432" s="71" t="str">
        <f aca="false">IF(B432="","",IFERROR(INDEX(マスタ!$F$2:$F$60,MATCH(B432,マスタ!$E$2:$E$60,0))&amp;"",""))</f>
        <v/>
      </c>
      <c r="D432" s="73"/>
      <c r="E432" s="75"/>
      <c r="F432" s="75"/>
      <c r="G432" s="75"/>
      <c r="H432" s="73"/>
      <c r="I432" s="75"/>
      <c r="J432" s="75"/>
      <c r="K432" s="75"/>
      <c r="L432" s="73"/>
      <c r="M432" s="78" t="str">
        <f aca="false">IF(OR(E432="",F432=""),"",MAX(0,((F432-E432-N(G432))*1440-N(H432)*10)/60))</f>
        <v/>
      </c>
      <c r="N432" s="78" t="str">
        <f aca="false">IF($D432="欠席",0,IF(OR(I432="",J432=""),"",MAX(0,((J432-I432-N(K432))*1440-N(L432)*10)/60)))</f>
        <v/>
      </c>
      <c r="O432" s="73"/>
    </row>
    <row r="433" customFormat="false" ht="15" hidden="false" customHeight="false" outlineLevel="0" collapsed="false">
      <c r="A433" s="77"/>
      <c r="B433" s="73"/>
      <c r="C433" s="71" t="str">
        <f aca="false">IF(B433="","",IFERROR(INDEX(マスタ!$F$2:$F$60,MATCH(B433,マスタ!$E$2:$E$60,0))&amp;"",""))</f>
        <v/>
      </c>
      <c r="D433" s="73"/>
      <c r="E433" s="75"/>
      <c r="F433" s="75"/>
      <c r="G433" s="75"/>
      <c r="H433" s="73"/>
      <c r="I433" s="75"/>
      <c r="J433" s="75"/>
      <c r="K433" s="75"/>
      <c r="L433" s="73"/>
      <c r="M433" s="78" t="str">
        <f aca="false">IF(OR(E433="",F433=""),"",MAX(0,((F433-E433-N(G433))*1440-N(H433)*10)/60))</f>
        <v/>
      </c>
      <c r="N433" s="78" t="str">
        <f aca="false">IF($D433="欠席",0,IF(OR(I433="",J433=""),"",MAX(0,((J433-I433-N(K433))*1440-N(L433)*10)/60)))</f>
        <v/>
      </c>
      <c r="O433" s="73"/>
    </row>
    <row r="434" customFormat="false" ht="15" hidden="false" customHeight="false" outlineLevel="0" collapsed="false">
      <c r="A434" s="77"/>
      <c r="B434" s="73"/>
      <c r="C434" s="71" t="str">
        <f aca="false">IF(B434="","",IFERROR(INDEX(マスタ!$F$2:$F$60,MATCH(B434,マスタ!$E$2:$E$60,0))&amp;"",""))</f>
        <v/>
      </c>
      <c r="D434" s="73"/>
      <c r="E434" s="75"/>
      <c r="F434" s="75"/>
      <c r="G434" s="75"/>
      <c r="H434" s="73"/>
      <c r="I434" s="75"/>
      <c r="J434" s="75"/>
      <c r="K434" s="75"/>
      <c r="L434" s="73"/>
      <c r="M434" s="78" t="str">
        <f aca="false">IF(OR(E434="",F434=""),"",MAX(0,((F434-E434-N(G434))*1440-N(H434)*10)/60))</f>
        <v/>
      </c>
      <c r="N434" s="78" t="str">
        <f aca="false">IF($D434="欠席",0,IF(OR(I434="",J434=""),"",MAX(0,((J434-I434-N(K434))*1440-N(L434)*10)/60)))</f>
        <v/>
      </c>
      <c r="O434" s="73"/>
    </row>
    <row r="435" customFormat="false" ht="15" hidden="false" customHeight="false" outlineLevel="0" collapsed="false">
      <c r="A435" s="77"/>
      <c r="B435" s="73"/>
      <c r="C435" s="71" t="str">
        <f aca="false">IF(B435="","",IFERROR(INDEX(マスタ!$F$2:$F$60,MATCH(B435,マスタ!$E$2:$E$60,0))&amp;"",""))</f>
        <v/>
      </c>
      <c r="D435" s="73"/>
      <c r="E435" s="75"/>
      <c r="F435" s="75"/>
      <c r="G435" s="75"/>
      <c r="H435" s="73"/>
      <c r="I435" s="75"/>
      <c r="J435" s="75"/>
      <c r="K435" s="75"/>
      <c r="L435" s="73"/>
      <c r="M435" s="78" t="str">
        <f aca="false">IF(OR(E435="",F435=""),"",MAX(0,((F435-E435-N(G435))*1440-N(H435)*10)/60))</f>
        <v/>
      </c>
      <c r="N435" s="78" t="str">
        <f aca="false">IF($D435="欠席",0,IF(OR(I435="",J435=""),"",MAX(0,((J435-I435-N(K435))*1440-N(L435)*10)/60)))</f>
        <v/>
      </c>
      <c r="O435" s="73"/>
    </row>
    <row r="436" customFormat="false" ht="15" hidden="false" customHeight="false" outlineLevel="0" collapsed="false">
      <c r="A436" s="77"/>
      <c r="B436" s="73"/>
      <c r="C436" s="71" t="str">
        <f aca="false">IF(B436="","",IFERROR(INDEX(マスタ!$F$2:$F$60,MATCH(B436,マスタ!$E$2:$E$60,0))&amp;"",""))</f>
        <v/>
      </c>
      <c r="D436" s="73"/>
      <c r="E436" s="75"/>
      <c r="F436" s="75"/>
      <c r="G436" s="75"/>
      <c r="H436" s="73"/>
      <c r="I436" s="75"/>
      <c r="J436" s="75"/>
      <c r="K436" s="75"/>
      <c r="L436" s="73"/>
      <c r="M436" s="78" t="str">
        <f aca="false">IF(OR(E436="",F436=""),"",MAX(0,((F436-E436-N(G436))*1440-N(H436)*10)/60))</f>
        <v/>
      </c>
      <c r="N436" s="78" t="str">
        <f aca="false">IF($D436="欠席",0,IF(OR(I436="",J436=""),"",MAX(0,((J436-I436-N(K436))*1440-N(L436)*10)/60)))</f>
        <v/>
      </c>
      <c r="O436" s="73"/>
    </row>
    <row r="437" customFormat="false" ht="15" hidden="false" customHeight="false" outlineLevel="0" collapsed="false">
      <c r="A437" s="77"/>
      <c r="B437" s="73"/>
      <c r="C437" s="71" t="str">
        <f aca="false">IF(B437="","",IFERROR(INDEX(マスタ!$F$2:$F$60,MATCH(B437,マスタ!$E$2:$E$60,0))&amp;"",""))</f>
        <v/>
      </c>
      <c r="D437" s="73"/>
      <c r="E437" s="75"/>
      <c r="F437" s="75"/>
      <c r="G437" s="75"/>
      <c r="H437" s="73"/>
      <c r="I437" s="75"/>
      <c r="J437" s="75"/>
      <c r="K437" s="75"/>
      <c r="L437" s="73"/>
      <c r="M437" s="78" t="str">
        <f aca="false">IF(OR(E437="",F437=""),"",MAX(0,((F437-E437-N(G437))*1440-N(H437)*10)/60))</f>
        <v/>
      </c>
      <c r="N437" s="78" t="str">
        <f aca="false">IF($D437="欠席",0,IF(OR(I437="",J437=""),"",MAX(0,((J437-I437-N(K437))*1440-N(L437)*10)/60)))</f>
        <v/>
      </c>
      <c r="O437" s="73"/>
    </row>
    <row r="438" customFormat="false" ht="15" hidden="false" customHeight="false" outlineLevel="0" collapsed="false">
      <c r="A438" s="77"/>
      <c r="B438" s="73"/>
      <c r="C438" s="71" t="str">
        <f aca="false">IF(B438="","",IFERROR(INDEX(マスタ!$F$2:$F$60,MATCH(B438,マスタ!$E$2:$E$60,0))&amp;"",""))</f>
        <v/>
      </c>
      <c r="D438" s="73"/>
      <c r="E438" s="75"/>
      <c r="F438" s="75"/>
      <c r="G438" s="75"/>
      <c r="H438" s="73"/>
      <c r="I438" s="75"/>
      <c r="J438" s="75"/>
      <c r="K438" s="75"/>
      <c r="L438" s="73"/>
      <c r="M438" s="78" t="str">
        <f aca="false">IF(OR(E438="",F438=""),"",MAX(0,((F438-E438-N(G438))*1440-N(H438)*10)/60))</f>
        <v/>
      </c>
      <c r="N438" s="78" t="str">
        <f aca="false">IF($D438="欠席",0,IF(OR(I438="",J438=""),"",MAX(0,((J438-I438-N(K438))*1440-N(L438)*10)/60)))</f>
        <v/>
      </c>
      <c r="O438" s="73"/>
    </row>
    <row r="439" customFormat="false" ht="15" hidden="false" customHeight="false" outlineLevel="0" collapsed="false">
      <c r="A439" s="77"/>
      <c r="B439" s="73"/>
      <c r="C439" s="71" t="str">
        <f aca="false">IF(B439="","",IFERROR(INDEX(マスタ!$F$2:$F$60,MATCH(B439,マスタ!$E$2:$E$60,0))&amp;"",""))</f>
        <v/>
      </c>
      <c r="D439" s="73"/>
      <c r="E439" s="75"/>
      <c r="F439" s="75"/>
      <c r="G439" s="75"/>
      <c r="H439" s="73"/>
      <c r="I439" s="75"/>
      <c r="J439" s="75"/>
      <c r="K439" s="75"/>
      <c r="L439" s="73"/>
      <c r="M439" s="78" t="str">
        <f aca="false">IF(OR(E439="",F439=""),"",MAX(0,((F439-E439-N(G439))*1440-N(H439)*10)/60))</f>
        <v/>
      </c>
      <c r="N439" s="78" t="str">
        <f aca="false">IF($D439="欠席",0,IF(OR(I439="",J439=""),"",MAX(0,((J439-I439-N(K439))*1440-N(L439)*10)/60)))</f>
        <v/>
      </c>
      <c r="O439" s="73"/>
    </row>
    <row r="440" customFormat="false" ht="15" hidden="false" customHeight="false" outlineLevel="0" collapsed="false">
      <c r="A440" s="77"/>
      <c r="B440" s="73"/>
      <c r="C440" s="71" t="str">
        <f aca="false">IF(B440="","",IFERROR(INDEX(マスタ!$F$2:$F$60,MATCH(B440,マスタ!$E$2:$E$60,0))&amp;"",""))</f>
        <v/>
      </c>
      <c r="D440" s="73"/>
      <c r="E440" s="75"/>
      <c r="F440" s="75"/>
      <c r="G440" s="75"/>
      <c r="H440" s="73"/>
      <c r="I440" s="75"/>
      <c r="J440" s="75"/>
      <c r="K440" s="75"/>
      <c r="L440" s="73"/>
      <c r="M440" s="78" t="str">
        <f aca="false">IF(OR(E440="",F440=""),"",MAX(0,((F440-E440-N(G440))*1440-N(H440)*10)/60))</f>
        <v/>
      </c>
      <c r="N440" s="78" t="str">
        <f aca="false">IF($D440="欠席",0,IF(OR(I440="",J440=""),"",MAX(0,((J440-I440-N(K440))*1440-N(L440)*10)/60)))</f>
        <v/>
      </c>
      <c r="O440" s="73"/>
    </row>
    <row r="441" customFormat="false" ht="15" hidden="false" customHeight="false" outlineLevel="0" collapsed="false">
      <c r="A441" s="77"/>
      <c r="B441" s="73"/>
      <c r="C441" s="71" t="str">
        <f aca="false">IF(B441="","",IFERROR(INDEX(マスタ!$F$2:$F$60,MATCH(B441,マスタ!$E$2:$E$60,0))&amp;"",""))</f>
        <v/>
      </c>
      <c r="D441" s="73"/>
      <c r="E441" s="75"/>
      <c r="F441" s="75"/>
      <c r="G441" s="75"/>
      <c r="H441" s="73"/>
      <c r="I441" s="75"/>
      <c r="J441" s="75"/>
      <c r="K441" s="75"/>
      <c r="L441" s="73"/>
      <c r="M441" s="78" t="str">
        <f aca="false">IF(OR(E441="",F441=""),"",MAX(0,((F441-E441-N(G441))*1440-N(H441)*10)/60))</f>
        <v/>
      </c>
      <c r="N441" s="78" t="str">
        <f aca="false">IF($D441="欠席",0,IF(OR(I441="",J441=""),"",MAX(0,((J441-I441-N(K441))*1440-N(L441)*10)/60)))</f>
        <v/>
      </c>
      <c r="O441" s="73"/>
    </row>
    <row r="442" customFormat="false" ht="15" hidden="false" customHeight="false" outlineLevel="0" collapsed="false">
      <c r="A442" s="77"/>
      <c r="B442" s="73"/>
      <c r="C442" s="71" t="str">
        <f aca="false">IF(B442="","",IFERROR(INDEX(マスタ!$F$2:$F$60,MATCH(B442,マスタ!$E$2:$E$60,0))&amp;"",""))</f>
        <v/>
      </c>
      <c r="D442" s="73"/>
      <c r="E442" s="75"/>
      <c r="F442" s="75"/>
      <c r="G442" s="75"/>
      <c r="H442" s="73"/>
      <c r="I442" s="75"/>
      <c r="J442" s="75"/>
      <c r="K442" s="75"/>
      <c r="L442" s="73"/>
      <c r="M442" s="78" t="str">
        <f aca="false">IF(OR(E442="",F442=""),"",MAX(0,((F442-E442-N(G442))*1440-N(H442)*10)/60))</f>
        <v/>
      </c>
      <c r="N442" s="78" t="str">
        <f aca="false">IF($D442="欠席",0,IF(OR(I442="",J442=""),"",MAX(0,((J442-I442-N(K442))*1440-N(L442)*10)/60)))</f>
        <v/>
      </c>
      <c r="O442" s="73"/>
    </row>
    <row r="443" customFormat="false" ht="15" hidden="false" customHeight="false" outlineLevel="0" collapsed="false">
      <c r="A443" s="77"/>
      <c r="B443" s="73"/>
      <c r="C443" s="71" t="str">
        <f aca="false">IF(B443="","",IFERROR(INDEX(マスタ!$F$2:$F$60,MATCH(B443,マスタ!$E$2:$E$60,0))&amp;"",""))</f>
        <v/>
      </c>
      <c r="D443" s="73"/>
      <c r="E443" s="75"/>
      <c r="F443" s="75"/>
      <c r="G443" s="75"/>
      <c r="H443" s="73"/>
      <c r="I443" s="75"/>
      <c r="J443" s="75"/>
      <c r="K443" s="75"/>
      <c r="L443" s="73"/>
      <c r="M443" s="78" t="str">
        <f aca="false">IF(OR(E443="",F443=""),"",MAX(0,((F443-E443-N(G443))*1440-N(H443)*10)/60))</f>
        <v/>
      </c>
      <c r="N443" s="78" t="str">
        <f aca="false">IF($D443="欠席",0,IF(OR(I443="",J443=""),"",MAX(0,((J443-I443-N(K443))*1440-N(L443)*10)/60)))</f>
        <v/>
      </c>
      <c r="O443" s="73"/>
    </row>
    <row r="444" customFormat="false" ht="15" hidden="false" customHeight="false" outlineLevel="0" collapsed="false">
      <c r="A444" s="77"/>
      <c r="B444" s="73"/>
      <c r="C444" s="71" t="str">
        <f aca="false">IF(B444="","",IFERROR(INDEX(マスタ!$F$2:$F$60,MATCH(B444,マスタ!$E$2:$E$60,0))&amp;"",""))</f>
        <v/>
      </c>
      <c r="D444" s="73"/>
      <c r="E444" s="75"/>
      <c r="F444" s="75"/>
      <c r="G444" s="75"/>
      <c r="H444" s="73"/>
      <c r="I444" s="75"/>
      <c r="J444" s="75"/>
      <c r="K444" s="75"/>
      <c r="L444" s="73"/>
      <c r="M444" s="78" t="str">
        <f aca="false">IF(OR(E444="",F444=""),"",MAX(0,((F444-E444-N(G444))*1440-N(H444)*10)/60))</f>
        <v/>
      </c>
      <c r="N444" s="78" t="str">
        <f aca="false">IF($D444="欠席",0,IF(OR(I444="",J444=""),"",MAX(0,((J444-I444-N(K444))*1440-N(L444)*10)/60)))</f>
        <v/>
      </c>
      <c r="O444" s="73"/>
    </row>
    <row r="445" customFormat="false" ht="15" hidden="false" customHeight="false" outlineLevel="0" collapsed="false">
      <c r="A445" s="77"/>
      <c r="B445" s="73"/>
      <c r="C445" s="71" t="str">
        <f aca="false">IF(B445="","",IFERROR(INDEX(マスタ!$F$2:$F$60,MATCH(B445,マスタ!$E$2:$E$60,0))&amp;"",""))</f>
        <v/>
      </c>
      <c r="D445" s="73"/>
      <c r="E445" s="75"/>
      <c r="F445" s="75"/>
      <c r="G445" s="75"/>
      <c r="H445" s="73"/>
      <c r="I445" s="75"/>
      <c r="J445" s="75"/>
      <c r="K445" s="75"/>
      <c r="L445" s="73"/>
      <c r="M445" s="78" t="str">
        <f aca="false">IF(OR(E445="",F445=""),"",MAX(0,((F445-E445-N(G445))*1440-N(H445)*10)/60))</f>
        <v/>
      </c>
      <c r="N445" s="78" t="str">
        <f aca="false">IF($D445="欠席",0,IF(OR(I445="",J445=""),"",MAX(0,((J445-I445-N(K445))*1440-N(L445)*10)/60)))</f>
        <v/>
      </c>
      <c r="O445" s="73"/>
    </row>
    <row r="446" customFormat="false" ht="15" hidden="false" customHeight="false" outlineLevel="0" collapsed="false">
      <c r="A446" s="77"/>
      <c r="B446" s="73"/>
      <c r="C446" s="71" t="str">
        <f aca="false">IF(B446="","",IFERROR(INDEX(マスタ!$F$2:$F$60,MATCH(B446,マスタ!$E$2:$E$60,0))&amp;"",""))</f>
        <v/>
      </c>
      <c r="D446" s="73"/>
      <c r="E446" s="75"/>
      <c r="F446" s="75"/>
      <c r="G446" s="75"/>
      <c r="H446" s="73"/>
      <c r="I446" s="75"/>
      <c r="J446" s="75"/>
      <c r="K446" s="75"/>
      <c r="L446" s="73"/>
      <c r="M446" s="78" t="str">
        <f aca="false">IF(OR(E446="",F446=""),"",MAX(0,((F446-E446-N(G446))*1440-N(H446)*10)/60))</f>
        <v/>
      </c>
      <c r="N446" s="78" t="str">
        <f aca="false">IF($D446="欠席",0,IF(OR(I446="",J446=""),"",MAX(0,((J446-I446-N(K446))*1440-N(L446)*10)/60)))</f>
        <v/>
      </c>
      <c r="O446" s="73"/>
    </row>
    <row r="447" customFormat="false" ht="15" hidden="false" customHeight="false" outlineLevel="0" collapsed="false">
      <c r="A447" s="77"/>
      <c r="B447" s="73"/>
      <c r="C447" s="71" t="str">
        <f aca="false">IF(B447="","",IFERROR(INDEX(マスタ!$F$2:$F$60,MATCH(B447,マスタ!$E$2:$E$60,0))&amp;"",""))</f>
        <v/>
      </c>
      <c r="D447" s="73"/>
      <c r="E447" s="75"/>
      <c r="F447" s="75"/>
      <c r="G447" s="75"/>
      <c r="H447" s="73"/>
      <c r="I447" s="75"/>
      <c r="J447" s="75"/>
      <c r="K447" s="75"/>
      <c r="L447" s="73"/>
      <c r="M447" s="78" t="str">
        <f aca="false">IF(OR(E447="",F447=""),"",MAX(0,((F447-E447-N(G447))*1440-N(H447)*10)/60))</f>
        <v/>
      </c>
      <c r="N447" s="78" t="str">
        <f aca="false">IF($D447="欠席",0,IF(OR(I447="",J447=""),"",MAX(0,((J447-I447-N(K447))*1440-N(L447)*10)/60)))</f>
        <v/>
      </c>
      <c r="O447" s="73"/>
    </row>
    <row r="448" customFormat="false" ht="15" hidden="false" customHeight="false" outlineLevel="0" collapsed="false">
      <c r="A448" s="77"/>
      <c r="B448" s="73"/>
      <c r="C448" s="71" t="str">
        <f aca="false">IF(B448="","",IFERROR(INDEX(マスタ!$F$2:$F$60,MATCH(B448,マスタ!$E$2:$E$60,0))&amp;"",""))</f>
        <v/>
      </c>
      <c r="D448" s="73"/>
      <c r="E448" s="75"/>
      <c r="F448" s="75"/>
      <c r="G448" s="75"/>
      <c r="H448" s="73"/>
      <c r="I448" s="75"/>
      <c r="J448" s="75"/>
      <c r="K448" s="75"/>
      <c r="L448" s="73"/>
      <c r="M448" s="78" t="str">
        <f aca="false">IF(OR(E448="",F448=""),"",MAX(0,((F448-E448-N(G448))*1440-N(H448)*10)/60))</f>
        <v/>
      </c>
      <c r="N448" s="78" t="str">
        <f aca="false">IF($D448="欠席",0,IF(OR(I448="",J448=""),"",MAX(0,((J448-I448-N(K448))*1440-N(L448)*10)/60)))</f>
        <v/>
      </c>
      <c r="O448" s="73"/>
    </row>
    <row r="449" customFormat="false" ht="15" hidden="false" customHeight="false" outlineLevel="0" collapsed="false">
      <c r="A449" s="77"/>
      <c r="B449" s="73"/>
      <c r="C449" s="71" t="str">
        <f aca="false">IF(B449="","",IFERROR(INDEX(マスタ!$F$2:$F$60,MATCH(B449,マスタ!$E$2:$E$60,0))&amp;"",""))</f>
        <v/>
      </c>
      <c r="D449" s="73"/>
      <c r="E449" s="75"/>
      <c r="F449" s="75"/>
      <c r="G449" s="75"/>
      <c r="H449" s="73"/>
      <c r="I449" s="75"/>
      <c r="J449" s="75"/>
      <c r="K449" s="75"/>
      <c r="L449" s="73"/>
      <c r="M449" s="78" t="str">
        <f aca="false">IF(OR(E449="",F449=""),"",MAX(0,((F449-E449-N(G449))*1440-N(H449)*10)/60))</f>
        <v/>
      </c>
      <c r="N449" s="78" t="str">
        <f aca="false">IF($D449="欠席",0,IF(OR(I449="",J449=""),"",MAX(0,((J449-I449-N(K449))*1440-N(L449)*10)/60)))</f>
        <v/>
      </c>
      <c r="O449" s="73"/>
    </row>
    <row r="450" customFormat="false" ht="15" hidden="false" customHeight="false" outlineLevel="0" collapsed="false">
      <c r="A450" s="77"/>
      <c r="B450" s="73"/>
      <c r="C450" s="71" t="str">
        <f aca="false">IF(B450="","",IFERROR(INDEX(マスタ!$F$2:$F$60,MATCH(B450,マスタ!$E$2:$E$60,0))&amp;"",""))</f>
        <v/>
      </c>
      <c r="D450" s="73"/>
      <c r="E450" s="75"/>
      <c r="F450" s="75"/>
      <c r="G450" s="75"/>
      <c r="H450" s="73"/>
      <c r="I450" s="75"/>
      <c r="J450" s="75"/>
      <c r="K450" s="75"/>
      <c r="L450" s="73"/>
      <c r="M450" s="78" t="str">
        <f aca="false">IF(OR(E450="",F450=""),"",MAX(0,((F450-E450-N(G450))*1440-N(H450)*10)/60))</f>
        <v/>
      </c>
      <c r="N450" s="78" t="str">
        <f aca="false">IF($D450="欠席",0,IF(OR(I450="",J450=""),"",MAX(0,((J450-I450-N(K450))*1440-N(L450)*10)/60)))</f>
        <v/>
      </c>
      <c r="O450" s="73"/>
    </row>
    <row r="451" customFormat="false" ht="15" hidden="false" customHeight="false" outlineLevel="0" collapsed="false">
      <c r="A451" s="77"/>
      <c r="B451" s="73"/>
      <c r="C451" s="71" t="str">
        <f aca="false">IF(B451="","",IFERROR(INDEX(マスタ!$F$2:$F$60,MATCH(B451,マスタ!$E$2:$E$60,0))&amp;"",""))</f>
        <v/>
      </c>
      <c r="D451" s="73"/>
      <c r="E451" s="75"/>
      <c r="F451" s="75"/>
      <c r="G451" s="75"/>
      <c r="H451" s="73"/>
      <c r="I451" s="75"/>
      <c r="J451" s="75"/>
      <c r="K451" s="75"/>
      <c r="L451" s="73"/>
      <c r="M451" s="78" t="str">
        <f aca="false">IF(OR(E451="",F451=""),"",MAX(0,((F451-E451-N(G451))*1440-N(H451)*10)/60))</f>
        <v/>
      </c>
      <c r="N451" s="78" t="str">
        <f aca="false">IF($D451="欠席",0,IF(OR(I451="",J451=""),"",MAX(0,((J451-I451-N(K451))*1440-N(L451)*10)/60)))</f>
        <v/>
      </c>
      <c r="O451" s="73"/>
    </row>
    <row r="452" customFormat="false" ht="15" hidden="false" customHeight="false" outlineLevel="0" collapsed="false">
      <c r="A452" s="77"/>
      <c r="B452" s="73"/>
      <c r="C452" s="71" t="str">
        <f aca="false">IF(B452="","",IFERROR(INDEX(マスタ!$F$2:$F$60,MATCH(B452,マスタ!$E$2:$E$60,0))&amp;"",""))</f>
        <v/>
      </c>
      <c r="D452" s="73"/>
      <c r="E452" s="75"/>
      <c r="F452" s="75"/>
      <c r="G452" s="75"/>
      <c r="H452" s="73"/>
      <c r="I452" s="75"/>
      <c r="J452" s="75"/>
      <c r="K452" s="75"/>
      <c r="L452" s="73"/>
      <c r="M452" s="78" t="str">
        <f aca="false">IF(OR(E452="",F452=""),"",MAX(0,((F452-E452-N(G452))*1440-N(H452)*10)/60))</f>
        <v/>
      </c>
      <c r="N452" s="78" t="str">
        <f aca="false">IF($D452="欠席",0,IF(OR(I452="",J452=""),"",MAX(0,((J452-I452-N(K452))*1440-N(L452)*10)/60)))</f>
        <v/>
      </c>
      <c r="O452" s="73"/>
    </row>
    <row r="453" customFormat="false" ht="15" hidden="false" customHeight="false" outlineLevel="0" collapsed="false">
      <c r="A453" s="77"/>
      <c r="B453" s="73"/>
      <c r="C453" s="71" t="str">
        <f aca="false">IF(B453="","",IFERROR(INDEX(マスタ!$F$2:$F$60,MATCH(B453,マスタ!$E$2:$E$60,0))&amp;"",""))</f>
        <v/>
      </c>
      <c r="D453" s="73"/>
      <c r="E453" s="75"/>
      <c r="F453" s="75"/>
      <c r="G453" s="75"/>
      <c r="H453" s="73"/>
      <c r="I453" s="75"/>
      <c r="J453" s="75"/>
      <c r="K453" s="75"/>
      <c r="L453" s="73"/>
      <c r="M453" s="78" t="str">
        <f aca="false">IF(OR(E453="",F453=""),"",MAX(0,((F453-E453-N(G453))*1440-N(H453)*10)/60))</f>
        <v/>
      </c>
      <c r="N453" s="78" t="str">
        <f aca="false">IF($D453="欠席",0,IF(OR(I453="",J453=""),"",MAX(0,((J453-I453-N(K453))*1440-N(L453)*10)/60)))</f>
        <v/>
      </c>
      <c r="O453" s="73"/>
    </row>
    <row r="454" customFormat="false" ht="15" hidden="false" customHeight="false" outlineLevel="0" collapsed="false">
      <c r="A454" s="77"/>
      <c r="B454" s="73"/>
      <c r="C454" s="71" t="str">
        <f aca="false">IF(B454="","",IFERROR(INDEX(マスタ!$F$2:$F$60,MATCH(B454,マスタ!$E$2:$E$60,0))&amp;"",""))</f>
        <v/>
      </c>
      <c r="D454" s="73"/>
      <c r="E454" s="75"/>
      <c r="F454" s="75"/>
      <c r="G454" s="75"/>
      <c r="H454" s="73"/>
      <c r="I454" s="75"/>
      <c r="J454" s="75"/>
      <c r="K454" s="75"/>
      <c r="L454" s="73"/>
      <c r="M454" s="78" t="str">
        <f aca="false">IF(OR(E454="",F454=""),"",MAX(0,((F454-E454-N(G454))*1440-N(H454)*10)/60))</f>
        <v/>
      </c>
      <c r="N454" s="78" t="str">
        <f aca="false">IF($D454="欠席",0,IF(OR(I454="",J454=""),"",MAX(0,((J454-I454-N(K454))*1440-N(L454)*10)/60)))</f>
        <v/>
      </c>
      <c r="O454" s="73"/>
    </row>
    <row r="455" customFormat="false" ht="15" hidden="false" customHeight="false" outlineLevel="0" collapsed="false">
      <c r="A455" s="77"/>
      <c r="B455" s="73"/>
      <c r="C455" s="71" t="str">
        <f aca="false">IF(B455="","",IFERROR(INDEX(マスタ!$F$2:$F$60,MATCH(B455,マスタ!$E$2:$E$60,0))&amp;"",""))</f>
        <v/>
      </c>
      <c r="D455" s="73"/>
      <c r="E455" s="75"/>
      <c r="F455" s="75"/>
      <c r="G455" s="75"/>
      <c r="H455" s="73"/>
      <c r="I455" s="75"/>
      <c r="J455" s="75"/>
      <c r="K455" s="75"/>
      <c r="L455" s="73"/>
      <c r="M455" s="78" t="str">
        <f aca="false">IF(OR(E455="",F455=""),"",MAX(0,((F455-E455-N(G455))*1440-N(H455)*10)/60))</f>
        <v/>
      </c>
      <c r="N455" s="78" t="str">
        <f aca="false">IF($D455="欠席",0,IF(OR(I455="",J455=""),"",MAX(0,((J455-I455-N(K455))*1440-N(L455)*10)/60)))</f>
        <v/>
      </c>
      <c r="O455" s="73"/>
    </row>
    <row r="456" customFormat="false" ht="15" hidden="false" customHeight="false" outlineLevel="0" collapsed="false">
      <c r="A456" s="77"/>
      <c r="B456" s="73"/>
      <c r="C456" s="71" t="str">
        <f aca="false">IF(B456="","",IFERROR(INDEX(マスタ!$F$2:$F$60,MATCH(B456,マスタ!$E$2:$E$60,0))&amp;"",""))</f>
        <v/>
      </c>
      <c r="D456" s="73"/>
      <c r="E456" s="75"/>
      <c r="F456" s="75"/>
      <c r="G456" s="75"/>
      <c r="H456" s="73"/>
      <c r="I456" s="75"/>
      <c r="J456" s="75"/>
      <c r="K456" s="75"/>
      <c r="L456" s="73"/>
      <c r="M456" s="78" t="str">
        <f aca="false">IF(OR(E456="",F456=""),"",MAX(0,((F456-E456-N(G456))*1440-N(H456)*10)/60))</f>
        <v/>
      </c>
      <c r="N456" s="78" t="str">
        <f aca="false">IF($D456="欠席",0,IF(OR(I456="",J456=""),"",MAX(0,((J456-I456-N(K456))*1440-N(L456)*10)/60)))</f>
        <v/>
      </c>
      <c r="O456" s="73"/>
    </row>
    <row r="457" customFormat="false" ht="15" hidden="false" customHeight="false" outlineLevel="0" collapsed="false">
      <c r="A457" s="77"/>
      <c r="B457" s="73"/>
      <c r="C457" s="71" t="str">
        <f aca="false">IF(B457="","",IFERROR(INDEX(マスタ!$F$2:$F$60,MATCH(B457,マスタ!$E$2:$E$60,0))&amp;"",""))</f>
        <v/>
      </c>
      <c r="D457" s="73"/>
      <c r="E457" s="75"/>
      <c r="F457" s="75"/>
      <c r="G457" s="75"/>
      <c r="H457" s="73"/>
      <c r="I457" s="75"/>
      <c r="J457" s="75"/>
      <c r="K457" s="75"/>
      <c r="L457" s="73"/>
      <c r="M457" s="78" t="str">
        <f aca="false">IF(OR(E457="",F457=""),"",MAX(0,((F457-E457-N(G457))*1440-N(H457)*10)/60))</f>
        <v/>
      </c>
      <c r="N457" s="78" t="str">
        <f aca="false">IF($D457="欠席",0,IF(OR(I457="",J457=""),"",MAX(0,((J457-I457-N(K457))*1440-N(L457)*10)/60)))</f>
        <v/>
      </c>
      <c r="O457" s="73"/>
    </row>
    <row r="458" customFormat="false" ht="15" hidden="false" customHeight="false" outlineLevel="0" collapsed="false">
      <c r="A458" s="77"/>
      <c r="B458" s="73"/>
      <c r="C458" s="71" t="str">
        <f aca="false">IF(B458="","",IFERROR(INDEX(マスタ!$F$2:$F$60,MATCH(B458,マスタ!$E$2:$E$60,0))&amp;"",""))</f>
        <v/>
      </c>
      <c r="D458" s="73"/>
      <c r="E458" s="75"/>
      <c r="F458" s="75"/>
      <c r="G458" s="75"/>
      <c r="H458" s="73"/>
      <c r="I458" s="75"/>
      <c r="J458" s="75"/>
      <c r="K458" s="75"/>
      <c r="L458" s="73"/>
      <c r="M458" s="78" t="str">
        <f aca="false">IF(OR(E458="",F458=""),"",MAX(0,((F458-E458-N(G458))*1440-N(H458)*10)/60))</f>
        <v/>
      </c>
      <c r="N458" s="78" t="str">
        <f aca="false">IF($D458="欠席",0,IF(OR(I458="",J458=""),"",MAX(0,((J458-I458-N(K458))*1440-N(L458)*10)/60)))</f>
        <v/>
      </c>
      <c r="O458" s="73"/>
    </row>
    <row r="459" customFormat="false" ht="15" hidden="false" customHeight="false" outlineLevel="0" collapsed="false">
      <c r="A459" s="77"/>
      <c r="B459" s="73"/>
      <c r="C459" s="71" t="str">
        <f aca="false">IF(B459="","",IFERROR(INDEX(マスタ!$F$2:$F$60,MATCH(B459,マスタ!$E$2:$E$60,0))&amp;"",""))</f>
        <v/>
      </c>
      <c r="D459" s="73"/>
      <c r="E459" s="75"/>
      <c r="F459" s="75"/>
      <c r="G459" s="75"/>
      <c r="H459" s="73"/>
      <c r="I459" s="75"/>
      <c r="J459" s="75"/>
      <c r="K459" s="75"/>
      <c r="L459" s="73"/>
      <c r="M459" s="78" t="str">
        <f aca="false">IF(OR(E459="",F459=""),"",MAX(0,((F459-E459-N(G459))*1440-N(H459)*10)/60))</f>
        <v/>
      </c>
      <c r="N459" s="78" t="str">
        <f aca="false">IF($D459="欠席",0,IF(OR(I459="",J459=""),"",MAX(0,((J459-I459-N(K459))*1440-N(L459)*10)/60)))</f>
        <v/>
      </c>
      <c r="O459" s="73"/>
    </row>
    <row r="460" customFormat="false" ht="15" hidden="false" customHeight="false" outlineLevel="0" collapsed="false">
      <c r="A460" s="77"/>
      <c r="B460" s="73"/>
      <c r="C460" s="71" t="str">
        <f aca="false">IF(B460="","",IFERROR(INDEX(マスタ!$F$2:$F$60,MATCH(B460,マスタ!$E$2:$E$60,0))&amp;"",""))</f>
        <v/>
      </c>
      <c r="D460" s="73"/>
      <c r="E460" s="75"/>
      <c r="F460" s="75"/>
      <c r="G460" s="75"/>
      <c r="H460" s="73"/>
      <c r="I460" s="75"/>
      <c r="J460" s="75"/>
      <c r="K460" s="75"/>
      <c r="L460" s="73"/>
      <c r="M460" s="78" t="str">
        <f aca="false">IF(OR(E460="",F460=""),"",MAX(0,((F460-E460-N(G460))*1440-N(H460)*10)/60))</f>
        <v/>
      </c>
      <c r="N460" s="78" t="str">
        <f aca="false">IF($D460="欠席",0,IF(OR(I460="",J460=""),"",MAX(0,((J460-I460-N(K460))*1440-N(L460)*10)/60)))</f>
        <v/>
      </c>
      <c r="O460" s="73"/>
    </row>
    <row r="461" customFormat="false" ht="15" hidden="false" customHeight="false" outlineLevel="0" collapsed="false">
      <c r="A461" s="77"/>
      <c r="B461" s="73"/>
      <c r="C461" s="71" t="str">
        <f aca="false">IF(B461="","",IFERROR(INDEX(マスタ!$F$2:$F$60,MATCH(B461,マスタ!$E$2:$E$60,0))&amp;"",""))</f>
        <v/>
      </c>
      <c r="D461" s="73"/>
      <c r="E461" s="75"/>
      <c r="F461" s="75"/>
      <c r="G461" s="75"/>
      <c r="H461" s="73"/>
      <c r="I461" s="75"/>
      <c r="J461" s="75"/>
      <c r="K461" s="75"/>
      <c r="L461" s="73"/>
      <c r="M461" s="78" t="str">
        <f aca="false">IF(OR(E461="",F461=""),"",MAX(0,((F461-E461-N(G461))*1440-N(H461)*10)/60))</f>
        <v/>
      </c>
      <c r="N461" s="78" t="str">
        <f aca="false">IF($D461="欠席",0,IF(OR(I461="",J461=""),"",MAX(0,((J461-I461-N(K461))*1440-N(L461)*10)/60)))</f>
        <v/>
      </c>
      <c r="O461" s="73"/>
    </row>
    <row r="462" customFormat="false" ht="15" hidden="false" customHeight="false" outlineLevel="0" collapsed="false">
      <c r="A462" s="77"/>
      <c r="B462" s="73"/>
      <c r="C462" s="71" t="str">
        <f aca="false">IF(B462="","",IFERROR(INDEX(マスタ!$F$2:$F$60,MATCH(B462,マスタ!$E$2:$E$60,0))&amp;"",""))</f>
        <v/>
      </c>
      <c r="D462" s="73"/>
      <c r="E462" s="75"/>
      <c r="F462" s="75"/>
      <c r="G462" s="75"/>
      <c r="H462" s="73"/>
      <c r="I462" s="75"/>
      <c r="J462" s="75"/>
      <c r="K462" s="75"/>
      <c r="L462" s="73"/>
      <c r="M462" s="78" t="str">
        <f aca="false">IF(OR(E462="",F462=""),"",MAX(0,((F462-E462-N(G462))*1440-N(H462)*10)/60))</f>
        <v/>
      </c>
      <c r="N462" s="78" t="str">
        <f aca="false">IF($D462="欠席",0,IF(OR(I462="",J462=""),"",MAX(0,((J462-I462-N(K462))*1440-N(L462)*10)/60)))</f>
        <v/>
      </c>
      <c r="O462" s="73"/>
    </row>
    <row r="463" customFormat="false" ht="15" hidden="false" customHeight="false" outlineLevel="0" collapsed="false">
      <c r="A463" s="77"/>
      <c r="B463" s="73"/>
      <c r="C463" s="71" t="str">
        <f aca="false">IF(B463="","",IFERROR(INDEX(マスタ!$F$2:$F$60,MATCH(B463,マスタ!$E$2:$E$60,0))&amp;"",""))</f>
        <v/>
      </c>
      <c r="D463" s="73"/>
      <c r="E463" s="75"/>
      <c r="F463" s="75"/>
      <c r="G463" s="75"/>
      <c r="H463" s="73"/>
      <c r="I463" s="75"/>
      <c r="J463" s="75"/>
      <c r="K463" s="75"/>
      <c r="L463" s="73"/>
      <c r="M463" s="78" t="str">
        <f aca="false">IF(OR(E463="",F463=""),"",MAX(0,((F463-E463-N(G463))*1440-N(H463)*10)/60))</f>
        <v/>
      </c>
      <c r="N463" s="78" t="str">
        <f aca="false">IF($D463="欠席",0,IF(OR(I463="",J463=""),"",MAX(0,((J463-I463-N(K463))*1440-N(L463)*10)/60)))</f>
        <v/>
      </c>
      <c r="O463" s="73"/>
    </row>
    <row r="464" customFormat="false" ht="15" hidden="false" customHeight="false" outlineLevel="0" collapsed="false">
      <c r="A464" s="77"/>
      <c r="B464" s="73"/>
      <c r="C464" s="71" t="str">
        <f aca="false">IF(B464="","",IFERROR(INDEX(マスタ!$F$2:$F$60,MATCH(B464,マスタ!$E$2:$E$60,0))&amp;"",""))</f>
        <v/>
      </c>
      <c r="D464" s="73"/>
      <c r="E464" s="75"/>
      <c r="F464" s="75"/>
      <c r="G464" s="75"/>
      <c r="H464" s="73"/>
      <c r="I464" s="75"/>
      <c r="J464" s="75"/>
      <c r="K464" s="75"/>
      <c r="L464" s="73"/>
      <c r="M464" s="78" t="str">
        <f aca="false">IF(OR(E464="",F464=""),"",MAX(0,((F464-E464-N(G464))*1440-N(H464)*10)/60))</f>
        <v/>
      </c>
      <c r="N464" s="78" t="str">
        <f aca="false">IF($D464="欠席",0,IF(OR(I464="",J464=""),"",MAX(0,((J464-I464-N(K464))*1440-N(L464)*10)/60)))</f>
        <v/>
      </c>
      <c r="O464" s="73"/>
    </row>
    <row r="465" customFormat="false" ht="15" hidden="false" customHeight="false" outlineLevel="0" collapsed="false">
      <c r="A465" s="77"/>
      <c r="B465" s="73"/>
      <c r="C465" s="71" t="str">
        <f aca="false">IF(B465="","",IFERROR(INDEX(マスタ!$F$2:$F$60,MATCH(B465,マスタ!$E$2:$E$60,0))&amp;"",""))</f>
        <v/>
      </c>
      <c r="D465" s="73"/>
      <c r="E465" s="75"/>
      <c r="F465" s="75"/>
      <c r="G465" s="75"/>
      <c r="H465" s="73"/>
      <c r="I465" s="75"/>
      <c r="J465" s="75"/>
      <c r="K465" s="75"/>
      <c r="L465" s="73"/>
      <c r="M465" s="78" t="str">
        <f aca="false">IF(OR(E465="",F465=""),"",MAX(0,((F465-E465-N(G465))*1440-N(H465)*10)/60))</f>
        <v/>
      </c>
      <c r="N465" s="78" t="str">
        <f aca="false">IF($D465="欠席",0,IF(OR(I465="",J465=""),"",MAX(0,((J465-I465-N(K465))*1440-N(L465)*10)/60)))</f>
        <v/>
      </c>
      <c r="O465" s="73"/>
    </row>
    <row r="466" customFormat="false" ht="15" hidden="false" customHeight="false" outlineLevel="0" collapsed="false">
      <c r="A466" s="77"/>
      <c r="B466" s="73"/>
      <c r="C466" s="71" t="str">
        <f aca="false">IF(B466="","",IFERROR(INDEX(マスタ!$F$2:$F$60,MATCH(B466,マスタ!$E$2:$E$60,0))&amp;"",""))</f>
        <v/>
      </c>
      <c r="D466" s="73"/>
      <c r="E466" s="75"/>
      <c r="F466" s="75"/>
      <c r="G466" s="75"/>
      <c r="H466" s="73"/>
      <c r="I466" s="75"/>
      <c r="J466" s="75"/>
      <c r="K466" s="75"/>
      <c r="L466" s="73"/>
      <c r="M466" s="78" t="str">
        <f aca="false">IF(OR(E466="",F466=""),"",MAX(0,((F466-E466-N(G466))*1440-N(H466)*10)/60))</f>
        <v/>
      </c>
      <c r="N466" s="78" t="str">
        <f aca="false">IF($D466="欠席",0,IF(OR(I466="",J466=""),"",MAX(0,((J466-I466-N(K466))*1440-N(L466)*10)/60)))</f>
        <v/>
      </c>
      <c r="O466" s="73"/>
    </row>
    <row r="467" customFormat="false" ht="15" hidden="false" customHeight="false" outlineLevel="0" collapsed="false">
      <c r="A467" s="77"/>
      <c r="B467" s="73"/>
      <c r="C467" s="71" t="str">
        <f aca="false">IF(B467="","",IFERROR(INDEX(マスタ!$F$2:$F$60,MATCH(B467,マスタ!$E$2:$E$60,0))&amp;"",""))</f>
        <v/>
      </c>
      <c r="D467" s="73"/>
      <c r="E467" s="75"/>
      <c r="F467" s="75"/>
      <c r="G467" s="75"/>
      <c r="H467" s="73"/>
      <c r="I467" s="75"/>
      <c r="J467" s="75"/>
      <c r="K467" s="75"/>
      <c r="L467" s="73"/>
      <c r="M467" s="78" t="str">
        <f aca="false">IF(OR(E467="",F467=""),"",MAX(0,((F467-E467-N(G467))*1440-N(H467)*10)/60))</f>
        <v/>
      </c>
      <c r="N467" s="78" t="str">
        <f aca="false">IF($D467="欠席",0,IF(OR(I467="",J467=""),"",MAX(0,((J467-I467-N(K467))*1440-N(L467)*10)/60)))</f>
        <v/>
      </c>
      <c r="O467" s="73"/>
    </row>
    <row r="468" customFormat="false" ht="15" hidden="false" customHeight="false" outlineLevel="0" collapsed="false">
      <c r="A468" s="77"/>
      <c r="B468" s="73"/>
      <c r="C468" s="71" t="str">
        <f aca="false">IF(B468="","",IFERROR(INDEX(マスタ!$F$2:$F$60,MATCH(B468,マスタ!$E$2:$E$60,0))&amp;"",""))</f>
        <v/>
      </c>
      <c r="D468" s="73"/>
      <c r="E468" s="75"/>
      <c r="F468" s="75"/>
      <c r="G468" s="75"/>
      <c r="H468" s="73"/>
      <c r="I468" s="75"/>
      <c r="J468" s="75"/>
      <c r="K468" s="75"/>
      <c r="L468" s="73"/>
      <c r="M468" s="78" t="str">
        <f aca="false">IF(OR(E468="",F468=""),"",MAX(0,((F468-E468-N(G468))*1440-N(H468)*10)/60))</f>
        <v/>
      </c>
      <c r="N468" s="78" t="str">
        <f aca="false">IF($D468="欠席",0,IF(OR(I468="",J468=""),"",MAX(0,((J468-I468-N(K468))*1440-N(L468)*10)/60)))</f>
        <v/>
      </c>
      <c r="O468" s="73"/>
    </row>
    <row r="469" customFormat="false" ht="15" hidden="false" customHeight="false" outlineLevel="0" collapsed="false">
      <c r="A469" s="77"/>
      <c r="B469" s="73"/>
      <c r="C469" s="71" t="str">
        <f aca="false">IF(B469="","",IFERROR(INDEX(マスタ!$F$2:$F$60,MATCH(B469,マスタ!$E$2:$E$60,0))&amp;"",""))</f>
        <v/>
      </c>
      <c r="D469" s="73"/>
      <c r="E469" s="75"/>
      <c r="F469" s="75"/>
      <c r="G469" s="75"/>
      <c r="H469" s="73"/>
      <c r="I469" s="75"/>
      <c r="J469" s="75"/>
      <c r="K469" s="75"/>
      <c r="L469" s="73"/>
      <c r="M469" s="78" t="str">
        <f aca="false">IF(OR(E469="",F469=""),"",MAX(0,((F469-E469-N(G469))*1440-N(H469)*10)/60))</f>
        <v/>
      </c>
      <c r="N469" s="78" t="str">
        <f aca="false">IF($D469="欠席",0,IF(OR(I469="",J469=""),"",MAX(0,((J469-I469-N(K469))*1440-N(L469)*10)/60)))</f>
        <v/>
      </c>
      <c r="O469" s="73"/>
    </row>
    <row r="470" customFormat="false" ht="15" hidden="false" customHeight="false" outlineLevel="0" collapsed="false">
      <c r="A470" s="77"/>
      <c r="B470" s="73"/>
      <c r="C470" s="71" t="str">
        <f aca="false">IF(B470="","",IFERROR(INDEX(マスタ!$F$2:$F$60,MATCH(B470,マスタ!$E$2:$E$60,0))&amp;"",""))</f>
        <v/>
      </c>
      <c r="D470" s="73"/>
      <c r="E470" s="75"/>
      <c r="F470" s="75"/>
      <c r="G470" s="75"/>
      <c r="H470" s="73"/>
      <c r="I470" s="75"/>
      <c r="J470" s="75"/>
      <c r="K470" s="75"/>
      <c r="L470" s="73"/>
      <c r="M470" s="78" t="str">
        <f aca="false">IF(OR(E470="",F470=""),"",MAX(0,((F470-E470-N(G470))*1440-N(H470)*10)/60))</f>
        <v/>
      </c>
      <c r="N470" s="78" t="str">
        <f aca="false">IF($D470="欠席",0,IF(OR(I470="",J470=""),"",MAX(0,((J470-I470-N(K470))*1440-N(L470)*10)/60)))</f>
        <v/>
      </c>
      <c r="O470" s="73"/>
    </row>
    <row r="471" customFormat="false" ht="15" hidden="false" customHeight="false" outlineLevel="0" collapsed="false">
      <c r="A471" s="77"/>
      <c r="B471" s="73"/>
      <c r="C471" s="71" t="str">
        <f aca="false">IF(B471="","",IFERROR(INDEX(マスタ!$F$2:$F$60,MATCH(B471,マスタ!$E$2:$E$60,0))&amp;"",""))</f>
        <v/>
      </c>
      <c r="D471" s="73"/>
      <c r="E471" s="75"/>
      <c r="F471" s="75"/>
      <c r="G471" s="75"/>
      <c r="H471" s="73"/>
      <c r="I471" s="75"/>
      <c r="J471" s="75"/>
      <c r="K471" s="75"/>
      <c r="L471" s="73"/>
      <c r="M471" s="78" t="str">
        <f aca="false">IF(OR(E471="",F471=""),"",MAX(0,((F471-E471-N(G471))*1440-N(H471)*10)/60))</f>
        <v/>
      </c>
      <c r="N471" s="78" t="str">
        <f aca="false">IF($D471="欠席",0,IF(OR(I471="",J471=""),"",MAX(0,((J471-I471-N(K471))*1440-N(L471)*10)/60)))</f>
        <v/>
      </c>
      <c r="O471" s="73"/>
    </row>
    <row r="472" customFormat="false" ht="15" hidden="false" customHeight="false" outlineLevel="0" collapsed="false">
      <c r="A472" s="77"/>
      <c r="B472" s="73"/>
      <c r="C472" s="71" t="str">
        <f aca="false">IF(B472="","",IFERROR(INDEX(マスタ!$F$2:$F$60,MATCH(B472,マスタ!$E$2:$E$60,0))&amp;"",""))</f>
        <v/>
      </c>
      <c r="D472" s="73"/>
      <c r="E472" s="75"/>
      <c r="F472" s="75"/>
      <c r="G472" s="75"/>
      <c r="H472" s="73"/>
      <c r="I472" s="75"/>
      <c r="J472" s="75"/>
      <c r="K472" s="75"/>
      <c r="L472" s="73"/>
      <c r="M472" s="78" t="str">
        <f aca="false">IF(OR(E472="",F472=""),"",MAX(0,((F472-E472-N(G472))*1440-N(H472)*10)/60))</f>
        <v/>
      </c>
      <c r="N472" s="78" t="str">
        <f aca="false">IF($D472="欠席",0,IF(OR(I472="",J472=""),"",MAX(0,((J472-I472-N(K472))*1440-N(L472)*10)/60)))</f>
        <v/>
      </c>
      <c r="O472" s="73"/>
    </row>
    <row r="473" customFormat="false" ht="15" hidden="false" customHeight="false" outlineLevel="0" collapsed="false">
      <c r="A473" s="77"/>
      <c r="B473" s="73"/>
      <c r="C473" s="71" t="str">
        <f aca="false">IF(B473="","",IFERROR(INDEX(マスタ!$F$2:$F$60,MATCH(B473,マスタ!$E$2:$E$60,0))&amp;"",""))</f>
        <v/>
      </c>
      <c r="D473" s="73"/>
      <c r="E473" s="75"/>
      <c r="F473" s="75"/>
      <c r="G473" s="75"/>
      <c r="H473" s="73"/>
      <c r="I473" s="75"/>
      <c r="J473" s="75"/>
      <c r="K473" s="75"/>
      <c r="L473" s="73"/>
      <c r="M473" s="78" t="str">
        <f aca="false">IF(OR(E473="",F473=""),"",MAX(0,((F473-E473-N(G473))*1440-N(H473)*10)/60))</f>
        <v/>
      </c>
      <c r="N473" s="78" t="str">
        <f aca="false">IF($D473="欠席",0,IF(OR(I473="",J473=""),"",MAX(0,((J473-I473-N(K473))*1440-N(L473)*10)/60)))</f>
        <v/>
      </c>
      <c r="O473" s="73"/>
    </row>
    <row r="474" customFormat="false" ht="15" hidden="false" customHeight="false" outlineLevel="0" collapsed="false">
      <c r="A474" s="77"/>
      <c r="B474" s="73"/>
      <c r="C474" s="71" t="str">
        <f aca="false">IF(B474="","",IFERROR(INDEX(マスタ!$F$2:$F$60,MATCH(B474,マスタ!$E$2:$E$60,0))&amp;"",""))</f>
        <v/>
      </c>
      <c r="D474" s="73"/>
      <c r="E474" s="75"/>
      <c r="F474" s="75"/>
      <c r="G474" s="75"/>
      <c r="H474" s="73"/>
      <c r="I474" s="75"/>
      <c r="J474" s="75"/>
      <c r="K474" s="75"/>
      <c r="L474" s="73"/>
      <c r="M474" s="78" t="str">
        <f aca="false">IF(OR(E474="",F474=""),"",MAX(0,((F474-E474-N(G474))*1440-N(H474)*10)/60))</f>
        <v/>
      </c>
      <c r="N474" s="78" t="str">
        <f aca="false">IF($D474="欠席",0,IF(OR(I474="",J474=""),"",MAX(0,((J474-I474-N(K474))*1440-N(L474)*10)/60)))</f>
        <v/>
      </c>
      <c r="O474" s="73"/>
    </row>
    <row r="475" customFormat="false" ht="15" hidden="false" customHeight="false" outlineLevel="0" collapsed="false">
      <c r="A475" s="77"/>
      <c r="B475" s="73"/>
      <c r="C475" s="71" t="str">
        <f aca="false">IF(B475="","",IFERROR(INDEX(マスタ!$F$2:$F$60,MATCH(B475,マスタ!$E$2:$E$60,0))&amp;"",""))</f>
        <v/>
      </c>
      <c r="D475" s="73"/>
      <c r="E475" s="75"/>
      <c r="F475" s="75"/>
      <c r="G475" s="75"/>
      <c r="H475" s="73"/>
      <c r="I475" s="75"/>
      <c r="J475" s="75"/>
      <c r="K475" s="75"/>
      <c r="L475" s="73"/>
      <c r="M475" s="78" t="str">
        <f aca="false">IF(OR(E475="",F475=""),"",MAX(0,((F475-E475-N(G475))*1440-N(H475)*10)/60))</f>
        <v/>
      </c>
      <c r="N475" s="78" t="str">
        <f aca="false">IF($D475="欠席",0,IF(OR(I475="",J475=""),"",MAX(0,((J475-I475-N(K475))*1440-N(L475)*10)/60)))</f>
        <v/>
      </c>
      <c r="O475" s="73"/>
    </row>
    <row r="476" customFormat="false" ht="15" hidden="false" customHeight="false" outlineLevel="0" collapsed="false">
      <c r="A476" s="77"/>
      <c r="B476" s="73"/>
      <c r="C476" s="71" t="str">
        <f aca="false">IF(B476="","",IFERROR(INDEX(マスタ!$F$2:$F$60,MATCH(B476,マスタ!$E$2:$E$60,0))&amp;"",""))</f>
        <v/>
      </c>
      <c r="D476" s="73"/>
      <c r="E476" s="75"/>
      <c r="F476" s="75"/>
      <c r="G476" s="75"/>
      <c r="H476" s="73"/>
      <c r="I476" s="75"/>
      <c r="J476" s="75"/>
      <c r="K476" s="75"/>
      <c r="L476" s="73"/>
      <c r="M476" s="78" t="str">
        <f aca="false">IF(OR(E476="",F476=""),"",MAX(0,((F476-E476-N(G476))*1440-N(H476)*10)/60))</f>
        <v/>
      </c>
      <c r="N476" s="78" t="str">
        <f aca="false">IF($D476="欠席",0,IF(OR(I476="",J476=""),"",MAX(0,((J476-I476-N(K476))*1440-N(L476)*10)/60)))</f>
        <v/>
      </c>
      <c r="O476" s="73"/>
    </row>
    <row r="477" customFormat="false" ht="15" hidden="false" customHeight="false" outlineLevel="0" collapsed="false">
      <c r="A477" s="77"/>
      <c r="B477" s="73"/>
      <c r="C477" s="71" t="str">
        <f aca="false">IF(B477="","",IFERROR(INDEX(マスタ!$F$2:$F$60,MATCH(B477,マスタ!$E$2:$E$60,0))&amp;"",""))</f>
        <v/>
      </c>
      <c r="D477" s="73"/>
      <c r="E477" s="75"/>
      <c r="F477" s="75"/>
      <c r="G477" s="75"/>
      <c r="H477" s="73"/>
      <c r="I477" s="75"/>
      <c r="J477" s="75"/>
      <c r="K477" s="75"/>
      <c r="L477" s="73"/>
      <c r="M477" s="78" t="str">
        <f aca="false">IF(OR(E477="",F477=""),"",MAX(0,((F477-E477-N(G477))*1440-N(H477)*10)/60))</f>
        <v/>
      </c>
      <c r="N477" s="78" t="str">
        <f aca="false">IF($D477="欠席",0,IF(OR(I477="",J477=""),"",MAX(0,((J477-I477-N(K477))*1440-N(L477)*10)/60)))</f>
        <v/>
      </c>
      <c r="O477" s="73"/>
    </row>
    <row r="478" customFormat="false" ht="15" hidden="false" customHeight="false" outlineLevel="0" collapsed="false">
      <c r="A478" s="77"/>
      <c r="B478" s="73"/>
      <c r="C478" s="71" t="str">
        <f aca="false">IF(B478="","",IFERROR(INDEX(マスタ!$F$2:$F$60,MATCH(B478,マスタ!$E$2:$E$60,0))&amp;"",""))</f>
        <v/>
      </c>
      <c r="D478" s="73"/>
      <c r="E478" s="75"/>
      <c r="F478" s="75"/>
      <c r="G478" s="75"/>
      <c r="H478" s="73"/>
      <c r="I478" s="75"/>
      <c r="J478" s="75"/>
      <c r="K478" s="75"/>
      <c r="L478" s="73"/>
      <c r="M478" s="78" t="str">
        <f aca="false">IF(OR(E478="",F478=""),"",MAX(0,((F478-E478-N(G478))*1440-N(H478)*10)/60))</f>
        <v/>
      </c>
      <c r="N478" s="78" t="str">
        <f aca="false">IF($D478="欠席",0,IF(OR(I478="",J478=""),"",MAX(0,((J478-I478-N(K478))*1440-N(L478)*10)/60)))</f>
        <v/>
      </c>
      <c r="O478" s="73"/>
    </row>
    <row r="479" customFormat="false" ht="15" hidden="false" customHeight="false" outlineLevel="0" collapsed="false">
      <c r="A479" s="77"/>
      <c r="B479" s="73"/>
      <c r="C479" s="71" t="str">
        <f aca="false">IF(B479="","",IFERROR(INDEX(マスタ!$F$2:$F$60,MATCH(B479,マスタ!$E$2:$E$60,0))&amp;"",""))</f>
        <v/>
      </c>
      <c r="D479" s="73"/>
      <c r="E479" s="75"/>
      <c r="F479" s="75"/>
      <c r="G479" s="75"/>
      <c r="H479" s="73"/>
      <c r="I479" s="75"/>
      <c r="J479" s="75"/>
      <c r="K479" s="75"/>
      <c r="L479" s="73"/>
      <c r="M479" s="78" t="str">
        <f aca="false">IF(OR(E479="",F479=""),"",MAX(0,((F479-E479-N(G479))*1440-N(H479)*10)/60))</f>
        <v/>
      </c>
      <c r="N479" s="78" t="str">
        <f aca="false">IF($D479="欠席",0,IF(OR(I479="",J479=""),"",MAX(0,((J479-I479-N(K479))*1440-N(L479)*10)/60)))</f>
        <v/>
      </c>
      <c r="O479" s="73"/>
    </row>
    <row r="480" customFormat="false" ht="15" hidden="false" customHeight="false" outlineLevel="0" collapsed="false">
      <c r="A480" s="77"/>
      <c r="B480" s="73"/>
      <c r="C480" s="71" t="str">
        <f aca="false">IF(B480="","",IFERROR(INDEX(マスタ!$F$2:$F$60,MATCH(B480,マスタ!$E$2:$E$60,0))&amp;"",""))</f>
        <v/>
      </c>
      <c r="D480" s="73"/>
      <c r="E480" s="75"/>
      <c r="F480" s="75"/>
      <c r="G480" s="75"/>
      <c r="H480" s="73"/>
      <c r="I480" s="75"/>
      <c r="J480" s="75"/>
      <c r="K480" s="75"/>
      <c r="L480" s="73"/>
      <c r="M480" s="78" t="str">
        <f aca="false">IF(OR(E480="",F480=""),"",MAX(0,((F480-E480-N(G480))*1440-N(H480)*10)/60))</f>
        <v/>
      </c>
      <c r="N480" s="78" t="str">
        <f aca="false">IF($D480="欠席",0,IF(OR(I480="",J480=""),"",MAX(0,((J480-I480-N(K480))*1440-N(L480)*10)/60)))</f>
        <v/>
      </c>
      <c r="O480" s="73"/>
    </row>
    <row r="481" customFormat="false" ht="15" hidden="false" customHeight="false" outlineLevel="0" collapsed="false">
      <c r="A481" s="77"/>
      <c r="B481" s="73"/>
      <c r="C481" s="71" t="str">
        <f aca="false">IF(B481="","",IFERROR(INDEX(マスタ!$F$2:$F$60,MATCH(B481,マスタ!$E$2:$E$60,0))&amp;"",""))</f>
        <v/>
      </c>
      <c r="D481" s="73"/>
      <c r="E481" s="75"/>
      <c r="F481" s="75"/>
      <c r="G481" s="75"/>
      <c r="H481" s="73"/>
      <c r="I481" s="75"/>
      <c r="J481" s="75"/>
      <c r="K481" s="75"/>
      <c r="L481" s="73"/>
      <c r="M481" s="78" t="str">
        <f aca="false">IF(OR(E481="",F481=""),"",MAX(0,((F481-E481-N(G481))*1440-N(H481)*10)/60))</f>
        <v/>
      </c>
      <c r="N481" s="78" t="str">
        <f aca="false">IF($D481="欠席",0,IF(OR(I481="",J481=""),"",MAX(0,((J481-I481-N(K481))*1440-N(L481)*10)/60)))</f>
        <v/>
      </c>
      <c r="O481" s="73"/>
    </row>
    <row r="482" customFormat="false" ht="15" hidden="false" customHeight="false" outlineLevel="0" collapsed="false">
      <c r="A482" s="77"/>
      <c r="B482" s="73"/>
      <c r="C482" s="71" t="str">
        <f aca="false">IF(B482="","",IFERROR(INDEX(マスタ!$F$2:$F$60,MATCH(B482,マスタ!$E$2:$E$60,0))&amp;"",""))</f>
        <v/>
      </c>
      <c r="D482" s="73"/>
      <c r="E482" s="75"/>
      <c r="F482" s="75"/>
      <c r="G482" s="75"/>
      <c r="H482" s="73"/>
      <c r="I482" s="75"/>
      <c r="J482" s="75"/>
      <c r="K482" s="75"/>
      <c r="L482" s="73"/>
      <c r="M482" s="78" t="str">
        <f aca="false">IF(OR(E482="",F482=""),"",MAX(0,((F482-E482-N(G482))*1440-N(H482)*10)/60))</f>
        <v/>
      </c>
      <c r="N482" s="78" t="str">
        <f aca="false">IF($D482="欠席",0,IF(OR(I482="",J482=""),"",MAX(0,((J482-I482-N(K482))*1440-N(L482)*10)/60)))</f>
        <v/>
      </c>
      <c r="O482" s="73"/>
    </row>
    <row r="483" customFormat="false" ht="15" hidden="false" customHeight="false" outlineLevel="0" collapsed="false">
      <c r="A483" s="77"/>
      <c r="B483" s="73"/>
      <c r="C483" s="71" t="str">
        <f aca="false">IF(B483="","",IFERROR(INDEX(マスタ!$F$2:$F$60,MATCH(B483,マスタ!$E$2:$E$60,0))&amp;"",""))</f>
        <v/>
      </c>
      <c r="D483" s="73"/>
      <c r="E483" s="75"/>
      <c r="F483" s="75"/>
      <c r="G483" s="75"/>
      <c r="H483" s="73"/>
      <c r="I483" s="75"/>
      <c r="J483" s="75"/>
      <c r="K483" s="75"/>
      <c r="L483" s="73"/>
      <c r="M483" s="78" t="str">
        <f aca="false">IF(OR(E483="",F483=""),"",MAX(0,((F483-E483-N(G483))*1440-N(H483)*10)/60))</f>
        <v/>
      </c>
      <c r="N483" s="78" t="str">
        <f aca="false">IF($D483="欠席",0,IF(OR(I483="",J483=""),"",MAX(0,((J483-I483-N(K483))*1440-N(L483)*10)/60)))</f>
        <v/>
      </c>
      <c r="O483" s="73"/>
    </row>
    <row r="484" customFormat="false" ht="15" hidden="false" customHeight="false" outlineLevel="0" collapsed="false">
      <c r="A484" s="77"/>
      <c r="B484" s="73"/>
      <c r="C484" s="71" t="str">
        <f aca="false">IF(B484="","",IFERROR(INDEX(マスタ!$F$2:$F$60,MATCH(B484,マスタ!$E$2:$E$60,0))&amp;"",""))</f>
        <v/>
      </c>
      <c r="D484" s="73"/>
      <c r="E484" s="75"/>
      <c r="F484" s="75"/>
      <c r="G484" s="75"/>
      <c r="H484" s="73"/>
      <c r="I484" s="75"/>
      <c r="J484" s="75"/>
      <c r="K484" s="75"/>
      <c r="L484" s="73"/>
      <c r="M484" s="78" t="str">
        <f aca="false">IF(OR(E484="",F484=""),"",MAX(0,((F484-E484-N(G484))*1440-N(H484)*10)/60))</f>
        <v/>
      </c>
      <c r="N484" s="78" t="str">
        <f aca="false">IF($D484="欠席",0,IF(OR(I484="",J484=""),"",MAX(0,((J484-I484-N(K484))*1440-N(L484)*10)/60)))</f>
        <v/>
      </c>
      <c r="O484" s="73"/>
    </row>
    <row r="485" customFormat="false" ht="15" hidden="false" customHeight="false" outlineLevel="0" collapsed="false">
      <c r="A485" s="77"/>
      <c r="B485" s="73"/>
      <c r="C485" s="71" t="str">
        <f aca="false">IF(B485="","",IFERROR(INDEX(マスタ!$F$2:$F$60,MATCH(B485,マスタ!$E$2:$E$60,0))&amp;"",""))</f>
        <v/>
      </c>
      <c r="D485" s="73"/>
      <c r="E485" s="75"/>
      <c r="F485" s="75"/>
      <c r="G485" s="75"/>
      <c r="H485" s="73"/>
      <c r="I485" s="75"/>
      <c r="J485" s="75"/>
      <c r="K485" s="75"/>
      <c r="L485" s="73"/>
      <c r="M485" s="78" t="str">
        <f aca="false">IF(OR(E485="",F485=""),"",MAX(0,((F485-E485-N(G485))*1440-N(H485)*10)/60))</f>
        <v/>
      </c>
      <c r="N485" s="78" t="str">
        <f aca="false">IF($D485="欠席",0,IF(OR(I485="",J485=""),"",MAX(0,((J485-I485-N(K485))*1440-N(L485)*10)/60)))</f>
        <v/>
      </c>
      <c r="O485" s="73"/>
    </row>
    <row r="486" customFormat="false" ht="15" hidden="false" customHeight="false" outlineLevel="0" collapsed="false">
      <c r="A486" s="77"/>
      <c r="B486" s="73"/>
      <c r="C486" s="71" t="str">
        <f aca="false">IF(B486="","",IFERROR(INDEX(マスタ!$F$2:$F$60,MATCH(B486,マスタ!$E$2:$E$60,0))&amp;"",""))</f>
        <v/>
      </c>
      <c r="D486" s="73"/>
      <c r="E486" s="75"/>
      <c r="F486" s="75"/>
      <c r="G486" s="75"/>
      <c r="H486" s="73"/>
      <c r="I486" s="75"/>
      <c r="J486" s="75"/>
      <c r="K486" s="75"/>
      <c r="L486" s="73"/>
      <c r="M486" s="78" t="str">
        <f aca="false">IF(OR(E486="",F486=""),"",MAX(0,((F486-E486-N(G486))*1440-N(H486)*10)/60))</f>
        <v/>
      </c>
      <c r="N486" s="78" t="str">
        <f aca="false">IF($D486="欠席",0,IF(OR(I486="",J486=""),"",MAX(0,((J486-I486-N(K486))*1440-N(L486)*10)/60)))</f>
        <v/>
      </c>
      <c r="O486" s="73"/>
    </row>
    <row r="487" customFormat="false" ht="15" hidden="false" customHeight="false" outlineLevel="0" collapsed="false">
      <c r="A487" s="77"/>
      <c r="B487" s="73"/>
      <c r="C487" s="71" t="str">
        <f aca="false">IF(B487="","",IFERROR(INDEX(マスタ!$F$2:$F$60,MATCH(B487,マスタ!$E$2:$E$60,0))&amp;"",""))</f>
        <v/>
      </c>
      <c r="D487" s="73"/>
      <c r="E487" s="75"/>
      <c r="F487" s="75"/>
      <c r="G487" s="75"/>
      <c r="H487" s="73"/>
      <c r="I487" s="75"/>
      <c r="J487" s="75"/>
      <c r="K487" s="75"/>
      <c r="L487" s="73"/>
      <c r="M487" s="78" t="str">
        <f aca="false">IF(OR(E487="",F487=""),"",MAX(0,((F487-E487-N(G487))*1440-N(H487)*10)/60))</f>
        <v/>
      </c>
      <c r="N487" s="78" t="str">
        <f aca="false">IF($D487="欠席",0,IF(OR(I487="",J487=""),"",MAX(0,((J487-I487-N(K487))*1440-N(L487)*10)/60)))</f>
        <v/>
      </c>
      <c r="O487" s="73"/>
    </row>
    <row r="488" customFormat="false" ht="15" hidden="false" customHeight="false" outlineLevel="0" collapsed="false">
      <c r="A488" s="77"/>
      <c r="B488" s="73"/>
      <c r="C488" s="71" t="str">
        <f aca="false">IF(B488="","",IFERROR(INDEX(マスタ!$F$2:$F$60,MATCH(B488,マスタ!$E$2:$E$60,0))&amp;"",""))</f>
        <v/>
      </c>
      <c r="D488" s="73"/>
      <c r="E488" s="75"/>
      <c r="F488" s="75"/>
      <c r="G488" s="75"/>
      <c r="H488" s="73"/>
      <c r="I488" s="75"/>
      <c r="J488" s="75"/>
      <c r="K488" s="75"/>
      <c r="L488" s="73"/>
      <c r="M488" s="78" t="str">
        <f aca="false">IF(OR(E488="",F488=""),"",MAX(0,((F488-E488-N(G488))*1440-N(H488)*10)/60))</f>
        <v/>
      </c>
      <c r="N488" s="78" t="str">
        <f aca="false">IF($D488="欠席",0,IF(OR(I488="",J488=""),"",MAX(0,((J488-I488-N(K488))*1440-N(L488)*10)/60)))</f>
        <v/>
      </c>
      <c r="O488" s="73"/>
    </row>
    <row r="489" customFormat="false" ht="15" hidden="false" customHeight="false" outlineLevel="0" collapsed="false">
      <c r="A489" s="77"/>
      <c r="B489" s="73"/>
      <c r="C489" s="71" t="str">
        <f aca="false">IF(B489="","",IFERROR(INDEX(マスタ!$F$2:$F$60,MATCH(B489,マスタ!$E$2:$E$60,0))&amp;"",""))</f>
        <v/>
      </c>
      <c r="D489" s="73"/>
      <c r="E489" s="75"/>
      <c r="F489" s="75"/>
      <c r="G489" s="75"/>
      <c r="H489" s="73"/>
      <c r="I489" s="75"/>
      <c r="J489" s="75"/>
      <c r="K489" s="75"/>
      <c r="L489" s="73"/>
      <c r="M489" s="78" t="str">
        <f aca="false">IF(OR(E489="",F489=""),"",MAX(0,((F489-E489-N(G489))*1440-N(H489)*10)/60))</f>
        <v/>
      </c>
      <c r="N489" s="78" t="str">
        <f aca="false">IF($D489="欠席",0,IF(OR(I489="",J489=""),"",MAX(0,((J489-I489-N(K489))*1440-N(L489)*10)/60)))</f>
        <v/>
      </c>
      <c r="O489" s="73"/>
    </row>
    <row r="490" customFormat="false" ht="15" hidden="false" customHeight="false" outlineLevel="0" collapsed="false">
      <c r="A490" s="77"/>
      <c r="B490" s="73"/>
      <c r="C490" s="71" t="str">
        <f aca="false">IF(B490="","",IFERROR(INDEX(マスタ!$F$2:$F$60,MATCH(B490,マスタ!$E$2:$E$60,0))&amp;"",""))</f>
        <v/>
      </c>
      <c r="D490" s="73"/>
      <c r="E490" s="75"/>
      <c r="F490" s="75"/>
      <c r="G490" s="75"/>
      <c r="H490" s="73"/>
      <c r="I490" s="75"/>
      <c r="J490" s="75"/>
      <c r="K490" s="75"/>
      <c r="L490" s="73"/>
      <c r="M490" s="78" t="str">
        <f aca="false">IF(OR(E490="",F490=""),"",MAX(0,((F490-E490-N(G490))*1440-N(H490)*10)/60))</f>
        <v/>
      </c>
      <c r="N490" s="78" t="str">
        <f aca="false">IF($D490="欠席",0,IF(OR(I490="",J490=""),"",MAX(0,((J490-I490-N(K490))*1440-N(L490)*10)/60)))</f>
        <v/>
      </c>
      <c r="O490" s="73"/>
    </row>
    <row r="491" customFormat="false" ht="15" hidden="false" customHeight="false" outlineLevel="0" collapsed="false">
      <c r="A491" s="77"/>
      <c r="B491" s="73"/>
      <c r="C491" s="71" t="str">
        <f aca="false">IF(B491="","",IFERROR(INDEX(マスタ!$F$2:$F$60,MATCH(B491,マスタ!$E$2:$E$60,0))&amp;"",""))</f>
        <v/>
      </c>
      <c r="D491" s="73"/>
      <c r="E491" s="75"/>
      <c r="F491" s="75"/>
      <c r="G491" s="75"/>
      <c r="H491" s="73"/>
      <c r="I491" s="75"/>
      <c r="J491" s="75"/>
      <c r="K491" s="75"/>
      <c r="L491" s="73"/>
      <c r="M491" s="78" t="str">
        <f aca="false">IF(OR(E491="",F491=""),"",MAX(0,((F491-E491-N(G491))*1440-N(H491)*10)/60))</f>
        <v/>
      </c>
      <c r="N491" s="78" t="str">
        <f aca="false">IF($D491="欠席",0,IF(OR(I491="",J491=""),"",MAX(0,((J491-I491-N(K491))*1440-N(L491)*10)/60)))</f>
        <v/>
      </c>
      <c r="O491" s="73"/>
    </row>
    <row r="492" customFormat="false" ht="15" hidden="false" customHeight="false" outlineLevel="0" collapsed="false">
      <c r="A492" s="77"/>
      <c r="B492" s="73"/>
      <c r="C492" s="71" t="str">
        <f aca="false">IF(B492="","",IFERROR(INDEX(マスタ!$F$2:$F$60,MATCH(B492,マスタ!$E$2:$E$60,0))&amp;"",""))</f>
        <v/>
      </c>
      <c r="D492" s="73"/>
      <c r="E492" s="75"/>
      <c r="F492" s="75"/>
      <c r="G492" s="75"/>
      <c r="H492" s="73"/>
      <c r="I492" s="75"/>
      <c r="J492" s="75"/>
      <c r="K492" s="75"/>
      <c r="L492" s="73"/>
      <c r="M492" s="78" t="str">
        <f aca="false">IF(OR(E492="",F492=""),"",MAX(0,((F492-E492-N(G492))*1440-N(H492)*10)/60))</f>
        <v/>
      </c>
      <c r="N492" s="78" t="str">
        <f aca="false">IF($D492="欠席",0,IF(OR(I492="",J492=""),"",MAX(0,((J492-I492-N(K492))*1440-N(L492)*10)/60)))</f>
        <v/>
      </c>
      <c r="O492" s="73"/>
    </row>
    <row r="493" customFormat="false" ht="15" hidden="false" customHeight="false" outlineLevel="0" collapsed="false">
      <c r="A493" s="77"/>
      <c r="B493" s="73"/>
      <c r="C493" s="71" t="str">
        <f aca="false">IF(B493="","",IFERROR(INDEX(マスタ!$F$2:$F$60,MATCH(B493,マスタ!$E$2:$E$60,0))&amp;"",""))</f>
        <v/>
      </c>
      <c r="D493" s="73"/>
      <c r="E493" s="75"/>
      <c r="F493" s="75"/>
      <c r="G493" s="75"/>
      <c r="H493" s="73"/>
      <c r="I493" s="75"/>
      <c r="J493" s="75"/>
      <c r="K493" s="75"/>
      <c r="L493" s="73"/>
      <c r="M493" s="78" t="str">
        <f aca="false">IF(OR(E493="",F493=""),"",MAX(0,((F493-E493-N(G493))*1440-N(H493)*10)/60))</f>
        <v/>
      </c>
      <c r="N493" s="78" t="str">
        <f aca="false">IF($D493="欠席",0,IF(OR(I493="",J493=""),"",MAX(0,((J493-I493-N(K493))*1440-N(L493)*10)/60)))</f>
        <v/>
      </c>
      <c r="O493" s="73"/>
    </row>
    <row r="494" customFormat="false" ht="15" hidden="false" customHeight="false" outlineLevel="0" collapsed="false">
      <c r="A494" s="77"/>
      <c r="B494" s="73"/>
      <c r="C494" s="71" t="str">
        <f aca="false">IF(B494="","",IFERROR(INDEX(マスタ!$F$2:$F$60,MATCH(B494,マスタ!$E$2:$E$60,0))&amp;"",""))</f>
        <v/>
      </c>
      <c r="D494" s="73"/>
      <c r="E494" s="75"/>
      <c r="F494" s="75"/>
      <c r="G494" s="75"/>
      <c r="H494" s="73"/>
      <c r="I494" s="75"/>
      <c r="J494" s="75"/>
      <c r="K494" s="75"/>
      <c r="L494" s="73"/>
      <c r="M494" s="78" t="str">
        <f aca="false">IF(OR(E494="",F494=""),"",MAX(0,((F494-E494-N(G494))*1440-N(H494)*10)/60))</f>
        <v/>
      </c>
      <c r="N494" s="78" t="str">
        <f aca="false">IF($D494="欠席",0,IF(OR(I494="",J494=""),"",MAX(0,((J494-I494-N(K494))*1440-N(L494)*10)/60)))</f>
        <v/>
      </c>
      <c r="O494" s="73"/>
    </row>
    <row r="495" customFormat="false" ht="15" hidden="false" customHeight="false" outlineLevel="0" collapsed="false">
      <c r="A495" s="77"/>
      <c r="B495" s="73"/>
      <c r="C495" s="71" t="str">
        <f aca="false">IF(B495="","",IFERROR(INDEX(マスタ!$F$2:$F$60,MATCH(B495,マスタ!$E$2:$E$60,0))&amp;"",""))</f>
        <v/>
      </c>
      <c r="D495" s="73"/>
      <c r="E495" s="75"/>
      <c r="F495" s="75"/>
      <c r="G495" s="75"/>
      <c r="H495" s="73"/>
      <c r="I495" s="75"/>
      <c r="J495" s="75"/>
      <c r="K495" s="75"/>
      <c r="L495" s="73"/>
      <c r="M495" s="78" t="str">
        <f aca="false">IF(OR(E495="",F495=""),"",MAX(0,((F495-E495-N(G495))*1440-N(H495)*10)/60))</f>
        <v/>
      </c>
      <c r="N495" s="78" t="str">
        <f aca="false">IF($D495="欠席",0,IF(OR(I495="",J495=""),"",MAX(0,((J495-I495-N(K495))*1440-N(L495)*10)/60)))</f>
        <v/>
      </c>
      <c r="O495" s="73"/>
    </row>
    <row r="496" customFormat="false" ht="15" hidden="false" customHeight="false" outlineLevel="0" collapsed="false">
      <c r="A496" s="77"/>
      <c r="B496" s="73"/>
      <c r="C496" s="71" t="str">
        <f aca="false">IF(B496="","",IFERROR(INDEX(マスタ!$F$2:$F$60,MATCH(B496,マスタ!$E$2:$E$60,0))&amp;"",""))</f>
        <v/>
      </c>
      <c r="D496" s="73"/>
      <c r="E496" s="75"/>
      <c r="F496" s="75"/>
      <c r="G496" s="75"/>
      <c r="H496" s="73"/>
      <c r="I496" s="75"/>
      <c r="J496" s="75"/>
      <c r="K496" s="75"/>
      <c r="L496" s="73"/>
      <c r="M496" s="78" t="str">
        <f aca="false">IF(OR(E496="",F496=""),"",MAX(0,((F496-E496-N(G496))*1440-N(H496)*10)/60))</f>
        <v/>
      </c>
      <c r="N496" s="78" t="str">
        <f aca="false">IF($D496="欠席",0,IF(OR(I496="",J496=""),"",MAX(0,((J496-I496-N(K496))*1440-N(L496)*10)/60)))</f>
        <v/>
      </c>
      <c r="O496" s="73"/>
    </row>
    <row r="497" customFormat="false" ht="15" hidden="false" customHeight="false" outlineLevel="0" collapsed="false">
      <c r="A497" s="77"/>
      <c r="B497" s="73"/>
      <c r="C497" s="71" t="str">
        <f aca="false">IF(B497="","",IFERROR(INDEX(マスタ!$F$2:$F$60,MATCH(B497,マスタ!$E$2:$E$60,0))&amp;"",""))</f>
        <v/>
      </c>
      <c r="D497" s="73"/>
      <c r="E497" s="75"/>
      <c r="F497" s="75"/>
      <c r="G497" s="75"/>
      <c r="H497" s="73"/>
      <c r="I497" s="75"/>
      <c r="J497" s="75"/>
      <c r="K497" s="75"/>
      <c r="L497" s="73"/>
      <c r="M497" s="78" t="str">
        <f aca="false">IF(OR(E497="",F497=""),"",MAX(0,((F497-E497-N(G497))*1440-N(H497)*10)/60))</f>
        <v/>
      </c>
      <c r="N497" s="78" t="str">
        <f aca="false">IF($D497="欠席",0,IF(OR(I497="",J497=""),"",MAX(0,((J497-I497-N(K497))*1440-N(L497)*10)/60)))</f>
        <v/>
      </c>
      <c r="O497" s="73"/>
    </row>
    <row r="498" customFormat="false" ht="15" hidden="false" customHeight="false" outlineLevel="0" collapsed="false">
      <c r="A498" s="77"/>
      <c r="B498" s="73"/>
      <c r="C498" s="71" t="str">
        <f aca="false">IF(B498="","",IFERROR(INDEX(マスタ!$F$2:$F$60,MATCH(B498,マスタ!$E$2:$E$60,0))&amp;"",""))</f>
        <v/>
      </c>
      <c r="D498" s="73"/>
      <c r="E498" s="75"/>
      <c r="F498" s="75"/>
      <c r="G498" s="75"/>
      <c r="H498" s="73"/>
      <c r="I498" s="75"/>
      <c r="J498" s="75"/>
      <c r="K498" s="75"/>
      <c r="L498" s="73"/>
      <c r="M498" s="78" t="str">
        <f aca="false">IF(OR(E498="",F498=""),"",MAX(0,((F498-E498-N(G498))*1440-N(H498)*10)/60))</f>
        <v/>
      </c>
      <c r="N498" s="78" t="str">
        <f aca="false">IF($D498="欠席",0,IF(OR(I498="",J498=""),"",MAX(0,((J498-I498-N(K498))*1440-N(L498)*10)/60)))</f>
        <v/>
      </c>
      <c r="O498" s="73"/>
    </row>
    <row r="499" customFormat="false" ht="15" hidden="false" customHeight="false" outlineLevel="0" collapsed="false">
      <c r="A499" s="77"/>
      <c r="B499" s="73"/>
      <c r="C499" s="71" t="str">
        <f aca="false">IF(B499="","",IFERROR(INDEX(マスタ!$F$2:$F$60,MATCH(B499,マスタ!$E$2:$E$60,0))&amp;"",""))</f>
        <v/>
      </c>
      <c r="D499" s="73"/>
      <c r="E499" s="75"/>
      <c r="F499" s="75"/>
      <c r="G499" s="75"/>
      <c r="H499" s="73"/>
      <c r="I499" s="75"/>
      <c r="J499" s="75"/>
      <c r="K499" s="75"/>
      <c r="L499" s="73"/>
      <c r="M499" s="78" t="str">
        <f aca="false">IF(OR(E499="",F499=""),"",MAX(0,((F499-E499-N(G499))*1440-N(H499)*10)/60))</f>
        <v/>
      </c>
      <c r="N499" s="78" t="str">
        <f aca="false">IF($D499="欠席",0,IF(OR(I499="",J499=""),"",MAX(0,((J499-I499-N(K499))*1440-N(L499)*10)/60)))</f>
        <v/>
      </c>
      <c r="O499" s="73"/>
    </row>
    <row r="500" customFormat="false" ht="15" hidden="false" customHeight="false" outlineLevel="0" collapsed="false">
      <c r="A500" s="77"/>
      <c r="B500" s="73"/>
      <c r="C500" s="71" t="str">
        <f aca="false">IF(B500="","",IFERROR(INDEX(マスタ!$F$2:$F$60,MATCH(B500,マスタ!$E$2:$E$60,0))&amp;"",""))</f>
        <v/>
      </c>
      <c r="D500" s="73"/>
      <c r="E500" s="75"/>
      <c r="F500" s="75"/>
      <c r="G500" s="75"/>
      <c r="H500" s="73"/>
      <c r="I500" s="75"/>
      <c r="J500" s="75"/>
      <c r="K500" s="75"/>
      <c r="L500" s="73"/>
      <c r="M500" s="78" t="str">
        <f aca="false">IF(OR(E500="",F500=""),"",MAX(0,((F500-E500-N(G500))*1440-N(H500)*10)/60))</f>
        <v/>
      </c>
      <c r="N500" s="78" t="str">
        <f aca="false">IF($D500="欠席",0,IF(OR(I500="",J500=""),"",MAX(0,((J500-I500-N(K500))*1440-N(L500)*10)/60)))</f>
        <v/>
      </c>
      <c r="O500" s="73"/>
    </row>
    <row r="501" customFormat="false" ht="15" hidden="false" customHeight="false" outlineLevel="0" collapsed="false">
      <c r="A501" s="77"/>
      <c r="B501" s="73"/>
      <c r="C501" s="71" t="str">
        <f aca="false">IF(B501="","",IFERROR(INDEX(マスタ!$F$2:$F$60,MATCH(B501,マスタ!$E$2:$E$60,0))&amp;"",""))</f>
        <v/>
      </c>
      <c r="D501" s="73"/>
      <c r="E501" s="75"/>
      <c r="F501" s="75"/>
      <c r="G501" s="75"/>
      <c r="H501" s="73"/>
      <c r="I501" s="75"/>
      <c r="J501" s="75"/>
      <c r="K501" s="75"/>
      <c r="L501" s="73"/>
      <c r="M501" s="78" t="str">
        <f aca="false">IF(OR(E501="",F501=""),"",MAX(0,((F501-E501-N(G501))*1440-N(H501)*10)/60))</f>
        <v/>
      </c>
      <c r="N501" s="78" t="str">
        <f aca="false">IF($D501="欠席",0,IF(OR(I501="",J501=""),"",MAX(0,((J501-I501-N(K501))*1440-N(L501)*10)/60)))</f>
        <v/>
      </c>
      <c r="O501" s="73"/>
    </row>
    <row r="502" customFormat="false" ht="15" hidden="false" customHeight="false" outlineLevel="0" collapsed="false">
      <c r="A502" s="77"/>
      <c r="B502" s="73"/>
      <c r="C502" s="71" t="str">
        <f aca="false">IF(B502="","",IFERROR(INDEX(マスタ!$F$2:$F$60,MATCH(B502,マスタ!$E$2:$E$60,0))&amp;"",""))</f>
        <v/>
      </c>
      <c r="D502" s="73"/>
      <c r="E502" s="75"/>
      <c r="F502" s="75"/>
      <c r="G502" s="75"/>
      <c r="H502" s="73"/>
      <c r="I502" s="75"/>
      <c r="J502" s="75"/>
      <c r="K502" s="75"/>
      <c r="L502" s="73"/>
      <c r="M502" s="78" t="str">
        <f aca="false">IF(OR(E502="",F502=""),"",MAX(0,((F502-E502-N(G502))*1440-N(H502)*10)/60))</f>
        <v/>
      </c>
      <c r="N502" s="78" t="str">
        <f aca="false">IF($D502="欠席",0,IF(OR(I502="",J502=""),"",MAX(0,((J502-I502-N(K502))*1440-N(L502)*10)/60)))</f>
        <v/>
      </c>
      <c r="O502" s="73"/>
    </row>
    <row r="503" customFormat="false" ht="15" hidden="false" customHeight="false" outlineLevel="0" collapsed="false">
      <c r="A503" s="77"/>
      <c r="B503" s="73"/>
      <c r="C503" s="71" t="str">
        <f aca="false">IF(B503="","",IFERROR(INDEX(マスタ!$F$2:$F$60,MATCH(B503,マスタ!$E$2:$E$60,0))&amp;"",""))</f>
        <v/>
      </c>
      <c r="D503" s="73"/>
      <c r="E503" s="75"/>
      <c r="F503" s="75"/>
      <c r="G503" s="75"/>
      <c r="H503" s="73"/>
      <c r="I503" s="75"/>
      <c r="J503" s="75"/>
      <c r="K503" s="75"/>
      <c r="L503" s="73"/>
      <c r="M503" s="78" t="str">
        <f aca="false">IF(OR(E503="",F503=""),"",MAX(0,((F503-E503-N(G503))*1440-N(H503)*10)/60))</f>
        <v/>
      </c>
      <c r="N503" s="78" t="str">
        <f aca="false">IF($D503="欠席",0,IF(OR(I503="",J503=""),"",MAX(0,((J503-I503-N(K503))*1440-N(L503)*10)/60)))</f>
        <v/>
      </c>
      <c r="O503" s="73"/>
    </row>
    <row r="504" customFormat="false" ht="15" hidden="false" customHeight="false" outlineLevel="0" collapsed="false">
      <c r="A504" s="77"/>
      <c r="B504" s="73"/>
      <c r="C504" s="71" t="str">
        <f aca="false">IF(B504="","",IFERROR(INDEX(マスタ!$F$2:$F$60,MATCH(B504,マスタ!$E$2:$E$60,0))&amp;"",""))</f>
        <v/>
      </c>
      <c r="D504" s="73"/>
      <c r="E504" s="75"/>
      <c r="F504" s="75"/>
      <c r="G504" s="75"/>
      <c r="H504" s="73"/>
      <c r="I504" s="75"/>
      <c r="J504" s="75"/>
      <c r="K504" s="75"/>
      <c r="L504" s="73"/>
      <c r="M504" s="78" t="str">
        <f aca="false">IF(OR(E504="",F504=""),"",MAX(0,((F504-E504-N(G504))*1440-N(H504)*10)/60))</f>
        <v/>
      </c>
      <c r="N504" s="78" t="str">
        <f aca="false">IF($D504="欠席",0,IF(OR(I504="",J504=""),"",MAX(0,((J504-I504-N(K504))*1440-N(L504)*10)/60)))</f>
        <v/>
      </c>
      <c r="O504" s="73"/>
    </row>
    <row r="505" customFormat="false" ht="15" hidden="false" customHeight="false" outlineLevel="0" collapsed="false">
      <c r="A505" s="77"/>
      <c r="B505" s="73"/>
      <c r="C505" s="71" t="str">
        <f aca="false">IF(B505="","",IFERROR(INDEX(マスタ!$F$2:$F$60,MATCH(B505,マスタ!$E$2:$E$60,0))&amp;"",""))</f>
        <v/>
      </c>
      <c r="D505" s="73"/>
      <c r="E505" s="75"/>
      <c r="F505" s="75"/>
      <c r="G505" s="75"/>
      <c r="H505" s="73"/>
      <c r="I505" s="75"/>
      <c r="J505" s="75"/>
      <c r="K505" s="75"/>
      <c r="L505" s="73"/>
      <c r="M505" s="78" t="str">
        <f aca="false">IF(OR(E505="",F505=""),"",MAX(0,((F505-E505-N(G505))*1440-N(H505)*10)/60))</f>
        <v/>
      </c>
      <c r="N505" s="78" t="str">
        <f aca="false">IF($D505="欠席",0,IF(OR(I505="",J505=""),"",MAX(0,((J505-I505-N(K505))*1440-N(L505)*10)/60)))</f>
        <v/>
      </c>
      <c r="O505" s="73"/>
    </row>
    <row r="506" customFormat="false" ht="15" hidden="false" customHeight="false" outlineLevel="0" collapsed="false">
      <c r="A506" s="77"/>
      <c r="B506" s="73"/>
      <c r="C506" s="71" t="str">
        <f aca="false">IF(B506="","",IFERROR(INDEX(マスタ!$F$2:$F$60,MATCH(B506,マスタ!$E$2:$E$60,0))&amp;"",""))</f>
        <v/>
      </c>
      <c r="D506" s="73"/>
      <c r="E506" s="75"/>
      <c r="F506" s="75"/>
      <c r="G506" s="75"/>
      <c r="H506" s="73"/>
      <c r="I506" s="75"/>
      <c r="J506" s="75"/>
      <c r="K506" s="75"/>
      <c r="L506" s="73"/>
      <c r="M506" s="78" t="str">
        <f aca="false">IF(OR(E506="",F506=""),"",MAX(0,((F506-E506-N(G506))*1440-N(H506)*10)/60))</f>
        <v/>
      </c>
      <c r="N506" s="78" t="str">
        <f aca="false">IF($D506="欠席",0,IF(OR(I506="",J506=""),"",MAX(0,((J506-I506-N(K506))*1440-N(L506)*10)/60)))</f>
        <v/>
      </c>
      <c r="O506" s="73"/>
    </row>
    <row r="507" customFormat="false" ht="15" hidden="false" customHeight="false" outlineLevel="0" collapsed="false">
      <c r="A507" s="77"/>
      <c r="B507" s="73"/>
      <c r="C507" s="71" t="str">
        <f aca="false">IF(B507="","",IFERROR(INDEX(マスタ!$F$2:$F$60,MATCH(B507,マスタ!$E$2:$E$60,0))&amp;"",""))</f>
        <v/>
      </c>
      <c r="D507" s="73"/>
      <c r="E507" s="75"/>
      <c r="F507" s="75"/>
      <c r="G507" s="75"/>
      <c r="H507" s="73"/>
      <c r="I507" s="75"/>
      <c r="J507" s="75"/>
      <c r="K507" s="75"/>
      <c r="L507" s="73"/>
      <c r="M507" s="78" t="str">
        <f aca="false">IF(OR(E507="",F507=""),"",MAX(0,((F507-E507-N(G507))*1440-N(H507)*10)/60))</f>
        <v/>
      </c>
      <c r="N507" s="78" t="str">
        <f aca="false">IF($D507="欠席",0,IF(OR(I507="",J507=""),"",MAX(0,((J507-I507-N(K507))*1440-N(L507)*10)/60)))</f>
        <v/>
      </c>
      <c r="O507" s="73"/>
    </row>
    <row r="508" customFormat="false" ht="15" hidden="false" customHeight="false" outlineLevel="0" collapsed="false">
      <c r="A508" s="77"/>
      <c r="B508" s="73"/>
      <c r="C508" s="71" t="str">
        <f aca="false">IF(B508="","",IFERROR(INDEX(マスタ!$F$2:$F$60,MATCH(B508,マスタ!$E$2:$E$60,0))&amp;"",""))</f>
        <v/>
      </c>
      <c r="D508" s="73"/>
      <c r="E508" s="75"/>
      <c r="F508" s="75"/>
      <c r="G508" s="75"/>
      <c r="H508" s="73"/>
      <c r="I508" s="75"/>
      <c r="J508" s="75"/>
      <c r="K508" s="75"/>
      <c r="L508" s="73"/>
      <c r="M508" s="78" t="str">
        <f aca="false">IF(OR(E508="",F508=""),"",MAX(0,((F508-E508-N(G508))*1440-N(H508)*10)/60))</f>
        <v/>
      </c>
      <c r="N508" s="78" t="str">
        <f aca="false">IF($D508="欠席",0,IF(OR(I508="",J508=""),"",MAX(0,((J508-I508-N(K508))*1440-N(L508)*10)/60)))</f>
        <v/>
      </c>
      <c r="O508" s="73"/>
    </row>
    <row r="509" customFormat="false" ht="15" hidden="false" customHeight="false" outlineLevel="0" collapsed="false">
      <c r="A509" s="77"/>
      <c r="B509" s="73"/>
      <c r="C509" s="71" t="str">
        <f aca="false">IF(B509="","",IFERROR(INDEX(マスタ!$F$2:$F$60,MATCH(B509,マスタ!$E$2:$E$60,0))&amp;"",""))</f>
        <v/>
      </c>
      <c r="D509" s="73"/>
      <c r="E509" s="75"/>
      <c r="F509" s="75"/>
      <c r="G509" s="75"/>
      <c r="H509" s="73"/>
      <c r="I509" s="75"/>
      <c r="J509" s="75"/>
      <c r="K509" s="75"/>
      <c r="L509" s="73"/>
      <c r="M509" s="78" t="str">
        <f aca="false">IF(OR(E509="",F509=""),"",MAX(0,((F509-E509-N(G509))*1440-N(H509)*10)/60))</f>
        <v/>
      </c>
      <c r="N509" s="78" t="str">
        <f aca="false">IF($D509="欠席",0,IF(OR(I509="",J509=""),"",MAX(0,((J509-I509-N(K509))*1440-N(L509)*10)/60)))</f>
        <v/>
      </c>
      <c r="O509" s="73"/>
    </row>
    <row r="510" customFormat="false" ht="15" hidden="false" customHeight="false" outlineLevel="0" collapsed="false">
      <c r="A510" s="77"/>
      <c r="B510" s="73"/>
      <c r="C510" s="71" t="str">
        <f aca="false">IF(B510="","",IFERROR(INDEX(マスタ!$F$2:$F$60,MATCH(B510,マスタ!$E$2:$E$60,0))&amp;"",""))</f>
        <v/>
      </c>
      <c r="D510" s="73"/>
      <c r="E510" s="75"/>
      <c r="F510" s="75"/>
      <c r="G510" s="75"/>
      <c r="H510" s="73"/>
      <c r="I510" s="75"/>
      <c r="J510" s="75"/>
      <c r="K510" s="75"/>
      <c r="L510" s="73"/>
      <c r="M510" s="78" t="str">
        <f aca="false">IF(OR(E510="",F510=""),"",MAX(0,((F510-E510-N(G510))*1440-N(H510)*10)/60))</f>
        <v/>
      </c>
      <c r="N510" s="78" t="str">
        <f aca="false">IF($D510="欠席",0,IF(OR(I510="",J510=""),"",MAX(0,((J510-I510-N(K510))*1440-N(L510)*10)/60)))</f>
        <v/>
      </c>
      <c r="O510" s="73"/>
    </row>
    <row r="511" customFormat="false" ht="15" hidden="false" customHeight="false" outlineLevel="0" collapsed="false">
      <c r="A511" s="77"/>
      <c r="B511" s="73"/>
      <c r="C511" s="71" t="str">
        <f aca="false">IF(B511="","",IFERROR(INDEX(マスタ!$F$2:$F$60,MATCH(B511,マスタ!$E$2:$E$60,0))&amp;"",""))</f>
        <v/>
      </c>
      <c r="D511" s="73"/>
      <c r="E511" s="75"/>
      <c r="F511" s="75"/>
      <c r="G511" s="75"/>
      <c r="H511" s="73"/>
      <c r="I511" s="75"/>
      <c r="J511" s="75"/>
      <c r="K511" s="75"/>
      <c r="L511" s="73"/>
      <c r="M511" s="78" t="str">
        <f aca="false">IF(OR(E511="",F511=""),"",MAX(0,((F511-E511-N(G511))*1440-N(H511)*10)/60))</f>
        <v/>
      </c>
      <c r="N511" s="78" t="str">
        <f aca="false">IF($D511="欠席",0,IF(OR(I511="",J511=""),"",MAX(0,((J511-I511-N(K511))*1440-N(L511)*10)/60)))</f>
        <v/>
      </c>
      <c r="O511" s="73"/>
    </row>
    <row r="512" customFormat="false" ht="15" hidden="false" customHeight="false" outlineLevel="0" collapsed="false">
      <c r="A512" s="77"/>
      <c r="B512" s="73"/>
      <c r="C512" s="71" t="str">
        <f aca="false">IF(B512="","",IFERROR(INDEX(マスタ!$F$2:$F$60,MATCH(B512,マスタ!$E$2:$E$60,0))&amp;"",""))</f>
        <v/>
      </c>
      <c r="D512" s="73"/>
      <c r="E512" s="75"/>
      <c r="F512" s="75"/>
      <c r="G512" s="75"/>
      <c r="H512" s="73"/>
      <c r="I512" s="75"/>
      <c r="J512" s="75"/>
      <c r="K512" s="75"/>
      <c r="L512" s="73"/>
      <c r="M512" s="78" t="str">
        <f aca="false">IF(OR(E512="",F512=""),"",MAX(0,((F512-E512-N(G512))*1440-N(H512)*10)/60))</f>
        <v/>
      </c>
      <c r="N512" s="78" t="str">
        <f aca="false">IF($D512="欠席",0,IF(OR(I512="",J512=""),"",MAX(0,((J512-I512-N(K512))*1440-N(L512)*10)/60)))</f>
        <v/>
      </c>
      <c r="O512" s="73"/>
    </row>
    <row r="513" customFormat="false" ht="15" hidden="false" customHeight="false" outlineLevel="0" collapsed="false">
      <c r="A513" s="77"/>
      <c r="B513" s="73"/>
      <c r="C513" s="71" t="str">
        <f aca="false">IF(B513="","",IFERROR(INDEX(マスタ!$F$2:$F$60,MATCH(B513,マスタ!$E$2:$E$60,0))&amp;"",""))</f>
        <v/>
      </c>
      <c r="D513" s="73"/>
      <c r="E513" s="75"/>
      <c r="F513" s="75"/>
      <c r="G513" s="75"/>
      <c r="H513" s="73"/>
      <c r="I513" s="75"/>
      <c r="J513" s="75"/>
      <c r="K513" s="75"/>
      <c r="L513" s="73"/>
      <c r="M513" s="78" t="str">
        <f aca="false">IF(OR(E513="",F513=""),"",MAX(0,((F513-E513-N(G513))*1440-N(H513)*10)/60))</f>
        <v/>
      </c>
      <c r="N513" s="78" t="str">
        <f aca="false">IF($D513="欠席",0,IF(OR(I513="",J513=""),"",MAX(0,((J513-I513-N(K513))*1440-N(L513)*10)/60)))</f>
        <v/>
      </c>
      <c r="O513" s="73"/>
    </row>
    <row r="514" customFormat="false" ht="15" hidden="false" customHeight="false" outlineLevel="0" collapsed="false">
      <c r="A514" s="77"/>
      <c r="B514" s="73"/>
      <c r="C514" s="71" t="str">
        <f aca="false">IF(B514="","",IFERROR(INDEX(マスタ!$F$2:$F$60,MATCH(B514,マスタ!$E$2:$E$60,0))&amp;"",""))</f>
        <v/>
      </c>
      <c r="D514" s="73"/>
      <c r="E514" s="75"/>
      <c r="F514" s="75"/>
      <c r="G514" s="75"/>
      <c r="H514" s="73"/>
      <c r="I514" s="75"/>
      <c r="J514" s="75"/>
      <c r="K514" s="75"/>
      <c r="L514" s="73"/>
      <c r="M514" s="78" t="str">
        <f aca="false">IF(OR(E514="",F514=""),"",MAX(0,((F514-E514-N(G514))*1440-N(H514)*10)/60))</f>
        <v/>
      </c>
      <c r="N514" s="78" t="str">
        <f aca="false">IF($D514="欠席",0,IF(OR(I514="",J514=""),"",MAX(0,((J514-I514-N(K514))*1440-N(L514)*10)/60)))</f>
        <v/>
      </c>
      <c r="O514" s="73"/>
    </row>
    <row r="515" customFormat="false" ht="15" hidden="false" customHeight="false" outlineLevel="0" collapsed="false">
      <c r="A515" s="77"/>
      <c r="B515" s="73"/>
      <c r="C515" s="71" t="str">
        <f aca="false">IF(B515="","",IFERROR(INDEX(マスタ!$F$2:$F$60,MATCH(B515,マスタ!$E$2:$E$60,0))&amp;"",""))</f>
        <v/>
      </c>
      <c r="D515" s="73"/>
      <c r="E515" s="75"/>
      <c r="F515" s="75"/>
      <c r="G515" s="75"/>
      <c r="H515" s="73"/>
      <c r="I515" s="75"/>
      <c r="J515" s="75"/>
      <c r="K515" s="75"/>
      <c r="L515" s="73"/>
      <c r="M515" s="78" t="str">
        <f aca="false">IF(OR(E515="",F515=""),"",MAX(0,((F515-E515-N(G515))*1440-N(H515)*10)/60))</f>
        <v/>
      </c>
      <c r="N515" s="78" t="str">
        <f aca="false">IF($D515="欠席",0,IF(OR(I515="",J515=""),"",MAX(0,((J515-I515-N(K515))*1440-N(L515)*10)/60)))</f>
        <v/>
      </c>
      <c r="O515" s="73"/>
    </row>
    <row r="516" customFormat="false" ht="15" hidden="false" customHeight="false" outlineLevel="0" collapsed="false">
      <c r="A516" s="77"/>
      <c r="B516" s="73"/>
      <c r="C516" s="71" t="str">
        <f aca="false">IF(B516="","",IFERROR(INDEX(マスタ!$F$2:$F$60,MATCH(B516,マスタ!$E$2:$E$60,0))&amp;"",""))</f>
        <v/>
      </c>
      <c r="D516" s="73"/>
      <c r="E516" s="75"/>
      <c r="F516" s="75"/>
      <c r="G516" s="75"/>
      <c r="H516" s="73"/>
      <c r="I516" s="75"/>
      <c r="J516" s="75"/>
      <c r="K516" s="75"/>
      <c r="L516" s="73"/>
      <c r="M516" s="78" t="str">
        <f aca="false">IF(OR(E516="",F516=""),"",MAX(0,((F516-E516-N(G516))*1440-N(H516)*10)/60))</f>
        <v/>
      </c>
      <c r="N516" s="78" t="str">
        <f aca="false">IF($D516="欠席",0,IF(OR(I516="",J516=""),"",MAX(0,((J516-I516-N(K516))*1440-N(L516)*10)/60)))</f>
        <v/>
      </c>
      <c r="O516" s="73"/>
    </row>
    <row r="517" customFormat="false" ht="15" hidden="false" customHeight="false" outlineLevel="0" collapsed="false">
      <c r="A517" s="77"/>
      <c r="B517" s="73"/>
      <c r="C517" s="71" t="str">
        <f aca="false">IF(B517="","",IFERROR(INDEX(マスタ!$F$2:$F$60,MATCH(B517,マスタ!$E$2:$E$60,0))&amp;"",""))</f>
        <v/>
      </c>
      <c r="D517" s="73"/>
      <c r="E517" s="75"/>
      <c r="F517" s="75"/>
      <c r="G517" s="75"/>
      <c r="H517" s="73"/>
      <c r="I517" s="75"/>
      <c r="J517" s="75"/>
      <c r="K517" s="75"/>
      <c r="L517" s="73"/>
      <c r="M517" s="78" t="str">
        <f aca="false">IF(OR(E517="",F517=""),"",MAX(0,((F517-E517-N(G517))*1440-N(H517)*10)/60))</f>
        <v/>
      </c>
      <c r="N517" s="78" t="str">
        <f aca="false">IF($D517="欠席",0,IF(OR(I517="",J517=""),"",MAX(0,((J517-I517-N(K517))*1440-N(L517)*10)/60)))</f>
        <v/>
      </c>
      <c r="O517" s="73"/>
    </row>
    <row r="518" customFormat="false" ht="15" hidden="false" customHeight="false" outlineLevel="0" collapsed="false">
      <c r="A518" s="77"/>
      <c r="B518" s="73"/>
      <c r="C518" s="71" t="str">
        <f aca="false">IF(B518="","",IFERROR(INDEX(マスタ!$F$2:$F$60,MATCH(B518,マスタ!$E$2:$E$60,0))&amp;"",""))</f>
        <v/>
      </c>
      <c r="D518" s="73"/>
      <c r="E518" s="75"/>
      <c r="F518" s="75"/>
      <c r="G518" s="75"/>
      <c r="H518" s="73"/>
      <c r="I518" s="75"/>
      <c r="J518" s="75"/>
      <c r="K518" s="75"/>
      <c r="L518" s="73"/>
      <c r="M518" s="78" t="str">
        <f aca="false">IF(OR(E518="",F518=""),"",MAX(0,((F518-E518-N(G518))*1440-N(H518)*10)/60))</f>
        <v/>
      </c>
      <c r="N518" s="78" t="str">
        <f aca="false">IF($D518="欠席",0,IF(OR(I518="",J518=""),"",MAX(0,((J518-I518-N(K518))*1440-N(L518)*10)/60)))</f>
        <v/>
      </c>
      <c r="O518" s="73"/>
    </row>
    <row r="519" customFormat="false" ht="15" hidden="false" customHeight="false" outlineLevel="0" collapsed="false">
      <c r="A519" s="77"/>
      <c r="B519" s="73"/>
      <c r="C519" s="71" t="str">
        <f aca="false">IF(B519="","",IFERROR(INDEX(マスタ!$F$2:$F$60,MATCH(B519,マスタ!$E$2:$E$60,0))&amp;"",""))</f>
        <v/>
      </c>
      <c r="D519" s="73"/>
      <c r="E519" s="75"/>
      <c r="F519" s="75"/>
      <c r="G519" s="75"/>
      <c r="H519" s="73"/>
      <c r="I519" s="75"/>
      <c r="J519" s="75"/>
      <c r="K519" s="75"/>
      <c r="L519" s="73"/>
      <c r="M519" s="78" t="str">
        <f aca="false">IF(OR(E519="",F519=""),"",MAX(0,((F519-E519-N(G519))*1440-N(H519)*10)/60))</f>
        <v/>
      </c>
      <c r="N519" s="78" t="str">
        <f aca="false">IF($D519="欠席",0,IF(OR(I519="",J519=""),"",MAX(0,((J519-I519-N(K519))*1440-N(L519)*10)/60)))</f>
        <v/>
      </c>
      <c r="O519" s="73"/>
    </row>
    <row r="520" customFormat="false" ht="15" hidden="false" customHeight="false" outlineLevel="0" collapsed="false">
      <c r="A520" s="77"/>
      <c r="B520" s="73"/>
      <c r="C520" s="71" t="str">
        <f aca="false">IF(B520="","",IFERROR(INDEX(マスタ!$F$2:$F$60,MATCH(B520,マスタ!$E$2:$E$60,0))&amp;"",""))</f>
        <v/>
      </c>
      <c r="D520" s="73"/>
      <c r="E520" s="75"/>
      <c r="F520" s="75"/>
      <c r="G520" s="75"/>
      <c r="H520" s="73"/>
      <c r="I520" s="75"/>
      <c r="J520" s="75"/>
      <c r="K520" s="75"/>
      <c r="L520" s="73"/>
      <c r="M520" s="78" t="str">
        <f aca="false">IF(OR(E520="",F520=""),"",MAX(0,((F520-E520-N(G520))*1440-N(H520)*10)/60))</f>
        <v/>
      </c>
      <c r="N520" s="78" t="str">
        <f aca="false">IF($D520="欠席",0,IF(OR(I520="",J520=""),"",MAX(0,((J520-I520-N(K520))*1440-N(L520)*10)/60)))</f>
        <v/>
      </c>
      <c r="O520" s="73"/>
    </row>
    <row r="521" customFormat="false" ht="15" hidden="false" customHeight="false" outlineLevel="0" collapsed="false">
      <c r="A521" s="77"/>
      <c r="B521" s="73"/>
      <c r="C521" s="71" t="str">
        <f aca="false">IF(B521="","",IFERROR(INDEX(マスタ!$F$2:$F$60,MATCH(B521,マスタ!$E$2:$E$60,0))&amp;"",""))</f>
        <v/>
      </c>
      <c r="D521" s="73"/>
      <c r="E521" s="75"/>
      <c r="F521" s="75"/>
      <c r="G521" s="75"/>
      <c r="H521" s="73"/>
      <c r="I521" s="75"/>
      <c r="J521" s="75"/>
      <c r="K521" s="75"/>
      <c r="L521" s="73"/>
      <c r="M521" s="78" t="str">
        <f aca="false">IF(OR(E521="",F521=""),"",MAX(0,((F521-E521-N(G521))*1440-N(H521)*10)/60))</f>
        <v/>
      </c>
      <c r="N521" s="78" t="str">
        <f aca="false">IF($D521="欠席",0,IF(OR(I521="",J521=""),"",MAX(0,((J521-I521-N(K521))*1440-N(L521)*10)/60)))</f>
        <v/>
      </c>
      <c r="O521" s="73"/>
    </row>
    <row r="522" customFormat="false" ht="15" hidden="false" customHeight="false" outlineLevel="0" collapsed="false">
      <c r="A522" s="77"/>
      <c r="B522" s="73"/>
      <c r="C522" s="71" t="str">
        <f aca="false">IF(B522="","",IFERROR(INDEX(マスタ!$F$2:$F$60,MATCH(B522,マスタ!$E$2:$E$60,0))&amp;"",""))</f>
        <v/>
      </c>
      <c r="D522" s="73"/>
      <c r="E522" s="75"/>
      <c r="F522" s="75"/>
      <c r="G522" s="75"/>
      <c r="H522" s="73"/>
      <c r="I522" s="75"/>
      <c r="J522" s="75"/>
      <c r="K522" s="75"/>
      <c r="L522" s="73"/>
      <c r="M522" s="78" t="str">
        <f aca="false">IF(OR(E522="",F522=""),"",MAX(0,((F522-E522-N(G522))*1440-N(H522)*10)/60))</f>
        <v/>
      </c>
      <c r="N522" s="78" t="str">
        <f aca="false">IF($D522="欠席",0,IF(OR(I522="",J522=""),"",MAX(0,((J522-I522-N(K522))*1440-N(L522)*10)/60)))</f>
        <v/>
      </c>
      <c r="O522" s="73"/>
    </row>
    <row r="523" customFormat="false" ht="15" hidden="false" customHeight="false" outlineLevel="0" collapsed="false">
      <c r="A523" s="77"/>
      <c r="B523" s="73"/>
      <c r="C523" s="71" t="str">
        <f aca="false">IF(B523="","",IFERROR(INDEX(マスタ!$F$2:$F$60,MATCH(B523,マスタ!$E$2:$E$60,0))&amp;"",""))</f>
        <v/>
      </c>
      <c r="D523" s="73"/>
      <c r="E523" s="75"/>
      <c r="F523" s="75"/>
      <c r="G523" s="75"/>
      <c r="H523" s="73"/>
      <c r="I523" s="75"/>
      <c r="J523" s="75"/>
      <c r="K523" s="75"/>
      <c r="L523" s="73"/>
      <c r="M523" s="78" t="str">
        <f aca="false">IF(OR(E523="",F523=""),"",MAX(0,((F523-E523-N(G523))*1440-N(H523)*10)/60))</f>
        <v/>
      </c>
      <c r="N523" s="78" t="str">
        <f aca="false">IF($D523="欠席",0,IF(OR(I523="",J523=""),"",MAX(0,((J523-I523-N(K523))*1440-N(L523)*10)/60)))</f>
        <v/>
      </c>
      <c r="O523" s="73"/>
    </row>
    <row r="524" customFormat="false" ht="15" hidden="false" customHeight="false" outlineLevel="0" collapsed="false">
      <c r="A524" s="77"/>
      <c r="B524" s="73"/>
      <c r="C524" s="71" t="str">
        <f aca="false">IF(B524="","",IFERROR(INDEX(マスタ!$F$2:$F$60,MATCH(B524,マスタ!$E$2:$E$60,0))&amp;"",""))</f>
        <v/>
      </c>
      <c r="D524" s="73"/>
      <c r="E524" s="75"/>
      <c r="F524" s="75"/>
      <c r="G524" s="75"/>
      <c r="H524" s="73"/>
      <c r="I524" s="75"/>
      <c r="J524" s="75"/>
      <c r="K524" s="75"/>
      <c r="L524" s="73"/>
      <c r="M524" s="78" t="str">
        <f aca="false">IF(OR(E524="",F524=""),"",MAX(0,((F524-E524-N(G524))*1440-N(H524)*10)/60))</f>
        <v/>
      </c>
      <c r="N524" s="78" t="str">
        <f aca="false">IF($D524="欠席",0,IF(OR(I524="",J524=""),"",MAX(0,((J524-I524-N(K524))*1440-N(L524)*10)/60)))</f>
        <v/>
      </c>
      <c r="O524" s="73"/>
    </row>
    <row r="525" customFormat="false" ht="15" hidden="false" customHeight="false" outlineLevel="0" collapsed="false">
      <c r="A525" s="77"/>
      <c r="B525" s="73"/>
      <c r="C525" s="71" t="str">
        <f aca="false">IF(B525="","",IFERROR(INDEX(マスタ!$F$2:$F$60,MATCH(B525,マスタ!$E$2:$E$60,0))&amp;"",""))</f>
        <v/>
      </c>
      <c r="D525" s="73"/>
      <c r="E525" s="75"/>
      <c r="F525" s="75"/>
      <c r="G525" s="75"/>
      <c r="H525" s="73"/>
      <c r="I525" s="75"/>
      <c r="J525" s="75"/>
      <c r="K525" s="75"/>
      <c r="L525" s="73"/>
      <c r="M525" s="78" t="str">
        <f aca="false">IF(OR(E525="",F525=""),"",MAX(0,((F525-E525-N(G525))*1440-N(H525)*10)/60))</f>
        <v/>
      </c>
      <c r="N525" s="78" t="str">
        <f aca="false">IF($D525="欠席",0,IF(OR(I525="",J525=""),"",MAX(0,((J525-I525-N(K525))*1440-N(L525)*10)/60)))</f>
        <v/>
      </c>
      <c r="O525" s="73"/>
    </row>
    <row r="526" customFormat="false" ht="15" hidden="false" customHeight="false" outlineLevel="0" collapsed="false">
      <c r="A526" s="77"/>
      <c r="B526" s="73"/>
      <c r="C526" s="71" t="str">
        <f aca="false">IF(B526="","",IFERROR(INDEX(マスタ!$F$2:$F$60,MATCH(B526,マスタ!$E$2:$E$60,0))&amp;"",""))</f>
        <v/>
      </c>
      <c r="D526" s="73"/>
      <c r="E526" s="75"/>
      <c r="F526" s="75"/>
      <c r="G526" s="75"/>
      <c r="H526" s="73"/>
      <c r="I526" s="75"/>
      <c r="J526" s="75"/>
      <c r="K526" s="75"/>
      <c r="L526" s="73"/>
      <c r="M526" s="78" t="str">
        <f aca="false">IF(OR(E526="",F526=""),"",MAX(0,((F526-E526-N(G526))*1440-N(H526)*10)/60))</f>
        <v/>
      </c>
      <c r="N526" s="78" t="str">
        <f aca="false">IF($D526="欠席",0,IF(OR(I526="",J526=""),"",MAX(0,((J526-I526-N(K526))*1440-N(L526)*10)/60)))</f>
        <v/>
      </c>
      <c r="O526" s="73"/>
    </row>
    <row r="527" customFormat="false" ht="15" hidden="false" customHeight="false" outlineLevel="0" collapsed="false">
      <c r="A527" s="77"/>
      <c r="B527" s="73"/>
      <c r="C527" s="71" t="str">
        <f aca="false">IF(B527="","",IFERROR(INDEX(マスタ!$F$2:$F$60,MATCH(B527,マスタ!$E$2:$E$60,0))&amp;"",""))</f>
        <v/>
      </c>
      <c r="D527" s="73"/>
      <c r="E527" s="75"/>
      <c r="F527" s="75"/>
      <c r="G527" s="75"/>
      <c r="H527" s="73"/>
      <c r="I527" s="75"/>
      <c r="J527" s="75"/>
      <c r="K527" s="75"/>
      <c r="L527" s="73"/>
      <c r="M527" s="78" t="str">
        <f aca="false">IF(OR(E527="",F527=""),"",MAX(0,((F527-E527-N(G527))*1440-N(H527)*10)/60))</f>
        <v/>
      </c>
      <c r="N527" s="78" t="str">
        <f aca="false">IF($D527="欠席",0,IF(OR(I527="",J527=""),"",MAX(0,((J527-I527-N(K527))*1440-N(L527)*10)/60)))</f>
        <v/>
      </c>
      <c r="O527" s="73"/>
    </row>
    <row r="528" customFormat="false" ht="15" hidden="false" customHeight="false" outlineLevel="0" collapsed="false">
      <c r="A528" s="77"/>
      <c r="B528" s="73"/>
      <c r="C528" s="71" t="str">
        <f aca="false">IF(B528="","",IFERROR(INDEX(マスタ!$F$2:$F$60,MATCH(B528,マスタ!$E$2:$E$60,0))&amp;"",""))</f>
        <v/>
      </c>
      <c r="D528" s="73"/>
      <c r="E528" s="75"/>
      <c r="F528" s="75"/>
      <c r="G528" s="75"/>
      <c r="H528" s="73"/>
      <c r="I528" s="75"/>
      <c r="J528" s="75"/>
      <c r="K528" s="75"/>
      <c r="L528" s="73"/>
      <c r="M528" s="78" t="str">
        <f aca="false">IF(OR(E528="",F528=""),"",MAX(0,((F528-E528-N(G528))*1440-N(H528)*10)/60))</f>
        <v/>
      </c>
      <c r="N528" s="78" t="str">
        <f aca="false">IF($D528="欠席",0,IF(OR(I528="",J528=""),"",MAX(0,((J528-I528-N(K528))*1440-N(L528)*10)/60)))</f>
        <v/>
      </c>
      <c r="O528" s="73"/>
    </row>
    <row r="529" customFormat="false" ht="15" hidden="false" customHeight="false" outlineLevel="0" collapsed="false">
      <c r="A529" s="77"/>
      <c r="B529" s="73"/>
      <c r="C529" s="71" t="str">
        <f aca="false">IF(B529="","",IFERROR(INDEX(マスタ!$F$2:$F$60,MATCH(B529,マスタ!$E$2:$E$60,0))&amp;"",""))</f>
        <v/>
      </c>
      <c r="D529" s="73"/>
      <c r="E529" s="75"/>
      <c r="F529" s="75"/>
      <c r="G529" s="75"/>
      <c r="H529" s="73"/>
      <c r="I529" s="75"/>
      <c r="J529" s="75"/>
      <c r="K529" s="75"/>
      <c r="L529" s="73"/>
      <c r="M529" s="78" t="str">
        <f aca="false">IF(OR(E529="",F529=""),"",MAX(0,((F529-E529-N(G529))*1440-N(H529)*10)/60))</f>
        <v/>
      </c>
      <c r="N529" s="78" t="str">
        <f aca="false">IF($D529="欠席",0,IF(OR(I529="",J529=""),"",MAX(0,((J529-I529-N(K529))*1440-N(L529)*10)/60)))</f>
        <v/>
      </c>
      <c r="O529" s="73"/>
    </row>
    <row r="530" customFormat="false" ht="15" hidden="false" customHeight="false" outlineLevel="0" collapsed="false">
      <c r="A530" s="77"/>
      <c r="B530" s="73"/>
      <c r="C530" s="71" t="str">
        <f aca="false">IF(B530="","",IFERROR(INDEX(マスタ!$F$2:$F$60,MATCH(B530,マスタ!$E$2:$E$60,0))&amp;"",""))</f>
        <v/>
      </c>
      <c r="D530" s="73"/>
      <c r="E530" s="75"/>
      <c r="F530" s="75"/>
      <c r="G530" s="75"/>
      <c r="H530" s="73"/>
      <c r="I530" s="75"/>
      <c r="J530" s="75"/>
      <c r="K530" s="75"/>
      <c r="L530" s="73"/>
      <c r="M530" s="78" t="str">
        <f aca="false">IF(OR(E530="",F530=""),"",MAX(0,((F530-E530-N(G530))*1440-N(H530)*10)/60))</f>
        <v/>
      </c>
      <c r="N530" s="78" t="str">
        <f aca="false">IF($D530="欠席",0,IF(OR(I530="",J530=""),"",MAX(0,((J530-I530-N(K530))*1440-N(L530)*10)/60)))</f>
        <v/>
      </c>
      <c r="O530" s="73"/>
    </row>
    <row r="531" customFormat="false" ht="15" hidden="false" customHeight="false" outlineLevel="0" collapsed="false">
      <c r="A531" s="77"/>
      <c r="B531" s="73"/>
      <c r="C531" s="71" t="str">
        <f aca="false">IF(B531="","",IFERROR(INDEX(マスタ!$F$2:$F$60,MATCH(B531,マスタ!$E$2:$E$60,0))&amp;"",""))</f>
        <v/>
      </c>
      <c r="D531" s="73"/>
      <c r="E531" s="75"/>
      <c r="F531" s="75"/>
      <c r="G531" s="75"/>
      <c r="H531" s="73"/>
      <c r="I531" s="75"/>
      <c r="J531" s="75"/>
      <c r="K531" s="75"/>
      <c r="L531" s="73"/>
      <c r="M531" s="78" t="str">
        <f aca="false">IF(OR(E531="",F531=""),"",MAX(0,((F531-E531-N(G531))*1440-N(H531)*10)/60))</f>
        <v/>
      </c>
      <c r="N531" s="78" t="str">
        <f aca="false">IF($D531="欠席",0,IF(OR(I531="",J531=""),"",MAX(0,((J531-I531-N(K531))*1440-N(L531)*10)/60)))</f>
        <v/>
      </c>
      <c r="O531" s="73"/>
    </row>
    <row r="532" customFormat="false" ht="15" hidden="false" customHeight="false" outlineLevel="0" collapsed="false">
      <c r="A532" s="77"/>
      <c r="B532" s="73"/>
      <c r="C532" s="71" t="str">
        <f aca="false">IF(B532="","",IFERROR(INDEX(マスタ!$F$2:$F$60,MATCH(B532,マスタ!$E$2:$E$60,0))&amp;"",""))</f>
        <v/>
      </c>
      <c r="D532" s="73"/>
      <c r="E532" s="75"/>
      <c r="F532" s="75"/>
      <c r="G532" s="75"/>
      <c r="H532" s="73"/>
      <c r="I532" s="75"/>
      <c r="J532" s="75"/>
      <c r="K532" s="75"/>
      <c r="L532" s="73"/>
      <c r="M532" s="78" t="str">
        <f aca="false">IF(OR(E532="",F532=""),"",MAX(0,((F532-E532-N(G532))*1440-N(H532)*10)/60))</f>
        <v/>
      </c>
      <c r="N532" s="78" t="str">
        <f aca="false">IF($D532="欠席",0,IF(OR(I532="",J532=""),"",MAX(0,((J532-I532-N(K532))*1440-N(L532)*10)/60)))</f>
        <v/>
      </c>
      <c r="O532" s="73"/>
    </row>
    <row r="533" customFormat="false" ht="15" hidden="false" customHeight="false" outlineLevel="0" collapsed="false">
      <c r="A533" s="77"/>
      <c r="B533" s="73"/>
      <c r="C533" s="71" t="str">
        <f aca="false">IF(B533="","",IFERROR(INDEX(マスタ!$F$2:$F$60,MATCH(B533,マスタ!$E$2:$E$60,0))&amp;"",""))</f>
        <v/>
      </c>
      <c r="D533" s="73"/>
      <c r="E533" s="75"/>
      <c r="F533" s="75"/>
      <c r="G533" s="75"/>
      <c r="H533" s="73"/>
      <c r="I533" s="75"/>
      <c r="J533" s="75"/>
      <c r="K533" s="75"/>
      <c r="L533" s="73"/>
      <c r="M533" s="78" t="str">
        <f aca="false">IF(OR(E533="",F533=""),"",MAX(0,((F533-E533-N(G533))*1440-N(H533)*10)/60))</f>
        <v/>
      </c>
      <c r="N533" s="78" t="str">
        <f aca="false">IF($D533="欠席",0,IF(OR(I533="",J533=""),"",MAX(0,((J533-I533-N(K533))*1440-N(L533)*10)/60)))</f>
        <v/>
      </c>
      <c r="O533" s="73"/>
    </row>
    <row r="534" customFormat="false" ht="15" hidden="false" customHeight="false" outlineLevel="0" collapsed="false">
      <c r="A534" s="77"/>
      <c r="B534" s="73"/>
      <c r="C534" s="71" t="str">
        <f aca="false">IF(B534="","",IFERROR(INDEX(マスタ!$F$2:$F$60,MATCH(B534,マスタ!$E$2:$E$60,0))&amp;"",""))</f>
        <v/>
      </c>
      <c r="D534" s="73"/>
      <c r="E534" s="75"/>
      <c r="F534" s="75"/>
      <c r="G534" s="75"/>
      <c r="H534" s="73"/>
      <c r="I534" s="75"/>
      <c r="J534" s="75"/>
      <c r="K534" s="75"/>
      <c r="L534" s="73"/>
      <c r="M534" s="78" t="str">
        <f aca="false">IF(OR(E534="",F534=""),"",MAX(0,((F534-E534-N(G534))*1440-N(H534)*10)/60))</f>
        <v/>
      </c>
      <c r="N534" s="78" t="str">
        <f aca="false">IF($D534="欠席",0,IF(OR(I534="",J534=""),"",MAX(0,((J534-I534-N(K534))*1440-N(L534)*10)/60)))</f>
        <v/>
      </c>
      <c r="O534" s="73"/>
    </row>
    <row r="535" customFormat="false" ht="15" hidden="false" customHeight="false" outlineLevel="0" collapsed="false">
      <c r="A535" s="77"/>
      <c r="B535" s="73"/>
      <c r="C535" s="71" t="str">
        <f aca="false">IF(B535="","",IFERROR(INDEX(マスタ!$F$2:$F$60,MATCH(B535,マスタ!$E$2:$E$60,0))&amp;"",""))</f>
        <v/>
      </c>
      <c r="D535" s="73"/>
      <c r="E535" s="75"/>
      <c r="F535" s="75"/>
      <c r="G535" s="75"/>
      <c r="H535" s="73"/>
      <c r="I535" s="75"/>
      <c r="J535" s="75"/>
      <c r="K535" s="75"/>
      <c r="L535" s="73"/>
      <c r="M535" s="78" t="str">
        <f aca="false">IF(OR(E535="",F535=""),"",MAX(0,((F535-E535-N(G535))*1440-N(H535)*10)/60))</f>
        <v/>
      </c>
      <c r="N535" s="78" t="str">
        <f aca="false">IF($D535="欠席",0,IF(OR(I535="",J535=""),"",MAX(0,((J535-I535-N(K535))*1440-N(L535)*10)/60)))</f>
        <v/>
      </c>
      <c r="O535" s="73"/>
    </row>
    <row r="536" customFormat="false" ht="15" hidden="false" customHeight="false" outlineLevel="0" collapsed="false">
      <c r="A536" s="77"/>
      <c r="B536" s="73"/>
      <c r="C536" s="71" t="str">
        <f aca="false">IF(B536="","",IFERROR(INDEX(マスタ!$F$2:$F$60,MATCH(B536,マスタ!$E$2:$E$60,0))&amp;"",""))</f>
        <v/>
      </c>
      <c r="D536" s="73"/>
      <c r="E536" s="75"/>
      <c r="F536" s="75"/>
      <c r="G536" s="75"/>
      <c r="H536" s="73"/>
      <c r="I536" s="75"/>
      <c r="J536" s="75"/>
      <c r="K536" s="75"/>
      <c r="L536" s="73"/>
      <c r="M536" s="78" t="str">
        <f aca="false">IF(OR(E536="",F536=""),"",MAX(0,((F536-E536-N(G536))*1440-N(H536)*10)/60))</f>
        <v/>
      </c>
      <c r="N536" s="78" t="str">
        <f aca="false">IF($D536="欠席",0,IF(OR(I536="",J536=""),"",MAX(0,((J536-I536-N(K536))*1440-N(L536)*10)/60)))</f>
        <v/>
      </c>
      <c r="O536" s="73"/>
    </row>
    <row r="537" customFormat="false" ht="15" hidden="false" customHeight="false" outlineLevel="0" collapsed="false">
      <c r="A537" s="77"/>
      <c r="B537" s="73"/>
      <c r="C537" s="71" t="str">
        <f aca="false">IF(B537="","",IFERROR(INDEX(マスタ!$F$2:$F$60,MATCH(B537,マスタ!$E$2:$E$60,0))&amp;"",""))</f>
        <v/>
      </c>
      <c r="D537" s="73"/>
      <c r="E537" s="75"/>
      <c r="F537" s="75"/>
      <c r="G537" s="75"/>
      <c r="H537" s="73"/>
      <c r="I537" s="75"/>
      <c r="J537" s="75"/>
      <c r="K537" s="75"/>
      <c r="L537" s="73"/>
      <c r="M537" s="78" t="str">
        <f aca="false">IF(OR(E537="",F537=""),"",MAX(0,((F537-E537-N(G537))*1440-N(H537)*10)/60))</f>
        <v/>
      </c>
      <c r="N537" s="78" t="str">
        <f aca="false">IF($D537="欠席",0,IF(OR(I537="",J537=""),"",MAX(0,((J537-I537-N(K537))*1440-N(L537)*10)/60)))</f>
        <v/>
      </c>
      <c r="O537" s="73"/>
    </row>
    <row r="538" customFormat="false" ht="15" hidden="false" customHeight="false" outlineLevel="0" collapsed="false">
      <c r="A538" s="77"/>
      <c r="B538" s="73"/>
      <c r="C538" s="71" t="str">
        <f aca="false">IF(B538="","",IFERROR(INDEX(マスタ!$F$2:$F$60,MATCH(B538,マスタ!$E$2:$E$60,0))&amp;"",""))</f>
        <v/>
      </c>
      <c r="D538" s="73"/>
      <c r="E538" s="75"/>
      <c r="F538" s="75"/>
      <c r="G538" s="75"/>
      <c r="H538" s="73"/>
      <c r="I538" s="75"/>
      <c r="J538" s="75"/>
      <c r="K538" s="75"/>
      <c r="L538" s="73"/>
      <c r="M538" s="78" t="str">
        <f aca="false">IF(OR(E538="",F538=""),"",MAX(0,((F538-E538-N(G538))*1440-N(H538)*10)/60))</f>
        <v/>
      </c>
      <c r="N538" s="78" t="str">
        <f aca="false">IF($D538="欠席",0,IF(OR(I538="",J538=""),"",MAX(0,((J538-I538-N(K538))*1440-N(L538)*10)/60)))</f>
        <v/>
      </c>
      <c r="O538" s="73"/>
    </row>
    <row r="539" customFormat="false" ht="15" hidden="false" customHeight="false" outlineLevel="0" collapsed="false">
      <c r="A539" s="77"/>
      <c r="B539" s="73"/>
      <c r="C539" s="71" t="str">
        <f aca="false">IF(B539="","",IFERROR(INDEX(マスタ!$F$2:$F$60,MATCH(B539,マスタ!$E$2:$E$60,0))&amp;"",""))</f>
        <v/>
      </c>
      <c r="D539" s="73"/>
      <c r="E539" s="75"/>
      <c r="F539" s="75"/>
      <c r="G539" s="75"/>
      <c r="H539" s="73"/>
      <c r="I539" s="75"/>
      <c r="J539" s="75"/>
      <c r="K539" s="75"/>
      <c r="L539" s="73"/>
      <c r="M539" s="78" t="str">
        <f aca="false">IF(OR(E539="",F539=""),"",MAX(0,((F539-E539-N(G539))*1440-N(H539)*10)/60))</f>
        <v/>
      </c>
      <c r="N539" s="78" t="str">
        <f aca="false">IF($D539="欠席",0,IF(OR(I539="",J539=""),"",MAX(0,((J539-I539-N(K539))*1440-N(L539)*10)/60)))</f>
        <v/>
      </c>
      <c r="O539" s="73"/>
    </row>
    <row r="540" customFormat="false" ht="15" hidden="false" customHeight="false" outlineLevel="0" collapsed="false">
      <c r="A540" s="77"/>
      <c r="B540" s="73"/>
      <c r="C540" s="71" t="str">
        <f aca="false">IF(B540="","",IFERROR(INDEX(マスタ!$F$2:$F$60,MATCH(B540,マスタ!$E$2:$E$60,0))&amp;"",""))</f>
        <v/>
      </c>
      <c r="D540" s="73"/>
      <c r="E540" s="75"/>
      <c r="F540" s="75"/>
      <c r="G540" s="75"/>
      <c r="H540" s="73"/>
      <c r="I540" s="75"/>
      <c r="J540" s="75"/>
      <c r="K540" s="75"/>
      <c r="L540" s="73"/>
      <c r="M540" s="78" t="str">
        <f aca="false">IF(OR(E540="",F540=""),"",MAX(0,((F540-E540-N(G540))*1440-N(H540)*10)/60))</f>
        <v/>
      </c>
      <c r="N540" s="78" t="str">
        <f aca="false">IF($D540="欠席",0,IF(OR(I540="",J540=""),"",MAX(0,((J540-I540-N(K540))*1440-N(L540)*10)/60)))</f>
        <v/>
      </c>
      <c r="O540" s="73"/>
    </row>
    <row r="541" customFormat="false" ht="15" hidden="false" customHeight="false" outlineLevel="0" collapsed="false">
      <c r="A541" s="77"/>
      <c r="B541" s="73"/>
      <c r="C541" s="71" t="str">
        <f aca="false">IF(B541="","",IFERROR(INDEX(マスタ!$F$2:$F$60,MATCH(B541,マスタ!$E$2:$E$60,0))&amp;"",""))</f>
        <v/>
      </c>
      <c r="D541" s="73"/>
      <c r="E541" s="75"/>
      <c r="F541" s="75"/>
      <c r="G541" s="75"/>
      <c r="H541" s="73"/>
      <c r="I541" s="75"/>
      <c r="J541" s="75"/>
      <c r="K541" s="75"/>
      <c r="L541" s="73"/>
      <c r="M541" s="78" t="str">
        <f aca="false">IF(OR(E541="",F541=""),"",MAX(0,((F541-E541-N(G541))*1440-N(H541)*10)/60))</f>
        <v/>
      </c>
      <c r="N541" s="78" t="str">
        <f aca="false">IF($D541="欠席",0,IF(OR(I541="",J541=""),"",MAX(0,((J541-I541-N(K541))*1440-N(L541)*10)/60)))</f>
        <v/>
      </c>
      <c r="O541" s="73"/>
    </row>
    <row r="542" customFormat="false" ht="15" hidden="false" customHeight="false" outlineLevel="0" collapsed="false">
      <c r="A542" s="77"/>
      <c r="B542" s="73"/>
      <c r="C542" s="71" t="str">
        <f aca="false">IF(B542="","",IFERROR(INDEX(マスタ!$F$2:$F$60,MATCH(B542,マスタ!$E$2:$E$60,0))&amp;"",""))</f>
        <v/>
      </c>
      <c r="D542" s="73"/>
      <c r="E542" s="75"/>
      <c r="F542" s="75"/>
      <c r="G542" s="75"/>
      <c r="H542" s="73"/>
      <c r="I542" s="75"/>
      <c r="J542" s="75"/>
      <c r="K542" s="75"/>
      <c r="L542" s="73"/>
      <c r="M542" s="78" t="str">
        <f aca="false">IF(OR(E542="",F542=""),"",MAX(0,((F542-E542-N(G542))*1440-N(H542)*10)/60))</f>
        <v/>
      </c>
      <c r="N542" s="78" t="str">
        <f aca="false">IF($D542="欠席",0,IF(OR(I542="",J542=""),"",MAX(0,((J542-I542-N(K542))*1440-N(L542)*10)/60)))</f>
        <v/>
      </c>
      <c r="O542" s="73"/>
    </row>
    <row r="543" customFormat="false" ht="15" hidden="false" customHeight="false" outlineLevel="0" collapsed="false">
      <c r="A543" s="77"/>
      <c r="B543" s="73"/>
      <c r="C543" s="71" t="str">
        <f aca="false">IF(B543="","",IFERROR(INDEX(マスタ!$F$2:$F$60,MATCH(B543,マスタ!$E$2:$E$60,0))&amp;"",""))</f>
        <v/>
      </c>
      <c r="D543" s="73"/>
      <c r="E543" s="75"/>
      <c r="F543" s="75"/>
      <c r="G543" s="75"/>
      <c r="H543" s="73"/>
      <c r="I543" s="75"/>
      <c r="J543" s="75"/>
      <c r="K543" s="75"/>
      <c r="L543" s="73"/>
      <c r="M543" s="78" t="str">
        <f aca="false">IF(OR(E543="",F543=""),"",MAX(0,((F543-E543-N(G543))*1440-N(H543)*10)/60))</f>
        <v/>
      </c>
      <c r="N543" s="78" t="str">
        <f aca="false">IF($D543="欠席",0,IF(OR(I543="",J543=""),"",MAX(0,((J543-I543-N(K543))*1440-N(L543)*10)/60)))</f>
        <v/>
      </c>
      <c r="O543" s="73"/>
    </row>
    <row r="544" customFormat="false" ht="15" hidden="false" customHeight="false" outlineLevel="0" collapsed="false">
      <c r="A544" s="77"/>
      <c r="B544" s="73"/>
      <c r="C544" s="71" t="str">
        <f aca="false">IF(B544="","",IFERROR(INDEX(マスタ!$F$2:$F$60,MATCH(B544,マスタ!$E$2:$E$60,0))&amp;"",""))</f>
        <v/>
      </c>
      <c r="D544" s="73"/>
      <c r="E544" s="75"/>
      <c r="F544" s="75"/>
      <c r="G544" s="75"/>
      <c r="H544" s="73"/>
      <c r="I544" s="75"/>
      <c r="J544" s="75"/>
      <c r="K544" s="75"/>
      <c r="L544" s="73"/>
      <c r="M544" s="78" t="str">
        <f aca="false">IF(OR(E544="",F544=""),"",MAX(0,((F544-E544-N(G544))*1440-N(H544)*10)/60))</f>
        <v/>
      </c>
      <c r="N544" s="78" t="str">
        <f aca="false">IF($D544="欠席",0,IF(OR(I544="",J544=""),"",MAX(0,((J544-I544-N(K544))*1440-N(L544)*10)/60)))</f>
        <v/>
      </c>
      <c r="O544" s="73"/>
    </row>
    <row r="545" customFormat="false" ht="15" hidden="false" customHeight="false" outlineLevel="0" collapsed="false">
      <c r="A545" s="77"/>
      <c r="B545" s="73"/>
      <c r="C545" s="71" t="str">
        <f aca="false">IF(B545="","",IFERROR(INDEX(マスタ!$F$2:$F$60,MATCH(B545,マスタ!$E$2:$E$60,0))&amp;"",""))</f>
        <v/>
      </c>
      <c r="D545" s="73"/>
      <c r="E545" s="75"/>
      <c r="F545" s="75"/>
      <c r="G545" s="75"/>
      <c r="H545" s="73"/>
      <c r="I545" s="75"/>
      <c r="J545" s="75"/>
      <c r="K545" s="75"/>
      <c r="L545" s="73"/>
      <c r="M545" s="78" t="str">
        <f aca="false">IF(OR(E545="",F545=""),"",MAX(0,((F545-E545-N(G545))*1440-N(H545)*10)/60))</f>
        <v/>
      </c>
      <c r="N545" s="78" t="str">
        <f aca="false">IF($D545="欠席",0,IF(OR(I545="",J545=""),"",MAX(0,((J545-I545-N(K545))*1440-N(L545)*10)/60)))</f>
        <v/>
      </c>
      <c r="O545" s="73"/>
    </row>
    <row r="546" customFormat="false" ht="15" hidden="false" customHeight="false" outlineLevel="0" collapsed="false">
      <c r="A546" s="77"/>
      <c r="B546" s="73"/>
      <c r="C546" s="71" t="str">
        <f aca="false">IF(B546="","",IFERROR(INDEX(マスタ!$F$2:$F$60,MATCH(B546,マスタ!$E$2:$E$60,0))&amp;"",""))</f>
        <v/>
      </c>
      <c r="D546" s="73"/>
      <c r="E546" s="75"/>
      <c r="F546" s="75"/>
      <c r="G546" s="75"/>
      <c r="H546" s="73"/>
      <c r="I546" s="75"/>
      <c r="J546" s="75"/>
      <c r="K546" s="75"/>
      <c r="L546" s="73"/>
      <c r="M546" s="78" t="str">
        <f aca="false">IF(OR(E546="",F546=""),"",MAX(0,((F546-E546-N(G546))*1440-N(H546)*10)/60))</f>
        <v/>
      </c>
      <c r="N546" s="78" t="str">
        <f aca="false">IF($D546="欠席",0,IF(OR(I546="",J546=""),"",MAX(0,((J546-I546-N(K546))*1440-N(L546)*10)/60)))</f>
        <v/>
      </c>
      <c r="O546" s="73"/>
    </row>
    <row r="547" customFormat="false" ht="15" hidden="false" customHeight="false" outlineLevel="0" collapsed="false">
      <c r="A547" s="77"/>
      <c r="B547" s="73"/>
      <c r="C547" s="71" t="str">
        <f aca="false">IF(B547="","",IFERROR(INDEX(マスタ!$F$2:$F$60,MATCH(B547,マスタ!$E$2:$E$60,0))&amp;"",""))</f>
        <v/>
      </c>
      <c r="D547" s="73"/>
      <c r="E547" s="75"/>
      <c r="F547" s="75"/>
      <c r="G547" s="75"/>
      <c r="H547" s="73"/>
      <c r="I547" s="75"/>
      <c r="J547" s="75"/>
      <c r="K547" s="75"/>
      <c r="L547" s="73"/>
      <c r="M547" s="78" t="str">
        <f aca="false">IF(OR(E547="",F547=""),"",MAX(0,((F547-E547-N(G547))*1440-N(H547)*10)/60))</f>
        <v/>
      </c>
      <c r="N547" s="78" t="str">
        <f aca="false">IF($D547="欠席",0,IF(OR(I547="",J547=""),"",MAX(0,((J547-I547-N(K547))*1440-N(L547)*10)/60)))</f>
        <v/>
      </c>
      <c r="O547" s="73"/>
    </row>
    <row r="548" customFormat="false" ht="15" hidden="false" customHeight="false" outlineLevel="0" collapsed="false">
      <c r="A548" s="77"/>
      <c r="B548" s="73"/>
      <c r="C548" s="71" t="str">
        <f aca="false">IF(B548="","",IFERROR(INDEX(マスタ!$F$2:$F$60,MATCH(B548,マスタ!$E$2:$E$60,0))&amp;"",""))</f>
        <v/>
      </c>
      <c r="D548" s="73"/>
      <c r="E548" s="75"/>
      <c r="F548" s="75"/>
      <c r="G548" s="75"/>
      <c r="H548" s="73"/>
      <c r="I548" s="75"/>
      <c r="J548" s="75"/>
      <c r="K548" s="75"/>
      <c r="L548" s="73"/>
      <c r="M548" s="78" t="str">
        <f aca="false">IF(OR(E548="",F548=""),"",MAX(0,((F548-E548-N(G548))*1440-N(H548)*10)/60))</f>
        <v/>
      </c>
      <c r="N548" s="78" t="str">
        <f aca="false">IF($D548="欠席",0,IF(OR(I548="",J548=""),"",MAX(0,((J548-I548-N(K548))*1440-N(L548)*10)/60)))</f>
        <v/>
      </c>
      <c r="O548" s="73"/>
    </row>
    <row r="549" customFormat="false" ht="15" hidden="false" customHeight="false" outlineLevel="0" collapsed="false">
      <c r="A549" s="77"/>
      <c r="B549" s="73"/>
      <c r="C549" s="71" t="str">
        <f aca="false">IF(B549="","",IFERROR(INDEX(マスタ!$F$2:$F$60,MATCH(B549,マスタ!$E$2:$E$60,0))&amp;"",""))</f>
        <v/>
      </c>
      <c r="D549" s="73"/>
      <c r="E549" s="75"/>
      <c r="F549" s="75"/>
      <c r="G549" s="75"/>
      <c r="H549" s="73"/>
      <c r="I549" s="75"/>
      <c r="J549" s="75"/>
      <c r="K549" s="75"/>
      <c r="L549" s="73"/>
      <c r="M549" s="78" t="str">
        <f aca="false">IF(OR(E549="",F549=""),"",MAX(0,((F549-E549-N(G549))*1440-N(H549)*10)/60))</f>
        <v/>
      </c>
      <c r="N549" s="78" t="str">
        <f aca="false">IF($D549="欠席",0,IF(OR(I549="",J549=""),"",MAX(0,((J549-I549-N(K549))*1440-N(L549)*10)/60)))</f>
        <v/>
      </c>
      <c r="O549" s="73"/>
    </row>
    <row r="550" customFormat="false" ht="15" hidden="false" customHeight="false" outlineLevel="0" collapsed="false">
      <c r="A550" s="77"/>
      <c r="B550" s="73"/>
      <c r="C550" s="71" t="str">
        <f aca="false">IF(B550="","",IFERROR(INDEX(マスタ!$F$2:$F$60,MATCH(B550,マスタ!$E$2:$E$60,0))&amp;"",""))</f>
        <v/>
      </c>
      <c r="D550" s="73"/>
      <c r="E550" s="75"/>
      <c r="F550" s="75"/>
      <c r="G550" s="75"/>
      <c r="H550" s="73"/>
      <c r="I550" s="75"/>
      <c r="J550" s="75"/>
      <c r="K550" s="75"/>
      <c r="L550" s="73"/>
      <c r="M550" s="78" t="str">
        <f aca="false">IF(OR(E550="",F550=""),"",MAX(0,((F550-E550-N(G550))*1440-N(H550)*10)/60))</f>
        <v/>
      </c>
      <c r="N550" s="78" t="str">
        <f aca="false">IF($D550="欠席",0,IF(OR(I550="",J550=""),"",MAX(0,((J550-I550-N(K550))*1440-N(L550)*10)/60)))</f>
        <v/>
      </c>
      <c r="O550" s="73"/>
    </row>
    <row r="551" customFormat="false" ht="15" hidden="false" customHeight="false" outlineLevel="0" collapsed="false">
      <c r="A551" s="77"/>
      <c r="B551" s="73"/>
      <c r="C551" s="71" t="str">
        <f aca="false">IF(B551="","",IFERROR(INDEX(マスタ!$F$2:$F$60,MATCH(B551,マスタ!$E$2:$E$60,0))&amp;"",""))</f>
        <v/>
      </c>
      <c r="D551" s="73"/>
      <c r="E551" s="75"/>
      <c r="F551" s="75"/>
      <c r="G551" s="75"/>
      <c r="H551" s="73"/>
      <c r="I551" s="75"/>
      <c r="J551" s="75"/>
      <c r="K551" s="75"/>
      <c r="L551" s="73"/>
      <c r="M551" s="78" t="str">
        <f aca="false">IF(OR(E551="",F551=""),"",MAX(0,((F551-E551-N(G551))*1440-N(H551)*10)/60))</f>
        <v/>
      </c>
      <c r="N551" s="78" t="str">
        <f aca="false">IF($D551="欠席",0,IF(OR(I551="",J551=""),"",MAX(0,((J551-I551-N(K551))*1440-N(L551)*10)/60)))</f>
        <v/>
      </c>
      <c r="O551" s="73"/>
    </row>
    <row r="552" customFormat="false" ht="15" hidden="false" customHeight="false" outlineLevel="0" collapsed="false">
      <c r="A552" s="77"/>
      <c r="B552" s="73"/>
      <c r="C552" s="71" t="str">
        <f aca="false">IF(B552="","",IFERROR(INDEX(マスタ!$F$2:$F$60,MATCH(B552,マスタ!$E$2:$E$60,0))&amp;"",""))</f>
        <v/>
      </c>
      <c r="D552" s="73"/>
      <c r="E552" s="75"/>
      <c r="F552" s="75"/>
      <c r="G552" s="75"/>
      <c r="H552" s="73"/>
      <c r="I552" s="75"/>
      <c r="J552" s="75"/>
      <c r="K552" s="75"/>
      <c r="L552" s="73"/>
      <c r="M552" s="78" t="str">
        <f aca="false">IF(OR(E552="",F552=""),"",MAX(0,((F552-E552-N(G552))*1440-N(H552)*10)/60))</f>
        <v/>
      </c>
      <c r="N552" s="78" t="str">
        <f aca="false">IF($D552="欠席",0,IF(OR(I552="",J552=""),"",MAX(0,((J552-I552-N(K552))*1440-N(L552)*10)/60)))</f>
        <v/>
      </c>
      <c r="O552" s="73"/>
    </row>
    <row r="553" customFormat="false" ht="15" hidden="false" customHeight="false" outlineLevel="0" collapsed="false">
      <c r="A553" s="77"/>
      <c r="B553" s="73"/>
      <c r="C553" s="71" t="str">
        <f aca="false">IF(B553="","",IFERROR(INDEX(マスタ!$F$2:$F$60,MATCH(B553,マスタ!$E$2:$E$60,0))&amp;"",""))</f>
        <v/>
      </c>
      <c r="D553" s="73"/>
      <c r="E553" s="75"/>
      <c r="F553" s="75"/>
      <c r="G553" s="75"/>
      <c r="H553" s="73"/>
      <c r="I553" s="75"/>
      <c r="J553" s="75"/>
      <c r="K553" s="75"/>
      <c r="L553" s="73"/>
      <c r="M553" s="78" t="str">
        <f aca="false">IF(OR(E553="",F553=""),"",MAX(0,((F553-E553-N(G553))*1440-N(H553)*10)/60))</f>
        <v/>
      </c>
      <c r="N553" s="78" t="str">
        <f aca="false">IF($D553="欠席",0,IF(OR(I553="",J553=""),"",MAX(0,((J553-I553-N(K553))*1440-N(L553)*10)/60)))</f>
        <v/>
      </c>
      <c r="O553" s="73"/>
    </row>
    <row r="554" customFormat="false" ht="15" hidden="false" customHeight="false" outlineLevel="0" collapsed="false">
      <c r="A554" s="77"/>
      <c r="B554" s="73"/>
      <c r="C554" s="71" t="str">
        <f aca="false">IF(B554="","",IFERROR(INDEX(マスタ!$F$2:$F$60,MATCH(B554,マスタ!$E$2:$E$60,0))&amp;"",""))</f>
        <v/>
      </c>
      <c r="D554" s="73"/>
      <c r="E554" s="75"/>
      <c r="F554" s="75"/>
      <c r="G554" s="75"/>
      <c r="H554" s="73"/>
      <c r="I554" s="75"/>
      <c r="J554" s="75"/>
      <c r="K554" s="75"/>
      <c r="L554" s="73"/>
      <c r="M554" s="78" t="str">
        <f aca="false">IF(OR(E554="",F554=""),"",MAX(0,((F554-E554-N(G554))*1440-N(H554)*10)/60))</f>
        <v/>
      </c>
      <c r="N554" s="78" t="str">
        <f aca="false">IF($D554="欠席",0,IF(OR(I554="",J554=""),"",MAX(0,((J554-I554-N(K554))*1440-N(L554)*10)/60)))</f>
        <v/>
      </c>
      <c r="O554" s="73"/>
    </row>
    <row r="555" customFormat="false" ht="15" hidden="false" customHeight="false" outlineLevel="0" collapsed="false">
      <c r="A555" s="77"/>
      <c r="B555" s="73"/>
      <c r="C555" s="71" t="str">
        <f aca="false">IF(B555="","",IFERROR(INDEX(マスタ!$F$2:$F$60,MATCH(B555,マスタ!$E$2:$E$60,0))&amp;"",""))</f>
        <v/>
      </c>
      <c r="D555" s="73"/>
      <c r="E555" s="75"/>
      <c r="F555" s="75"/>
      <c r="G555" s="75"/>
      <c r="H555" s="73"/>
      <c r="I555" s="75"/>
      <c r="J555" s="75"/>
      <c r="K555" s="75"/>
      <c r="L555" s="73"/>
      <c r="M555" s="78" t="str">
        <f aca="false">IF(OR(E555="",F555=""),"",MAX(0,((F555-E555-N(G555))*1440-N(H555)*10)/60))</f>
        <v/>
      </c>
      <c r="N555" s="78" t="str">
        <f aca="false">IF($D555="欠席",0,IF(OR(I555="",J555=""),"",MAX(0,((J555-I555-N(K555))*1440-N(L555)*10)/60)))</f>
        <v/>
      </c>
      <c r="O555" s="73"/>
    </row>
    <row r="556" customFormat="false" ht="15" hidden="false" customHeight="false" outlineLevel="0" collapsed="false">
      <c r="A556" s="77"/>
      <c r="B556" s="73"/>
      <c r="C556" s="71" t="str">
        <f aca="false">IF(B556="","",IFERROR(INDEX(マスタ!$F$2:$F$60,MATCH(B556,マスタ!$E$2:$E$60,0))&amp;"",""))</f>
        <v/>
      </c>
      <c r="D556" s="73"/>
      <c r="E556" s="75"/>
      <c r="F556" s="75"/>
      <c r="G556" s="75"/>
      <c r="H556" s="73"/>
      <c r="I556" s="75"/>
      <c r="J556" s="75"/>
      <c r="K556" s="75"/>
      <c r="L556" s="73"/>
      <c r="M556" s="78" t="str">
        <f aca="false">IF(OR(E556="",F556=""),"",MAX(0,((F556-E556-N(G556))*1440-N(H556)*10)/60))</f>
        <v/>
      </c>
      <c r="N556" s="78" t="str">
        <f aca="false">IF($D556="欠席",0,IF(OR(I556="",J556=""),"",MAX(0,((J556-I556-N(K556))*1440-N(L556)*10)/60)))</f>
        <v/>
      </c>
      <c r="O556" s="73"/>
    </row>
    <row r="557" customFormat="false" ht="15" hidden="false" customHeight="false" outlineLevel="0" collapsed="false">
      <c r="A557" s="77"/>
      <c r="B557" s="73"/>
      <c r="C557" s="71" t="str">
        <f aca="false">IF(B557="","",IFERROR(INDEX(マスタ!$F$2:$F$60,MATCH(B557,マスタ!$E$2:$E$60,0))&amp;"",""))</f>
        <v/>
      </c>
      <c r="D557" s="73"/>
      <c r="E557" s="75"/>
      <c r="F557" s="75"/>
      <c r="G557" s="75"/>
      <c r="H557" s="73"/>
      <c r="I557" s="75"/>
      <c r="J557" s="75"/>
      <c r="K557" s="75"/>
      <c r="L557" s="73"/>
      <c r="M557" s="78" t="str">
        <f aca="false">IF(OR(E557="",F557=""),"",MAX(0,((F557-E557-N(G557))*1440-N(H557)*10)/60))</f>
        <v/>
      </c>
      <c r="N557" s="78" t="str">
        <f aca="false">IF($D557="欠席",0,IF(OR(I557="",J557=""),"",MAX(0,((J557-I557-N(K557))*1440-N(L557)*10)/60)))</f>
        <v/>
      </c>
      <c r="O557" s="73"/>
    </row>
    <row r="558" customFormat="false" ht="15" hidden="false" customHeight="false" outlineLevel="0" collapsed="false">
      <c r="A558" s="77"/>
      <c r="B558" s="73"/>
      <c r="C558" s="71" t="str">
        <f aca="false">IF(B558="","",IFERROR(INDEX(マスタ!$F$2:$F$60,MATCH(B558,マスタ!$E$2:$E$60,0))&amp;"",""))</f>
        <v/>
      </c>
      <c r="D558" s="73"/>
      <c r="E558" s="75"/>
      <c r="F558" s="75"/>
      <c r="G558" s="75"/>
      <c r="H558" s="73"/>
      <c r="I558" s="75"/>
      <c r="J558" s="75"/>
      <c r="K558" s="75"/>
      <c r="L558" s="73"/>
      <c r="M558" s="78" t="str">
        <f aca="false">IF(OR(E558="",F558=""),"",MAX(0,((F558-E558-N(G558))*1440-N(H558)*10)/60))</f>
        <v/>
      </c>
      <c r="N558" s="78" t="str">
        <f aca="false">IF($D558="欠席",0,IF(OR(I558="",J558=""),"",MAX(0,((J558-I558-N(K558))*1440-N(L558)*10)/60)))</f>
        <v/>
      </c>
      <c r="O558" s="73"/>
    </row>
    <row r="559" customFormat="false" ht="15" hidden="false" customHeight="false" outlineLevel="0" collapsed="false">
      <c r="A559" s="77"/>
      <c r="B559" s="73"/>
      <c r="C559" s="71" t="str">
        <f aca="false">IF(B559="","",IFERROR(INDEX(マスタ!$F$2:$F$60,MATCH(B559,マスタ!$E$2:$E$60,0))&amp;"",""))</f>
        <v/>
      </c>
      <c r="D559" s="73"/>
      <c r="E559" s="75"/>
      <c r="F559" s="75"/>
      <c r="G559" s="75"/>
      <c r="H559" s="73"/>
      <c r="I559" s="75"/>
      <c r="J559" s="75"/>
      <c r="K559" s="75"/>
      <c r="L559" s="73"/>
      <c r="M559" s="78" t="str">
        <f aca="false">IF(OR(E559="",F559=""),"",MAX(0,((F559-E559-N(G559))*1440-N(H559)*10)/60))</f>
        <v/>
      </c>
      <c r="N559" s="78" t="str">
        <f aca="false">IF($D559="欠席",0,IF(OR(I559="",J559=""),"",MAX(0,((J559-I559-N(K559))*1440-N(L559)*10)/60)))</f>
        <v/>
      </c>
      <c r="O559" s="73"/>
    </row>
    <row r="560" customFormat="false" ht="15" hidden="false" customHeight="false" outlineLevel="0" collapsed="false">
      <c r="A560" s="77"/>
      <c r="B560" s="73"/>
      <c r="C560" s="71" t="str">
        <f aca="false">IF(B560="","",IFERROR(INDEX(マスタ!$F$2:$F$60,MATCH(B560,マスタ!$E$2:$E$60,0))&amp;"",""))</f>
        <v/>
      </c>
      <c r="D560" s="73"/>
      <c r="E560" s="75"/>
      <c r="F560" s="75"/>
      <c r="G560" s="75"/>
      <c r="H560" s="73"/>
      <c r="I560" s="75"/>
      <c r="J560" s="75"/>
      <c r="K560" s="75"/>
      <c r="L560" s="73"/>
      <c r="M560" s="78" t="str">
        <f aca="false">IF(OR(E560="",F560=""),"",MAX(0,((F560-E560-N(G560))*1440-N(H560)*10)/60))</f>
        <v/>
      </c>
      <c r="N560" s="78" t="str">
        <f aca="false">IF($D560="欠席",0,IF(OR(I560="",J560=""),"",MAX(0,((J560-I560-N(K560))*1440-N(L560)*10)/60)))</f>
        <v/>
      </c>
      <c r="O560" s="73"/>
    </row>
    <row r="561" customFormat="false" ht="15" hidden="false" customHeight="false" outlineLevel="0" collapsed="false">
      <c r="A561" s="77"/>
      <c r="B561" s="73"/>
      <c r="C561" s="71" t="str">
        <f aca="false">IF(B561="","",IFERROR(INDEX(マスタ!$F$2:$F$60,MATCH(B561,マスタ!$E$2:$E$60,0))&amp;"",""))</f>
        <v/>
      </c>
      <c r="D561" s="73"/>
      <c r="E561" s="75"/>
      <c r="F561" s="75"/>
      <c r="G561" s="75"/>
      <c r="H561" s="73"/>
      <c r="I561" s="75"/>
      <c r="J561" s="75"/>
      <c r="K561" s="75"/>
      <c r="L561" s="73"/>
      <c r="M561" s="78" t="str">
        <f aca="false">IF(OR(E561="",F561=""),"",MAX(0,((F561-E561-N(G561))*1440-N(H561)*10)/60))</f>
        <v/>
      </c>
      <c r="N561" s="78" t="str">
        <f aca="false">IF($D561="欠席",0,IF(OR(I561="",J561=""),"",MAX(0,((J561-I561-N(K561))*1440-N(L561)*10)/60)))</f>
        <v/>
      </c>
      <c r="O561" s="73"/>
    </row>
    <row r="562" customFormat="false" ht="15" hidden="false" customHeight="false" outlineLevel="0" collapsed="false">
      <c r="A562" s="77"/>
      <c r="B562" s="73"/>
      <c r="C562" s="71" t="str">
        <f aca="false">IF(B562="","",IFERROR(INDEX(マスタ!$F$2:$F$60,MATCH(B562,マスタ!$E$2:$E$60,0))&amp;"",""))</f>
        <v/>
      </c>
      <c r="D562" s="73"/>
      <c r="E562" s="75"/>
      <c r="F562" s="75"/>
      <c r="G562" s="75"/>
      <c r="H562" s="73"/>
      <c r="I562" s="75"/>
      <c r="J562" s="75"/>
      <c r="K562" s="75"/>
      <c r="L562" s="73"/>
      <c r="M562" s="78" t="str">
        <f aca="false">IF(OR(E562="",F562=""),"",MAX(0,((F562-E562-N(G562))*1440-N(H562)*10)/60))</f>
        <v/>
      </c>
      <c r="N562" s="78" t="str">
        <f aca="false">IF($D562="欠席",0,IF(OR(I562="",J562=""),"",MAX(0,((J562-I562-N(K562))*1440-N(L562)*10)/60)))</f>
        <v/>
      </c>
      <c r="O562" s="73"/>
    </row>
    <row r="563" customFormat="false" ht="15" hidden="false" customHeight="false" outlineLevel="0" collapsed="false">
      <c r="A563" s="77"/>
      <c r="B563" s="73"/>
      <c r="C563" s="71" t="str">
        <f aca="false">IF(B563="","",IFERROR(INDEX(マスタ!$F$2:$F$60,MATCH(B563,マスタ!$E$2:$E$60,0))&amp;"",""))</f>
        <v/>
      </c>
      <c r="D563" s="73"/>
      <c r="E563" s="75"/>
      <c r="F563" s="75"/>
      <c r="G563" s="75"/>
      <c r="H563" s="73"/>
      <c r="I563" s="75"/>
      <c r="J563" s="75"/>
      <c r="K563" s="75"/>
      <c r="L563" s="73"/>
      <c r="M563" s="78" t="str">
        <f aca="false">IF(OR(E563="",F563=""),"",MAX(0,((F563-E563-N(G563))*1440-N(H563)*10)/60))</f>
        <v/>
      </c>
      <c r="N563" s="78" t="str">
        <f aca="false">IF($D563="欠席",0,IF(OR(I563="",J563=""),"",MAX(0,((J563-I563-N(K563))*1440-N(L563)*10)/60)))</f>
        <v/>
      </c>
      <c r="O563" s="73"/>
    </row>
    <row r="564" customFormat="false" ht="15" hidden="false" customHeight="false" outlineLevel="0" collapsed="false">
      <c r="A564" s="77"/>
      <c r="B564" s="73"/>
      <c r="C564" s="71" t="str">
        <f aca="false">IF(B564="","",IFERROR(INDEX(マスタ!$F$2:$F$60,MATCH(B564,マスタ!$E$2:$E$60,0))&amp;"",""))</f>
        <v/>
      </c>
      <c r="D564" s="73"/>
      <c r="E564" s="75"/>
      <c r="F564" s="75"/>
      <c r="G564" s="75"/>
      <c r="H564" s="73"/>
      <c r="I564" s="75"/>
      <c r="J564" s="75"/>
      <c r="K564" s="75"/>
      <c r="L564" s="73"/>
      <c r="M564" s="78" t="str">
        <f aca="false">IF(OR(E564="",F564=""),"",MAX(0,((F564-E564-N(G564))*1440-N(H564)*10)/60))</f>
        <v/>
      </c>
      <c r="N564" s="78" t="str">
        <f aca="false">IF($D564="欠席",0,IF(OR(I564="",J564=""),"",MAX(0,((J564-I564-N(K564))*1440-N(L564)*10)/60)))</f>
        <v/>
      </c>
      <c r="O564" s="73"/>
    </row>
    <row r="565" customFormat="false" ht="15" hidden="false" customHeight="false" outlineLevel="0" collapsed="false">
      <c r="A565" s="77"/>
      <c r="B565" s="73"/>
      <c r="C565" s="71" t="str">
        <f aca="false">IF(B565="","",IFERROR(INDEX(マスタ!$F$2:$F$60,MATCH(B565,マスタ!$E$2:$E$60,0))&amp;"",""))</f>
        <v/>
      </c>
      <c r="D565" s="73"/>
      <c r="E565" s="75"/>
      <c r="F565" s="75"/>
      <c r="G565" s="75"/>
      <c r="H565" s="73"/>
      <c r="I565" s="75"/>
      <c r="J565" s="75"/>
      <c r="K565" s="75"/>
      <c r="L565" s="73"/>
      <c r="M565" s="78" t="str">
        <f aca="false">IF(OR(E565="",F565=""),"",MAX(0,((F565-E565-N(G565))*1440-N(H565)*10)/60))</f>
        <v/>
      </c>
      <c r="N565" s="78" t="str">
        <f aca="false">IF($D565="欠席",0,IF(OR(I565="",J565=""),"",MAX(0,((J565-I565-N(K565))*1440-N(L565)*10)/60)))</f>
        <v/>
      </c>
      <c r="O565" s="73"/>
    </row>
    <row r="566" customFormat="false" ht="15" hidden="false" customHeight="false" outlineLevel="0" collapsed="false">
      <c r="A566" s="77"/>
      <c r="B566" s="73"/>
      <c r="C566" s="71" t="str">
        <f aca="false">IF(B566="","",IFERROR(INDEX(マスタ!$F$2:$F$60,MATCH(B566,マスタ!$E$2:$E$60,0))&amp;"",""))</f>
        <v/>
      </c>
      <c r="D566" s="73"/>
      <c r="E566" s="75"/>
      <c r="F566" s="75"/>
      <c r="G566" s="75"/>
      <c r="H566" s="73"/>
      <c r="I566" s="75"/>
      <c r="J566" s="75"/>
      <c r="K566" s="75"/>
      <c r="L566" s="73"/>
      <c r="M566" s="78" t="str">
        <f aca="false">IF(OR(E566="",F566=""),"",MAX(0,((F566-E566-N(G566))*1440-N(H566)*10)/60))</f>
        <v/>
      </c>
      <c r="N566" s="78" t="str">
        <f aca="false">IF($D566="欠席",0,IF(OR(I566="",J566=""),"",MAX(0,((J566-I566-N(K566))*1440-N(L566)*10)/60)))</f>
        <v/>
      </c>
      <c r="O566" s="73"/>
    </row>
    <row r="567" customFormat="false" ht="15" hidden="false" customHeight="false" outlineLevel="0" collapsed="false">
      <c r="A567" s="77"/>
      <c r="B567" s="73"/>
      <c r="C567" s="71" t="str">
        <f aca="false">IF(B567="","",IFERROR(INDEX(マスタ!$F$2:$F$60,MATCH(B567,マスタ!$E$2:$E$60,0))&amp;"",""))</f>
        <v/>
      </c>
      <c r="D567" s="73"/>
      <c r="E567" s="75"/>
      <c r="F567" s="75"/>
      <c r="G567" s="75"/>
      <c r="H567" s="73"/>
      <c r="I567" s="75"/>
      <c r="J567" s="75"/>
      <c r="K567" s="75"/>
      <c r="L567" s="73"/>
      <c r="M567" s="78" t="str">
        <f aca="false">IF(OR(E567="",F567=""),"",MAX(0,((F567-E567-N(G567))*1440-N(H567)*10)/60))</f>
        <v/>
      </c>
      <c r="N567" s="78" t="str">
        <f aca="false">IF($D567="欠席",0,IF(OR(I567="",J567=""),"",MAX(0,((J567-I567-N(K567))*1440-N(L567)*10)/60)))</f>
        <v/>
      </c>
      <c r="O567" s="73"/>
    </row>
    <row r="568" customFormat="false" ht="15" hidden="false" customHeight="false" outlineLevel="0" collapsed="false">
      <c r="A568" s="77"/>
      <c r="B568" s="73"/>
      <c r="C568" s="71" t="str">
        <f aca="false">IF(B568="","",IFERROR(INDEX(マスタ!$F$2:$F$60,MATCH(B568,マスタ!$E$2:$E$60,0))&amp;"",""))</f>
        <v/>
      </c>
      <c r="D568" s="73"/>
      <c r="E568" s="75"/>
      <c r="F568" s="75"/>
      <c r="G568" s="75"/>
      <c r="H568" s="73"/>
      <c r="I568" s="75"/>
      <c r="J568" s="75"/>
      <c r="K568" s="75"/>
      <c r="L568" s="73"/>
      <c r="M568" s="78" t="str">
        <f aca="false">IF(OR(E568="",F568=""),"",MAX(0,((F568-E568-N(G568))*1440-N(H568)*10)/60))</f>
        <v/>
      </c>
      <c r="N568" s="78" t="str">
        <f aca="false">IF($D568="欠席",0,IF(OR(I568="",J568=""),"",MAX(0,((J568-I568-N(K568))*1440-N(L568)*10)/60)))</f>
        <v/>
      </c>
      <c r="O568" s="73"/>
    </row>
    <row r="569" customFormat="false" ht="15" hidden="false" customHeight="false" outlineLevel="0" collapsed="false">
      <c r="A569" s="77"/>
      <c r="B569" s="73"/>
      <c r="C569" s="71" t="str">
        <f aca="false">IF(B569="","",IFERROR(INDEX(マスタ!$F$2:$F$60,MATCH(B569,マスタ!$E$2:$E$60,0))&amp;"",""))</f>
        <v/>
      </c>
      <c r="D569" s="73"/>
      <c r="E569" s="75"/>
      <c r="F569" s="75"/>
      <c r="G569" s="75"/>
      <c r="H569" s="73"/>
      <c r="I569" s="75"/>
      <c r="J569" s="75"/>
      <c r="K569" s="75"/>
      <c r="L569" s="73"/>
      <c r="M569" s="78" t="str">
        <f aca="false">IF(OR(E569="",F569=""),"",MAX(0,((F569-E569-N(G569))*1440-N(H569)*10)/60))</f>
        <v/>
      </c>
      <c r="N569" s="78" t="str">
        <f aca="false">IF($D569="欠席",0,IF(OR(I569="",J569=""),"",MAX(0,((J569-I569-N(K569))*1440-N(L569)*10)/60)))</f>
        <v/>
      </c>
      <c r="O569" s="73"/>
    </row>
    <row r="570" customFormat="false" ht="15" hidden="false" customHeight="false" outlineLevel="0" collapsed="false">
      <c r="A570" s="77"/>
      <c r="B570" s="73"/>
      <c r="C570" s="71" t="str">
        <f aca="false">IF(B570="","",IFERROR(INDEX(マスタ!$F$2:$F$60,MATCH(B570,マスタ!$E$2:$E$60,0))&amp;"",""))</f>
        <v/>
      </c>
      <c r="D570" s="73"/>
      <c r="E570" s="75"/>
      <c r="F570" s="75"/>
      <c r="G570" s="75"/>
      <c r="H570" s="73"/>
      <c r="I570" s="75"/>
      <c r="J570" s="75"/>
      <c r="K570" s="75"/>
      <c r="L570" s="73"/>
      <c r="M570" s="78" t="str">
        <f aca="false">IF(OR(E570="",F570=""),"",MAX(0,((F570-E570-N(G570))*1440-N(H570)*10)/60))</f>
        <v/>
      </c>
      <c r="N570" s="78" t="str">
        <f aca="false">IF($D570="欠席",0,IF(OR(I570="",J570=""),"",MAX(0,((J570-I570-N(K570))*1440-N(L570)*10)/60)))</f>
        <v/>
      </c>
      <c r="O570" s="73"/>
    </row>
    <row r="571" customFormat="false" ht="15" hidden="false" customHeight="false" outlineLevel="0" collapsed="false">
      <c r="A571" s="77"/>
      <c r="B571" s="73"/>
      <c r="C571" s="71" t="str">
        <f aca="false">IF(B571="","",IFERROR(INDEX(マスタ!$F$2:$F$60,MATCH(B571,マスタ!$E$2:$E$60,0))&amp;"",""))</f>
        <v/>
      </c>
      <c r="D571" s="73"/>
      <c r="E571" s="75"/>
      <c r="F571" s="75"/>
      <c r="G571" s="75"/>
      <c r="H571" s="73"/>
      <c r="I571" s="75"/>
      <c r="J571" s="75"/>
      <c r="K571" s="75"/>
      <c r="L571" s="73"/>
      <c r="M571" s="78" t="str">
        <f aca="false">IF(OR(E571="",F571=""),"",MAX(0,((F571-E571-N(G571))*1440-N(H571)*10)/60))</f>
        <v/>
      </c>
      <c r="N571" s="78" t="str">
        <f aca="false">IF($D571="欠席",0,IF(OR(I571="",J571=""),"",MAX(0,((J571-I571-N(K571))*1440-N(L571)*10)/60)))</f>
        <v/>
      </c>
      <c r="O571" s="73"/>
    </row>
    <row r="572" customFormat="false" ht="15" hidden="false" customHeight="false" outlineLevel="0" collapsed="false">
      <c r="A572" s="77"/>
      <c r="B572" s="73"/>
      <c r="C572" s="71" t="str">
        <f aca="false">IF(B572="","",IFERROR(INDEX(マスタ!$F$2:$F$60,MATCH(B572,マスタ!$E$2:$E$60,0))&amp;"",""))</f>
        <v/>
      </c>
      <c r="D572" s="73"/>
      <c r="E572" s="75"/>
      <c r="F572" s="75"/>
      <c r="G572" s="75"/>
      <c r="H572" s="73"/>
      <c r="I572" s="75"/>
      <c r="J572" s="75"/>
      <c r="K572" s="75"/>
      <c r="L572" s="73"/>
      <c r="M572" s="78" t="str">
        <f aca="false">IF(OR(E572="",F572=""),"",MAX(0,((F572-E572-N(G572))*1440-N(H572)*10)/60))</f>
        <v/>
      </c>
      <c r="N572" s="78" t="str">
        <f aca="false">IF($D572="欠席",0,IF(OR(I572="",J572=""),"",MAX(0,((J572-I572-N(K572))*1440-N(L572)*10)/60)))</f>
        <v/>
      </c>
      <c r="O572" s="73"/>
    </row>
    <row r="573" customFormat="false" ht="15" hidden="false" customHeight="false" outlineLevel="0" collapsed="false">
      <c r="A573" s="77"/>
      <c r="B573" s="73"/>
      <c r="C573" s="71" t="str">
        <f aca="false">IF(B573="","",IFERROR(INDEX(マスタ!$F$2:$F$60,MATCH(B573,マスタ!$E$2:$E$60,0))&amp;"",""))</f>
        <v/>
      </c>
      <c r="D573" s="73"/>
      <c r="E573" s="75"/>
      <c r="F573" s="75"/>
      <c r="G573" s="75"/>
      <c r="H573" s="73"/>
      <c r="I573" s="75"/>
      <c r="J573" s="75"/>
      <c r="K573" s="75"/>
      <c r="L573" s="73"/>
      <c r="M573" s="78" t="str">
        <f aca="false">IF(OR(E573="",F573=""),"",MAX(0,((F573-E573-N(G573))*1440-N(H573)*10)/60))</f>
        <v/>
      </c>
      <c r="N573" s="78" t="str">
        <f aca="false">IF($D573="欠席",0,IF(OR(I573="",J573=""),"",MAX(0,((J573-I573-N(K573))*1440-N(L573)*10)/60)))</f>
        <v/>
      </c>
      <c r="O573" s="73"/>
    </row>
    <row r="574" customFormat="false" ht="15" hidden="false" customHeight="false" outlineLevel="0" collapsed="false">
      <c r="A574" s="77"/>
      <c r="B574" s="73"/>
      <c r="C574" s="71" t="str">
        <f aca="false">IF(B574="","",IFERROR(INDEX(マスタ!$F$2:$F$60,MATCH(B574,マスタ!$E$2:$E$60,0))&amp;"",""))</f>
        <v/>
      </c>
      <c r="D574" s="73"/>
      <c r="E574" s="75"/>
      <c r="F574" s="75"/>
      <c r="G574" s="75"/>
      <c r="H574" s="73"/>
      <c r="I574" s="75"/>
      <c r="J574" s="75"/>
      <c r="K574" s="75"/>
      <c r="L574" s="73"/>
      <c r="M574" s="78" t="str">
        <f aca="false">IF(OR(E574="",F574=""),"",MAX(0,((F574-E574-N(G574))*1440-N(H574)*10)/60))</f>
        <v/>
      </c>
      <c r="N574" s="78" t="str">
        <f aca="false">IF($D574="欠席",0,IF(OR(I574="",J574=""),"",MAX(0,((J574-I574-N(K574))*1440-N(L574)*10)/60)))</f>
        <v/>
      </c>
      <c r="O574" s="73"/>
    </row>
    <row r="575" customFormat="false" ht="15" hidden="false" customHeight="false" outlineLevel="0" collapsed="false">
      <c r="A575" s="77"/>
      <c r="B575" s="73"/>
      <c r="C575" s="71" t="str">
        <f aca="false">IF(B575="","",IFERROR(INDEX(マスタ!$F$2:$F$60,MATCH(B575,マスタ!$E$2:$E$60,0))&amp;"",""))</f>
        <v/>
      </c>
      <c r="D575" s="73"/>
      <c r="E575" s="75"/>
      <c r="F575" s="75"/>
      <c r="G575" s="75"/>
      <c r="H575" s="73"/>
      <c r="I575" s="75"/>
      <c r="J575" s="75"/>
      <c r="K575" s="75"/>
      <c r="L575" s="73"/>
      <c r="M575" s="78" t="str">
        <f aca="false">IF(OR(E575="",F575=""),"",MAX(0,((F575-E575-N(G575))*1440-N(H575)*10)/60))</f>
        <v/>
      </c>
      <c r="N575" s="78" t="str">
        <f aca="false">IF($D575="欠席",0,IF(OR(I575="",J575=""),"",MAX(0,((J575-I575-N(K575))*1440-N(L575)*10)/60)))</f>
        <v/>
      </c>
      <c r="O575" s="73"/>
    </row>
    <row r="576" customFormat="false" ht="15" hidden="false" customHeight="false" outlineLevel="0" collapsed="false">
      <c r="A576" s="77"/>
      <c r="B576" s="73"/>
      <c r="C576" s="71" t="str">
        <f aca="false">IF(B576="","",IFERROR(INDEX(マスタ!$F$2:$F$60,MATCH(B576,マスタ!$E$2:$E$60,0))&amp;"",""))</f>
        <v/>
      </c>
      <c r="D576" s="73"/>
      <c r="E576" s="75"/>
      <c r="F576" s="75"/>
      <c r="G576" s="75"/>
      <c r="H576" s="73"/>
      <c r="I576" s="75"/>
      <c r="J576" s="75"/>
      <c r="K576" s="75"/>
      <c r="L576" s="73"/>
      <c r="M576" s="78" t="str">
        <f aca="false">IF(OR(E576="",F576=""),"",MAX(0,((F576-E576-N(G576))*1440-N(H576)*10)/60))</f>
        <v/>
      </c>
      <c r="N576" s="78" t="str">
        <f aca="false">IF($D576="欠席",0,IF(OR(I576="",J576=""),"",MAX(0,((J576-I576-N(K576))*1440-N(L576)*10)/60)))</f>
        <v/>
      </c>
      <c r="O576" s="73"/>
    </row>
    <row r="577" customFormat="false" ht="15" hidden="false" customHeight="false" outlineLevel="0" collapsed="false">
      <c r="A577" s="77"/>
      <c r="B577" s="73"/>
      <c r="C577" s="71" t="str">
        <f aca="false">IF(B577="","",IFERROR(INDEX(マスタ!$F$2:$F$60,MATCH(B577,マスタ!$E$2:$E$60,0))&amp;"",""))</f>
        <v/>
      </c>
      <c r="D577" s="73"/>
      <c r="E577" s="75"/>
      <c r="F577" s="75"/>
      <c r="G577" s="75"/>
      <c r="H577" s="73"/>
      <c r="I577" s="75"/>
      <c r="J577" s="75"/>
      <c r="K577" s="75"/>
      <c r="L577" s="73"/>
      <c r="M577" s="78" t="str">
        <f aca="false">IF(OR(E577="",F577=""),"",MAX(0,((F577-E577-N(G577))*1440-N(H577)*10)/60))</f>
        <v/>
      </c>
      <c r="N577" s="78" t="str">
        <f aca="false">IF($D577="欠席",0,IF(OR(I577="",J577=""),"",MAX(0,((J577-I577-N(K577))*1440-N(L577)*10)/60)))</f>
        <v/>
      </c>
      <c r="O577" s="73"/>
    </row>
    <row r="578" customFormat="false" ht="15" hidden="false" customHeight="false" outlineLevel="0" collapsed="false">
      <c r="A578" s="77"/>
      <c r="B578" s="73"/>
      <c r="C578" s="71" t="str">
        <f aca="false">IF(B578="","",IFERROR(INDEX(マスタ!$F$2:$F$60,MATCH(B578,マスタ!$E$2:$E$60,0))&amp;"",""))</f>
        <v/>
      </c>
      <c r="D578" s="73"/>
      <c r="E578" s="75"/>
      <c r="F578" s="75"/>
      <c r="G578" s="75"/>
      <c r="H578" s="73"/>
      <c r="I578" s="75"/>
      <c r="J578" s="75"/>
      <c r="K578" s="75"/>
      <c r="L578" s="73"/>
      <c r="M578" s="78" t="str">
        <f aca="false">IF(OR(E578="",F578=""),"",MAX(0,((F578-E578-N(G578))*1440-N(H578)*10)/60))</f>
        <v/>
      </c>
      <c r="N578" s="78" t="str">
        <f aca="false">IF($D578="欠席",0,IF(OR(I578="",J578=""),"",MAX(0,((J578-I578-N(K578))*1440-N(L578)*10)/60)))</f>
        <v/>
      </c>
      <c r="O578" s="73"/>
    </row>
    <row r="579" customFormat="false" ht="15" hidden="false" customHeight="false" outlineLevel="0" collapsed="false">
      <c r="A579" s="77"/>
      <c r="B579" s="73"/>
      <c r="C579" s="71" t="str">
        <f aca="false">IF(B579="","",IFERROR(INDEX(マスタ!$F$2:$F$60,MATCH(B579,マスタ!$E$2:$E$60,0))&amp;"",""))</f>
        <v/>
      </c>
      <c r="D579" s="73"/>
      <c r="E579" s="75"/>
      <c r="F579" s="75"/>
      <c r="G579" s="75"/>
      <c r="H579" s="73"/>
      <c r="I579" s="75"/>
      <c r="J579" s="75"/>
      <c r="K579" s="75"/>
      <c r="L579" s="73"/>
      <c r="M579" s="78" t="str">
        <f aca="false">IF(OR(E579="",F579=""),"",MAX(0,((F579-E579-N(G579))*1440-N(H579)*10)/60))</f>
        <v/>
      </c>
      <c r="N579" s="78" t="str">
        <f aca="false">IF($D579="欠席",0,IF(OR(I579="",J579=""),"",MAX(0,((J579-I579-N(K579))*1440-N(L579)*10)/60)))</f>
        <v/>
      </c>
      <c r="O579" s="73"/>
    </row>
    <row r="580" customFormat="false" ht="15" hidden="false" customHeight="false" outlineLevel="0" collapsed="false">
      <c r="A580" s="77"/>
      <c r="B580" s="73"/>
      <c r="C580" s="71" t="str">
        <f aca="false">IF(B580="","",IFERROR(INDEX(マスタ!$F$2:$F$60,MATCH(B580,マスタ!$E$2:$E$60,0))&amp;"",""))</f>
        <v/>
      </c>
      <c r="D580" s="73"/>
      <c r="E580" s="75"/>
      <c r="F580" s="75"/>
      <c r="G580" s="75"/>
      <c r="H580" s="73"/>
      <c r="I580" s="75"/>
      <c r="J580" s="75"/>
      <c r="K580" s="75"/>
      <c r="L580" s="73"/>
      <c r="M580" s="78" t="str">
        <f aca="false">IF(OR(E580="",F580=""),"",MAX(0,((F580-E580-N(G580))*1440-N(H580)*10)/60))</f>
        <v/>
      </c>
      <c r="N580" s="78" t="str">
        <f aca="false">IF($D580="欠席",0,IF(OR(I580="",J580=""),"",MAX(0,((J580-I580-N(K580))*1440-N(L580)*10)/60)))</f>
        <v/>
      </c>
      <c r="O580" s="73"/>
    </row>
    <row r="581" customFormat="false" ht="15" hidden="false" customHeight="false" outlineLevel="0" collapsed="false">
      <c r="A581" s="77"/>
      <c r="B581" s="73"/>
      <c r="C581" s="71" t="str">
        <f aca="false">IF(B581="","",IFERROR(INDEX(マスタ!$F$2:$F$60,MATCH(B581,マスタ!$E$2:$E$60,0))&amp;"",""))</f>
        <v/>
      </c>
      <c r="D581" s="73"/>
      <c r="E581" s="75"/>
      <c r="F581" s="75"/>
      <c r="G581" s="75"/>
      <c r="H581" s="73"/>
      <c r="I581" s="75"/>
      <c r="J581" s="75"/>
      <c r="K581" s="75"/>
      <c r="L581" s="73"/>
      <c r="M581" s="78" t="str">
        <f aca="false">IF(OR(E581="",F581=""),"",MAX(0,((F581-E581-N(G581))*1440-N(H581)*10)/60))</f>
        <v/>
      </c>
      <c r="N581" s="78" t="str">
        <f aca="false">IF($D581="欠席",0,IF(OR(I581="",J581=""),"",MAX(0,((J581-I581-N(K581))*1440-N(L581)*10)/60)))</f>
        <v/>
      </c>
      <c r="O581" s="73"/>
    </row>
    <row r="582" customFormat="false" ht="15" hidden="false" customHeight="false" outlineLevel="0" collapsed="false">
      <c r="A582" s="77"/>
      <c r="B582" s="73"/>
      <c r="C582" s="71" t="str">
        <f aca="false">IF(B582="","",IFERROR(INDEX(マスタ!$F$2:$F$60,MATCH(B582,マスタ!$E$2:$E$60,0))&amp;"",""))</f>
        <v/>
      </c>
      <c r="D582" s="73"/>
      <c r="E582" s="75"/>
      <c r="F582" s="75"/>
      <c r="G582" s="75"/>
      <c r="H582" s="73"/>
      <c r="I582" s="75"/>
      <c r="J582" s="75"/>
      <c r="K582" s="75"/>
      <c r="L582" s="73"/>
      <c r="M582" s="78" t="str">
        <f aca="false">IF(OR(E582="",F582=""),"",MAX(0,((F582-E582-N(G582))*1440-N(H582)*10)/60))</f>
        <v/>
      </c>
      <c r="N582" s="78" t="str">
        <f aca="false">IF($D582="欠席",0,IF(OR(I582="",J582=""),"",MAX(0,((J582-I582-N(K582))*1440-N(L582)*10)/60)))</f>
        <v/>
      </c>
      <c r="O582" s="73"/>
    </row>
    <row r="583" customFormat="false" ht="15" hidden="false" customHeight="false" outlineLevel="0" collapsed="false">
      <c r="A583" s="77"/>
      <c r="B583" s="73"/>
      <c r="C583" s="71" t="str">
        <f aca="false">IF(B583="","",IFERROR(INDEX(マスタ!$F$2:$F$60,MATCH(B583,マスタ!$E$2:$E$60,0))&amp;"",""))</f>
        <v/>
      </c>
      <c r="D583" s="73"/>
      <c r="E583" s="75"/>
      <c r="F583" s="75"/>
      <c r="G583" s="75"/>
      <c r="H583" s="73"/>
      <c r="I583" s="75"/>
      <c r="J583" s="75"/>
      <c r="K583" s="75"/>
      <c r="L583" s="73"/>
      <c r="M583" s="78" t="str">
        <f aca="false">IF(OR(E583="",F583=""),"",MAX(0,((F583-E583-N(G583))*1440-N(H583)*10)/60))</f>
        <v/>
      </c>
      <c r="N583" s="78" t="str">
        <f aca="false">IF($D583="欠席",0,IF(OR(I583="",J583=""),"",MAX(0,((J583-I583-N(K583))*1440-N(L583)*10)/60)))</f>
        <v/>
      </c>
      <c r="O583" s="73"/>
    </row>
    <row r="584" customFormat="false" ht="15" hidden="false" customHeight="false" outlineLevel="0" collapsed="false">
      <c r="A584" s="77"/>
      <c r="B584" s="73"/>
      <c r="C584" s="71" t="str">
        <f aca="false">IF(B584="","",IFERROR(INDEX(マスタ!$F$2:$F$60,MATCH(B584,マスタ!$E$2:$E$60,0))&amp;"",""))</f>
        <v/>
      </c>
      <c r="D584" s="73"/>
      <c r="E584" s="75"/>
      <c r="F584" s="75"/>
      <c r="G584" s="75"/>
      <c r="H584" s="73"/>
      <c r="I584" s="75"/>
      <c r="J584" s="75"/>
      <c r="K584" s="75"/>
      <c r="L584" s="73"/>
      <c r="M584" s="78" t="str">
        <f aca="false">IF(OR(E584="",F584=""),"",MAX(0,((F584-E584-N(G584))*1440-N(H584)*10)/60))</f>
        <v/>
      </c>
      <c r="N584" s="78" t="str">
        <f aca="false">IF($D584="欠席",0,IF(OR(I584="",J584=""),"",MAX(0,((J584-I584-N(K584))*1440-N(L584)*10)/60)))</f>
        <v/>
      </c>
      <c r="O584" s="73"/>
    </row>
    <row r="585" customFormat="false" ht="15" hidden="false" customHeight="false" outlineLevel="0" collapsed="false">
      <c r="A585" s="77"/>
      <c r="B585" s="73"/>
      <c r="C585" s="71" t="str">
        <f aca="false">IF(B585="","",IFERROR(INDEX(マスタ!$F$2:$F$60,MATCH(B585,マスタ!$E$2:$E$60,0))&amp;"",""))</f>
        <v/>
      </c>
      <c r="D585" s="73"/>
      <c r="E585" s="75"/>
      <c r="F585" s="75"/>
      <c r="G585" s="75"/>
      <c r="H585" s="73"/>
      <c r="I585" s="75"/>
      <c r="J585" s="75"/>
      <c r="K585" s="75"/>
      <c r="L585" s="73"/>
      <c r="M585" s="78" t="str">
        <f aca="false">IF(OR(E585="",F585=""),"",MAX(0,((F585-E585-N(G585))*1440-N(H585)*10)/60))</f>
        <v/>
      </c>
      <c r="N585" s="78" t="str">
        <f aca="false">IF($D585="欠席",0,IF(OR(I585="",J585=""),"",MAX(0,((J585-I585-N(K585))*1440-N(L585)*10)/60)))</f>
        <v/>
      </c>
      <c r="O585" s="73"/>
    </row>
    <row r="586" customFormat="false" ht="15" hidden="false" customHeight="false" outlineLevel="0" collapsed="false">
      <c r="A586" s="77"/>
      <c r="B586" s="73"/>
      <c r="C586" s="71" t="str">
        <f aca="false">IF(B586="","",IFERROR(INDEX(マスタ!$F$2:$F$60,MATCH(B586,マスタ!$E$2:$E$60,0))&amp;"",""))</f>
        <v/>
      </c>
      <c r="D586" s="73"/>
      <c r="E586" s="75"/>
      <c r="F586" s="75"/>
      <c r="G586" s="75"/>
      <c r="H586" s="73"/>
      <c r="I586" s="75"/>
      <c r="J586" s="75"/>
      <c r="K586" s="75"/>
      <c r="L586" s="73"/>
      <c r="M586" s="78" t="str">
        <f aca="false">IF(OR(E586="",F586=""),"",MAX(0,((F586-E586-N(G586))*1440-N(H586)*10)/60))</f>
        <v/>
      </c>
      <c r="N586" s="78" t="str">
        <f aca="false">IF($D586="欠席",0,IF(OR(I586="",J586=""),"",MAX(0,((J586-I586-N(K586))*1440-N(L586)*10)/60)))</f>
        <v/>
      </c>
      <c r="O586" s="73"/>
    </row>
    <row r="587" customFormat="false" ht="15" hidden="false" customHeight="false" outlineLevel="0" collapsed="false">
      <c r="A587" s="77"/>
      <c r="B587" s="73"/>
      <c r="C587" s="71" t="str">
        <f aca="false">IF(B587="","",IFERROR(INDEX(マスタ!$F$2:$F$60,MATCH(B587,マスタ!$E$2:$E$60,0))&amp;"",""))</f>
        <v/>
      </c>
      <c r="D587" s="73"/>
      <c r="E587" s="75"/>
      <c r="F587" s="75"/>
      <c r="G587" s="75"/>
      <c r="H587" s="73"/>
      <c r="I587" s="75"/>
      <c r="J587" s="75"/>
      <c r="K587" s="75"/>
      <c r="L587" s="73"/>
      <c r="M587" s="78" t="str">
        <f aca="false">IF(OR(E587="",F587=""),"",MAX(0,((F587-E587-N(G587))*1440-N(H587)*10)/60))</f>
        <v/>
      </c>
      <c r="N587" s="78" t="str">
        <f aca="false">IF($D587="欠席",0,IF(OR(I587="",J587=""),"",MAX(0,((J587-I587-N(K587))*1440-N(L587)*10)/60)))</f>
        <v/>
      </c>
      <c r="O587" s="73"/>
    </row>
    <row r="588" customFormat="false" ht="15" hidden="false" customHeight="false" outlineLevel="0" collapsed="false">
      <c r="A588" s="77"/>
      <c r="B588" s="73"/>
      <c r="C588" s="71" t="str">
        <f aca="false">IF(B588="","",IFERROR(INDEX(マスタ!$F$2:$F$60,MATCH(B588,マスタ!$E$2:$E$60,0))&amp;"",""))</f>
        <v/>
      </c>
      <c r="D588" s="73"/>
      <c r="E588" s="75"/>
      <c r="F588" s="75"/>
      <c r="G588" s="75"/>
      <c r="H588" s="73"/>
      <c r="I588" s="75"/>
      <c r="J588" s="75"/>
      <c r="K588" s="75"/>
      <c r="L588" s="73"/>
      <c r="M588" s="78" t="str">
        <f aca="false">IF(OR(E588="",F588=""),"",MAX(0,((F588-E588-N(G588))*1440-N(H588)*10)/60))</f>
        <v/>
      </c>
      <c r="N588" s="78" t="str">
        <f aca="false">IF($D588="欠席",0,IF(OR(I588="",J588=""),"",MAX(0,((J588-I588-N(K588))*1440-N(L588)*10)/60)))</f>
        <v/>
      </c>
      <c r="O588" s="73"/>
    </row>
    <row r="589" customFormat="false" ht="15" hidden="false" customHeight="false" outlineLevel="0" collapsed="false">
      <c r="A589" s="77"/>
      <c r="B589" s="73"/>
      <c r="C589" s="71" t="str">
        <f aca="false">IF(B589="","",IFERROR(INDEX(マスタ!$F$2:$F$60,MATCH(B589,マスタ!$E$2:$E$60,0))&amp;"",""))</f>
        <v/>
      </c>
      <c r="D589" s="73"/>
      <c r="E589" s="75"/>
      <c r="F589" s="75"/>
      <c r="G589" s="75"/>
      <c r="H589" s="73"/>
      <c r="I589" s="75"/>
      <c r="J589" s="75"/>
      <c r="K589" s="75"/>
      <c r="L589" s="73"/>
      <c r="M589" s="78" t="str">
        <f aca="false">IF(OR(E589="",F589=""),"",MAX(0,((F589-E589-N(G589))*1440-N(H589)*10)/60))</f>
        <v/>
      </c>
      <c r="N589" s="78" t="str">
        <f aca="false">IF($D589="欠席",0,IF(OR(I589="",J589=""),"",MAX(0,((J589-I589-N(K589))*1440-N(L589)*10)/60)))</f>
        <v/>
      </c>
      <c r="O589" s="73"/>
    </row>
    <row r="590" customFormat="false" ht="15" hidden="false" customHeight="false" outlineLevel="0" collapsed="false">
      <c r="A590" s="77"/>
      <c r="B590" s="73"/>
      <c r="C590" s="71" t="str">
        <f aca="false">IF(B590="","",IFERROR(INDEX(マスタ!$F$2:$F$60,MATCH(B590,マスタ!$E$2:$E$60,0))&amp;"",""))</f>
        <v/>
      </c>
      <c r="D590" s="73"/>
      <c r="E590" s="75"/>
      <c r="F590" s="75"/>
      <c r="G590" s="75"/>
      <c r="H590" s="73"/>
      <c r="I590" s="75"/>
      <c r="J590" s="75"/>
      <c r="K590" s="75"/>
      <c r="L590" s="73"/>
      <c r="M590" s="78" t="str">
        <f aca="false">IF(OR(E590="",F590=""),"",MAX(0,((F590-E590-N(G590))*1440-N(H590)*10)/60))</f>
        <v/>
      </c>
      <c r="N590" s="78" t="str">
        <f aca="false">IF($D590="欠席",0,IF(OR(I590="",J590=""),"",MAX(0,((J590-I590-N(K590))*1440-N(L590)*10)/60)))</f>
        <v/>
      </c>
      <c r="O590" s="73"/>
    </row>
    <row r="591" customFormat="false" ht="15" hidden="false" customHeight="false" outlineLevel="0" collapsed="false">
      <c r="A591" s="77"/>
      <c r="B591" s="73"/>
      <c r="C591" s="71" t="str">
        <f aca="false">IF(B591="","",IFERROR(INDEX(マスタ!$F$2:$F$60,MATCH(B591,マスタ!$E$2:$E$60,0))&amp;"",""))</f>
        <v/>
      </c>
      <c r="D591" s="73"/>
      <c r="E591" s="75"/>
      <c r="F591" s="75"/>
      <c r="G591" s="75"/>
      <c r="H591" s="73"/>
      <c r="I591" s="75"/>
      <c r="J591" s="75"/>
      <c r="K591" s="75"/>
      <c r="L591" s="73"/>
      <c r="M591" s="78" t="str">
        <f aca="false">IF(OR(E591="",F591=""),"",MAX(0,((F591-E591-N(G591))*1440-N(H591)*10)/60))</f>
        <v/>
      </c>
      <c r="N591" s="78" t="str">
        <f aca="false">IF($D591="欠席",0,IF(OR(I591="",J591=""),"",MAX(0,((J591-I591-N(K591))*1440-N(L591)*10)/60)))</f>
        <v/>
      </c>
      <c r="O591" s="73"/>
    </row>
    <row r="592" customFormat="false" ht="15" hidden="false" customHeight="false" outlineLevel="0" collapsed="false">
      <c r="A592" s="77"/>
      <c r="B592" s="73"/>
      <c r="C592" s="71" t="str">
        <f aca="false">IF(B592="","",IFERROR(INDEX(マスタ!$F$2:$F$60,MATCH(B592,マスタ!$E$2:$E$60,0))&amp;"",""))</f>
        <v/>
      </c>
      <c r="D592" s="73"/>
      <c r="E592" s="75"/>
      <c r="F592" s="75"/>
      <c r="G592" s="75"/>
      <c r="H592" s="73"/>
      <c r="I592" s="75"/>
      <c r="J592" s="75"/>
      <c r="K592" s="75"/>
      <c r="L592" s="73"/>
      <c r="M592" s="78" t="str">
        <f aca="false">IF(OR(E592="",F592=""),"",MAX(0,((F592-E592-N(G592))*1440-N(H592)*10)/60))</f>
        <v/>
      </c>
      <c r="N592" s="78" t="str">
        <f aca="false">IF($D592="欠席",0,IF(OR(I592="",J592=""),"",MAX(0,((J592-I592-N(K592))*1440-N(L592)*10)/60)))</f>
        <v/>
      </c>
      <c r="O592" s="73"/>
    </row>
    <row r="593" customFormat="false" ht="15" hidden="false" customHeight="false" outlineLevel="0" collapsed="false">
      <c r="A593" s="77"/>
      <c r="B593" s="73"/>
      <c r="C593" s="71" t="str">
        <f aca="false">IF(B593="","",IFERROR(INDEX(マスタ!$F$2:$F$60,MATCH(B593,マスタ!$E$2:$E$60,0))&amp;"",""))</f>
        <v/>
      </c>
      <c r="D593" s="73"/>
      <c r="E593" s="75"/>
      <c r="F593" s="75"/>
      <c r="G593" s="75"/>
      <c r="H593" s="73"/>
      <c r="I593" s="75"/>
      <c r="J593" s="75"/>
      <c r="K593" s="75"/>
      <c r="L593" s="73"/>
      <c r="M593" s="78" t="str">
        <f aca="false">IF(OR(E593="",F593=""),"",MAX(0,((F593-E593-N(G593))*1440-N(H593)*10)/60))</f>
        <v/>
      </c>
      <c r="N593" s="78" t="str">
        <f aca="false">IF($D593="欠席",0,IF(OR(I593="",J593=""),"",MAX(0,((J593-I593-N(K593))*1440-N(L593)*10)/60)))</f>
        <v/>
      </c>
      <c r="O593" s="73"/>
    </row>
    <row r="594" customFormat="false" ht="15" hidden="false" customHeight="false" outlineLevel="0" collapsed="false">
      <c r="A594" s="77"/>
      <c r="B594" s="73"/>
      <c r="C594" s="71" t="str">
        <f aca="false">IF(B594="","",IFERROR(INDEX(マスタ!$F$2:$F$60,MATCH(B594,マスタ!$E$2:$E$60,0))&amp;"",""))</f>
        <v/>
      </c>
      <c r="D594" s="73"/>
      <c r="E594" s="75"/>
      <c r="F594" s="75"/>
      <c r="G594" s="75"/>
      <c r="H594" s="73"/>
      <c r="I594" s="75"/>
      <c r="J594" s="75"/>
      <c r="K594" s="75"/>
      <c r="L594" s="73"/>
      <c r="M594" s="78" t="str">
        <f aca="false">IF(OR(E594="",F594=""),"",MAX(0,((F594-E594-N(G594))*1440-N(H594)*10)/60))</f>
        <v/>
      </c>
      <c r="N594" s="78" t="str">
        <f aca="false">IF($D594="欠席",0,IF(OR(I594="",J594=""),"",MAX(0,((J594-I594-N(K594))*1440-N(L594)*10)/60)))</f>
        <v/>
      </c>
      <c r="O594" s="73"/>
    </row>
    <row r="595" customFormat="false" ht="15" hidden="false" customHeight="false" outlineLevel="0" collapsed="false">
      <c r="A595" s="77"/>
      <c r="B595" s="73"/>
      <c r="C595" s="71" t="str">
        <f aca="false">IF(B595="","",IFERROR(INDEX(マスタ!$F$2:$F$60,MATCH(B595,マスタ!$E$2:$E$60,0))&amp;"",""))</f>
        <v/>
      </c>
      <c r="D595" s="73"/>
      <c r="E595" s="75"/>
      <c r="F595" s="75"/>
      <c r="G595" s="75"/>
      <c r="H595" s="73"/>
      <c r="I595" s="75"/>
      <c r="J595" s="75"/>
      <c r="K595" s="75"/>
      <c r="L595" s="73"/>
      <c r="M595" s="78" t="str">
        <f aca="false">IF(OR(E595="",F595=""),"",MAX(0,((F595-E595-N(G595))*1440-N(H595)*10)/60))</f>
        <v/>
      </c>
      <c r="N595" s="78" t="str">
        <f aca="false">IF($D595="欠席",0,IF(OR(I595="",J595=""),"",MAX(0,((J595-I595-N(K595))*1440-N(L595)*10)/60)))</f>
        <v/>
      </c>
      <c r="O595" s="73"/>
    </row>
    <row r="596" customFormat="false" ht="15" hidden="false" customHeight="false" outlineLevel="0" collapsed="false">
      <c r="A596" s="77"/>
      <c r="B596" s="73"/>
      <c r="C596" s="71" t="str">
        <f aca="false">IF(B596="","",IFERROR(INDEX(マスタ!$F$2:$F$60,MATCH(B596,マスタ!$E$2:$E$60,0))&amp;"",""))</f>
        <v/>
      </c>
      <c r="D596" s="73"/>
      <c r="E596" s="75"/>
      <c r="F596" s="75"/>
      <c r="G596" s="75"/>
      <c r="H596" s="73"/>
      <c r="I596" s="75"/>
      <c r="J596" s="75"/>
      <c r="K596" s="75"/>
      <c r="L596" s="73"/>
      <c r="M596" s="78" t="str">
        <f aca="false">IF(OR(E596="",F596=""),"",MAX(0,((F596-E596-N(G596))*1440-N(H596)*10)/60))</f>
        <v/>
      </c>
      <c r="N596" s="78" t="str">
        <f aca="false">IF($D596="欠席",0,IF(OR(I596="",J596=""),"",MAX(0,((J596-I596-N(K596))*1440-N(L596)*10)/60)))</f>
        <v/>
      </c>
      <c r="O596" s="73"/>
    </row>
    <row r="597" customFormat="false" ht="15" hidden="false" customHeight="false" outlineLevel="0" collapsed="false">
      <c r="A597" s="77"/>
      <c r="B597" s="73"/>
      <c r="C597" s="71" t="str">
        <f aca="false">IF(B597="","",IFERROR(INDEX(マスタ!$F$2:$F$60,MATCH(B597,マスタ!$E$2:$E$60,0))&amp;"",""))</f>
        <v/>
      </c>
      <c r="D597" s="73"/>
      <c r="E597" s="75"/>
      <c r="F597" s="75"/>
      <c r="G597" s="75"/>
      <c r="H597" s="73"/>
      <c r="I597" s="75"/>
      <c r="J597" s="75"/>
      <c r="K597" s="75"/>
      <c r="L597" s="73"/>
      <c r="M597" s="78" t="str">
        <f aca="false">IF(OR(E597="",F597=""),"",MAX(0,((F597-E597-N(G597))*1440-N(H597)*10)/60))</f>
        <v/>
      </c>
      <c r="N597" s="78" t="str">
        <f aca="false">IF($D597="欠席",0,IF(OR(I597="",J597=""),"",MAX(0,((J597-I597-N(K597))*1440-N(L597)*10)/60)))</f>
        <v/>
      </c>
      <c r="O597" s="73"/>
    </row>
    <row r="598" customFormat="false" ht="15" hidden="false" customHeight="false" outlineLevel="0" collapsed="false">
      <c r="A598" s="77"/>
      <c r="B598" s="73"/>
      <c r="C598" s="71" t="str">
        <f aca="false">IF(B598="","",IFERROR(INDEX(マスタ!$F$2:$F$60,MATCH(B598,マスタ!$E$2:$E$60,0))&amp;"",""))</f>
        <v/>
      </c>
      <c r="D598" s="73"/>
      <c r="E598" s="75"/>
      <c r="F598" s="75"/>
      <c r="G598" s="75"/>
      <c r="H598" s="73"/>
      <c r="I598" s="75"/>
      <c r="J598" s="75"/>
      <c r="K598" s="75"/>
      <c r="L598" s="73"/>
      <c r="M598" s="78" t="str">
        <f aca="false">IF(OR(E598="",F598=""),"",MAX(0,((F598-E598-N(G598))*1440-N(H598)*10)/60))</f>
        <v/>
      </c>
      <c r="N598" s="78" t="str">
        <f aca="false">IF($D598="欠席",0,IF(OR(I598="",J598=""),"",MAX(0,((J598-I598-N(K598))*1440-N(L598)*10)/60)))</f>
        <v/>
      </c>
      <c r="O598" s="73"/>
    </row>
    <row r="599" customFormat="false" ht="15" hidden="false" customHeight="false" outlineLevel="0" collapsed="false">
      <c r="A599" s="77"/>
      <c r="B599" s="73"/>
      <c r="C599" s="71" t="str">
        <f aca="false">IF(B599="","",IFERROR(INDEX(マスタ!$F$2:$F$60,MATCH(B599,マスタ!$E$2:$E$60,0))&amp;"",""))</f>
        <v/>
      </c>
      <c r="D599" s="73"/>
      <c r="E599" s="75"/>
      <c r="F599" s="75"/>
      <c r="G599" s="75"/>
      <c r="H599" s="73"/>
      <c r="I599" s="75"/>
      <c r="J599" s="75"/>
      <c r="K599" s="75"/>
      <c r="L599" s="73"/>
      <c r="M599" s="78" t="str">
        <f aca="false">IF(OR(E599="",F599=""),"",MAX(0,((F599-E599-N(G599))*1440-N(H599)*10)/60))</f>
        <v/>
      </c>
      <c r="N599" s="78" t="str">
        <f aca="false">IF($D599="欠席",0,IF(OR(I599="",J599=""),"",MAX(0,((J599-I599-N(K599))*1440-N(L599)*10)/60)))</f>
        <v/>
      </c>
      <c r="O599" s="73"/>
    </row>
    <row r="600" customFormat="false" ht="15" hidden="false" customHeight="false" outlineLevel="0" collapsed="false">
      <c r="A600" s="77"/>
      <c r="B600" s="73"/>
      <c r="C600" s="71" t="str">
        <f aca="false">IF(B600="","",IFERROR(INDEX(マスタ!$F$2:$F$60,MATCH(B600,マスタ!$E$2:$E$60,0))&amp;"",""))</f>
        <v/>
      </c>
      <c r="D600" s="73"/>
      <c r="E600" s="75"/>
      <c r="F600" s="75"/>
      <c r="G600" s="75"/>
      <c r="H600" s="73"/>
      <c r="I600" s="75"/>
      <c r="J600" s="75"/>
      <c r="K600" s="75"/>
      <c r="L600" s="73"/>
      <c r="M600" s="78" t="str">
        <f aca="false">IF(OR(E600="",F600=""),"",MAX(0,((F600-E600-N(G600))*1440-N(H600)*10)/60))</f>
        <v/>
      </c>
      <c r="N600" s="78" t="str">
        <f aca="false">IF($D600="欠席",0,IF(OR(I600="",J600=""),"",MAX(0,((J600-I600-N(K600))*1440-N(L600)*10)/60)))</f>
        <v/>
      </c>
      <c r="O600" s="73"/>
    </row>
    <row r="601" customFormat="false" ht="15" hidden="false" customHeight="false" outlineLevel="0" collapsed="false">
      <c r="A601" s="77"/>
      <c r="B601" s="73"/>
      <c r="C601" s="71" t="str">
        <f aca="false">IF(B601="","",IFERROR(INDEX(マスタ!$F$2:$F$60,MATCH(B601,マスタ!$E$2:$E$60,0))&amp;"",""))</f>
        <v/>
      </c>
      <c r="D601" s="73"/>
      <c r="E601" s="75"/>
      <c r="F601" s="75"/>
      <c r="G601" s="75"/>
      <c r="H601" s="73"/>
      <c r="I601" s="75"/>
      <c r="J601" s="75"/>
      <c r="K601" s="75"/>
      <c r="L601" s="73"/>
      <c r="M601" s="78" t="str">
        <f aca="false">IF(OR(E601="",F601=""),"",MAX(0,((F601-E601-N(G601))*1440-N(H601)*10)/60))</f>
        <v/>
      </c>
      <c r="N601" s="78" t="str">
        <f aca="false">IF($D601="欠席",0,IF(OR(I601="",J601=""),"",MAX(0,((J601-I601-N(K601))*1440-N(L601)*10)/60)))</f>
        <v/>
      </c>
      <c r="O601" s="73"/>
    </row>
    <row r="602" customFormat="false" ht="15" hidden="false" customHeight="false" outlineLevel="0" collapsed="false">
      <c r="A602" s="77"/>
      <c r="B602" s="73"/>
      <c r="C602" s="71" t="str">
        <f aca="false">IF(B602="","",IFERROR(INDEX(マスタ!$F$2:$F$60,MATCH(B602,マスタ!$E$2:$E$60,0))&amp;"",""))</f>
        <v/>
      </c>
      <c r="D602" s="73"/>
      <c r="E602" s="75"/>
      <c r="F602" s="75"/>
      <c r="G602" s="75"/>
      <c r="H602" s="73"/>
      <c r="I602" s="75"/>
      <c r="J602" s="75"/>
      <c r="K602" s="75"/>
      <c r="L602" s="73"/>
      <c r="M602" s="78" t="str">
        <f aca="false">IF(OR(E602="",F602=""),"",MAX(0,((F602-E602-N(G602))*1440-N(H602)*10)/60))</f>
        <v/>
      </c>
      <c r="N602" s="78" t="str">
        <f aca="false">IF($D602="欠席",0,IF(OR(I602="",J602=""),"",MAX(0,((J602-I602-N(K602))*1440-N(L602)*10)/60)))</f>
        <v/>
      </c>
      <c r="O602" s="73"/>
    </row>
    <row r="603" customFormat="false" ht="15" hidden="false" customHeight="false" outlineLevel="0" collapsed="false">
      <c r="A603" s="77"/>
      <c r="B603" s="73"/>
      <c r="C603" s="71" t="str">
        <f aca="false">IF(B603="","",IFERROR(INDEX(マスタ!$F$2:$F$60,MATCH(B603,マスタ!$E$2:$E$60,0))&amp;"",""))</f>
        <v/>
      </c>
      <c r="D603" s="73"/>
      <c r="E603" s="75"/>
      <c r="F603" s="75"/>
      <c r="G603" s="75"/>
      <c r="H603" s="73"/>
      <c r="I603" s="75"/>
      <c r="J603" s="75"/>
      <c r="K603" s="75"/>
      <c r="L603" s="73"/>
      <c r="M603" s="78" t="str">
        <f aca="false">IF(OR(E603="",F603=""),"",MAX(0,((F603-E603-N(G603))*1440-N(H603)*10)/60))</f>
        <v/>
      </c>
      <c r="N603" s="78" t="str">
        <f aca="false">IF($D603="欠席",0,IF(OR(I603="",J603=""),"",MAX(0,((J603-I603-N(K603))*1440-N(L603)*10)/60)))</f>
        <v/>
      </c>
      <c r="O603" s="73"/>
    </row>
    <row r="604" customFormat="false" ht="15" hidden="false" customHeight="false" outlineLevel="0" collapsed="false">
      <c r="A604" s="77"/>
      <c r="B604" s="73"/>
      <c r="C604" s="71" t="str">
        <f aca="false">IF(B604="","",IFERROR(INDEX(マスタ!$F$2:$F$60,MATCH(B604,マスタ!$E$2:$E$60,0))&amp;"",""))</f>
        <v/>
      </c>
      <c r="D604" s="73"/>
      <c r="E604" s="75"/>
      <c r="F604" s="75"/>
      <c r="G604" s="75"/>
      <c r="H604" s="73"/>
      <c r="I604" s="75"/>
      <c r="J604" s="75"/>
      <c r="K604" s="75"/>
      <c r="L604" s="73"/>
      <c r="M604" s="78" t="str">
        <f aca="false">IF(OR(E604="",F604=""),"",MAX(0,((F604-E604-N(G604))*1440-N(H604)*10)/60))</f>
        <v/>
      </c>
      <c r="N604" s="78" t="str">
        <f aca="false">IF($D604="欠席",0,IF(OR(I604="",J604=""),"",MAX(0,((J604-I604-N(K604))*1440-N(L604)*10)/60)))</f>
        <v/>
      </c>
      <c r="O604" s="73"/>
    </row>
    <row r="605" customFormat="false" ht="15" hidden="false" customHeight="false" outlineLevel="0" collapsed="false">
      <c r="A605" s="77"/>
      <c r="B605" s="73"/>
      <c r="C605" s="71" t="str">
        <f aca="false">IF(B605="","",IFERROR(INDEX(マスタ!$F$2:$F$60,MATCH(B605,マスタ!$E$2:$E$60,0))&amp;"",""))</f>
        <v/>
      </c>
      <c r="D605" s="73"/>
      <c r="E605" s="75"/>
      <c r="F605" s="75"/>
      <c r="G605" s="75"/>
      <c r="H605" s="73"/>
      <c r="I605" s="75"/>
      <c r="J605" s="75"/>
      <c r="K605" s="75"/>
      <c r="L605" s="73"/>
      <c r="M605" s="78" t="str">
        <f aca="false">IF(OR(E605="",F605=""),"",MAX(0,((F605-E605-N(G605))*1440-N(H605)*10)/60))</f>
        <v/>
      </c>
      <c r="N605" s="78" t="str">
        <f aca="false">IF($D605="欠席",0,IF(OR(I605="",J605=""),"",MAX(0,((J605-I605-N(K605))*1440-N(L605)*10)/60)))</f>
        <v/>
      </c>
      <c r="O605" s="73"/>
    </row>
    <row r="606" customFormat="false" ht="15" hidden="false" customHeight="false" outlineLevel="0" collapsed="false">
      <c r="A606" s="77"/>
      <c r="B606" s="73"/>
      <c r="C606" s="71" t="str">
        <f aca="false">IF(B606="","",IFERROR(INDEX(マスタ!$F$2:$F$60,MATCH(B606,マスタ!$E$2:$E$60,0))&amp;"",""))</f>
        <v/>
      </c>
      <c r="D606" s="73"/>
      <c r="E606" s="75"/>
      <c r="F606" s="75"/>
      <c r="G606" s="75"/>
      <c r="H606" s="73"/>
      <c r="I606" s="75"/>
      <c r="J606" s="75"/>
      <c r="K606" s="75"/>
      <c r="L606" s="73"/>
      <c r="M606" s="78" t="str">
        <f aca="false">IF(OR(E606="",F606=""),"",MAX(0,((F606-E606-N(G606))*1440-N(H606)*10)/60))</f>
        <v/>
      </c>
      <c r="N606" s="78" t="str">
        <f aca="false">IF($D606="欠席",0,IF(OR(I606="",J606=""),"",MAX(0,((J606-I606-N(K606))*1440-N(L606)*10)/60)))</f>
        <v/>
      </c>
      <c r="O606" s="73"/>
    </row>
    <row r="607" customFormat="false" ht="15" hidden="false" customHeight="false" outlineLevel="0" collapsed="false">
      <c r="A607" s="77"/>
      <c r="B607" s="73"/>
      <c r="C607" s="71" t="str">
        <f aca="false">IF(B607="","",IFERROR(INDEX(マスタ!$F$2:$F$60,MATCH(B607,マスタ!$E$2:$E$60,0))&amp;"",""))</f>
        <v/>
      </c>
      <c r="D607" s="73"/>
      <c r="E607" s="75"/>
      <c r="F607" s="75"/>
      <c r="G607" s="75"/>
      <c r="H607" s="73"/>
      <c r="I607" s="75"/>
      <c r="J607" s="75"/>
      <c r="K607" s="75"/>
      <c r="L607" s="73"/>
      <c r="M607" s="78" t="str">
        <f aca="false">IF(OR(E607="",F607=""),"",MAX(0,((F607-E607-N(G607))*1440-N(H607)*10)/60))</f>
        <v/>
      </c>
      <c r="N607" s="78" t="str">
        <f aca="false">IF($D607="欠席",0,IF(OR(I607="",J607=""),"",MAX(0,((J607-I607-N(K607))*1440-N(L607)*10)/60)))</f>
        <v/>
      </c>
      <c r="O607" s="73"/>
    </row>
    <row r="608" customFormat="false" ht="15" hidden="false" customHeight="false" outlineLevel="0" collapsed="false">
      <c r="A608" s="77"/>
      <c r="B608" s="73"/>
      <c r="C608" s="71" t="str">
        <f aca="false">IF(B608="","",IFERROR(INDEX(マスタ!$F$2:$F$60,MATCH(B608,マスタ!$E$2:$E$60,0))&amp;"",""))</f>
        <v/>
      </c>
      <c r="D608" s="73"/>
      <c r="E608" s="75"/>
      <c r="F608" s="75"/>
      <c r="G608" s="75"/>
      <c r="H608" s="73"/>
      <c r="I608" s="75"/>
      <c r="J608" s="75"/>
      <c r="K608" s="75"/>
      <c r="L608" s="73"/>
      <c r="M608" s="78" t="str">
        <f aca="false">IF(OR(E608="",F608=""),"",MAX(0,((F608-E608-N(G608))*1440-N(H608)*10)/60))</f>
        <v/>
      </c>
      <c r="N608" s="78" t="str">
        <f aca="false">IF($D608="欠席",0,IF(OR(I608="",J608=""),"",MAX(0,((J608-I608-N(K608))*1440-N(L608)*10)/60)))</f>
        <v/>
      </c>
      <c r="O608" s="73"/>
    </row>
    <row r="609" customFormat="false" ht="15" hidden="false" customHeight="false" outlineLevel="0" collapsed="false">
      <c r="A609" s="77"/>
      <c r="B609" s="73"/>
      <c r="C609" s="71" t="str">
        <f aca="false">IF(B609="","",IFERROR(INDEX(マスタ!$F$2:$F$60,MATCH(B609,マスタ!$E$2:$E$60,0))&amp;"",""))</f>
        <v/>
      </c>
      <c r="D609" s="73"/>
      <c r="E609" s="75"/>
      <c r="F609" s="75"/>
      <c r="G609" s="75"/>
      <c r="H609" s="73"/>
      <c r="I609" s="75"/>
      <c r="J609" s="75"/>
      <c r="K609" s="75"/>
      <c r="L609" s="73"/>
      <c r="M609" s="78" t="str">
        <f aca="false">IF(OR(E609="",F609=""),"",MAX(0,((F609-E609-N(G609))*1440-N(H609)*10)/60))</f>
        <v/>
      </c>
      <c r="N609" s="78" t="str">
        <f aca="false">IF($D609="欠席",0,IF(OR(I609="",J609=""),"",MAX(0,((J609-I609-N(K609))*1440-N(L609)*10)/60)))</f>
        <v/>
      </c>
      <c r="O609" s="73"/>
    </row>
    <row r="610" customFormat="false" ht="15" hidden="false" customHeight="false" outlineLevel="0" collapsed="false">
      <c r="A610" s="77"/>
      <c r="B610" s="73"/>
      <c r="C610" s="71" t="str">
        <f aca="false">IF(B610="","",IFERROR(INDEX(マスタ!$F$2:$F$60,MATCH(B610,マスタ!$E$2:$E$60,0))&amp;"",""))</f>
        <v/>
      </c>
      <c r="D610" s="73"/>
      <c r="E610" s="75"/>
      <c r="F610" s="75"/>
      <c r="G610" s="75"/>
      <c r="H610" s="73"/>
      <c r="I610" s="75"/>
      <c r="J610" s="75"/>
      <c r="K610" s="75"/>
      <c r="L610" s="73"/>
      <c r="M610" s="78" t="str">
        <f aca="false">IF(OR(E610="",F610=""),"",MAX(0,((F610-E610-N(G610))*1440-N(H610)*10)/60))</f>
        <v/>
      </c>
      <c r="N610" s="78" t="str">
        <f aca="false">IF($D610="欠席",0,IF(OR(I610="",J610=""),"",MAX(0,((J610-I610-N(K610))*1440-N(L610)*10)/60)))</f>
        <v/>
      </c>
      <c r="O610" s="73"/>
    </row>
    <row r="611" customFormat="false" ht="15" hidden="false" customHeight="false" outlineLevel="0" collapsed="false">
      <c r="A611" s="77"/>
      <c r="B611" s="73"/>
      <c r="C611" s="71" t="str">
        <f aca="false">IF(B611="","",IFERROR(INDEX(マスタ!$F$2:$F$60,MATCH(B611,マスタ!$E$2:$E$60,0))&amp;"",""))</f>
        <v/>
      </c>
      <c r="D611" s="73"/>
      <c r="E611" s="75"/>
      <c r="F611" s="75"/>
      <c r="G611" s="75"/>
      <c r="H611" s="73"/>
      <c r="I611" s="75"/>
      <c r="J611" s="75"/>
      <c r="K611" s="75"/>
      <c r="L611" s="73"/>
      <c r="M611" s="78" t="str">
        <f aca="false">IF(OR(E611="",F611=""),"",MAX(0,((F611-E611-N(G611))*1440-N(H611)*10)/60))</f>
        <v/>
      </c>
      <c r="N611" s="78" t="str">
        <f aca="false">IF($D611="欠席",0,IF(OR(I611="",J611=""),"",MAX(0,((J611-I611-N(K611))*1440-N(L611)*10)/60)))</f>
        <v/>
      </c>
      <c r="O611" s="73"/>
    </row>
    <row r="612" customFormat="false" ht="15" hidden="false" customHeight="false" outlineLevel="0" collapsed="false">
      <c r="A612" s="77"/>
      <c r="B612" s="73"/>
      <c r="C612" s="71" t="str">
        <f aca="false">IF(B612="","",IFERROR(INDEX(マスタ!$F$2:$F$60,MATCH(B612,マスタ!$E$2:$E$60,0))&amp;"",""))</f>
        <v/>
      </c>
      <c r="D612" s="73"/>
      <c r="E612" s="75"/>
      <c r="F612" s="75"/>
      <c r="G612" s="75"/>
      <c r="H612" s="73"/>
      <c r="I612" s="75"/>
      <c r="J612" s="75"/>
      <c r="K612" s="75"/>
      <c r="L612" s="73"/>
      <c r="M612" s="78" t="str">
        <f aca="false">IF(OR(E612="",F612=""),"",MAX(0,((F612-E612-N(G612))*1440-N(H612)*10)/60))</f>
        <v/>
      </c>
      <c r="N612" s="78" t="str">
        <f aca="false">IF($D612="欠席",0,IF(OR(I612="",J612=""),"",MAX(0,((J612-I612-N(K612))*1440-N(L612)*10)/60)))</f>
        <v/>
      </c>
      <c r="O612" s="73"/>
    </row>
    <row r="613" customFormat="false" ht="15" hidden="false" customHeight="false" outlineLevel="0" collapsed="false">
      <c r="A613" s="77"/>
      <c r="B613" s="73"/>
      <c r="C613" s="71" t="str">
        <f aca="false">IF(B613="","",IFERROR(INDEX(マスタ!$F$2:$F$60,MATCH(B613,マスタ!$E$2:$E$60,0))&amp;"",""))</f>
        <v/>
      </c>
      <c r="D613" s="73"/>
      <c r="E613" s="75"/>
      <c r="F613" s="75"/>
      <c r="G613" s="75"/>
      <c r="H613" s="73"/>
      <c r="I613" s="75"/>
      <c r="J613" s="75"/>
      <c r="K613" s="75"/>
      <c r="L613" s="73"/>
      <c r="M613" s="78" t="str">
        <f aca="false">IF(OR(E613="",F613=""),"",MAX(0,((F613-E613-N(G613))*1440-N(H613)*10)/60))</f>
        <v/>
      </c>
      <c r="N613" s="78" t="str">
        <f aca="false">IF($D613="欠席",0,IF(OR(I613="",J613=""),"",MAX(0,((J613-I613-N(K613))*1440-N(L613)*10)/60)))</f>
        <v/>
      </c>
      <c r="O613" s="73"/>
    </row>
    <row r="614" customFormat="false" ht="15" hidden="false" customHeight="false" outlineLevel="0" collapsed="false">
      <c r="A614" s="77"/>
      <c r="B614" s="73"/>
      <c r="C614" s="71" t="str">
        <f aca="false">IF(B614="","",IFERROR(INDEX(マスタ!$F$2:$F$60,MATCH(B614,マスタ!$E$2:$E$60,0))&amp;"",""))</f>
        <v/>
      </c>
      <c r="D614" s="73"/>
      <c r="E614" s="75"/>
      <c r="F614" s="75"/>
      <c r="G614" s="75"/>
      <c r="H614" s="73"/>
      <c r="I614" s="75"/>
      <c r="J614" s="75"/>
      <c r="K614" s="75"/>
      <c r="L614" s="73"/>
      <c r="M614" s="78" t="str">
        <f aca="false">IF(OR(E614="",F614=""),"",MAX(0,((F614-E614-N(G614))*1440-N(H614)*10)/60))</f>
        <v/>
      </c>
      <c r="N614" s="78" t="str">
        <f aca="false">IF($D614="欠席",0,IF(OR(I614="",J614=""),"",MAX(0,((J614-I614-N(K614))*1440-N(L614)*10)/60)))</f>
        <v/>
      </c>
      <c r="O614" s="73"/>
    </row>
    <row r="615" customFormat="false" ht="15" hidden="false" customHeight="false" outlineLevel="0" collapsed="false">
      <c r="A615" s="77"/>
      <c r="B615" s="73"/>
      <c r="C615" s="71" t="str">
        <f aca="false">IF(B615="","",IFERROR(INDEX(マスタ!$F$2:$F$60,MATCH(B615,マスタ!$E$2:$E$60,0))&amp;"",""))</f>
        <v/>
      </c>
      <c r="D615" s="73"/>
      <c r="E615" s="75"/>
      <c r="F615" s="75"/>
      <c r="G615" s="75"/>
      <c r="H615" s="73"/>
      <c r="I615" s="75"/>
      <c r="J615" s="75"/>
      <c r="K615" s="75"/>
      <c r="L615" s="73"/>
      <c r="M615" s="78" t="str">
        <f aca="false">IF(OR(E615="",F615=""),"",MAX(0,((F615-E615-N(G615))*1440-N(H615)*10)/60))</f>
        <v/>
      </c>
      <c r="N615" s="78" t="str">
        <f aca="false">IF($D615="欠席",0,IF(OR(I615="",J615=""),"",MAX(0,((J615-I615-N(K615))*1440-N(L615)*10)/60)))</f>
        <v/>
      </c>
      <c r="O615" s="73"/>
    </row>
    <row r="616" customFormat="false" ht="15" hidden="false" customHeight="false" outlineLevel="0" collapsed="false">
      <c r="A616" s="77"/>
      <c r="B616" s="73"/>
      <c r="C616" s="71" t="str">
        <f aca="false">IF(B616="","",IFERROR(INDEX(マスタ!$F$2:$F$60,MATCH(B616,マスタ!$E$2:$E$60,0))&amp;"",""))</f>
        <v/>
      </c>
      <c r="D616" s="73"/>
      <c r="E616" s="75"/>
      <c r="F616" s="75"/>
      <c r="G616" s="75"/>
      <c r="H616" s="73"/>
      <c r="I616" s="75"/>
      <c r="J616" s="75"/>
      <c r="K616" s="75"/>
      <c r="L616" s="73"/>
      <c r="M616" s="78" t="str">
        <f aca="false">IF(OR(E616="",F616=""),"",MAX(0,((F616-E616-N(G616))*1440-N(H616)*10)/60))</f>
        <v/>
      </c>
      <c r="N616" s="78" t="str">
        <f aca="false">IF($D616="欠席",0,IF(OR(I616="",J616=""),"",MAX(0,((J616-I616-N(K616))*1440-N(L616)*10)/60)))</f>
        <v/>
      </c>
      <c r="O616" s="73"/>
    </row>
    <row r="617" customFormat="false" ht="15" hidden="false" customHeight="false" outlineLevel="0" collapsed="false">
      <c r="A617" s="77"/>
      <c r="B617" s="73"/>
      <c r="C617" s="71" t="str">
        <f aca="false">IF(B617="","",IFERROR(INDEX(マスタ!$F$2:$F$60,MATCH(B617,マスタ!$E$2:$E$60,0))&amp;"",""))</f>
        <v/>
      </c>
      <c r="D617" s="73"/>
      <c r="E617" s="75"/>
      <c r="F617" s="75"/>
      <c r="G617" s="75"/>
      <c r="H617" s="73"/>
      <c r="I617" s="75"/>
      <c r="J617" s="75"/>
      <c r="K617" s="75"/>
      <c r="L617" s="73"/>
      <c r="M617" s="78" t="str">
        <f aca="false">IF(OR(E617="",F617=""),"",MAX(0,((F617-E617-N(G617))*1440-N(H617)*10)/60))</f>
        <v/>
      </c>
      <c r="N617" s="78" t="str">
        <f aca="false">IF($D617="欠席",0,IF(OR(I617="",J617=""),"",MAX(0,((J617-I617-N(K617))*1440-N(L617)*10)/60)))</f>
        <v/>
      </c>
      <c r="O617" s="73"/>
    </row>
    <row r="618" customFormat="false" ht="15" hidden="false" customHeight="false" outlineLevel="0" collapsed="false">
      <c r="A618" s="77"/>
      <c r="B618" s="73"/>
      <c r="C618" s="71" t="str">
        <f aca="false">IF(B618="","",IFERROR(INDEX(マスタ!$F$2:$F$60,MATCH(B618,マスタ!$E$2:$E$60,0))&amp;"",""))</f>
        <v/>
      </c>
      <c r="D618" s="73"/>
      <c r="E618" s="75"/>
      <c r="F618" s="75"/>
      <c r="G618" s="75"/>
      <c r="H618" s="73"/>
      <c r="I618" s="75"/>
      <c r="J618" s="75"/>
      <c r="K618" s="75"/>
      <c r="L618" s="73"/>
      <c r="M618" s="78" t="str">
        <f aca="false">IF(OR(E618="",F618=""),"",MAX(0,((F618-E618-N(G618))*1440-N(H618)*10)/60))</f>
        <v/>
      </c>
      <c r="N618" s="78" t="str">
        <f aca="false">IF($D618="欠席",0,IF(OR(I618="",J618=""),"",MAX(0,((J618-I618-N(K618))*1440-N(L618)*10)/60)))</f>
        <v/>
      </c>
      <c r="O618" s="73"/>
    </row>
    <row r="619" customFormat="false" ht="15" hidden="false" customHeight="false" outlineLevel="0" collapsed="false">
      <c r="A619" s="77"/>
      <c r="B619" s="73"/>
      <c r="C619" s="71" t="str">
        <f aca="false">IF(B619="","",IFERROR(INDEX(マスタ!$F$2:$F$60,MATCH(B619,マスタ!$E$2:$E$60,0))&amp;"",""))</f>
        <v/>
      </c>
      <c r="D619" s="73"/>
      <c r="E619" s="75"/>
      <c r="F619" s="75"/>
      <c r="G619" s="75"/>
      <c r="H619" s="73"/>
      <c r="I619" s="75"/>
      <c r="J619" s="75"/>
      <c r="K619" s="75"/>
      <c r="L619" s="73"/>
      <c r="M619" s="78" t="str">
        <f aca="false">IF(OR(E619="",F619=""),"",MAX(0,((F619-E619-N(G619))*1440-N(H619)*10)/60))</f>
        <v/>
      </c>
      <c r="N619" s="78" t="str">
        <f aca="false">IF($D619="欠席",0,IF(OR(I619="",J619=""),"",MAX(0,((J619-I619-N(K619))*1440-N(L619)*10)/60)))</f>
        <v/>
      </c>
      <c r="O619" s="73"/>
    </row>
    <row r="620" customFormat="false" ht="15" hidden="false" customHeight="false" outlineLevel="0" collapsed="false">
      <c r="A620" s="77"/>
      <c r="B620" s="73"/>
      <c r="C620" s="71" t="str">
        <f aca="false">IF(B620="","",IFERROR(INDEX(マスタ!$F$2:$F$60,MATCH(B620,マスタ!$E$2:$E$60,0))&amp;"",""))</f>
        <v/>
      </c>
      <c r="D620" s="73"/>
      <c r="E620" s="75"/>
      <c r="F620" s="75"/>
      <c r="G620" s="75"/>
      <c r="H620" s="73"/>
      <c r="I620" s="75"/>
      <c r="J620" s="75"/>
      <c r="K620" s="75"/>
      <c r="L620" s="73"/>
      <c r="M620" s="78" t="str">
        <f aca="false">IF(OR(E620="",F620=""),"",MAX(0,((F620-E620-N(G620))*1440-N(H620)*10)/60))</f>
        <v/>
      </c>
      <c r="N620" s="78" t="str">
        <f aca="false">IF($D620="欠席",0,IF(OR(I620="",J620=""),"",MAX(0,((J620-I620-N(K620))*1440-N(L620)*10)/60)))</f>
        <v/>
      </c>
      <c r="O620" s="73"/>
    </row>
    <row r="621" customFormat="false" ht="15" hidden="false" customHeight="false" outlineLevel="0" collapsed="false">
      <c r="A621" s="77"/>
      <c r="B621" s="73"/>
      <c r="C621" s="71" t="str">
        <f aca="false">IF(B621="","",IFERROR(INDEX(マスタ!$F$2:$F$60,MATCH(B621,マスタ!$E$2:$E$60,0))&amp;"",""))</f>
        <v/>
      </c>
      <c r="D621" s="73"/>
      <c r="E621" s="75"/>
      <c r="F621" s="75"/>
      <c r="G621" s="75"/>
      <c r="H621" s="73"/>
      <c r="I621" s="75"/>
      <c r="J621" s="75"/>
      <c r="K621" s="75"/>
      <c r="L621" s="73"/>
      <c r="M621" s="78" t="str">
        <f aca="false">IF(OR(E621="",F621=""),"",MAX(0,((F621-E621-N(G621))*1440-N(H621)*10)/60))</f>
        <v/>
      </c>
      <c r="N621" s="78" t="str">
        <f aca="false">IF($D621="欠席",0,IF(OR(I621="",J621=""),"",MAX(0,((J621-I621-N(K621))*1440-N(L621)*10)/60)))</f>
        <v/>
      </c>
      <c r="O621" s="73"/>
    </row>
    <row r="622" customFormat="false" ht="15" hidden="false" customHeight="false" outlineLevel="0" collapsed="false">
      <c r="A622" s="77"/>
      <c r="B622" s="73"/>
      <c r="C622" s="71" t="str">
        <f aca="false">IF(B622="","",IFERROR(INDEX(マスタ!$F$2:$F$60,MATCH(B622,マスタ!$E$2:$E$60,0))&amp;"",""))</f>
        <v/>
      </c>
      <c r="D622" s="73"/>
      <c r="E622" s="75"/>
      <c r="F622" s="75"/>
      <c r="G622" s="75"/>
      <c r="H622" s="73"/>
      <c r="I622" s="75"/>
      <c r="J622" s="75"/>
      <c r="K622" s="75"/>
      <c r="L622" s="73"/>
      <c r="M622" s="78" t="str">
        <f aca="false">IF(OR(E622="",F622=""),"",MAX(0,((F622-E622-N(G622))*1440-N(H622)*10)/60))</f>
        <v/>
      </c>
      <c r="N622" s="78" t="str">
        <f aca="false">IF($D622="欠席",0,IF(OR(I622="",J622=""),"",MAX(0,((J622-I622-N(K622))*1440-N(L622)*10)/60)))</f>
        <v/>
      </c>
      <c r="O622" s="73"/>
    </row>
    <row r="623" customFormat="false" ht="15" hidden="false" customHeight="false" outlineLevel="0" collapsed="false">
      <c r="A623" s="77"/>
      <c r="B623" s="73"/>
      <c r="C623" s="71" t="str">
        <f aca="false">IF(B623="","",IFERROR(INDEX(マスタ!$F$2:$F$60,MATCH(B623,マスタ!$E$2:$E$60,0))&amp;"",""))</f>
        <v/>
      </c>
      <c r="D623" s="73"/>
      <c r="E623" s="75"/>
      <c r="F623" s="75"/>
      <c r="G623" s="75"/>
      <c r="H623" s="73"/>
      <c r="I623" s="75"/>
      <c r="J623" s="75"/>
      <c r="K623" s="75"/>
      <c r="L623" s="73"/>
      <c r="M623" s="78" t="str">
        <f aca="false">IF(OR(E623="",F623=""),"",MAX(0,((F623-E623-N(G623))*1440-N(H623)*10)/60))</f>
        <v/>
      </c>
      <c r="N623" s="78" t="str">
        <f aca="false">IF($D623="欠席",0,IF(OR(I623="",J623=""),"",MAX(0,((J623-I623-N(K623))*1440-N(L623)*10)/60)))</f>
        <v/>
      </c>
      <c r="O623" s="73"/>
    </row>
    <row r="624" customFormat="false" ht="15" hidden="false" customHeight="false" outlineLevel="0" collapsed="false">
      <c r="A624" s="77"/>
      <c r="B624" s="73"/>
      <c r="C624" s="71" t="str">
        <f aca="false">IF(B624="","",IFERROR(INDEX(マスタ!$F$2:$F$60,MATCH(B624,マスタ!$E$2:$E$60,0))&amp;"",""))</f>
        <v/>
      </c>
      <c r="D624" s="73"/>
      <c r="E624" s="75"/>
      <c r="F624" s="75"/>
      <c r="G624" s="75"/>
      <c r="H624" s="73"/>
      <c r="I624" s="75"/>
      <c r="J624" s="75"/>
      <c r="K624" s="75"/>
      <c r="L624" s="73"/>
      <c r="M624" s="78" t="str">
        <f aca="false">IF(OR(E624="",F624=""),"",MAX(0,((F624-E624-N(G624))*1440-N(H624)*10)/60))</f>
        <v/>
      </c>
      <c r="N624" s="78" t="str">
        <f aca="false">IF($D624="欠席",0,IF(OR(I624="",J624=""),"",MAX(0,((J624-I624-N(K624))*1440-N(L624)*10)/60)))</f>
        <v/>
      </c>
      <c r="O624" s="73"/>
    </row>
    <row r="625" customFormat="false" ht="15" hidden="false" customHeight="false" outlineLevel="0" collapsed="false">
      <c r="A625" s="77"/>
      <c r="B625" s="73"/>
      <c r="C625" s="71" t="str">
        <f aca="false">IF(B625="","",IFERROR(INDEX(マスタ!$F$2:$F$60,MATCH(B625,マスタ!$E$2:$E$60,0))&amp;"",""))</f>
        <v/>
      </c>
      <c r="D625" s="73"/>
      <c r="E625" s="75"/>
      <c r="F625" s="75"/>
      <c r="G625" s="75"/>
      <c r="H625" s="73"/>
      <c r="I625" s="75"/>
      <c r="J625" s="75"/>
      <c r="K625" s="75"/>
      <c r="L625" s="73"/>
      <c r="M625" s="78" t="str">
        <f aca="false">IF(OR(E625="",F625=""),"",MAX(0,((F625-E625-N(G625))*1440-N(H625)*10)/60))</f>
        <v/>
      </c>
      <c r="N625" s="78" t="str">
        <f aca="false">IF($D625="欠席",0,IF(OR(I625="",J625=""),"",MAX(0,((J625-I625-N(K625))*1440-N(L625)*10)/60)))</f>
        <v/>
      </c>
      <c r="O625" s="73"/>
    </row>
    <row r="626" customFormat="false" ht="15" hidden="false" customHeight="false" outlineLevel="0" collapsed="false">
      <c r="A626" s="77"/>
      <c r="B626" s="73"/>
      <c r="C626" s="71" t="str">
        <f aca="false">IF(B626="","",IFERROR(INDEX(マスタ!$F$2:$F$60,MATCH(B626,マスタ!$E$2:$E$60,0))&amp;"",""))</f>
        <v/>
      </c>
      <c r="D626" s="73"/>
      <c r="E626" s="75"/>
      <c r="F626" s="75"/>
      <c r="G626" s="75"/>
      <c r="H626" s="73"/>
      <c r="I626" s="75"/>
      <c r="J626" s="75"/>
      <c r="K626" s="75"/>
      <c r="L626" s="73"/>
      <c r="M626" s="78" t="str">
        <f aca="false">IF(OR(E626="",F626=""),"",MAX(0,((F626-E626-N(G626))*1440-N(H626)*10)/60))</f>
        <v/>
      </c>
      <c r="N626" s="78" t="str">
        <f aca="false">IF($D626="欠席",0,IF(OR(I626="",J626=""),"",MAX(0,((J626-I626-N(K626))*1440-N(L626)*10)/60)))</f>
        <v/>
      </c>
      <c r="O626" s="73"/>
    </row>
    <row r="627" customFormat="false" ht="15" hidden="false" customHeight="false" outlineLevel="0" collapsed="false">
      <c r="A627" s="77"/>
      <c r="B627" s="73"/>
      <c r="C627" s="71" t="str">
        <f aca="false">IF(B627="","",IFERROR(INDEX(マスタ!$F$2:$F$60,MATCH(B627,マスタ!$E$2:$E$60,0))&amp;"",""))</f>
        <v/>
      </c>
      <c r="D627" s="73"/>
      <c r="E627" s="75"/>
      <c r="F627" s="75"/>
      <c r="G627" s="75"/>
      <c r="H627" s="73"/>
      <c r="I627" s="75"/>
      <c r="J627" s="75"/>
      <c r="K627" s="75"/>
      <c r="L627" s="73"/>
      <c r="M627" s="78" t="str">
        <f aca="false">IF(OR(E627="",F627=""),"",MAX(0,((F627-E627-N(G627))*1440-N(H627)*10)/60))</f>
        <v/>
      </c>
      <c r="N627" s="78" t="str">
        <f aca="false">IF($D627="欠席",0,IF(OR(I627="",J627=""),"",MAX(0,((J627-I627-N(K627))*1440-N(L627)*10)/60)))</f>
        <v/>
      </c>
      <c r="O627" s="73"/>
    </row>
    <row r="628" customFormat="false" ht="15" hidden="false" customHeight="false" outlineLevel="0" collapsed="false">
      <c r="A628" s="77"/>
      <c r="B628" s="73"/>
      <c r="C628" s="71" t="str">
        <f aca="false">IF(B628="","",IFERROR(INDEX(マスタ!$F$2:$F$60,MATCH(B628,マスタ!$E$2:$E$60,0))&amp;"",""))</f>
        <v/>
      </c>
      <c r="D628" s="73"/>
      <c r="E628" s="75"/>
      <c r="F628" s="75"/>
      <c r="G628" s="75"/>
      <c r="H628" s="73"/>
      <c r="I628" s="75"/>
      <c r="J628" s="75"/>
      <c r="K628" s="75"/>
      <c r="L628" s="73"/>
      <c r="M628" s="78" t="str">
        <f aca="false">IF(OR(E628="",F628=""),"",MAX(0,((F628-E628-N(G628))*1440-N(H628)*10)/60))</f>
        <v/>
      </c>
      <c r="N628" s="78" t="str">
        <f aca="false">IF($D628="欠席",0,IF(OR(I628="",J628=""),"",MAX(0,((J628-I628-N(K628))*1440-N(L628)*10)/60)))</f>
        <v/>
      </c>
      <c r="O628" s="73"/>
    </row>
    <row r="629" customFormat="false" ht="15" hidden="false" customHeight="false" outlineLevel="0" collapsed="false">
      <c r="A629" s="77"/>
      <c r="B629" s="73"/>
      <c r="C629" s="71" t="str">
        <f aca="false">IF(B629="","",IFERROR(INDEX(マスタ!$F$2:$F$60,MATCH(B629,マスタ!$E$2:$E$60,0))&amp;"",""))</f>
        <v/>
      </c>
      <c r="D629" s="73"/>
      <c r="E629" s="75"/>
      <c r="F629" s="75"/>
      <c r="G629" s="75"/>
      <c r="H629" s="73"/>
      <c r="I629" s="75"/>
      <c r="J629" s="75"/>
      <c r="K629" s="75"/>
      <c r="L629" s="73"/>
      <c r="M629" s="78" t="str">
        <f aca="false">IF(OR(E629="",F629=""),"",MAX(0,((F629-E629-N(G629))*1440-N(H629)*10)/60))</f>
        <v/>
      </c>
      <c r="N629" s="78" t="str">
        <f aca="false">IF($D629="欠席",0,IF(OR(I629="",J629=""),"",MAX(0,((J629-I629-N(K629))*1440-N(L629)*10)/60)))</f>
        <v/>
      </c>
      <c r="O629" s="73"/>
    </row>
    <row r="630" customFormat="false" ht="15" hidden="false" customHeight="false" outlineLevel="0" collapsed="false">
      <c r="A630" s="77"/>
      <c r="B630" s="73"/>
      <c r="C630" s="71" t="str">
        <f aca="false">IF(B630="","",IFERROR(INDEX(マスタ!$F$2:$F$60,MATCH(B630,マスタ!$E$2:$E$60,0))&amp;"",""))</f>
        <v/>
      </c>
      <c r="D630" s="73"/>
      <c r="E630" s="75"/>
      <c r="F630" s="75"/>
      <c r="G630" s="75"/>
      <c r="H630" s="73"/>
      <c r="I630" s="75"/>
      <c r="J630" s="75"/>
      <c r="K630" s="75"/>
      <c r="L630" s="73"/>
      <c r="M630" s="78" t="str">
        <f aca="false">IF(OR(E630="",F630=""),"",MAX(0,((F630-E630-N(G630))*1440-N(H630)*10)/60))</f>
        <v/>
      </c>
      <c r="N630" s="78" t="str">
        <f aca="false">IF($D630="欠席",0,IF(OR(I630="",J630=""),"",MAX(0,((J630-I630-N(K630))*1440-N(L630)*10)/60)))</f>
        <v/>
      </c>
      <c r="O630" s="73"/>
    </row>
    <row r="631" customFormat="false" ht="15" hidden="false" customHeight="false" outlineLevel="0" collapsed="false">
      <c r="A631" s="77"/>
      <c r="B631" s="73"/>
      <c r="C631" s="71" t="str">
        <f aca="false">IF(B631="","",IFERROR(INDEX(マスタ!$F$2:$F$60,MATCH(B631,マスタ!$E$2:$E$60,0))&amp;"",""))</f>
        <v/>
      </c>
      <c r="D631" s="73"/>
      <c r="E631" s="75"/>
      <c r="F631" s="75"/>
      <c r="G631" s="75"/>
      <c r="H631" s="73"/>
      <c r="I631" s="75"/>
      <c r="J631" s="75"/>
      <c r="K631" s="75"/>
      <c r="L631" s="73"/>
      <c r="M631" s="78" t="str">
        <f aca="false">IF(OR(E631="",F631=""),"",MAX(0,((F631-E631-N(G631))*1440-N(H631)*10)/60))</f>
        <v/>
      </c>
      <c r="N631" s="78" t="str">
        <f aca="false">IF($D631="欠席",0,IF(OR(I631="",J631=""),"",MAX(0,((J631-I631-N(K631))*1440-N(L631)*10)/60)))</f>
        <v/>
      </c>
      <c r="O631" s="73"/>
    </row>
    <row r="632" customFormat="false" ht="15" hidden="false" customHeight="false" outlineLevel="0" collapsed="false">
      <c r="A632" s="77"/>
      <c r="B632" s="73"/>
      <c r="C632" s="71" t="str">
        <f aca="false">IF(B632="","",IFERROR(INDEX(マスタ!$F$2:$F$60,MATCH(B632,マスタ!$E$2:$E$60,0))&amp;"",""))</f>
        <v/>
      </c>
      <c r="D632" s="73"/>
      <c r="E632" s="75"/>
      <c r="F632" s="75"/>
      <c r="G632" s="75"/>
      <c r="H632" s="73"/>
      <c r="I632" s="75"/>
      <c r="J632" s="75"/>
      <c r="K632" s="75"/>
      <c r="L632" s="73"/>
      <c r="M632" s="78" t="str">
        <f aca="false">IF(OR(E632="",F632=""),"",MAX(0,((F632-E632-N(G632))*1440-N(H632)*10)/60))</f>
        <v/>
      </c>
      <c r="N632" s="78" t="str">
        <f aca="false">IF($D632="欠席",0,IF(OR(I632="",J632=""),"",MAX(0,((J632-I632-N(K632))*1440-N(L632)*10)/60)))</f>
        <v/>
      </c>
      <c r="O632" s="73"/>
    </row>
    <row r="633" customFormat="false" ht="15" hidden="false" customHeight="false" outlineLevel="0" collapsed="false">
      <c r="A633" s="77"/>
      <c r="B633" s="73"/>
      <c r="C633" s="71" t="str">
        <f aca="false">IF(B633="","",IFERROR(INDEX(マスタ!$F$2:$F$60,MATCH(B633,マスタ!$E$2:$E$60,0))&amp;"",""))</f>
        <v/>
      </c>
      <c r="D633" s="73"/>
      <c r="E633" s="75"/>
      <c r="F633" s="75"/>
      <c r="G633" s="75"/>
      <c r="H633" s="73"/>
      <c r="I633" s="75"/>
      <c r="J633" s="75"/>
      <c r="K633" s="75"/>
      <c r="L633" s="73"/>
      <c r="M633" s="78" t="str">
        <f aca="false">IF(OR(E633="",F633=""),"",MAX(0,((F633-E633-N(G633))*1440-N(H633)*10)/60))</f>
        <v/>
      </c>
      <c r="N633" s="78" t="str">
        <f aca="false">IF($D633="欠席",0,IF(OR(I633="",J633=""),"",MAX(0,((J633-I633-N(K633))*1440-N(L633)*10)/60)))</f>
        <v/>
      </c>
      <c r="O633" s="73"/>
    </row>
    <row r="634" customFormat="false" ht="15" hidden="false" customHeight="false" outlineLevel="0" collapsed="false">
      <c r="A634" s="77"/>
      <c r="B634" s="73"/>
      <c r="C634" s="71" t="str">
        <f aca="false">IF(B634="","",IFERROR(INDEX(マスタ!$F$2:$F$60,MATCH(B634,マスタ!$E$2:$E$60,0))&amp;"",""))</f>
        <v/>
      </c>
      <c r="D634" s="73"/>
      <c r="E634" s="75"/>
      <c r="F634" s="75"/>
      <c r="G634" s="75"/>
      <c r="H634" s="73"/>
      <c r="I634" s="75"/>
      <c r="J634" s="75"/>
      <c r="K634" s="75"/>
      <c r="L634" s="73"/>
      <c r="M634" s="78" t="str">
        <f aca="false">IF(OR(E634="",F634=""),"",MAX(0,((F634-E634-N(G634))*1440-N(H634)*10)/60))</f>
        <v/>
      </c>
      <c r="N634" s="78" t="str">
        <f aca="false">IF($D634="欠席",0,IF(OR(I634="",J634=""),"",MAX(0,((J634-I634-N(K634))*1440-N(L634)*10)/60)))</f>
        <v/>
      </c>
      <c r="O634" s="73"/>
    </row>
    <row r="635" customFormat="false" ht="15" hidden="false" customHeight="false" outlineLevel="0" collapsed="false">
      <c r="A635" s="77"/>
      <c r="B635" s="73"/>
      <c r="C635" s="71" t="str">
        <f aca="false">IF(B635="","",IFERROR(INDEX(マスタ!$F$2:$F$60,MATCH(B635,マスタ!$E$2:$E$60,0))&amp;"",""))</f>
        <v/>
      </c>
      <c r="D635" s="73"/>
      <c r="E635" s="75"/>
      <c r="F635" s="75"/>
      <c r="G635" s="75"/>
      <c r="H635" s="73"/>
      <c r="I635" s="75"/>
      <c r="J635" s="75"/>
      <c r="K635" s="75"/>
      <c r="L635" s="73"/>
      <c r="M635" s="78" t="str">
        <f aca="false">IF(OR(E635="",F635=""),"",MAX(0,((F635-E635-N(G635))*1440-N(H635)*10)/60))</f>
        <v/>
      </c>
      <c r="N635" s="78" t="str">
        <f aca="false">IF($D635="欠席",0,IF(OR(I635="",J635=""),"",MAX(0,((J635-I635-N(K635))*1440-N(L635)*10)/60)))</f>
        <v/>
      </c>
      <c r="O635" s="73"/>
    </row>
    <row r="636" customFormat="false" ht="15" hidden="false" customHeight="false" outlineLevel="0" collapsed="false">
      <c r="A636" s="77"/>
      <c r="B636" s="73"/>
      <c r="C636" s="71" t="str">
        <f aca="false">IF(B636="","",IFERROR(INDEX(マスタ!$F$2:$F$60,MATCH(B636,マスタ!$E$2:$E$60,0))&amp;"",""))</f>
        <v/>
      </c>
      <c r="D636" s="73"/>
      <c r="E636" s="75"/>
      <c r="F636" s="75"/>
      <c r="G636" s="75"/>
      <c r="H636" s="73"/>
      <c r="I636" s="75"/>
      <c r="J636" s="75"/>
      <c r="K636" s="75"/>
      <c r="L636" s="73"/>
      <c r="M636" s="78" t="str">
        <f aca="false">IF(OR(E636="",F636=""),"",MAX(0,((F636-E636-N(G636))*1440-N(H636)*10)/60))</f>
        <v/>
      </c>
      <c r="N636" s="78" t="str">
        <f aca="false">IF($D636="欠席",0,IF(OR(I636="",J636=""),"",MAX(0,((J636-I636-N(K636))*1440-N(L636)*10)/60)))</f>
        <v/>
      </c>
      <c r="O636" s="73"/>
    </row>
    <row r="637" customFormat="false" ht="15" hidden="false" customHeight="false" outlineLevel="0" collapsed="false">
      <c r="A637" s="77"/>
      <c r="B637" s="73"/>
      <c r="C637" s="71" t="str">
        <f aca="false">IF(B637="","",IFERROR(INDEX(マスタ!$F$2:$F$60,MATCH(B637,マスタ!$E$2:$E$60,0))&amp;"",""))</f>
        <v/>
      </c>
      <c r="D637" s="73"/>
      <c r="E637" s="75"/>
      <c r="F637" s="75"/>
      <c r="G637" s="75"/>
      <c r="H637" s="73"/>
      <c r="I637" s="75"/>
      <c r="J637" s="75"/>
      <c r="K637" s="75"/>
      <c r="L637" s="73"/>
      <c r="M637" s="78" t="str">
        <f aca="false">IF(OR(E637="",F637=""),"",MAX(0,((F637-E637-N(G637))*1440-N(H637)*10)/60))</f>
        <v/>
      </c>
      <c r="N637" s="78" t="str">
        <f aca="false">IF($D637="欠席",0,IF(OR(I637="",J637=""),"",MAX(0,((J637-I637-N(K637))*1440-N(L637)*10)/60)))</f>
        <v/>
      </c>
      <c r="O637" s="73"/>
    </row>
    <row r="638" customFormat="false" ht="15" hidden="false" customHeight="false" outlineLevel="0" collapsed="false">
      <c r="A638" s="77"/>
      <c r="B638" s="73"/>
      <c r="C638" s="71" t="str">
        <f aca="false">IF(B638="","",IFERROR(INDEX(マスタ!$F$2:$F$60,MATCH(B638,マスタ!$E$2:$E$60,0))&amp;"",""))</f>
        <v/>
      </c>
      <c r="D638" s="73"/>
      <c r="E638" s="75"/>
      <c r="F638" s="75"/>
      <c r="G638" s="75"/>
      <c r="H638" s="73"/>
      <c r="I638" s="75"/>
      <c r="J638" s="75"/>
      <c r="K638" s="75"/>
      <c r="L638" s="73"/>
      <c r="M638" s="78" t="str">
        <f aca="false">IF(OR(E638="",F638=""),"",MAX(0,((F638-E638-N(G638))*1440-N(H638)*10)/60))</f>
        <v/>
      </c>
      <c r="N638" s="78" t="str">
        <f aca="false">IF($D638="欠席",0,IF(OR(I638="",J638=""),"",MAX(0,((J638-I638-N(K638))*1440-N(L638)*10)/60)))</f>
        <v/>
      </c>
      <c r="O638" s="73"/>
    </row>
    <row r="639" customFormat="false" ht="15" hidden="false" customHeight="false" outlineLevel="0" collapsed="false">
      <c r="A639" s="77"/>
      <c r="B639" s="73"/>
      <c r="C639" s="71" t="str">
        <f aca="false">IF(B639="","",IFERROR(INDEX(マスタ!$F$2:$F$60,MATCH(B639,マスタ!$E$2:$E$60,0))&amp;"",""))</f>
        <v/>
      </c>
      <c r="D639" s="73"/>
      <c r="E639" s="75"/>
      <c r="F639" s="75"/>
      <c r="G639" s="75"/>
      <c r="H639" s="73"/>
      <c r="I639" s="75"/>
      <c r="J639" s="75"/>
      <c r="K639" s="75"/>
      <c r="L639" s="73"/>
      <c r="M639" s="78" t="str">
        <f aca="false">IF(OR(E639="",F639=""),"",MAX(0,((F639-E639-N(G639))*1440-N(H639)*10)/60))</f>
        <v/>
      </c>
      <c r="N639" s="78" t="str">
        <f aca="false">IF($D639="欠席",0,IF(OR(I639="",J639=""),"",MAX(0,((J639-I639-N(K639))*1440-N(L639)*10)/60)))</f>
        <v/>
      </c>
      <c r="O639" s="73"/>
    </row>
    <row r="640" customFormat="false" ht="15" hidden="false" customHeight="false" outlineLevel="0" collapsed="false">
      <c r="A640" s="77"/>
      <c r="B640" s="73"/>
      <c r="C640" s="71" t="str">
        <f aca="false">IF(B640="","",IFERROR(INDEX(マスタ!$F$2:$F$60,MATCH(B640,マスタ!$E$2:$E$60,0))&amp;"",""))</f>
        <v/>
      </c>
      <c r="D640" s="73"/>
      <c r="E640" s="75"/>
      <c r="F640" s="75"/>
      <c r="G640" s="75"/>
      <c r="H640" s="73"/>
      <c r="I640" s="75"/>
      <c r="J640" s="75"/>
      <c r="K640" s="75"/>
      <c r="L640" s="73"/>
      <c r="M640" s="78" t="str">
        <f aca="false">IF(OR(E640="",F640=""),"",MAX(0,((F640-E640-N(G640))*1440-N(H640)*10)/60))</f>
        <v/>
      </c>
      <c r="N640" s="78" t="str">
        <f aca="false">IF($D640="欠席",0,IF(OR(I640="",J640=""),"",MAX(0,((J640-I640-N(K640))*1440-N(L640)*10)/60)))</f>
        <v/>
      </c>
      <c r="O640" s="73"/>
    </row>
    <row r="641" customFormat="false" ht="15" hidden="false" customHeight="false" outlineLevel="0" collapsed="false">
      <c r="A641" s="77"/>
      <c r="B641" s="73"/>
      <c r="C641" s="71" t="str">
        <f aca="false">IF(B641="","",IFERROR(INDEX(マスタ!$F$2:$F$60,MATCH(B641,マスタ!$E$2:$E$60,0))&amp;"",""))</f>
        <v/>
      </c>
      <c r="D641" s="73"/>
      <c r="E641" s="75"/>
      <c r="F641" s="75"/>
      <c r="G641" s="75"/>
      <c r="H641" s="73"/>
      <c r="I641" s="75"/>
      <c r="J641" s="75"/>
      <c r="K641" s="75"/>
      <c r="L641" s="73"/>
      <c r="M641" s="78" t="str">
        <f aca="false">IF(OR(E641="",F641=""),"",MAX(0,((F641-E641-N(G641))*1440-N(H641)*10)/60))</f>
        <v/>
      </c>
      <c r="N641" s="78" t="str">
        <f aca="false">IF($D641="欠席",0,IF(OR(I641="",J641=""),"",MAX(0,((J641-I641-N(K641))*1440-N(L641)*10)/60)))</f>
        <v/>
      </c>
      <c r="O641" s="73"/>
    </row>
    <row r="642" customFormat="false" ht="15" hidden="false" customHeight="false" outlineLevel="0" collapsed="false">
      <c r="A642" s="77"/>
      <c r="B642" s="73"/>
      <c r="C642" s="71" t="str">
        <f aca="false">IF(B642="","",IFERROR(INDEX(マスタ!$F$2:$F$60,MATCH(B642,マスタ!$E$2:$E$60,0))&amp;"",""))</f>
        <v/>
      </c>
      <c r="D642" s="73"/>
      <c r="E642" s="75"/>
      <c r="F642" s="75"/>
      <c r="G642" s="75"/>
      <c r="H642" s="73"/>
      <c r="I642" s="75"/>
      <c r="J642" s="75"/>
      <c r="K642" s="75"/>
      <c r="L642" s="73"/>
      <c r="M642" s="78" t="str">
        <f aca="false">IF(OR(E642="",F642=""),"",MAX(0,((F642-E642-N(G642))*1440-N(H642)*10)/60))</f>
        <v/>
      </c>
      <c r="N642" s="78" t="str">
        <f aca="false">IF($D642="欠席",0,IF(OR(I642="",J642=""),"",MAX(0,((J642-I642-N(K642))*1440-N(L642)*10)/60)))</f>
        <v/>
      </c>
      <c r="O642" s="73"/>
    </row>
    <row r="643" customFormat="false" ht="15" hidden="false" customHeight="false" outlineLevel="0" collapsed="false">
      <c r="A643" s="77"/>
      <c r="B643" s="73"/>
      <c r="C643" s="71" t="str">
        <f aca="false">IF(B643="","",IFERROR(INDEX(マスタ!$F$2:$F$60,MATCH(B643,マスタ!$E$2:$E$60,0))&amp;"",""))</f>
        <v/>
      </c>
      <c r="D643" s="73"/>
      <c r="E643" s="75"/>
      <c r="F643" s="75"/>
      <c r="G643" s="75"/>
      <c r="H643" s="73"/>
      <c r="I643" s="75"/>
      <c r="J643" s="75"/>
      <c r="K643" s="75"/>
      <c r="L643" s="73"/>
      <c r="M643" s="78" t="str">
        <f aca="false">IF(OR(E643="",F643=""),"",MAX(0,((F643-E643-N(G643))*1440-N(H643)*10)/60))</f>
        <v/>
      </c>
      <c r="N643" s="78" t="str">
        <f aca="false">IF($D643="欠席",0,IF(OR(I643="",J643=""),"",MAX(0,((J643-I643-N(K643))*1440-N(L643)*10)/60)))</f>
        <v/>
      </c>
      <c r="O643" s="73"/>
    </row>
    <row r="644" customFormat="false" ht="15" hidden="false" customHeight="false" outlineLevel="0" collapsed="false">
      <c r="A644" s="77"/>
      <c r="B644" s="73"/>
      <c r="C644" s="71" t="str">
        <f aca="false">IF(B644="","",IFERROR(INDEX(マスタ!$F$2:$F$60,MATCH(B644,マスタ!$E$2:$E$60,0))&amp;"",""))</f>
        <v/>
      </c>
      <c r="D644" s="73"/>
      <c r="E644" s="75"/>
      <c r="F644" s="75"/>
      <c r="G644" s="75"/>
      <c r="H644" s="73"/>
      <c r="I644" s="75"/>
      <c r="J644" s="75"/>
      <c r="K644" s="75"/>
      <c r="L644" s="73"/>
      <c r="M644" s="78" t="str">
        <f aca="false">IF(OR(E644="",F644=""),"",MAX(0,((F644-E644-N(G644))*1440-N(H644)*10)/60))</f>
        <v/>
      </c>
      <c r="N644" s="78" t="str">
        <f aca="false">IF($D644="欠席",0,IF(OR(I644="",J644=""),"",MAX(0,((J644-I644-N(K644))*1440-N(L644)*10)/60)))</f>
        <v/>
      </c>
      <c r="O644" s="73"/>
    </row>
    <row r="645" customFormat="false" ht="15" hidden="false" customHeight="false" outlineLevel="0" collapsed="false">
      <c r="A645" s="77"/>
      <c r="B645" s="73"/>
      <c r="C645" s="71" t="str">
        <f aca="false">IF(B645="","",IFERROR(INDEX(マスタ!$F$2:$F$60,MATCH(B645,マスタ!$E$2:$E$60,0))&amp;"",""))</f>
        <v/>
      </c>
      <c r="D645" s="73"/>
      <c r="E645" s="75"/>
      <c r="F645" s="75"/>
      <c r="G645" s="75"/>
      <c r="H645" s="73"/>
      <c r="I645" s="75"/>
      <c r="J645" s="75"/>
      <c r="K645" s="75"/>
      <c r="L645" s="73"/>
      <c r="M645" s="78" t="str">
        <f aca="false">IF(OR(E645="",F645=""),"",MAX(0,((F645-E645-N(G645))*1440-N(H645)*10)/60))</f>
        <v/>
      </c>
      <c r="N645" s="78" t="str">
        <f aca="false">IF($D645="欠席",0,IF(OR(I645="",J645=""),"",MAX(0,((J645-I645-N(K645))*1440-N(L645)*10)/60)))</f>
        <v/>
      </c>
      <c r="O645" s="73"/>
    </row>
    <row r="646" customFormat="false" ht="15" hidden="false" customHeight="false" outlineLevel="0" collapsed="false">
      <c r="A646" s="77"/>
      <c r="B646" s="73"/>
      <c r="C646" s="71" t="str">
        <f aca="false">IF(B646="","",IFERROR(INDEX(マスタ!$F$2:$F$60,MATCH(B646,マスタ!$E$2:$E$60,0))&amp;"",""))</f>
        <v/>
      </c>
      <c r="D646" s="73"/>
      <c r="E646" s="75"/>
      <c r="F646" s="75"/>
      <c r="G646" s="75"/>
      <c r="H646" s="73"/>
      <c r="I646" s="75"/>
      <c r="J646" s="75"/>
      <c r="K646" s="75"/>
      <c r="L646" s="73"/>
      <c r="M646" s="78" t="str">
        <f aca="false">IF(OR(E646="",F646=""),"",MAX(0,((F646-E646-N(G646))*1440-N(H646)*10)/60))</f>
        <v/>
      </c>
      <c r="N646" s="78" t="str">
        <f aca="false">IF($D646="欠席",0,IF(OR(I646="",J646=""),"",MAX(0,((J646-I646-N(K646))*1440-N(L646)*10)/60)))</f>
        <v/>
      </c>
      <c r="O646" s="73"/>
    </row>
    <row r="647" customFormat="false" ht="15" hidden="false" customHeight="false" outlineLevel="0" collapsed="false">
      <c r="A647" s="77"/>
      <c r="B647" s="73"/>
      <c r="C647" s="71" t="str">
        <f aca="false">IF(B647="","",IFERROR(INDEX(マスタ!$F$2:$F$60,MATCH(B647,マスタ!$E$2:$E$60,0))&amp;"",""))</f>
        <v/>
      </c>
      <c r="D647" s="73"/>
      <c r="E647" s="75"/>
      <c r="F647" s="75"/>
      <c r="G647" s="75"/>
      <c r="H647" s="73"/>
      <c r="I647" s="75"/>
      <c r="J647" s="75"/>
      <c r="K647" s="75"/>
      <c r="L647" s="73"/>
      <c r="M647" s="78" t="str">
        <f aca="false">IF(OR(E647="",F647=""),"",MAX(0,((F647-E647-N(G647))*1440-N(H647)*10)/60))</f>
        <v/>
      </c>
      <c r="N647" s="78" t="str">
        <f aca="false">IF($D647="欠席",0,IF(OR(I647="",J647=""),"",MAX(0,((J647-I647-N(K647))*1440-N(L647)*10)/60)))</f>
        <v/>
      </c>
      <c r="O647" s="73"/>
    </row>
    <row r="648" customFormat="false" ht="15" hidden="false" customHeight="false" outlineLevel="0" collapsed="false">
      <c r="A648" s="77"/>
      <c r="B648" s="73"/>
      <c r="C648" s="71" t="str">
        <f aca="false">IF(B648="","",IFERROR(INDEX(マスタ!$F$2:$F$60,MATCH(B648,マスタ!$E$2:$E$60,0))&amp;"",""))</f>
        <v/>
      </c>
      <c r="D648" s="73"/>
      <c r="E648" s="75"/>
      <c r="F648" s="75"/>
      <c r="G648" s="75"/>
      <c r="H648" s="73"/>
      <c r="I648" s="75"/>
      <c r="J648" s="75"/>
      <c r="K648" s="75"/>
      <c r="L648" s="73"/>
      <c r="M648" s="78" t="str">
        <f aca="false">IF(OR(E648="",F648=""),"",MAX(0,((F648-E648-N(G648))*1440-N(H648)*10)/60))</f>
        <v/>
      </c>
      <c r="N648" s="78" t="str">
        <f aca="false">IF($D648="欠席",0,IF(OR(I648="",J648=""),"",MAX(0,((J648-I648-N(K648))*1440-N(L648)*10)/60)))</f>
        <v/>
      </c>
      <c r="O648" s="73"/>
    </row>
    <row r="649" customFormat="false" ht="15" hidden="false" customHeight="false" outlineLevel="0" collapsed="false">
      <c r="A649" s="77"/>
      <c r="B649" s="73"/>
      <c r="C649" s="71" t="str">
        <f aca="false">IF(B649="","",IFERROR(INDEX(マスタ!$F$2:$F$60,MATCH(B649,マスタ!$E$2:$E$60,0))&amp;"",""))</f>
        <v/>
      </c>
      <c r="D649" s="73"/>
      <c r="E649" s="75"/>
      <c r="F649" s="75"/>
      <c r="G649" s="75"/>
      <c r="H649" s="73"/>
      <c r="I649" s="75"/>
      <c r="J649" s="75"/>
      <c r="K649" s="75"/>
      <c r="L649" s="73"/>
      <c r="M649" s="78" t="str">
        <f aca="false">IF(OR(E649="",F649=""),"",MAX(0,((F649-E649-N(G649))*1440-N(H649)*10)/60))</f>
        <v/>
      </c>
      <c r="N649" s="78" t="str">
        <f aca="false">IF($D649="欠席",0,IF(OR(I649="",J649=""),"",MAX(0,((J649-I649-N(K649))*1440-N(L649)*10)/60)))</f>
        <v/>
      </c>
      <c r="O649" s="73"/>
    </row>
    <row r="650" customFormat="false" ht="15" hidden="false" customHeight="false" outlineLevel="0" collapsed="false">
      <c r="A650" s="77"/>
      <c r="B650" s="73"/>
      <c r="C650" s="71" t="str">
        <f aca="false">IF(B650="","",IFERROR(INDEX(マスタ!$F$2:$F$60,MATCH(B650,マスタ!$E$2:$E$60,0))&amp;"",""))</f>
        <v/>
      </c>
      <c r="D650" s="73"/>
      <c r="E650" s="75"/>
      <c r="F650" s="75"/>
      <c r="G650" s="75"/>
      <c r="H650" s="73"/>
      <c r="I650" s="75"/>
      <c r="J650" s="75"/>
      <c r="K650" s="75"/>
      <c r="L650" s="73"/>
      <c r="M650" s="78" t="str">
        <f aca="false">IF(OR(E650="",F650=""),"",MAX(0,((F650-E650-N(G650))*1440-N(H650)*10)/60))</f>
        <v/>
      </c>
      <c r="N650" s="78" t="str">
        <f aca="false">IF($D650="欠席",0,IF(OR(I650="",J650=""),"",MAX(0,((J650-I650-N(K650))*1440-N(L650)*10)/60)))</f>
        <v/>
      </c>
      <c r="O650" s="73"/>
    </row>
    <row r="651" customFormat="false" ht="15" hidden="false" customHeight="false" outlineLevel="0" collapsed="false">
      <c r="A651" s="77"/>
      <c r="B651" s="73"/>
      <c r="C651" s="71" t="str">
        <f aca="false">IF(B651="","",IFERROR(INDEX(マスタ!$F$2:$F$60,MATCH(B651,マスタ!$E$2:$E$60,0))&amp;"",""))</f>
        <v/>
      </c>
      <c r="D651" s="73"/>
      <c r="E651" s="75"/>
      <c r="F651" s="75"/>
      <c r="G651" s="75"/>
      <c r="H651" s="73"/>
      <c r="I651" s="75"/>
      <c r="J651" s="75"/>
      <c r="K651" s="75"/>
      <c r="L651" s="73"/>
      <c r="M651" s="78" t="str">
        <f aca="false">IF(OR(E651="",F651=""),"",MAX(0,((F651-E651-N(G651))*1440-N(H651)*10)/60))</f>
        <v/>
      </c>
      <c r="N651" s="78" t="str">
        <f aca="false">IF($D651="欠席",0,IF(OR(I651="",J651=""),"",MAX(0,((J651-I651-N(K651))*1440-N(L651)*10)/60)))</f>
        <v/>
      </c>
      <c r="O651" s="73"/>
    </row>
    <row r="652" customFormat="false" ht="15" hidden="false" customHeight="false" outlineLevel="0" collapsed="false">
      <c r="A652" s="77"/>
      <c r="B652" s="73"/>
      <c r="C652" s="71" t="str">
        <f aca="false">IF(B652="","",IFERROR(INDEX(マスタ!$F$2:$F$60,MATCH(B652,マスタ!$E$2:$E$60,0))&amp;"",""))</f>
        <v/>
      </c>
      <c r="D652" s="73"/>
      <c r="E652" s="75"/>
      <c r="F652" s="75"/>
      <c r="G652" s="75"/>
      <c r="H652" s="73"/>
      <c r="I652" s="75"/>
      <c r="J652" s="75"/>
      <c r="K652" s="75"/>
      <c r="L652" s="73"/>
      <c r="M652" s="78" t="str">
        <f aca="false">IF(OR(E652="",F652=""),"",MAX(0,((F652-E652-N(G652))*1440-N(H652)*10)/60))</f>
        <v/>
      </c>
      <c r="N652" s="78" t="str">
        <f aca="false">IF($D652="欠席",0,IF(OR(I652="",J652=""),"",MAX(0,((J652-I652-N(K652))*1440-N(L652)*10)/60)))</f>
        <v/>
      </c>
      <c r="O652" s="73"/>
    </row>
    <row r="653" customFormat="false" ht="15" hidden="false" customHeight="false" outlineLevel="0" collapsed="false">
      <c r="A653" s="77"/>
      <c r="B653" s="73"/>
      <c r="C653" s="71" t="str">
        <f aca="false">IF(B653="","",IFERROR(INDEX(マスタ!$F$2:$F$60,MATCH(B653,マスタ!$E$2:$E$60,0))&amp;"",""))</f>
        <v/>
      </c>
      <c r="D653" s="73"/>
      <c r="E653" s="75"/>
      <c r="F653" s="75"/>
      <c r="G653" s="75"/>
      <c r="H653" s="73"/>
      <c r="I653" s="75"/>
      <c r="J653" s="75"/>
      <c r="K653" s="75"/>
      <c r="L653" s="73"/>
      <c r="M653" s="78" t="str">
        <f aca="false">IF(OR(E653="",F653=""),"",MAX(0,((F653-E653-N(G653))*1440-N(H653)*10)/60))</f>
        <v/>
      </c>
      <c r="N653" s="78" t="str">
        <f aca="false">IF($D653="欠席",0,IF(OR(I653="",J653=""),"",MAX(0,((J653-I653-N(K653))*1440-N(L653)*10)/60)))</f>
        <v/>
      </c>
      <c r="O653" s="73"/>
    </row>
    <row r="654" customFormat="false" ht="15" hidden="false" customHeight="false" outlineLevel="0" collapsed="false">
      <c r="A654" s="77"/>
      <c r="B654" s="73"/>
      <c r="C654" s="71" t="str">
        <f aca="false">IF(B654="","",IFERROR(INDEX(マスタ!$F$2:$F$60,MATCH(B654,マスタ!$E$2:$E$60,0))&amp;"",""))</f>
        <v/>
      </c>
      <c r="D654" s="73"/>
      <c r="E654" s="75"/>
      <c r="F654" s="75"/>
      <c r="G654" s="75"/>
      <c r="H654" s="73"/>
      <c r="I654" s="75"/>
      <c r="J654" s="75"/>
      <c r="K654" s="75"/>
      <c r="L654" s="73"/>
      <c r="M654" s="78" t="str">
        <f aca="false">IF(OR(E654="",F654=""),"",MAX(0,((F654-E654-N(G654))*1440-N(H654)*10)/60))</f>
        <v/>
      </c>
      <c r="N654" s="78" t="str">
        <f aca="false">IF($D654="欠席",0,IF(OR(I654="",J654=""),"",MAX(0,((J654-I654-N(K654))*1440-N(L654)*10)/60)))</f>
        <v/>
      </c>
      <c r="O654" s="73"/>
    </row>
    <row r="655" customFormat="false" ht="15" hidden="false" customHeight="false" outlineLevel="0" collapsed="false">
      <c r="A655" s="77"/>
      <c r="B655" s="73"/>
      <c r="C655" s="71" t="str">
        <f aca="false">IF(B655="","",IFERROR(INDEX(マスタ!$F$2:$F$60,MATCH(B655,マスタ!$E$2:$E$60,0))&amp;"",""))</f>
        <v/>
      </c>
      <c r="D655" s="73"/>
      <c r="E655" s="75"/>
      <c r="F655" s="75"/>
      <c r="G655" s="75"/>
      <c r="H655" s="73"/>
      <c r="I655" s="75"/>
      <c r="J655" s="75"/>
      <c r="K655" s="75"/>
      <c r="L655" s="73"/>
      <c r="M655" s="78" t="str">
        <f aca="false">IF(OR(E655="",F655=""),"",MAX(0,((F655-E655-N(G655))*1440-N(H655)*10)/60))</f>
        <v/>
      </c>
      <c r="N655" s="78" t="str">
        <f aca="false">IF($D655="欠席",0,IF(OR(I655="",J655=""),"",MAX(0,((J655-I655-N(K655))*1440-N(L655)*10)/60)))</f>
        <v/>
      </c>
      <c r="O655" s="73"/>
    </row>
    <row r="656" customFormat="false" ht="15" hidden="false" customHeight="false" outlineLevel="0" collapsed="false">
      <c r="A656" s="77"/>
      <c r="B656" s="73"/>
      <c r="C656" s="71" t="str">
        <f aca="false">IF(B656="","",IFERROR(INDEX(マスタ!$F$2:$F$60,MATCH(B656,マスタ!$E$2:$E$60,0))&amp;"",""))</f>
        <v/>
      </c>
      <c r="D656" s="73"/>
      <c r="E656" s="75"/>
      <c r="F656" s="75"/>
      <c r="G656" s="75"/>
      <c r="H656" s="73"/>
      <c r="I656" s="75"/>
      <c r="J656" s="75"/>
      <c r="K656" s="75"/>
      <c r="L656" s="73"/>
      <c r="M656" s="78" t="str">
        <f aca="false">IF(OR(E656="",F656=""),"",MAX(0,((F656-E656-N(G656))*1440-N(H656)*10)/60))</f>
        <v/>
      </c>
      <c r="N656" s="78" t="str">
        <f aca="false">IF($D656="欠席",0,IF(OR(I656="",J656=""),"",MAX(0,((J656-I656-N(K656))*1440-N(L656)*10)/60)))</f>
        <v/>
      </c>
      <c r="O656" s="73"/>
    </row>
    <row r="657" customFormat="false" ht="15" hidden="false" customHeight="false" outlineLevel="0" collapsed="false">
      <c r="A657" s="77"/>
      <c r="B657" s="73"/>
      <c r="C657" s="71" t="str">
        <f aca="false">IF(B657="","",IFERROR(INDEX(マスタ!$F$2:$F$60,MATCH(B657,マスタ!$E$2:$E$60,0))&amp;"",""))</f>
        <v/>
      </c>
      <c r="D657" s="73"/>
      <c r="E657" s="75"/>
      <c r="F657" s="75"/>
      <c r="G657" s="75"/>
      <c r="H657" s="73"/>
      <c r="I657" s="75"/>
      <c r="J657" s="75"/>
      <c r="K657" s="75"/>
      <c r="L657" s="73"/>
      <c r="M657" s="78" t="str">
        <f aca="false">IF(OR(E657="",F657=""),"",MAX(0,((F657-E657-N(G657))*1440-N(H657)*10)/60))</f>
        <v/>
      </c>
      <c r="N657" s="78" t="str">
        <f aca="false">IF($D657="欠席",0,IF(OR(I657="",J657=""),"",MAX(0,((J657-I657-N(K657))*1440-N(L657)*10)/60)))</f>
        <v/>
      </c>
      <c r="O657" s="73"/>
    </row>
    <row r="658" customFormat="false" ht="15" hidden="false" customHeight="false" outlineLevel="0" collapsed="false">
      <c r="A658" s="77"/>
      <c r="B658" s="73"/>
      <c r="C658" s="71" t="str">
        <f aca="false">IF(B658="","",IFERROR(INDEX(マスタ!$F$2:$F$60,MATCH(B658,マスタ!$E$2:$E$60,0))&amp;"",""))</f>
        <v/>
      </c>
      <c r="D658" s="73"/>
      <c r="E658" s="75"/>
      <c r="F658" s="75"/>
      <c r="G658" s="75"/>
      <c r="H658" s="73"/>
      <c r="I658" s="75"/>
      <c r="J658" s="75"/>
      <c r="K658" s="75"/>
      <c r="L658" s="73"/>
      <c r="M658" s="78" t="str">
        <f aca="false">IF(OR(E658="",F658=""),"",MAX(0,((F658-E658-N(G658))*1440-N(H658)*10)/60))</f>
        <v/>
      </c>
      <c r="N658" s="78" t="str">
        <f aca="false">IF($D658="欠席",0,IF(OR(I658="",J658=""),"",MAX(0,((J658-I658-N(K658))*1440-N(L658)*10)/60)))</f>
        <v/>
      </c>
      <c r="O658" s="73"/>
    </row>
    <row r="659" customFormat="false" ht="15" hidden="false" customHeight="false" outlineLevel="0" collapsed="false">
      <c r="A659" s="77"/>
      <c r="B659" s="73"/>
      <c r="C659" s="71" t="str">
        <f aca="false">IF(B659="","",IFERROR(INDEX(マスタ!$F$2:$F$60,MATCH(B659,マスタ!$E$2:$E$60,0))&amp;"",""))</f>
        <v/>
      </c>
      <c r="D659" s="73"/>
      <c r="E659" s="75"/>
      <c r="F659" s="75"/>
      <c r="G659" s="75"/>
      <c r="H659" s="73"/>
      <c r="I659" s="75"/>
      <c r="J659" s="75"/>
      <c r="K659" s="75"/>
      <c r="L659" s="73"/>
      <c r="M659" s="78" t="str">
        <f aca="false">IF(OR(E659="",F659=""),"",MAX(0,((F659-E659-N(G659))*1440-N(H659)*10)/60))</f>
        <v/>
      </c>
      <c r="N659" s="78" t="str">
        <f aca="false">IF($D659="欠席",0,IF(OR(I659="",J659=""),"",MAX(0,((J659-I659-N(K659))*1440-N(L659)*10)/60)))</f>
        <v/>
      </c>
      <c r="O659" s="73"/>
    </row>
    <row r="660" customFormat="false" ht="15" hidden="false" customHeight="false" outlineLevel="0" collapsed="false">
      <c r="A660" s="77"/>
      <c r="B660" s="73"/>
      <c r="C660" s="71" t="str">
        <f aca="false">IF(B660="","",IFERROR(INDEX(マスタ!$F$2:$F$60,MATCH(B660,マスタ!$E$2:$E$60,0))&amp;"",""))</f>
        <v/>
      </c>
      <c r="D660" s="73"/>
      <c r="E660" s="75"/>
      <c r="F660" s="75"/>
      <c r="G660" s="75"/>
      <c r="H660" s="73"/>
      <c r="I660" s="75"/>
      <c r="J660" s="75"/>
      <c r="K660" s="75"/>
      <c r="L660" s="73"/>
      <c r="M660" s="78" t="str">
        <f aca="false">IF(OR(E660="",F660=""),"",MAX(0,((F660-E660-N(G660))*1440-N(H660)*10)/60))</f>
        <v/>
      </c>
      <c r="N660" s="78" t="str">
        <f aca="false">IF($D660="欠席",0,IF(OR(I660="",J660=""),"",MAX(0,((J660-I660-N(K660))*1440-N(L660)*10)/60)))</f>
        <v/>
      </c>
      <c r="O660" s="73"/>
    </row>
    <row r="661" customFormat="false" ht="15" hidden="false" customHeight="false" outlineLevel="0" collapsed="false">
      <c r="A661" s="77"/>
      <c r="B661" s="73"/>
      <c r="C661" s="71" t="str">
        <f aca="false">IF(B661="","",IFERROR(INDEX(マスタ!$F$2:$F$60,MATCH(B661,マスタ!$E$2:$E$60,0))&amp;"",""))</f>
        <v/>
      </c>
      <c r="D661" s="73"/>
      <c r="E661" s="75"/>
      <c r="F661" s="75"/>
      <c r="G661" s="75"/>
      <c r="H661" s="73"/>
      <c r="I661" s="75"/>
      <c r="J661" s="75"/>
      <c r="K661" s="75"/>
      <c r="L661" s="73"/>
      <c r="M661" s="78" t="str">
        <f aca="false">IF(OR(E661="",F661=""),"",MAX(0,((F661-E661-N(G661))*1440-N(H661)*10)/60))</f>
        <v/>
      </c>
      <c r="N661" s="78" t="str">
        <f aca="false">IF($D661="欠席",0,IF(OR(I661="",J661=""),"",MAX(0,((J661-I661-N(K661))*1440-N(L661)*10)/60)))</f>
        <v/>
      </c>
      <c r="O661" s="73"/>
    </row>
    <row r="662" customFormat="false" ht="15" hidden="false" customHeight="false" outlineLevel="0" collapsed="false">
      <c r="A662" s="77"/>
      <c r="B662" s="73"/>
      <c r="C662" s="71" t="str">
        <f aca="false">IF(B662="","",IFERROR(INDEX(マスタ!$F$2:$F$60,MATCH(B662,マスタ!$E$2:$E$60,0))&amp;"",""))</f>
        <v/>
      </c>
      <c r="D662" s="73"/>
      <c r="E662" s="75"/>
      <c r="F662" s="75"/>
      <c r="G662" s="75"/>
      <c r="H662" s="73"/>
      <c r="I662" s="75"/>
      <c r="J662" s="75"/>
      <c r="K662" s="75"/>
      <c r="L662" s="73"/>
      <c r="M662" s="78" t="str">
        <f aca="false">IF(OR(E662="",F662=""),"",MAX(0,((F662-E662-N(G662))*1440-N(H662)*10)/60))</f>
        <v/>
      </c>
      <c r="N662" s="78" t="str">
        <f aca="false">IF($D662="欠席",0,IF(OR(I662="",J662=""),"",MAX(0,((J662-I662-N(K662))*1440-N(L662)*10)/60)))</f>
        <v/>
      </c>
      <c r="O662" s="73"/>
    </row>
    <row r="663" customFormat="false" ht="15" hidden="false" customHeight="false" outlineLevel="0" collapsed="false">
      <c r="A663" s="77"/>
      <c r="B663" s="73"/>
      <c r="C663" s="71" t="str">
        <f aca="false">IF(B663="","",IFERROR(INDEX(マスタ!$F$2:$F$60,MATCH(B663,マスタ!$E$2:$E$60,0))&amp;"",""))</f>
        <v/>
      </c>
      <c r="D663" s="73"/>
      <c r="E663" s="75"/>
      <c r="F663" s="75"/>
      <c r="G663" s="75"/>
      <c r="H663" s="73"/>
      <c r="I663" s="75"/>
      <c r="J663" s="75"/>
      <c r="K663" s="75"/>
      <c r="L663" s="73"/>
      <c r="M663" s="78" t="str">
        <f aca="false">IF(OR(E663="",F663=""),"",MAX(0,((F663-E663-N(G663))*1440-N(H663)*10)/60))</f>
        <v/>
      </c>
      <c r="N663" s="78" t="str">
        <f aca="false">IF($D663="欠席",0,IF(OR(I663="",J663=""),"",MAX(0,((J663-I663-N(K663))*1440-N(L663)*10)/60)))</f>
        <v/>
      </c>
      <c r="O663" s="73"/>
    </row>
    <row r="664" customFormat="false" ht="15" hidden="false" customHeight="false" outlineLevel="0" collapsed="false">
      <c r="A664" s="77"/>
      <c r="B664" s="73"/>
      <c r="C664" s="71" t="str">
        <f aca="false">IF(B664="","",IFERROR(INDEX(マスタ!$F$2:$F$60,MATCH(B664,マスタ!$E$2:$E$60,0))&amp;"",""))</f>
        <v/>
      </c>
      <c r="D664" s="73"/>
      <c r="E664" s="75"/>
      <c r="F664" s="75"/>
      <c r="G664" s="75"/>
      <c r="H664" s="73"/>
      <c r="I664" s="75"/>
      <c r="J664" s="75"/>
      <c r="K664" s="75"/>
      <c r="L664" s="73"/>
      <c r="M664" s="78" t="str">
        <f aca="false">IF(OR(E664="",F664=""),"",MAX(0,((F664-E664-N(G664))*1440-N(H664)*10)/60))</f>
        <v/>
      </c>
      <c r="N664" s="78" t="str">
        <f aca="false">IF($D664="欠席",0,IF(OR(I664="",J664=""),"",MAX(0,((J664-I664-N(K664))*1440-N(L664)*10)/60)))</f>
        <v/>
      </c>
      <c r="O664" s="73"/>
    </row>
    <row r="665" customFormat="false" ht="15" hidden="false" customHeight="false" outlineLevel="0" collapsed="false">
      <c r="A665" s="77"/>
      <c r="B665" s="73"/>
      <c r="C665" s="71" t="str">
        <f aca="false">IF(B665="","",IFERROR(INDEX(マスタ!$F$2:$F$60,MATCH(B665,マスタ!$E$2:$E$60,0))&amp;"",""))</f>
        <v/>
      </c>
      <c r="D665" s="73"/>
      <c r="E665" s="75"/>
      <c r="F665" s="75"/>
      <c r="G665" s="75"/>
      <c r="H665" s="73"/>
      <c r="I665" s="75"/>
      <c r="J665" s="75"/>
      <c r="K665" s="75"/>
      <c r="L665" s="73"/>
      <c r="M665" s="78" t="str">
        <f aca="false">IF(OR(E665="",F665=""),"",MAX(0,((F665-E665-N(G665))*1440-N(H665)*10)/60))</f>
        <v/>
      </c>
      <c r="N665" s="78" t="str">
        <f aca="false">IF($D665="欠席",0,IF(OR(I665="",J665=""),"",MAX(0,((J665-I665-N(K665))*1440-N(L665)*10)/60)))</f>
        <v/>
      </c>
      <c r="O665" s="73"/>
    </row>
    <row r="666" customFormat="false" ht="15" hidden="false" customHeight="false" outlineLevel="0" collapsed="false">
      <c r="A666" s="77"/>
      <c r="B666" s="73"/>
      <c r="C666" s="71" t="str">
        <f aca="false">IF(B666="","",IFERROR(INDEX(マスタ!$F$2:$F$60,MATCH(B666,マスタ!$E$2:$E$60,0))&amp;"",""))</f>
        <v/>
      </c>
      <c r="D666" s="73"/>
      <c r="E666" s="75"/>
      <c r="F666" s="75"/>
      <c r="G666" s="75"/>
      <c r="H666" s="73"/>
      <c r="I666" s="75"/>
      <c r="J666" s="75"/>
      <c r="K666" s="75"/>
      <c r="L666" s="73"/>
      <c r="M666" s="78" t="str">
        <f aca="false">IF(OR(E666="",F666=""),"",MAX(0,((F666-E666-N(G666))*1440-N(H666)*10)/60))</f>
        <v/>
      </c>
      <c r="N666" s="78" t="str">
        <f aca="false">IF($D666="欠席",0,IF(OR(I666="",J666=""),"",MAX(0,((J666-I666-N(K666))*1440-N(L666)*10)/60)))</f>
        <v/>
      </c>
      <c r="O666" s="73"/>
    </row>
    <row r="667" customFormat="false" ht="15" hidden="false" customHeight="false" outlineLevel="0" collapsed="false">
      <c r="A667" s="77"/>
      <c r="B667" s="73"/>
      <c r="C667" s="71" t="str">
        <f aca="false">IF(B667="","",IFERROR(INDEX(マスタ!$F$2:$F$60,MATCH(B667,マスタ!$E$2:$E$60,0))&amp;"",""))</f>
        <v/>
      </c>
      <c r="D667" s="73"/>
      <c r="E667" s="75"/>
      <c r="F667" s="75"/>
      <c r="G667" s="75"/>
      <c r="H667" s="73"/>
      <c r="I667" s="75"/>
      <c r="J667" s="75"/>
      <c r="K667" s="75"/>
      <c r="L667" s="73"/>
      <c r="M667" s="78" t="str">
        <f aca="false">IF(OR(E667="",F667=""),"",MAX(0,((F667-E667-N(G667))*1440-N(H667)*10)/60))</f>
        <v/>
      </c>
      <c r="N667" s="78" t="str">
        <f aca="false">IF($D667="欠席",0,IF(OR(I667="",J667=""),"",MAX(0,((J667-I667-N(K667))*1440-N(L667)*10)/60)))</f>
        <v/>
      </c>
      <c r="O667" s="73"/>
    </row>
    <row r="668" customFormat="false" ht="15" hidden="false" customHeight="false" outlineLevel="0" collapsed="false">
      <c r="A668" s="77"/>
      <c r="B668" s="73"/>
      <c r="C668" s="71" t="str">
        <f aca="false">IF(B668="","",IFERROR(INDEX(マスタ!$F$2:$F$60,MATCH(B668,マスタ!$E$2:$E$60,0))&amp;"",""))</f>
        <v/>
      </c>
      <c r="D668" s="73"/>
      <c r="E668" s="75"/>
      <c r="F668" s="75"/>
      <c r="G668" s="75"/>
      <c r="H668" s="73"/>
      <c r="I668" s="75"/>
      <c r="J668" s="75"/>
      <c r="K668" s="75"/>
      <c r="L668" s="73"/>
      <c r="M668" s="78" t="str">
        <f aca="false">IF(OR(E668="",F668=""),"",MAX(0,((F668-E668-N(G668))*1440-N(H668)*10)/60))</f>
        <v/>
      </c>
      <c r="N668" s="78" t="str">
        <f aca="false">IF($D668="欠席",0,IF(OR(I668="",J668=""),"",MAX(0,((J668-I668-N(K668))*1440-N(L668)*10)/60)))</f>
        <v/>
      </c>
      <c r="O668" s="73"/>
    </row>
    <row r="669" customFormat="false" ht="15" hidden="false" customHeight="false" outlineLevel="0" collapsed="false">
      <c r="A669" s="77"/>
      <c r="B669" s="73"/>
      <c r="C669" s="71" t="str">
        <f aca="false">IF(B669="","",IFERROR(INDEX(マスタ!$F$2:$F$60,MATCH(B669,マスタ!$E$2:$E$60,0))&amp;"",""))</f>
        <v/>
      </c>
      <c r="D669" s="73"/>
      <c r="E669" s="75"/>
      <c r="F669" s="75"/>
      <c r="G669" s="75"/>
      <c r="H669" s="73"/>
      <c r="I669" s="75"/>
      <c r="J669" s="75"/>
      <c r="K669" s="75"/>
      <c r="L669" s="73"/>
      <c r="M669" s="78" t="str">
        <f aca="false">IF(OR(E669="",F669=""),"",MAX(0,((F669-E669-N(G669))*1440-N(H669)*10)/60))</f>
        <v/>
      </c>
      <c r="N669" s="78" t="str">
        <f aca="false">IF($D669="欠席",0,IF(OR(I669="",J669=""),"",MAX(0,((J669-I669-N(K669))*1440-N(L669)*10)/60)))</f>
        <v/>
      </c>
      <c r="O669" s="73"/>
    </row>
    <row r="670" customFormat="false" ht="15" hidden="false" customHeight="false" outlineLevel="0" collapsed="false">
      <c r="A670" s="77"/>
      <c r="B670" s="73"/>
      <c r="C670" s="71" t="str">
        <f aca="false">IF(B670="","",IFERROR(INDEX(マスタ!$F$2:$F$60,MATCH(B670,マスタ!$E$2:$E$60,0))&amp;"",""))</f>
        <v/>
      </c>
      <c r="D670" s="73"/>
      <c r="E670" s="75"/>
      <c r="F670" s="75"/>
      <c r="G670" s="75"/>
      <c r="H670" s="73"/>
      <c r="I670" s="75"/>
      <c r="J670" s="75"/>
      <c r="K670" s="75"/>
      <c r="L670" s="73"/>
      <c r="M670" s="78" t="str">
        <f aca="false">IF(OR(E670="",F670=""),"",MAX(0,((F670-E670-N(G670))*1440-N(H670)*10)/60))</f>
        <v/>
      </c>
      <c r="N670" s="78" t="str">
        <f aca="false">IF($D670="欠席",0,IF(OR(I670="",J670=""),"",MAX(0,((J670-I670-N(K670))*1440-N(L670)*10)/60)))</f>
        <v/>
      </c>
      <c r="O670" s="73"/>
    </row>
    <row r="671" customFormat="false" ht="15" hidden="false" customHeight="false" outlineLevel="0" collapsed="false">
      <c r="A671" s="77"/>
      <c r="B671" s="73"/>
      <c r="C671" s="71" t="str">
        <f aca="false">IF(B671="","",IFERROR(INDEX(マスタ!$F$2:$F$60,MATCH(B671,マスタ!$E$2:$E$60,0))&amp;"",""))</f>
        <v/>
      </c>
      <c r="D671" s="73"/>
      <c r="E671" s="75"/>
      <c r="F671" s="75"/>
      <c r="G671" s="75"/>
      <c r="H671" s="73"/>
      <c r="I671" s="75"/>
      <c r="J671" s="75"/>
      <c r="K671" s="75"/>
      <c r="L671" s="73"/>
      <c r="M671" s="78" t="str">
        <f aca="false">IF(OR(E671="",F671=""),"",MAX(0,((F671-E671-N(G671))*1440-N(H671)*10)/60))</f>
        <v/>
      </c>
      <c r="N671" s="78" t="str">
        <f aca="false">IF($D671="欠席",0,IF(OR(I671="",J671=""),"",MAX(0,((J671-I671-N(K671))*1440-N(L671)*10)/60)))</f>
        <v/>
      </c>
      <c r="O671" s="73"/>
    </row>
    <row r="672" customFormat="false" ht="15" hidden="false" customHeight="false" outlineLevel="0" collapsed="false">
      <c r="A672" s="77"/>
      <c r="B672" s="73"/>
      <c r="C672" s="71" t="str">
        <f aca="false">IF(B672="","",IFERROR(INDEX(マスタ!$F$2:$F$60,MATCH(B672,マスタ!$E$2:$E$60,0))&amp;"",""))</f>
        <v/>
      </c>
      <c r="D672" s="73"/>
      <c r="E672" s="75"/>
      <c r="F672" s="75"/>
      <c r="G672" s="75"/>
      <c r="H672" s="73"/>
      <c r="I672" s="75"/>
      <c r="J672" s="75"/>
      <c r="K672" s="75"/>
      <c r="L672" s="73"/>
      <c r="M672" s="78" t="str">
        <f aca="false">IF(OR(E672="",F672=""),"",MAX(0,((F672-E672-N(G672))*1440-N(H672)*10)/60))</f>
        <v/>
      </c>
      <c r="N672" s="78" t="str">
        <f aca="false">IF($D672="欠席",0,IF(OR(I672="",J672=""),"",MAX(0,((J672-I672-N(K672))*1440-N(L672)*10)/60)))</f>
        <v/>
      </c>
      <c r="O672" s="73"/>
    </row>
    <row r="673" customFormat="false" ht="15" hidden="false" customHeight="false" outlineLevel="0" collapsed="false">
      <c r="A673" s="77"/>
      <c r="B673" s="73"/>
      <c r="C673" s="71" t="str">
        <f aca="false">IF(B673="","",IFERROR(INDEX(マスタ!$F$2:$F$60,MATCH(B673,マスタ!$E$2:$E$60,0))&amp;"",""))</f>
        <v/>
      </c>
      <c r="D673" s="73"/>
      <c r="E673" s="75"/>
      <c r="F673" s="75"/>
      <c r="G673" s="75"/>
      <c r="H673" s="73"/>
      <c r="I673" s="75"/>
      <c r="J673" s="75"/>
      <c r="K673" s="75"/>
      <c r="L673" s="73"/>
      <c r="M673" s="78" t="str">
        <f aca="false">IF(OR(E673="",F673=""),"",MAX(0,((F673-E673-N(G673))*1440-N(H673)*10)/60))</f>
        <v/>
      </c>
      <c r="N673" s="78" t="str">
        <f aca="false">IF($D673="欠席",0,IF(OR(I673="",J673=""),"",MAX(0,((J673-I673-N(K673))*1440-N(L673)*10)/60)))</f>
        <v/>
      </c>
      <c r="O673" s="73"/>
    </row>
    <row r="674" customFormat="false" ht="15" hidden="false" customHeight="false" outlineLevel="0" collapsed="false">
      <c r="A674" s="77"/>
      <c r="B674" s="73"/>
      <c r="C674" s="71" t="str">
        <f aca="false">IF(B674="","",IFERROR(INDEX(マスタ!$F$2:$F$60,MATCH(B674,マスタ!$E$2:$E$60,0))&amp;"",""))</f>
        <v/>
      </c>
      <c r="D674" s="73"/>
      <c r="E674" s="75"/>
      <c r="F674" s="75"/>
      <c r="G674" s="75"/>
      <c r="H674" s="73"/>
      <c r="I674" s="75"/>
      <c r="J674" s="75"/>
      <c r="K674" s="75"/>
      <c r="L674" s="73"/>
      <c r="M674" s="78" t="str">
        <f aca="false">IF(OR(E674="",F674=""),"",MAX(0,((F674-E674-N(G674))*1440-N(H674)*10)/60))</f>
        <v/>
      </c>
      <c r="N674" s="78" t="str">
        <f aca="false">IF($D674="欠席",0,IF(OR(I674="",J674=""),"",MAX(0,((J674-I674-N(K674))*1440-N(L674)*10)/60)))</f>
        <v/>
      </c>
      <c r="O674" s="73"/>
    </row>
    <row r="675" customFormat="false" ht="15" hidden="false" customHeight="false" outlineLevel="0" collapsed="false">
      <c r="A675" s="77"/>
      <c r="B675" s="73"/>
      <c r="C675" s="71" t="str">
        <f aca="false">IF(B675="","",IFERROR(INDEX(マスタ!$F$2:$F$60,MATCH(B675,マスタ!$E$2:$E$60,0))&amp;"",""))</f>
        <v/>
      </c>
      <c r="D675" s="73"/>
      <c r="E675" s="75"/>
      <c r="F675" s="75"/>
      <c r="G675" s="75"/>
      <c r="H675" s="73"/>
      <c r="I675" s="75"/>
      <c r="J675" s="75"/>
      <c r="K675" s="75"/>
      <c r="L675" s="73"/>
      <c r="M675" s="78" t="str">
        <f aca="false">IF(OR(E675="",F675=""),"",MAX(0,((F675-E675-N(G675))*1440-N(H675)*10)/60))</f>
        <v/>
      </c>
      <c r="N675" s="78" t="str">
        <f aca="false">IF($D675="欠席",0,IF(OR(I675="",J675=""),"",MAX(0,((J675-I675-N(K675))*1440-N(L675)*10)/60)))</f>
        <v/>
      </c>
      <c r="O675" s="73"/>
    </row>
    <row r="676" customFormat="false" ht="15" hidden="false" customHeight="false" outlineLevel="0" collapsed="false">
      <c r="A676" s="77"/>
      <c r="B676" s="73"/>
      <c r="C676" s="71" t="str">
        <f aca="false">IF(B676="","",IFERROR(INDEX(マスタ!$F$2:$F$60,MATCH(B676,マスタ!$E$2:$E$60,0))&amp;"",""))</f>
        <v/>
      </c>
      <c r="D676" s="73"/>
      <c r="E676" s="75"/>
      <c r="F676" s="75"/>
      <c r="G676" s="75"/>
      <c r="H676" s="73"/>
      <c r="I676" s="75"/>
      <c r="J676" s="75"/>
      <c r="K676" s="75"/>
      <c r="L676" s="73"/>
      <c r="M676" s="78" t="str">
        <f aca="false">IF(OR(E676="",F676=""),"",MAX(0,((F676-E676-N(G676))*1440-N(H676)*10)/60))</f>
        <v/>
      </c>
      <c r="N676" s="78" t="str">
        <f aca="false">IF($D676="欠席",0,IF(OR(I676="",J676=""),"",MAX(0,((J676-I676-N(K676))*1440-N(L676)*10)/60)))</f>
        <v/>
      </c>
      <c r="O676" s="73"/>
    </row>
    <row r="677" customFormat="false" ht="15" hidden="false" customHeight="false" outlineLevel="0" collapsed="false">
      <c r="A677" s="77"/>
      <c r="B677" s="73"/>
      <c r="C677" s="71" t="str">
        <f aca="false">IF(B677="","",IFERROR(INDEX(マスタ!$F$2:$F$60,MATCH(B677,マスタ!$E$2:$E$60,0))&amp;"",""))</f>
        <v/>
      </c>
      <c r="D677" s="73"/>
      <c r="E677" s="75"/>
      <c r="F677" s="75"/>
      <c r="G677" s="75"/>
      <c r="H677" s="73"/>
      <c r="I677" s="75"/>
      <c r="J677" s="75"/>
      <c r="K677" s="75"/>
      <c r="L677" s="73"/>
      <c r="M677" s="78" t="str">
        <f aca="false">IF(OR(E677="",F677=""),"",MAX(0,((F677-E677-N(G677))*1440-N(H677)*10)/60))</f>
        <v/>
      </c>
      <c r="N677" s="78" t="str">
        <f aca="false">IF($D677="欠席",0,IF(OR(I677="",J677=""),"",MAX(0,((J677-I677-N(K677))*1440-N(L677)*10)/60)))</f>
        <v/>
      </c>
      <c r="O677" s="73"/>
    </row>
    <row r="678" customFormat="false" ht="15" hidden="false" customHeight="false" outlineLevel="0" collapsed="false">
      <c r="A678" s="77"/>
      <c r="B678" s="73"/>
      <c r="C678" s="71" t="str">
        <f aca="false">IF(B678="","",IFERROR(INDEX(マスタ!$F$2:$F$60,MATCH(B678,マスタ!$E$2:$E$60,0))&amp;"",""))</f>
        <v/>
      </c>
      <c r="D678" s="73"/>
      <c r="E678" s="75"/>
      <c r="F678" s="75"/>
      <c r="G678" s="75"/>
      <c r="H678" s="73"/>
      <c r="I678" s="75"/>
      <c r="J678" s="75"/>
      <c r="K678" s="75"/>
      <c r="L678" s="73"/>
      <c r="M678" s="78" t="str">
        <f aca="false">IF(OR(E678="",F678=""),"",MAX(0,((F678-E678-N(G678))*1440-N(H678)*10)/60))</f>
        <v/>
      </c>
      <c r="N678" s="78" t="str">
        <f aca="false">IF($D678="欠席",0,IF(OR(I678="",J678=""),"",MAX(0,((J678-I678-N(K678))*1440-N(L678)*10)/60)))</f>
        <v/>
      </c>
      <c r="O678" s="73"/>
    </row>
    <row r="679" customFormat="false" ht="15" hidden="false" customHeight="false" outlineLevel="0" collapsed="false">
      <c r="A679" s="77"/>
      <c r="B679" s="73"/>
      <c r="C679" s="71" t="str">
        <f aca="false">IF(B679="","",IFERROR(INDEX(マスタ!$F$2:$F$60,MATCH(B679,マスタ!$E$2:$E$60,0))&amp;"",""))</f>
        <v/>
      </c>
      <c r="D679" s="73"/>
      <c r="E679" s="75"/>
      <c r="F679" s="75"/>
      <c r="G679" s="75"/>
      <c r="H679" s="73"/>
      <c r="I679" s="75"/>
      <c r="J679" s="75"/>
      <c r="K679" s="75"/>
      <c r="L679" s="73"/>
      <c r="M679" s="78" t="str">
        <f aca="false">IF(OR(E679="",F679=""),"",MAX(0,((F679-E679-N(G679))*1440-N(H679)*10)/60))</f>
        <v/>
      </c>
      <c r="N679" s="78" t="str">
        <f aca="false">IF($D679="欠席",0,IF(OR(I679="",J679=""),"",MAX(0,((J679-I679-N(K679))*1440-N(L679)*10)/60)))</f>
        <v/>
      </c>
      <c r="O679" s="73"/>
    </row>
    <row r="680" customFormat="false" ht="15" hidden="false" customHeight="false" outlineLevel="0" collapsed="false">
      <c r="A680" s="77"/>
      <c r="B680" s="73"/>
      <c r="C680" s="71" t="str">
        <f aca="false">IF(B680="","",IFERROR(INDEX(マスタ!$F$2:$F$60,MATCH(B680,マスタ!$E$2:$E$60,0))&amp;"",""))</f>
        <v/>
      </c>
      <c r="D680" s="73"/>
      <c r="E680" s="75"/>
      <c r="F680" s="75"/>
      <c r="G680" s="75"/>
      <c r="H680" s="73"/>
      <c r="I680" s="75"/>
      <c r="J680" s="75"/>
      <c r="K680" s="75"/>
      <c r="L680" s="73"/>
      <c r="M680" s="78" t="str">
        <f aca="false">IF(OR(E680="",F680=""),"",MAX(0,((F680-E680-N(G680))*1440-N(H680)*10)/60))</f>
        <v/>
      </c>
      <c r="N680" s="78" t="str">
        <f aca="false">IF($D680="欠席",0,IF(OR(I680="",J680=""),"",MAX(0,((J680-I680-N(K680))*1440-N(L680)*10)/60)))</f>
        <v/>
      </c>
      <c r="O680" s="73"/>
    </row>
    <row r="681" customFormat="false" ht="15" hidden="false" customHeight="false" outlineLevel="0" collapsed="false">
      <c r="A681" s="77"/>
      <c r="B681" s="73"/>
      <c r="C681" s="71" t="str">
        <f aca="false">IF(B681="","",IFERROR(INDEX(マスタ!$F$2:$F$60,MATCH(B681,マスタ!$E$2:$E$60,0))&amp;"",""))</f>
        <v/>
      </c>
      <c r="D681" s="73"/>
      <c r="E681" s="75"/>
      <c r="F681" s="75"/>
      <c r="G681" s="75"/>
      <c r="H681" s="73"/>
      <c r="I681" s="75"/>
      <c r="J681" s="75"/>
      <c r="K681" s="75"/>
      <c r="L681" s="73"/>
      <c r="M681" s="78" t="str">
        <f aca="false">IF(OR(E681="",F681=""),"",MAX(0,((F681-E681-N(G681))*1440-N(H681)*10)/60))</f>
        <v/>
      </c>
      <c r="N681" s="78" t="str">
        <f aca="false">IF($D681="欠席",0,IF(OR(I681="",J681=""),"",MAX(0,((J681-I681-N(K681))*1440-N(L681)*10)/60)))</f>
        <v/>
      </c>
      <c r="O681" s="73"/>
    </row>
    <row r="682" customFormat="false" ht="15" hidden="false" customHeight="false" outlineLevel="0" collapsed="false">
      <c r="A682" s="77"/>
      <c r="B682" s="73"/>
      <c r="C682" s="71" t="str">
        <f aca="false">IF(B682="","",IFERROR(INDEX(マスタ!$F$2:$F$60,MATCH(B682,マスタ!$E$2:$E$60,0))&amp;"",""))</f>
        <v/>
      </c>
      <c r="D682" s="73"/>
      <c r="E682" s="75"/>
      <c r="F682" s="75"/>
      <c r="G682" s="75"/>
      <c r="H682" s="73"/>
      <c r="I682" s="75"/>
      <c r="J682" s="75"/>
      <c r="K682" s="75"/>
      <c r="L682" s="73"/>
      <c r="M682" s="78" t="str">
        <f aca="false">IF(OR(E682="",F682=""),"",MAX(0,((F682-E682-N(G682))*1440-N(H682)*10)/60))</f>
        <v/>
      </c>
      <c r="N682" s="78" t="str">
        <f aca="false">IF($D682="欠席",0,IF(OR(I682="",J682=""),"",MAX(0,((J682-I682-N(K682))*1440-N(L682)*10)/60)))</f>
        <v/>
      </c>
      <c r="O682" s="73"/>
    </row>
    <row r="683" customFormat="false" ht="15" hidden="false" customHeight="false" outlineLevel="0" collapsed="false">
      <c r="A683" s="77"/>
      <c r="B683" s="73"/>
      <c r="C683" s="71" t="str">
        <f aca="false">IF(B683="","",IFERROR(INDEX(マスタ!$F$2:$F$60,MATCH(B683,マスタ!$E$2:$E$60,0))&amp;"",""))</f>
        <v/>
      </c>
      <c r="D683" s="73"/>
      <c r="E683" s="75"/>
      <c r="F683" s="75"/>
      <c r="G683" s="75"/>
      <c r="H683" s="73"/>
      <c r="I683" s="75"/>
      <c r="J683" s="75"/>
      <c r="K683" s="75"/>
      <c r="L683" s="73"/>
      <c r="M683" s="78" t="str">
        <f aca="false">IF(OR(E683="",F683=""),"",MAX(0,((F683-E683-N(G683))*1440-N(H683)*10)/60))</f>
        <v/>
      </c>
      <c r="N683" s="78" t="str">
        <f aca="false">IF($D683="欠席",0,IF(OR(I683="",J683=""),"",MAX(0,((J683-I683-N(K683))*1440-N(L683)*10)/60)))</f>
        <v/>
      </c>
      <c r="O683" s="73"/>
    </row>
    <row r="684" customFormat="false" ht="15" hidden="false" customHeight="false" outlineLevel="0" collapsed="false">
      <c r="A684" s="77"/>
      <c r="B684" s="73"/>
      <c r="C684" s="71" t="str">
        <f aca="false">IF(B684="","",IFERROR(INDEX(マスタ!$F$2:$F$60,MATCH(B684,マスタ!$E$2:$E$60,0))&amp;"",""))</f>
        <v/>
      </c>
      <c r="D684" s="73"/>
      <c r="E684" s="75"/>
      <c r="F684" s="75"/>
      <c r="G684" s="75"/>
      <c r="H684" s="73"/>
      <c r="I684" s="75"/>
      <c r="J684" s="75"/>
      <c r="K684" s="75"/>
      <c r="L684" s="73"/>
      <c r="M684" s="78" t="str">
        <f aca="false">IF(OR(E684="",F684=""),"",MAX(0,((F684-E684-N(G684))*1440-N(H684)*10)/60))</f>
        <v/>
      </c>
      <c r="N684" s="78" t="str">
        <f aca="false">IF($D684="欠席",0,IF(OR(I684="",J684=""),"",MAX(0,((J684-I684-N(K684))*1440-N(L684)*10)/60)))</f>
        <v/>
      </c>
      <c r="O684" s="73"/>
    </row>
    <row r="685" customFormat="false" ht="15" hidden="false" customHeight="false" outlineLevel="0" collapsed="false">
      <c r="A685" s="77"/>
      <c r="B685" s="73"/>
      <c r="C685" s="71" t="str">
        <f aca="false">IF(B685="","",IFERROR(INDEX(マスタ!$F$2:$F$60,MATCH(B685,マスタ!$E$2:$E$60,0))&amp;"",""))</f>
        <v/>
      </c>
      <c r="D685" s="73"/>
      <c r="E685" s="75"/>
      <c r="F685" s="75"/>
      <c r="G685" s="75"/>
      <c r="H685" s="73"/>
      <c r="I685" s="75"/>
      <c r="J685" s="75"/>
      <c r="K685" s="75"/>
      <c r="L685" s="73"/>
      <c r="M685" s="78" t="str">
        <f aca="false">IF(OR(E685="",F685=""),"",MAX(0,((F685-E685-N(G685))*1440-N(H685)*10)/60))</f>
        <v/>
      </c>
      <c r="N685" s="78" t="str">
        <f aca="false">IF($D685="欠席",0,IF(OR(I685="",J685=""),"",MAX(0,((J685-I685-N(K685))*1440-N(L685)*10)/60)))</f>
        <v/>
      </c>
      <c r="O685" s="73"/>
    </row>
    <row r="686" customFormat="false" ht="15" hidden="false" customHeight="false" outlineLevel="0" collapsed="false">
      <c r="A686" s="77"/>
      <c r="B686" s="73"/>
      <c r="C686" s="71" t="str">
        <f aca="false">IF(B686="","",IFERROR(INDEX(マスタ!$F$2:$F$60,MATCH(B686,マスタ!$E$2:$E$60,0))&amp;"",""))</f>
        <v/>
      </c>
      <c r="D686" s="73"/>
      <c r="E686" s="75"/>
      <c r="F686" s="75"/>
      <c r="G686" s="75"/>
      <c r="H686" s="73"/>
      <c r="I686" s="75"/>
      <c r="J686" s="75"/>
      <c r="K686" s="75"/>
      <c r="L686" s="73"/>
      <c r="M686" s="78" t="str">
        <f aca="false">IF(OR(E686="",F686=""),"",MAX(0,((F686-E686-N(G686))*1440-N(H686)*10)/60))</f>
        <v/>
      </c>
      <c r="N686" s="78" t="str">
        <f aca="false">IF($D686="欠席",0,IF(OR(I686="",J686=""),"",MAX(0,((J686-I686-N(K686))*1440-N(L686)*10)/60)))</f>
        <v/>
      </c>
      <c r="O686" s="73"/>
    </row>
    <row r="687" customFormat="false" ht="15" hidden="false" customHeight="false" outlineLevel="0" collapsed="false">
      <c r="A687" s="77"/>
      <c r="B687" s="73"/>
      <c r="C687" s="71" t="str">
        <f aca="false">IF(B687="","",IFERROR(INDEX(マスタ!$F$2:$F$60,MATCH(B687,マスタ!$E$2:$E$60,0))&amp;"",""))</f>
        <v/>
      </c>
      <c r="D687" s="73"/>
      <c r="E687" s="75"/>
      <c r="F687" s="75"/>
      <c r="G687" s="75"/>
      <c r="H687" s="73"/>
      <c r="I687" s="75"/>
      <c r="J687" s="75"/>
      <c r="K687" s="75"/>
      <c r="L687" s="73"/>
      <c r="M687" s="78" t="str">
        <f aca="false">IF(OR(E687="",F687=""),"",MAX(0,((F687-E687-N(G687))*1440-N(H687)*10)/60))</f>
        <v/>
      </c>
      <c r="N687" s="78" t="str">
        <f aca="false">IF($D687="欠席",0,IF(OR(I687="",J687=""),"",MAX(0,((J687-I687-N(K687))*1440-N(L687)*10)/60)))</f>
        <v/>
      </c>
      <c r="O687" s="73"/>
    </row>
    <row r="688" customFormat="false" ht="15" hidden="false" customHeight="false" outlineLevel="0" collapsed="false">
      <c r="A688" s="77"/>
      <c r="B688" s="73"/>
      <c r="C688" s="71" t="str">
        <f aca="false">IF(B688="","",IFERROR(INDEX(マスタ!$F$2:$F$60,MATCH(B688,マスタ!$E$2:$E$60,0))&amp;"",""))</f>
        <v/>
      </c>
      <c r="D688" s="73"/>
      <c r="E688" s="75"/>
      <c r="F688" s="75"/>
      <c r="G688" s="75"/>
      <c r="H688" s="73"/>
      <c r="I688" s="75"/>
      <c r="J688" s="75"/>
      <c r="K688" s="75"/>
      <c r="L688" s="73"/>
      <c r="M688" s="78" t="str">
        <f aca="false">IF(OR(E688="",F688=""),"",MAX(0,((F688-E688-N(G688))*1440-N(H688)*10)/60))</f>
        <v/>
      </c>
      <c r="N688" s="78" t="str">
        <f aca="false">IF($D688="欠席",0,IF(OR(I688="",J688=""),"",MAX(0,((J688-I688-N(K688))*1440-N(L688)*10)/60)))</f>
        <v/>
      </c>
      <c r="O688" s="73"/>
    </row>
    <row r="689" customFormat="false" ht="15" hidden="false" customHeight="false" outlineLevel="0" collapsed="false">
      <c r="A689" s="77"/>
      <c r="B689" s="73"/>
      <c r="C689" s="71" t="str">
        <f aca="false">IF(B689="","",IFERROR(INDEX(マスタ!$F$2:$F$60,MATCH(B689,マスタ!$E$2:$E$60,0))&amp;"",""))</f>
        <v/>
      </c>
      <c r="D689" s="73"/>
      <c r="E689" s="75"/>
      <c r="F689" s="75"/>
      <c r="G689" s="75"/>
      <c r="H689" s="73"/>
      <c r="I689" s="75"/>
      <c r="J689" s="75"/>
      <c r="K689" s="75"/>
      <c r="L689" s="73"/>
      <c r="M689" s="78" t="str">
        <f aca="false">IF(OR(E689="",F689=""),"",MAX(0,((F689-E689-N(G689))*1440-N(H689)*10)/60))</f>
        <v/>
      </c>
      <c r="N689" s="78" t="str">
        <f aca="false">IF($D689="欠席",0,IF(OR(I689="",J689=""),"",MAX(0,((J689-I689-N(K689))*1440-N(L689)*10)/60)))</f>
        <v/>
      </c>
      <c r="O689" s="73"/>
    </row>
    <row r="690" customFormat="false" ht="15" hidden="false" customHeight="false" outlineLevel="0" collapsed="false">
      <c r="A690" s="77"/>
      <c r="B690" s="73"/>
      <c r="C690" s="71" t="str">
        <f aca="false">IF(B690="","",IFERROR(INDEX(マスタ!$F$2:$F$60,MATCH(B690,マスタ!$E$2:$E$60,0))&amp;"",""))</f>
        <v/>
      </c>
      <c r="D690" s="73"/>
      <c r="E690" s="75"/>
      <c r="F690" s="75"/>
      <c r="G690" s="75"/>
      <c r="H690" s="73"/>
      <c r="I690" s="75"/>
      <c r="J690" s="75"/>
      <c r="K690" s="75"/>
      <c r="L690" s="73"/>
      <c r="M690" s="78" t="str">
        <f aca="false">IF(OR(E690="",F690=""),"",MAX(0,((F690-E690-N(G690))*1440-N(H690)*10)/60))</f>
        <v/>
      </c>
      <c r="N690" s="78" t="str">
        <f aca="false">IF($D690="欠席",0,IF(OR(I690="",J690=""),"",MAX(0,((J690-I690-N(K690))*1440-N(L690)*10)/60)))</f>
        <v/>
      </c>
      <c r="O690" s="73"/>
    </row>
    <row r="691" customFormat="false" ht="15" hidden="false" customHeight="false" outlineLevel="0" collapsed="false">
      <c r="A691" s="77"/>
      <c r="B691" s="73"/>
      <c r="C691" s="71" t="str">
        <f aca="false">IF(B691="","",IFERROR(INDEX(マスタ!$F$2:$F$60,MATCH(B691,マスタ!$E$2:$E$60,0))&amp;"",""))</f>
        <v/>
      </c>
      <c r="D691" s="73"/>
      <c r="E691" s="75"/>
      <c r="F691" s="75"/>
      <c r="G691" s="75"/>
      <c r="H691" s="73"/>
      <c r="I691" s="75"/>
      <c r="J691" s="75"/>
      <c r="K691" s="75"/>
      <c r="L691" s="73"/>
      <c r="M691" s="78" t="str">
        <f aca="false">IF(OR(E691="",F691=""),"",MAX(0,((F691-E691-N(G691))*1440-N(H691)*10)/60))</f>
        <v/>
      </c>
      <c r="N691" s="78" t="str">
        <f aca="false">IF($D691="欠席",0,IF(OR(I691="",J691=""),"",MAX(0,((J691-I691-N(K691))*1440-N(L691)*10)/60)))</f>
        <v/>
      </c>
      <c r="O691" s="73"/>
    </row>
    <row r="692" customFormat="false" ht="15" hidden="false" customHeight="false" outlineLevel="0" collapsed="false">
      <c r="A692" s="77"/>
      <c r="B692" s="73"/>
      <c r="C692" s="71" t="str">
        <f aca="false">IF(B692="","",IFERROR(INDEX(マスタ!$F$2:$F$60,MATCH(B692,マスタ!$E$2:$E$60,0))&amp;"",""))</f>
        <v/>
      </c>
      <c r="D692" s="73"/>
      <c r="E692" s="75"/>
      <c r="F692" s="75"/>
      <c r="G692" s="75"/>
      <c r="H692" s="73"/>
      <c r="I692" s="75"/>
      <c r="J692" s="75"/>
      <c r="K692" s="75"/>
      <c r="L692" s="73"/>
      <c r="M692" s="78" t="str">
        <f aca="false">IF(OR(E692="",F692=""),"",MAX(0,((F692-E692-N(G692))*1440-N(H692)*10)/60))</f>
        <v/>
      </c>
      <c r="N692" s="78" t="str">
        <f aca="false">IF($D692="欠席",0,IF(OR(I692="",J692=""),"",MAX(0,((J692-I692-N(K692))*1440-N(L692)*10)/60)))</f>
        <v/>
      </c>
      <c r="O692" s="73"/>
    </row>
    <row r="693" customFormat="false" ht="15" hidden="false" customHeight="false" outlineLevel="0" collapsed="false">
      <c r="A693" s="77"/>
      <c r="B693" s="73"/>
      <c r="C693" s="71" t="str">
        <f aca="false">IF(B693="","",IFERROR(INDEX(マスタ!$F$2:$F$60,MATCH(B693,マスタ!$E$2:$E$60,0))&amp;"",""))</f>
        <v/>
      </c>
      <c r="D693" s="73"/>
      <c r="E693" s="75"/>
      <c r="F693" s="75"/>
      <c r="G693" s="75"/>
      <c r="H693" s="73"/>
      <c r="I693" s="75"/>
      <c r="J693" s="75"/>
      <c r="K693" s="75"/>
      <c r="L693" s="73"/>
      <c r="M693" s="78" t="str">
        <f aca="false">IF(OR(E693="",F693=""),"",MAX(0,((F693-E693-N(G693))*1440-N(H693)*10)/60))</f>
        <v/>
      </c>
      <c r="N693" s="78" t="str">
        <f aca="false">IF($D693="欠席",0,IF(OR(I693="",J693=""),"",MAX(0,((J693-I693-N(K693))*1440-N(L693)*10)/60)))</f>
        <v/>
      </c>
      <c r="O693" s="73"/>
    </row>
    <row r="694" customFormat="false" ht="15" hidden="false" customHeight="false" outlineLevel="0" collapsed="false">
      <c r="A694" s="77"/>
      <c r="B694" s="73"/>
      <c r="C694" s="71" t="str">
        <f aca="false">IF(B694="","",IFERROR(INDEX(マスタ!$F$2:$F$60,MATCH(B694,マスタ!$E$2:$E$60,0))&amp;"",""))</f>
        <v/>
      </c>
      <c r="D694" s="73"/>
      <c r="E694" s="75"/>
      <c r="F694" s="75"/>
      <c r="G694" s="75"/>
      <c r="H694" s="73"/>
      <c r="I694" s="75"/>
      <c r="J694" s="75"/>
      <c r="K694" s="75"/>
      <c r="L694" s="73"/>
      <c r="M694" s="78" t="str">
        <f aca="false">IF(OR(E694="",F694=""),"",MAX(0,((F694-E694-N(G694))*1440-N(H694)*10)/60))</f>
        <v/>
      </c>
      <c r="N694" s="78" t="str">
        <f aca="false">IF($D694="欠席",0,IF(OR(I694="",J694=""),"",MAX(0,((J694-I694-N(K694))*1440-N(L694)*10)/60)))</f>
        <v/>
      </c>
      <c r="O694" s="73"/>
    </row>
    <row r="695" customFormat="false" ht="15" hidden="false" customHeight="false" outlineLevel="0" collapsed="false">
      <c r="A695" s="77"/>
      <c r="B695" s="73"/>
      <c r="C695" s="71" t="str">
        <f aca="false">IF(B695="","",IFERROR(INDEX(マスタ!$F$2:$F$60,MATCH(B695,マスタ!$E$2:$E$60,0))&amp;"",""))</f>
        <v/>
      </c>
      <c r="D695" s="73"/>
      <c r="E695" s="75"/>
      <c r="F695" s="75"/>
      <c r="G695" s="75"/>
      <c r="H695" s="73"/>
      <c r="I695" s="75"/>
      <c r="J695" s="75"/>
      <c r="K695" s="75"/>
      <c r="L695" s="73"/>
      <c r="M695" s="78" t="str">
        <f aca="false">IF(OR(E695="",F695=""),"",MAX(0,((F695-E695-N(G695))*1440-N(H695)*10)/60))</f>
        <v/>
      </c>
      <c r="N695" s="78" t="str">
        <f aca="false">IF($D695="欠席",0,IF(OR(I695="",J695=""),"",MAX(0,((J695-I695-N(K695))*1440-N(L695)*10)/60)))</f>
        <v/>
      </c>
      <c r="O695" s="73"/>
    </row>
    <row r="696" customFormat="false" ht="15" hidden="false" customHeight="false" outlineLevel="0" collapsed="false">
      <c r="A696" s="77"/>
      <c r="B696" s="73"/>
      <c r="C696" s="71" t="str">
        <f aca="false">IF(B696="","",IFERROR(INDEX(マスタ!$F$2:$F$60,MATCH(B696,マスタ!$E$2:$E$60,0))&amp;"",""))</f>
        <v/>
      </c>
      <c r="D696" s="73"/>
      <c r="E696" s="75"/>
      <c r="F696" s="75"/>
      <c r="G696" s="75"/>
      <c r="H696" s="73"/>
      <c r="I696" s="75"/>
      <c r="J696" s="75"/>
      <c r="K696" s="75"/>
      <c r="L696" s="73"/>
      <c r="M696" s="78" t="str">
        <f aca="false">IF(OR(E696="",F696=""),"",MAX(0,((F696-E696-N(G696))*1440-N(H696)*10)/60))</f>
        <v/>
      </c>
      <c r="N696" s="78" t="str">
        <f aca="false">IF($D696="欠席",0,IF(OR(I696="",J696=""),"",MAX(0,((J696-I696-N(K696))*1440-N(L696)*10)/60)))</f>
        <v/>
      </c>
      <c r="O696" s="73"/>
    </row>
    <row r="697" customFormat="false" ht="15" hidden="false" customHeight="false" outlineLevel="0" collapsed="false">
      <c r="A697" s="77"/>
      <c r="B697" s="73"/>
      <c r="C697" s="71" t="str">
        <f aca="false">IF(B697="","",IFERROR(INDEX(マスタ!$F$2:$F$60,MATCH(B697,マスタ!$E$2:$E$60,0))&amp;"",""))</f>
        <v/>
      </c>
      <c r="D697" s="73"/>
      <c r="E697" s="75"/>
      <c r="F697" s="75"/>
      <c r="G697" s="75"/>
      <c r="H697" s="73"/>
      <c r="I697" s="75"/>
      <c r="J697" s="75"/>
      <c r="K697" s="75"/>
      <c r="L697" s="73"/>
      <c r="M697" s="78" t="str">
        <f aca="false">IF(OR(E697="",F697=""),"",MAX(0,((F697-E697-N(G697))*1440-N(H697)*10)/60))</f>
        <v/>
      </c>
      <c r="N697" s="78" t="str">
        <f aca="false">IF($D697="欠席",0,IF(OR(I697="",J697=""),"",MAX(0,((J697-I697-N(K697))*1440-N(L697)*10)/60)))</f>
        <v/>
      </c>
      <c r="O697" s="73"/>
    </row>
    <row r="698" customFormat="false" ht="15" hidden="false" customHeight="false" outlineLevel="0" collapsed="false">
      <c r="A698" s="77"/>
      <c r="B698" s="73"/>
      <c r="C698" s="71" t="str">
        <f aca="false">IF(B698="","",IFERROR(INDEX(マスタ!$F$2:$F$60,MATCH(B698,マスタ!$E$2:$E$60,0))&amp;"",""))</f>
        <v/>
      </c>
      <c r="D698" s="73"/>
      <c r="E698" s="75"/>
      <c r="F698" s="75"/>
      <c r="G698" s="75"/>
      <c r="H698" s="73"/>
      <c r="I698" s="75"/>
      <c r="J698" s="75"/>
      <c r="K698" s="75"/>
      <c r="L698" s="73"/>
      <c r="M698" s="78" t="str">
        <f aca="false">IF(OR(E698="",F698=""),"",MAX(0,((F698-E698-N(G698))*1440-N(H698)*10)/60))</f>
        <v/>
      </c>
      <c r="N698" s="78" t="str">
        <f aca="false">IF($D698="欠席",0,IF(OR(I698="",J698=""),"",MAX(0,((J698-I698-N(K698))*1440-N(L698)*10)/60)))</f>
        <v/>
      </c>
      <c r="O698" s="73"/>
    </row>
    <row r="699" customFormat="false" ht="15" hidden="false" customHeight="false" outlineLevel="0" collapsed="false">
      <c r="A699" s="77"/>
      <c r="B699" s="73"/>
      <c r="C699" s="71" t="str">
        <f aca="false">IF(B699="","",IFERROR(INDEX(マスタ!$F$2:$F$60,MATCH(B699,マスタ!$E$2:$E$60,0))&amp;"",""))</f>
        <v/>
      </c>
      <c r="D699" s="73"/>
      <c r="E699" s="75"/>
      <c r="F699" s="75"/>
      <c r="G699" s="75"/>
      <c r="H699" s="73"/>
      <c r="I699" s="75"/>
      <c r="J699" s="75"/>
      <c r="K699" s="75"/>
      <c r="L699" s="73"/>
      <c r="M699" s="78" t="str">
        <f aca="false">IF(OR(E699="",F699=""),"",MAX(0,((F699-E699-N(G699))*1440-N(H699)*10)/60))</f>
        <v/>
      </c>
      <c r="N699" s="78" t="str">
        <f aca="false">IF($D699="欠席",0,IF(OR(I699="",J699=""),"",MAX(0,((J699-I699-N(K699))*1440-N(L699)*10)/60)))</f>
        <v/>
      </c>
      <c r="O699" s="73"/>
    </row>
    <row r="700" customFormat="false" ht="15" hidden="false" customHeight="false" outlineLevel="0" collapsed="false">
      <c r="A700" s="77"/>
      <c r="B700" s="73"/>
      <c r="C700" s="71" t="str">
        <f aca="false">IF(B700="","",IFERROR(INDEX(マスタ!$F$2:$F$60,MATCH(B700,マスタ!$E$2:$E$60,0))&amp;"",""))</f>
        <v/>
      </c>
      <c r="D700" s="73"/>
      <c r="E700" s="75"/>
      <c r="F700" s="75"/>
      <c r="G700" s="75"/>
      <c r="H700" s="73"/>
      <c r="I700" s="75"/>
      <c r="J700" s="75"/>
      <c r="K700" s="75"/>
      <c r="L700" s="73"/>
      <c r="M700" s="78" t="str">
        <f aca="false">IF(OR(E700="",F700=""),"",MAX(0,((F700-E700-N(G700))*1440-N(H700)*10)/60))</f>
        <v/>
      </c>
      <c r="N700" s="78" t="str">
        <f aca="false">IF($D700="欠席",0,IF(OR(I700="",J700=""),"",MAX(0,((J700-I700-N(K700))*1440-N(L700)*10)/60)))</f>
        <v/>
      </c>
      <c r="O700" s="73"/>
    </row>
    <row r="701" customFormat="false" ht="15" hidden="false" customHeight="false" outlineLevel="0" collapsed="false">
      <c r="A701" s="77"/>
      <c r="B701" s="73"/>
      <c r="C701" s="71" t="str">
        <f aca="false">IF(B701="","",IFERROR(INDEX(マスタ!$F$2:$F$60,MATCH(B701,マスタ!$E$2:$E$60,0))&amp;"",""))</f>
        <v/>
      </c>
      <c r="D701" s="73"/>
      <c r="E701" s="75"/>
      <c r="F701" s="75"/>
      <c r="G701" s="75"/>
      <c r="H701" s="73"/>
      <c r="I701" s="75"/>
      <c r="J701" s="75"/>
      <c r="K701" s="75"/>
      <c r="L701" s="73"/>
      <c r="M701" s="78" t="str">
        <f aca="false">IF(OR(E701="",F701=""),"",MAX(0,((F701-E701-N(G701))*1440-N(H701)*10)/60))</f>
        <v/>
      </c>
      <c r="N701" s="78" t="str">
        <f aca="false">IF($D701="欠席",0,IF(OR(I701="",J701=""),"",MAX(0,((J701-I701-N(K701))*1440-N(L701)*10)/60)))</f>
        <v/>
      </c>
      <c r="O701" s="73"/>
    </row>
    <row r="702" customFormat="false" ht="15" hidden="false" customHeight="false" outlineLevel="0" collapsed="false">
      <c r="A702" s="77"/>
      <c r="B702" s="73"/>
      <c r="C702" s="71" t="str">
        <f aca="false">IF(B702="","",IFERROR(INDEX(マスタ!$F$2:$F$60,MATCH(B702,マスタ!$E$2:$E$60,0))&amp;"",""))</f>
        <v/>
      </c>
      <c r="D702" s="73"/>
      <c r="E702" s="75"/>
      <c r="F702" s="75"/>
      <c r="G702" s="75"/>
      <c r="H702" s="73"/>
      <c r="I702" s="75"/>
      <c r="J702" s="75"/>
      <c r="K702" s="75"/>
      <c r="L702" s="73"/>
      <c r="M702" s="78" t="str">
        <f aca="false">IF(OR(E702="",F702=""),"",MAX(0,((F702-E702-N(G702))*1440-N(H702)*10)/60))</f>
        <v/>
      </c>
      <c r="N702" s="78" t="str">
        <f aca="false">IF($D702="欠席",0,IF(OR(I702="",J702=""),"",MAX(0,((J702-I702-N(K702))*1440-N(L702)*10)/60)))</f>
        <v/>
      </c>
      <c r="O702" s="73"/>
    </row>
    <row r="703" customFormat="false" ht="15" hidden="false" customHeight="false" outlineLevel="0" collapsed="false">
      <c r="A703" s="77"/>
      <c r="B703" s="73"/>
      <c r="C703" s="71" t="str">
        <f aca="false">IF(B703="","",IFERROR(INDEX(マスタ!$F$2:$F$60,MATCH(B703,マスタ!$E$2:$E$60,0))&amp;"",""))</f>
        <v/>
      </c>
      <c r="D703" s="73"/>
      <c r="E703" s="75"/>
      <c r="F703" s="75"/>
      <c r="G703" s="75"/>
      <c r="H703" s="73"/>
      <c r="I703" s="75"/>
      <c r="J703" s="75"/>
      <c r="K703" s="75"/>
      <c r="L703" s="73"/>
      <c r="M703" s="78" t="str">
        <f aca="false">IF(OR(E703="",F703=""),"",MAX(0,((F703-E703-N(G703))*1440-N(H703)*10)/60))</f>
        <v/>
      </c>
      <c r="N703" s="78" t="str">
        <f aca="false">IF($D703="欠席",0,IF(OR(I703="",J703=""),"",MAX(0,((J703-I703-N(K703))*1440-N(L703)*10)/60)))</f>
        <v/>
      </c>
      <c r="O703" s="73"/>
    </row>
    <row r="704" customFormat="false" ht="15" hidden="false" customHeight="false" outlineLevel="0" collapsed="false">
      <c r="A704" s="77"/>
      <c r="B704" s="73"/>
      <c r="C704" s="71" t="str">
        <f aca="false">IF(B704="","",IFERROR(INDEX(マスタ!$F$2:$F$60,MATCH(B704,マスタ!$E$2:$E$60,0))&amp;"",""))</f>
        <v/>
      </c>
      <c r="D704" s="73"/>
      <c r="E704" s="75"/>
      <c r="F704" s="75"/>
      <c r="G704" s="75"/>
      <c r="H704" s="73"/>
      <c r="I704" s="75"/>
      <c r="J704" s="75"/>
      <c r="K704" s="75"/>
      <c r="L704" s="73"/>
      <c r="M704" s="78" t="str">
        <f aca="false">IF(OR(E704="",F704=""),"",MAX(0,((F704-E704-N(G704))*1440-N(H704)*10)/60))</f>
        <v/>
      </c>
      <c r="N704" s="78" t="str">
        <f aca="false">IF($D704="欠席",0,IF(OR(I704="",J704=""),"",MAX(0,((J704-I704-N(K704))*1440-N(L704)*10)/60)))</f>
        <v/>
      </c>
      <c r="O704" s="73"/>
    </row>
    <row r="705" customFormat="false" ht="15" hidden="false" customHeight="false" outlineLevel="0" collapsed="false">
      <c r="A705" s="77"/>
      <c r="B705" s="73"/>
      <c r="C705" s="71" t="str">
        <f aca="false">IF(B705="","",IFERROR(INDEX(マスタ!$F$2:$F$60,MATCH(B705,マスタ!$E$2:$E$60,0))&amp;"",""))</f>
        <v/>
      </c>
      <c r="D705" s="73"/>
      <c r="E705" s="75"/>
      <c r="F705" s="75"/>
      <c r="G705" s="75"/>
      <c r="H705" s="73"/>
      <c r="I705" s="75"/>
      <c r="J705" s="75"/>
      <c r="K705" s="75"/>
      <c r="L705" s="73"/>
      <c r="M705" s="78" t="str">
        <f aca="false">IF(OR(E705="",F705=""),"",MAX(0,((F705-E705-N(G705))*1440-N(H705)*10)/60))</f>
        <v/>
      </c>
      <c r="N705" s="78" t="str">
        <f aca="false">IF($D705="欠席",0,IF(OR(I705="",J705=""),"",MAX(0,((J705-I705-N(K705))*1440-N(L705)*10)/60)))</f>
        <v/>
      </c>
      <c r="O705" s="73"/>
    </row>
    <row r="706" customFormat="false" ht="15" hidden="false" customHeight="false" outlineLevel="0" collapsed="false">
      <c r="A706" s="77"/>
      <c r="B706" s="73"/>
      <c r="C706" s="71" t="str">
        <f aca="false">IF(B706="","",IFERROR(INDEX(マスタ!$F$2:$F$60,MATCH(B706,マスタ!$E$2:$E$60,0))&amp;"",""))</f>
        <v/>
      </c>
      <c r="D706" s="73"/>
      <c r="E706" s="75"/>
      <c r="F706" s="75"/>
      <c r="G706" s="75"/>
      <c r="H706" s="73"/>
      <c r="I706" s="75"/>
      <c r="J706" s="75"/>
      <c r="K706" s="75"/>
      <c r="L706" s="73"/>
      <c r="M706" s="78" t="str">
        <f aca="false">IF(OR(E706="",F706=""),"",MAX(0,((F706-E706-N(G706))*1440-N(H706)*10)/60))</f>
        <v/>
      </c>
      <c r="N706" s="78" t="str">
        <f aca="false">IF($D706="欠席",0,IF(OR(I706="",J706=""),"",MAX(0,((J706-I706-N(K706))*1440-N(L706)*10)/60)))</f>
        <v/>
      </c>
      <c r="O706" s="73"/>
    </row>
    <row r="707" customFormat="false" ht="15" hidden="false" customHeight="false" outlineLevel="0" collapsed="false">
      <c r="A707" s="77"/>
      <c r="B707" s="73"/>
      <c r="C707" s="71" t="str">
        <f aca="false">IF(B707="","",IFERROR(INDEX(マスタ!$F$2:$F$60,MATCH(B707,マスタ!$E$2:$E$60,0))&amp;"",""))</f>
        <v/>
      </c>
      <c r="D707" s="73"/>
      <c r="E707" s="75"/>
      <c r="F707" s="75"/>
      <c r="G707" s="75"/>
      <c r="H707" s="73"/>
      <c r="I707" s="75"/>
      <c r="J707" s="75"/>
      <c r="K707" s="75"/>
      <c r="L707" s="73"/>
      <c r="M707" s="78" t="str">
        <f aca="false">IF(OR(E707="",F707=""),"",MAX(0,((F707-E707-N(G707))*1440-N(H707)*10)/60))</f>
        <v/>
      </c>
      <c r="N707" s="78" t="str">
        <f aca="false">IF($D707="欠席",0,IF(OR(I707="",J707=""),"",MAX(0,((J707-I707-N(K707))*1440-N(L707)*10)/60)))</f>
        <v/>
      </c>
      <c r="O707" s="73"/>
    </row>
    <row r="708" customFormat="false" ht="15" hidden="false" customHeight="false" outlineLevel="0" collapsed="false">
      <c r="A708" s="77"/>
      <c r="B708" s="73"/>
      <c r="C708" s="71" t="str">
        <f aca="false">IF(B708="","",IFERROR(INDEX(マスタ!$F$2:$F$60,MATCH(B708,マスタ!$E$2:$E$60,0))&amp;"",""))</f>
        <v/>
      </c>
      <c r="D708" s="73"/>
      <c r="E708" s="75"/>
      <c r="F708" s="75"/>
      <c r="G708" s="75"/>
      <c r="H708" s="73"/>
      <c r="I708" s="75"/>
      <c r="J708" s="75"/>
      <c r="K708" s="75"/>
      <c r="L708" s="73"/>
      <c r="M708" s="78" t="str">
        <f aca="false">IF(OR(E708="",F708=""),"",MAX(0,((F708-E708-N(G708))*1440-N(H708)*10)/60))</f>
        <v/>
      </c>
      <c r="N708" s="78" t="str">
        <f aca="false">IF($D708="欠席",0,IF(OR(I708="",J708=""),"",MAX(0,((J708-I708-N(K708))*1440-N(L708)*10)/60)))</f>
        <v/>
      </c>
      <c r="O708" s="73"/>
    </row>
    <row r="709" customFormat="false" ht="15" hidden="false" customHeight="false" outlineLevel="0" collapsed="false">
      <c r="A709" s="77"/>
      <c r="B709" s="73"/>
      <c r="C709" s="71" t="str">
        <f aca="false">IF(B709="","",IFERROR(INDEX(マスタ!$F$2:$F$60,MATCH(B709,マスタ!$E$2:$E$60,0))&amp;"",""))</f>
        <v/>
      </c>
      <c r="D709" s="73"/>
      <c r="E709" s="75"/>
      <c r="F709" s="75"/>
      <c r="G709" s="75"/>
      <c r="H709" s="73"/>
      <c r="I709" s="75"/>
      <c r="J709" s="75"/>
      <c r="K709" s="75"/>
      <c r="L709" s="73"/>
      <c r="M709" s="78" t="str">
        <f aca="false">IF(OR(E709="",F709=""),"",MAX(0,((F709-E709-N(G709))*1440-N(H709)*10)/60))</f>
        <v/>
      </c>
      <c r="N709" s="78" t="str">
        <f aca="false">IF($D709="欠席",0,IF(OR(I709="",J709=""),"",MAX(0,((J709-I709-N(K709))*1440-N(L709)*10)/60)))</f>
        <v/>
      </c>
      <c r="O709" s="73"/>
    </row>
    <row r="710" customFormat="false" ht="15" hidden="false" customHeight="false" outlineLevel="0" collapsed="false">
      <c r="A710" s="77"/>
      <c r="B710" s="73"/>
      <c r="C710" s="71" t="str">
        <f aca="false">IF(B710="","",IFERROR(INDEX(マスタ!$F$2:$F$60,MATCH(B710,マスタ!$E$2:$E$60,0))&amp;"",""))</f>
        <v/>
      </c>
      <c r="D710" s="73"/>
      <c r="E710" s="75"/>
      <c r="F710" s="75"/>
      <c r="G710" s="75"/>
      <c r="H710" s="73"/>
      <c r="I710" s="75"/>
      <c r="J710" s="75"/>
      <c r="K710" s="75"/>
      <c r="L710" s="73"/>
      <c r="M710" s="78" t="str">
        <f aca="false">IF(OR(E710="",F710=""),"",MAX(0,((F710-E710-N(G710))*1440-N(H710)*10)/60))</f>
        <v/>
      </c>
      <c r="N710" s="78" t="str">
        <f aca="false">IF($D710="欠席",0,IF(OR(I710="",J710=""),"",MAX(0,((J710-I710-N(K710))*1440-N(L710)*10)/60)))</f>
        <v/>
      </c>
      <c r="O710" s="73"/>
    </row>
    <row r="711" customFormat="false" ht="15" hidden="false" customHeight="false" outlineLevel="0" collapsed="false">
      <c r="A711" s="77"/>
      <c r="B711" s="73"/>
      <c r="C711" s="71" t="str">
        <f aca="false">IF(B711="","",IFERROR(INDEX(マスタ!$F$2:$F$60,MATCH(B711,マスタ!$E$2:$E$60,0))&amp;"",""))</f>
        <v/>
      </c>
      <c r="D711" s="73"/>
      <c r="E711" s="75"/>
      <c r="F711" s="75"/>
      <c r="G711" s="75"/>
      <c r="H711" s="73"/>
      <c r="I711" s="75"/>
      <c r="J711" s="75"/>
      <c r="K711" s="75"/>
      <c r="L711" s="73"/>
      <c r="M711" s="78" t="str">
        <f aca="false">IF(OR(E711="",F711=""),"",MAX(0,((F711-E711-N(G711))*1440-N(H711)*10)/60))</f>
        <v/>
      </c>
      <c r="N711" s="78" t="str">
        <f aca="false">IF($D711="欠席",0,IF(OR(I711="",J711=""),"",MAX(0,((J711-I711-N(K711))*1440-N(L711)*10)/60)))</f>
        <v/>
      </c>
      <c r="O711" s="73"/>
    </row>
    <row r="712" customFormat="false" ht="15" hidden="false" customHeight="false" outlineLevel="0" collapsed="false">
      <c r="A712" s="77"/>
      <c r="B712" s="73"/>
      <c r="C712" s="71" t="str">
        <f aca="false">IF(B712="","",IFERROR(INDEX(マスタ!$F$2:$F$60,MATCH(B712,マスタ!$E$2:$E$60,0))&amp;"",""))</f>
        <v/>
      </c>
      <c r="D712" s="73"/>
      <c r="E712" s="75"/>
      <c r="F712" s="75"/>
      <c r="G712" s="75"/>
      <c r="H712" s="73"/>
      <c r="I712" s="75"/>
      <c r="J712" s="75"/>
      <c r="K712" s="75"/>
      <c r="L712" s="73"/>
      <c r="M712" s="78" t="str">
        <f aca="false">IF(OR(E712="",F712=""),"",MAX(0,((F712-E712-N(G712))*1440-N(H712)*10)/60))</f>
        <v/>
      </c>
      <c r="N712" s="78" t="str">
        <f aca="false">IF($D712="欠席",0,IF(OR(I712="",J712=""),"",MAX(0,((J712-I712-N(K712))*1440-N(L712)*10)/60)))</f>
        <v/>
      </c>
      <c r="O712" s="73"/>
    </row>
    <row r="713" customFormat="false" ht="15" hidden="false" customHeight="false" outlineLevel="0" collapsed="false">
      <c r="A713" s="77"/>
      <c r="B713" s="73"/>
      <c r="C713" s="71" t="str">
        <f aca="false">IF(B713="","",IFERROR(INDEX(マスタ!$F$2:$F$60,MATCH(B713,マスタ!$E$2:$E$60,0))&amp;"",""))</f>
        <v/>
      </c>
      <c r="D713" s="73"/>
      <c r="E713" s="75"/>
      <c r="F713" s="75"/>
      <c r="G713" s="75"/>
      <c r="H713" s="73"/>
      <c r="I713" s="75"/>
      <c r="J713" s="75"/>
      <c r="K713" s="75"/>
      <c r="L713" s="73"/>
      <c r="M713" s="78" t="str">
        <f aca="false">IF(OR(E713="",F713=""),"",MAX(0,((F713-E713-N(G713))*1440-N(H713)*10)/60))</f>
        <v/>
      </c>
      <c r="N713" s="78" t="str">
        <f aca="false">IF($D713="欠席",0,IF(OR(I713="",J713=""),"",MAX(0,((J713-I713-N(K713))*1440-N(L713)*10)/60)))</f>
        <v/>
      </c>
      <c r="O713" s="73"/>
    </row>
    <row r="714" customFormat="false" ht="15" hidden="false" customHeight="false" outlineLevel="0" collapsed="false">
      <c r="A714" s="77"/>
      <c r="B714" s="73"/>
      <c r="C714" s="71" t="str">
        <f aca="false">IF(B714="","",IFERROR(INDEX(マスタ!$F$2:$F$60,MATCH(B714,マスタ!$E$2:$E$60,0))&amp;"",""))</f>
        <v/>
      </c>
      <c r="D714" s="73"/>
      <c r="E714" s="75"/>
      <c r="F714" s="75"/>
      <c r="G714" s="75"/>
      <c r="H714" s="73"/>
      <c r="I714" s="75"/>
      <c r="J714" s="75"/>
      <c r="K714" s="75"/>
      <c r="L714" s="73"/>
      <c r="M714" s="78" t="str">
        <f aca="false">IF(OR(E714="",F714=""),"",MAX(0,((F714-E714-N(G714))*1440-N(H714)*10)/60))</f>
        <v/>
      </c>
      <c r="N714" s="78" t="str">
        <f aca="false">IF($D714="欠席",0,IF(OR(I714="",J714=""),"",MAX(0,((J714-I714-N(K714))*1440-N(L714)*10)/60)))</f>
        <v/>
      </c>
      <c r="O714" s="73"/>
    </row>
    <row r="715" customFormat="false" ht="15" hidden="false" customHeight="false" outlineLevel="0" collapsed="false">
      <c r="A715" s="77"/>
      <c r="B715" s="73"/>
      <c r="C715" s="71" t="str">
        <f aca="false">IF(B715="","",IFERROR(INDEX(マスタ!$F$2:$F$60,MATCH(B715,マスタ!$E$2:$E$60,0))&amp;"",""))</f>
        <v/>
      </c>
      <c r="D715" s="73"/>
      <c r="E715" s="75"/>
      <c r="F715" s="75"/>
      <c r="G715" s="75"/>
      <c r="H715" s="73"/>
      <c r="I715" s="75"/>
      <c r="J715" s="75"/>
      <c r="K715" s="75"/>
      <c r="L715" s="73"/>
      <c r="M715" s="78" t="str">
        <f aca="false">IF(OR(E715="",F715=""),"",MAX(0,((F715-E715-N(G715))*1440-N(H715)*10)/60))</f>
        <v/>
      </c>
      <c r="N715" s="78" t="str">
        <f aca="false">IF($D715="欠席",0,IF(OR(I715="",J715=""),"",MAX(0,((J715-I715-N(K715))*1440-N(L715)*10)/60)))</f>
        <v/>
      </c>
      <c r="O715" s="73"/>
    </row>
    <row r="716" customFormat="false" ht="15" hidden="false" customHeight="false" outlineLevel="0" collapsed="false">
      <c r="A716" s="77"/>
      <c r="B716" s="73"/>
      <c r="C716" s="71" t="str">
        <f aca="false">IF(B716="","",IFERROR(INDEX(マスタ!$F$2:$F$60,MATCH(B716,マスタ!$E$2:$E$60,0))&amp;"",""))</f>
        <v/>
      </c>
      <c r="D716" s="73"/>
      <c r="E716" s="75"/>
      <c r="F716" s="75"/>
      <c r="G716" s="75"/>
      <c r="H716" s="73"/>
      <c r="I716" s="75"/>
      <c r="J716" s="75"/>
      <c r="K716" s="75"/>
      <c r="L716" s="73"/>
      <c r="M716" s="78" t="str">
        <f aca="false">IF(OR(E716="",F716=""),"",MAX(0,((F716-E716-N(G716))*1440-N(H716)*10)/60))</f>
        <v/>
      </c>
      <c r="N716" s="78" t="str">
        <f aca="false">IF($D716="欠席",0,IF(OR(I716="",J716=""),"",MAX(0,((J716-I716-N(K716))*1440-N(L716)*10)/60)))</f>
        <v/>
      </c>
      <c r="O716" s="73"/>
    </row>
    <row r="717" customFormat="false" ht="15" hidden="false" customHeight="false" outlineLevel="0" collapsed="false">
      <c r="A717" s="77"/>
      <c r="B717" s="73"/>
      <c r="C717" s="71" t="str">
        <f aca="false">IF(B717="","",IFERROR(INDEX(マスタ!$F$2:$F$60,MATCH(B717,マスタ!$E$2:$E$60,0))&amp;"",""))</f>
        <v/>
      </c>
      <c r="D717" s="73"/>
      <c r="E717" s="75"/>
      <c r="F717" s="75"/>
      <c r="G717" s="75"/>
      <c r="H717" s="73"/>
      <c r="I717" s="75"/>
      <c r="J717" s="75"/>
      <c r="K717" s="75"/>
      <c r="L717" s="73"/>
      <c r="M717" s="78" t="str">
        <f aca="false">IF(OR(E717="",F717=""),"",MAX(0,((F717-E717-N(G717))*1440-N(H717)*10)/60))</f>
        <v/>
      </c>
      <c r="N717" s="78" t="str">
        <f aca="false">IF($D717="欠席",0,IF(OR(I717="",J717=""),"",MAX(0,((J717-I717-N(K717))*1440-N(L717)*10)/60)))</f>
        <v/>
      </c>
      <c r="O717" s="73"/>
    </row>
    <row r="718" customFormat="false" ht="15" hidden="false" customHeight="false" outlineLevel="0" collapsed="false">
      <c r="A718" s="77"/>
      <c r="B718" s="73"/>
      <c r="C718" s="71" t="str">
        <f aca="false">IF(B718="","",IFERROR(INDEX(マスタ!$F$2:$F$60,MATCH(B718,マスタ!$E$2:$E$60,0))&amp;"",""))</f>
        <v/>
      </c>
      <c r="D718" s="73"/>
      <c r="E718" s="75"/>
      <c r="F718" s="75"/>
      <c r="G718" s="75"/>
      <c r="H718" s="73"/>
      <c r="I718" s="75"/>
      <c r="J718" s="75"/>
      <c r="K718" s="75"/>
      <c r="L718" s="73"/>
      <c r="M718" s="78" t="str">
        <f aca="false">IF(OR(E718="",F718=""),"",MAX(0,((F718-E718-N(G718))*1440-N(H718)*10)/60))</f>
        <v/>
      </c>
      <c r="N718" s="78" t="str">
        <f aca="false">IF($D718="欠席",0,IF(OR(I718="",J718=""),"",MAX(0,((J718-I718-N(K718))*1440-N(L718)*10)/60)))</f>
        <v/>
      </c>
      <c r="O718" s="73"/>
    </row>
    <row r="719" customFormat="false" ht="15" hidden="false" customHeight="false" outlineLevel="0" collapsed="false">
      <c r="A719" s="77"/>
      <c r="B719" s="73"/>
      <c r="C719" s="71" t="str">
        <f aca="false">IF(B719="","",IFERROR(INDEX(マスタ!$F$2:$F$60,MATCH(B719,マスタ!$E$2:$E$60,0))&amp;"",""))</f>
        <v/>
      </c>
      <c r="D719" s="73"/>
      <c r="E719" s="75"/>
      <c r="F719" s="75"/>
      <c r="G719" s="75"/>
      <c r="H719" s="73"/>
      <c r="I719" s="75"/>
      <c r="J719" s="75"/>
      <c r="K719" s="75"/>
      <c r="L719" s="73"/>
      <c r="M719" s="78" t="str">
        <f aca="false">IF(OR(E719="",F719=""),"",MAX(0,((F719-E719-N(G719))*1440-N(H719)*10)/60))</f>
        <v/>
      </c>
      <c r="N719" s="78" t="str">
        <f aca="false">IF($D719="欠席",0,IF(OR(I719="",J719=""),"",MAX(0,((J719-I719-N(K719))*1440-N(L719)*10)/60)))</f>
        <v/>
      </c>
      <c r="O719" s="73"/>
    </row>
    <row r="720" customFormat="false" ht="15" hidden="false" customHeight="false" outlineLevel="0" collapsed="false">
      <c r="A720" s="77"/>
      <c r="B720" s="73"/>
      <c r="C720" s="71" t="str">
        <f aca="false">IF(B720="","",IFERROR(INDEX(マスタ!$F$2:$F$60,MATCH(B720,マスタ!$E$2:$E$60,0))&amp;"",""))</f>
        <v/>
      </c>
      <c r="D720" s="73"/>
      <c r="E720" s="75"/>
      <c r="F720" s="75"/>
      <c r="G720" s="75"/>
      <c r="H720" s="73"/>
      <c r="I720" s="75"/>
      <c r="J720" s="75"/>
      <c r="K720" s="75"/>
      <c r="L720" s="73"/>
      <c r="M720" s="78" t="str">
        <f aca="false">IF(OR(E720="",F720=""),"",MAX(0,((F720-E720-N(G720))*1440-N(H720)*10)/60))</f>
        <v/>
      </c>
      <c r="N720" s="78" t="str">
        <f aca="false">IF($D720="欠席",0,IF(OR(I720="",J720=""),"",MAX(0,((J720-I720-N(K720))*1440-N(L720)*10)/60)))</f>
        <v/>
      </c>
      <c r="O720" s="73"/>
    </row>
    <row r="721" customFormat="false" ht="15" hidden="false" customHeight="false" outlineLevel="0" collapsed="false">
      <c r="A721" s="77"/>
      <c r="B721" s="73"/>
      <c r="C721" s="71" t="str">
        <f aca="false">IF(B721="","",IFERROR(INDEX(マスタ!$F$2:$F$60,MATCH(B721,マスタ!$E$2:$E$60,0))&amp;"",""))</f>
        <v/>
      </c>
      <c r="D721" s="73"/>
      <c r="E721" s="75"/>
      <c r="F721" s="75"/>
      <c r="G721" s="75"/>
      <c r="H721" s="73"/>
      <c r="I721" s="75"/>
      <c r="J721" s="75"/>
      <c r="K721" s="75"/>
      <c r="L721" s="73"/>
      <c r="M721" s="78" t="str">
        <f aca="false">IF(OR(E721="",F721=""),"",MAX(0,((F721-E721-N(G721))*1440-N(H721)*10)/60))</f>
        <v/>
      </c>
      <c r="N721" s="78" t="str">
        <f aca="false">IF($D721="欠席",0,IF(OR(I721="",J721=""),"",MAX(0,((J721-I721-N(K721))*1440-N(L721)*10)/60)))</f>
        <v/>
      </c>
      <c r="O721" s="73"/>
    </row>
    <row r="722" customFormat="false" ht="15" hidden="false" customHeight="false" outlineLevel="0" collapsed="false">
      <c r="A722" s="77"/>
      <c r="B722" s="73"/>
      <c r="C722" s="71" t="str">
        <f aca="false">IF(B722="","",IFERROR(INDEX(マスタ!$F$2:$F$60,MATCH(B722,マスタ!$E$2:$E$60,0))&amp;"",""))</f>
        <v/>
      </c>
      <c r="D722" s="73"/>
      <c r="E722" s="75"/>
      <c r="F722" s="75"/>
      <c r="G722" s="75"/>
      <c r="H722" s="73"/>
      <c r="I722" s="75"/>
      <c r="J722" s="75"/>
      <c r="K722" s="75"/>
      <c r="L722" s="73"/>
      <c r="M722" s="78" t="str">
        <f aca="false">IF(OR(E722="",F722=""),"",MAX(0,((F722-E722-N(G722))*1440-N(H722)*10)/60))</f>
        <v/>
      </c>
      <c r="N722" s="78" t="str">
        <f aca="false">IF($D722="欠席",0,IF(OR(I722="",J722=""),"",MAX(0,((J722-I722-N(K722))*1440-N(L722)*10)/60)))</f>
        <v/>
      </c>
      <c r="O722" s="73"/>
    </row>
    <row r="723" customFormat="false" ht="15" hidden="false" customHeight="false" outlineLevel="0" collapsed="false">
      <c r="A723" s="77"/>
      <c r="B723" s="73"/>
      <c r="C723" s="71" t="str">
        <f aca="false">IF(B723="","",IFERROR(INDEX(マスタ!$F$2:$F$60,MATCH(B723,マスタ!$E$2:$E$60,0))&amp;"",""))</f>
        <v/>
      </c>
      <c r="D723" s="73"/>
      <c r="E723" s="75"/>
      <c r="F723" s="75"/>
      <c r="G723" s="75"/>
      <c r="H723" s="73"/>
      <c r="I723" s="75"/>
      <c r="J723" s="75"/>
      <c r="K723" s="75"/>
      <c r="L723" s="73"/>
      <c r="M723" s="78" t="str">
        <f aca="false">IF(OR(E723="",F723=""),"",MAX(0,((F723-E723-N(G723))*1440-N(H723)*10)/60))</f>
        <v/>
      </c>
      <c r="N723" s="78" t="str">
        <f aca="false">IF($D723="欠席",0,IF(OR(I723="",J723=""),"",MAX(0,((J723-I723-N(K723))*1440-N(L723)*10)/60)))</f>
        <v/>
      </c>
      <c r="O723" s="73"/>
    </row>
    <row r="724" customFormat="false" ht="15" hidden="false" customHeight="false" outlineLevel="0" collapsed="false">
      <c r="A724" s="77"/>
      <c r="B724" s="73"/>
      <c r="C724" s="71" t="str">
        <f aca="false">IF(B724="","",IFERROR(INDEX(マスタ!$F$2:$F$60,MATCH(B724,マスタ!$E$2:$E$60,0))&amp;"",""))</f>
        <v/>
      </c>
      <c r="D724" s="73"/>
      <c r="E724" s="75"/>
      <c r="F724" s="75"/>
      <c r="G724" s="75"/>
      <c r="H724" s="73"/>
      <c r="I724" s="75"/>
      <c r="J724" s="75"/>
      <c r="K724" s="75"/>
      <c r="L724" s="73"/>
      <c r="M724" s="78" t="str">
        <f aca="false">IF(OR(E724="",F724=""),"",MAX(0,((F724-E724-N(G724))*1440-N(H724)*10)/60))</f>
        <v/>
      </c>
      <c r="N724" s="78" t="str">
        <f aca="false">IF($D724="欠席",0,IF(OR(I724="",J724=""),"",MAX(0,((J724-I724-N(K724))*1440-N(L724)*10)/60)))</f>
        <v/>
      </c>
      <c r="O724" s="73"/>
    </row>
    <row r="725" customFormat="false" ht="15" hidden="false" customHeight="false" outlineLevel="0" collapsed="false">
      <c r="A725" s="77"/>
      <c r="B725" s="73"/>
      <c r="C725" s="71" t="str">
        <f aca="false">IF(B725="","",IFERROR(INDEX(マスタ!$F$2:$F$60,MATCH(B725,マスタ!$E$2:$E$60,0))&amp;"",""))</f>
        <v/>
      </c>
      <c r="D725" s="73"/>
      <c r="E725" s="75"/>
      <c r="F725" s="75"/>
      <c r="G725" s="75"/>
      <c r="H725" s="73"/>
      <c r="I725" s="75"/>
      <c r="J725" s="75"/>
      <c r="K725" s="75"/>
      <c r="L725" s="73"/>
      <c r="M725" s="78" t="str">
        <f aca="false">IF(OR(E725="",F725=""),"",MAX(0,((F725-E725-N(G725))*1440-N(H725)*10)/60))</f>
        <v/>
      </c>
      <c r="N725" s="78" t="str">
        <f aca="false">IF($D725="欠席",0,IF(OR(I725="",J725=""),"",MAX(0,((J725-I725-N(K725))*1440-N(L725)*10)/60)))</f>
        <v/>
      </c>
      <c r="O725" s="73"/>
    </row>
    <row r="726" customFormat="false" ht="15" hidden="false" customHeight="false" outlineLevel="0" collapsed="false">
      <c r="A726" s="77"/>
      <c r="B726" s="73"/>
      <c r="C726" s="71" t="str">
        <f aca="false">IF(B726="","",IFERROR(INDEX(マスタ!$F$2:$F$60,MATCH(B726,マスタ!$E$2:$E$60,0))&amp;"",""))</f>
        <v/>
      </c>
      <c r="D726" s="73"/>
      <c r="E726" s="75"/>
      <c r="F726" s="75"/>
      <c r="G726" s="75"/>
      <c r="H726" s="73"/>
      <c r="I726" s="75"/>
      <c r="J726" s="75"/>
      <c r="K726" s="75"/>
      <c r="L726" s="73"/>
      <c r="M726" s="78" t="str">
        <f aca="false">IF(OR(E726="",F726=""),"",MAX(0,((F726-E726-N(G726))*1440-N(H726)*10)/60))</f>
        <v/>
      </c>
      <c r="N726" s="78" t="str">
        <f aca="false">IF($D726="欠席",0,IF(OR(I726="",J726=""),"",MAX(0,((J726-I726-N(K726))*1440-N(L726)*10)/60)))</f>
        <v/>
      </c>
      <c r="O726" s="73"/>
    </row>
    <row r="727" customFormat="false" ht="15" hidden="false" customHeight="false" outlineLevel="0" collapsed="false">
      <c r="A727" s="77"/>
      <c r="B727" s="73"/>
      <c r="C727" s="71" t="str">
        <f aca="false">IF(B727="","",IFERROR(INDEX(マスタ!$F$2:$F$60,MATCH(B727,マスタ!$E$2:$E$60,0))&amp;"",""))</f>
        <v/>
      </c>
      <c r="D727" s="73"/>
      <c r="E727" s="75"/>
      <c r="F727" s="75"/>
      <c r="G727" s="75"/>
      <c r="H727" s="73"/>
      <c r="I727" s="75"/>
      <c r="J727" s="75"/>
      <c r="K727" s="75"/>
      <c r="L727" s="73"/>
      <c r="M727" s="78" t="str">
        <f aca="false">IF(OR(E727="",F727=""),"",MAX(0,((F727-E727-N(G727))*1440-N(H727)*10)/60))</f>
        <v/>
      </c>
      <c r="N727" s="78" t="str">
        <f aca="false">IF($D727="欠席",0,IF(OR(I727="",J727=""),"",MAX(0,((J727-I727-N(K727))*1440-N(L727)*10)/60)))</f>
        <v/>
      </c>
      <c r="O727" s="73"/>
    </row>
    <row r="728" customFormat="false" ht="15" hidden="false" customHeight="false" outlineLevel="0" collapsed="false">
      <c r="A728" s="77"/>
      <c r="B728" s="73"/>
      <c r="C728" s="71" t="str">
        <f aca="false">IF(B728="","",IFERROR(INDEX(マスタ!$F$2:$F$60,MATCH(B728,マスタ!$E$2:$E$60,0))&amp;"",""))</f>
        <v/>
      </c>
      <c r="D728" s="73"/>
      <c r="E728" s="75"/>
      <c r="F728" s="75"/>
      <c r="G728" s="75"/>
      <c r="H728" s="73"/>
      <c r="I728" s="75"/>
      <c r="J728" s="75"/>
      <c r="K728" s="75"/>
      <c r="L728" s="73"/>
      <c r="M728" s="78" t="str">
        <f aca="false">IF(OR(E728="",F728=""),"",MAX(0,((F728-E728-N(G728))*1440-N(H728)*10)/60))</f>
        <v/>
      </c>
      <c r="N728" s="78" t="str">
        <f aca="false">IF($D728="欠席",0,IF(OR(I728="",J728=""),"",MAX(0,((J728-I728-N(K728))*1440-N(L728)*10)/60)))</f>
        <v/>
      </c>
      <c r="O728" s="73"/>
    </row>
    <row r="729" customFormat="false" ht="15" hidden="false" customHeight="false" outlineLevel="0" collapsed="false">
      <c r="A729" s="77"/>
      <c r="B729" s="73"/>
      <c r="C729" s="71" t="str">
        <f aca="false">IF(B729="","",IFERROR(INDEX(マスタ!$F$2:$F$60,MATCH(B729,マスタ!$E$2:$E$60,0))&amp;"",""))</f>
        <v/>
      </c>
      <c r="D729" s="73"/>
      <c r="E729" s="75"/>
      <c r="F729" s="75"/>
      <c r="G729" s="75"/>
      <c r="H729" s="73"/>
      <c r="I729" s="75"/>
      <c r="J729" s="75"/>
      <c r="K729" s="75"/>
      <c r="L729" s="73"/>
      <c r="M729" s="78" t="str">
        <f aca="false">IF(OR(E729="",F729=""),"",MAX(0,((F729-E729-N(G729))*1440-N(H729)*10)/60))</f>
        <v/>
      </c>
      <c r="N729" s="78" t="str">
        <f aca="false">IF($D729="欠席",0,IF(OR(I729="",J729=""),"",MAX(0,((J729-I729-N(K729))*1440-N(L729)*10)/60)))</f>
        <v/>
      </c>
      <c r="O729" s="73"/>
    </row>
    <row r="730" customFormat="false" ht="15" hidden="false" customHeight="false" outlineLevel="0" collapsed="false">
      <c r="A730" s="77"/>
      <c r="B730" s="73"/>
      <c r="C730" s="71" t="str">
        <f aca="false">IF(B730="","",IFERROR(INDEX(マスタ!$F$2:$F$60,MATCH(B730,マスタ!$E$2:$E$60,0))&amp;"",""))</f>
        <v/>
      </c>
      <c r="D730" s="73"/>
      <c r="E730" s="75"/>
      <c r="F730" s="75"/>
      <c r="G730" s="75"/>
      <c r="H730" s="73"/>
      <c r="I730" s="75"/>
      <c r="J730" s="75"/>
      <c r="K730" s="75"/>
      <c r="L730" s="73"/>
      <c r="M730" s="78" t="str">
        <f aca="false">IF(OR(E730="",F730=""),"",MAX(0,((F730-E730-N(G730))*1440-N(H730)*10)/60))</f>
        <v/>
      </c>
      <c r="N730" s="78" t="str">
        <f aca="false">IF($D730="欠席",0,IF(OR(I730="",J730=""),"",MAX(0,((J730-I730-N(K730))*1440-N(L730)*10)/60)))</f>
        <v/>
      </c>
      <c r="O730" s="73"/>
    </row>
    <row r="731" customFormat="false" ht="15" hidden="false" customHeight="false" outlineLevel="0" collapsed="false">
      <c r="A731" s="77"/>
      <c r="B731" s="73"/>
      <c r="C731" s="71" t="str">
        <f aca="false">IF(B731="","",IFERROR(INDEX(マスタ!$F$2:$F$60,MATCH(B731,マスタ!$E$2:$E$60,0))&amp;"",""))</f>
        <v/>
      </c>
      <c r="D731" s="73"/>
      <c r="E731" s="75"/>
      <c r="F731" s="75"/>
      <c r="G731" s="75"/>
      <c r="H731" s="73"/>
      <c r="I731" s="75"/>
      <c r="J731" s="75"/>
      <c r="K731" s="75"/>
      <c r="L731" s="73"/>
      <c r="M731" s="78" t="str">
        <f aca="false">IF(OR(E731="",F731=""),"",MAX(0,((F731-E731-N(G731))*1440-N(H731)*10)/60))</f>
        <v/>
      </c>
      <c r="N731" s="78" t="str">
        <f aca="false">IF($D731="欠席",0,IF(OR(I731="",J731=""),"",MAX(0,((J731-I731-N(K731))*1440-N(L731)*10)/60)))</f>
        <v/>
      </c>
      <c r="O731" s="73"/>
    </row>
    <row r="732" customFormat="false" ht="15" hidden="false" customHeight="false" outlineLevel="0" collapsed="false">
      <c r="A732" s="77"/>
      <c r="B732" s="73"/>
      <c r="C732" s="71" t="str">
        <f aca="false">IF(B732="","",IFERROR(INDEX(マスタ!$F$2:$F$60,MATCH(B732,マスタ!$E$2:$E$60,0))&amp;"",""))</f>
        <v/>
      </c>
      <c r="D732" s="73"/>
      <c r="E732" s="75"/>
      <c r="F732" s="75"/>
      <c r="G732" s="75"/>
      <c r="H732" s="73"/>
      <c r="I732" s="75"/>
      <c r="J732" s="75"/>
      <c r="K732" s="75"/>
      <c r="L732" s="73"/>
      <c r="M732" s="78" t="str">
        <f aca="false">IF(OR(E732="",F732=""),"",MAX(0,((F732-E732-N(G732))*1440-N(H732)*10)/60))</f>
        <v/>
      </c>
      <c r="N732" s="78" t="str">
        <f aca="false">IF($D732="欠席",0,IF(OR(I732="",J732=""),"",MAX(0,((J732-I732-N(K732))*1440-N(L732)*10)/60)))</f>
        <v/>
      </c>
      <c r="O732" s="73"/>
    </row>
    <row r="733" customFormat="false" ht="15" hidden="false" customHeight="false" outlineLevel="0" collapsed="false">
      <c r="A733" s="77"/>
      <c r="B733" s="73"/>
      <c r="C733" s="71" t="str">
        <f aca="false">IF(B733="","",IFERROR(INDEX(マスタ!$F$2:$F$60,MATCH(B733,マスタ!$E$2:$E$60,0))&amp;"",""))</f>
        <v/>
      </c>
      <c r="D733" s="73"/>
      <c r="E733" s="75"/>
      <c r="F733" s="75"/>
      <c r="G733" s="75"/>
      <c r="H733" s="73"/>
      <c r="I733" s="75"/>
      <c r="J733" s="75"/>
      <c r="K733" s="75"/>
      <c r="L733" s="73"/>
      <c r="M733" s="78" t="str">
        <f aca="false">IF(OR(E733="",F733=""),"",MAX(0,((F733-E733-N(G733))*1440-N(H733)*10)/60))</f>
        <v/>
      </c>
      <c r="N733" s="78" t="str">
        <f aca="false">IF($D733="欠席",0,IF(OR(I733="",J733=""),"",MAX(0,((J733-I733-N(K733))*1440-N(L733)*10)/60)))</f>
        <v/>
      </c>
      <c r="O733" s="73"/>
    </row>
    <row r="734" customFormat="false" ht="15" hidden="false" customHeight="false" outlineLevel="0" collapsed="false">
      <c r="A734" s="77"/>
      <c r="B734" s="73"/>
      <c r="C734" s="71" t="str">
        <f aca="false">IF(B734="","",IFERROR(INDEX(マスタ!$F$2:$F$60,MATCH(B734,マスタ!$E$2:$E$60,0))&amp;"",""))</f>
        <v/>
      </c>
      <c r="D734" s="73"/>
      <c r="E734" s="75"/>
      <c r="F734" s="75"/>
      <c r="G734" s="75"/>
      <c r="H734" s="73"/>
      <c r="I734" s="75"/>
      <c r="J734" s="75"/>
      <c r="K734" s="75"/>
      <c r="L734" s="73"/>
      <c r="M734" s="78" t="str">
        <f aca="false">IF(OR(E734="",F734=""),"",MAX(0,((F734-E734-N(G734))*1440-N(H734)*10)/60))</f>
        <v/>
      </c>
      <c r="N734" s="78" t="str">
        <f aca="false">IF($D734="欠席",0,IF(OR(I734="",J734=""),"",MAX(0,((J734-I734-N(K734))*1440-N(L734)*10)/60)))</f>
        <v/>
      </c>
      <c r="O734" s="73"/>
    </row>
    <row r="735" customFormat="false" ht="15" hidden="false" customHeight="false" outlineLevel="0" collapsed="false">
      <c r="A735" s="77"/>
      <c r="B735" s="73"/>
      <c r="C735" s="71" t="str">
        <f aca="false">IF(B735="","",IFERROR(INDEX(マスタ!$F$2:$F$60,MATCH(B735,マスタ!$E$2:$E$60,0))&amp;"",""))</f>
        <v/>
      </c>
      <c r="D735" s="73"/>
      <c r="E735" s="75"/>
      <c r="F735" s="75"/>
      <c r="G735" s="75"/>
      <c r="H735" s="73"/>
      <c r="I735" s="75"/>
      <c r="J735" s="75"/>
      <c r="K735" s="75"/>
      <c r="L735" s="73"/>
      <c r="M735" s="78" t="str">
        <f aca="false">IF(OR(E735="",F735=""),"",MAX(0,((F735-E735-N(G735))*1440-N(H735)*10)/60))</f>
        <v/>
      </c>
      <c r="N735" s="78" t="str">
        <f aca="false">IF($D735="欠席",0,IF(OR(I735="",J735=""),"",MAX(0,((J735-I735-N(K735))*1440-N(L735)*10)/60)))</f>
        <v/>
      </c>
      <c r="O735" s="73"/>
    </row>
    <row r="736" customFormat="false" ht="15" hidden="false" customHeight="false" outlineLevel="0" collapsed="false">
      <c r="A736" s="77"/>
      <c r="B736" s="73"/>
      <c r="C736" s="71" t="str">
        <f aca="false">IF(B736="","",IFERROR(INDEX(マスタ!$F$2:$F$60,MATCH(B736,マスタ!$E$2:$E$60,0))&amp;"",""))</f>
        <v/>
      </c>
      <c r="D736" s="73"/>
      <c r="E736" s="75"/>
      <c r="F736" s="75"/>
      <c r="G736" s="75"/>
      <c r="H736" s="73"/>
      <c r="I736" s="75"/>
      <c r="J736" s="75"/>
      <c r="K736" s="75"/>
      <c r="L736" s="73"/>
      <c r="M736" s="78" t="str">
        <f aca="false">IF(OR(E736="",F736=""),"",MAX(0,((F736-E736-N(G736))*1440-N(H736)*10)/60))</f>
        <v/>
      </c>
      <c r="N736" s="78" t="str">
        <f aca="false">IF($D736="欠席",0,IF(OR(I736="",J736=""),"",MAX(0,((J736-I736-N(K736))*1440-N(L736)*10)/60)))</f>
        <v/>
      </c>
      <c r="O736" s="73"/>
    </row>
    <row r="737" customFormat="false" ht="15" hidden="false" customHeight="false" outlineLevel="0" collapsed="false">
      <c r="A737" s="77"/>
      <c r="B737" s="73"/>
      <c r="C737" s="71" t="str">
        <f aca="false">IF(B737="","",IFERROR(INDEX(マスタ!$F$2:$F$60,MATCH(B737,マスタ!$E$2:$E$60,0))&amp;"",""))</f>
        <v/>
      </c>
      <c r="D737" s="73"/>
      <c r="E737" s="75"/>
      <c r="F737" s="75"/>
      <c r="G737" s="75"/>
      <c r="H737" s="73"/>
      <c r="I737" s="75"/>
      <c r="J737" s="75"/>
      <c r="K737" s="75"/>
      <c r="L737" s="73"/>
      <c r="M737" s="78" t="str">
        <f aca="false">IF(OR(E737="",F737=""),"",MAX(0,((F737-E737-N(G737))*1440-N(H737)*10)/60))</f>
        <v/>
      </c>
      <c r="N737" s="78" t="str">
        <f aca="false">IF($D737="欠席",0,IF(OR(I737="",J737=""),"",MAX(0,((J737-I737-N(K737))*1440-N(L737)*10)/60)))</f>
        <v/>
      </c>
      <c r="O737" s="73"/>
    </row>
    <row r="738" customFormat="false" ht="15" hidden="false" customHeight="false" outlineLevel="0" collapsed="false">
      <c r="A738" s="77"/>
      <c r="B738" s="73"/>
      <c r="C738" s="71" t="str">
        <f aca="false">IF(B738="","",IFERROR(INDEX(マスタ!$F$2:$F$60,MATCH(B738,マスタ!$E$2:$E$60,0))&amp;"",""))</f>
        <v/>
      </c>
      <c r="D738" s="73"/>
      <c r="E738" s="75"/>
      <c r="F738" s="75"/>
      <c r="G738" s="75"/>
      <c r="H738" s="73"/>
      <c r="I738" s="75"/>
      <c r="J738" s="75"/>
      <c r="K738" s="75"/>
      <c r="L738" s="73"/>
      <c r="M738" s="78" t="str">
        <f aca="false">IF(OR(E738="",F738=""),"",MAX(0,((F738-E738-N(G738))*1440-N(H738)*10)/60))</f>
        <v/>
      </c>
      <c r="N738" s="78" t="str">
        <f aca="false">IF($D738="欠席",0,IF(OR(I738="",J738=""),"",MAX(0,((J738-I738-N(K738))*1440-N(L738)*10)/60)))</f>
        <v/>
      </c>
      <c r="O738" s="73"/>
    </row>
    <row r="739" customFormat="false" ht="15" hidden="false" customHeight="false" outlineLevel="0" collapsed="false">
      <c r="A739" s="77"/>
      <c r="B739" s="73"/>
      <c r="C739" s="71" t="str">
        <f aca="false">IF(B739="","",IFERROR(INDEX(マスタ!$F$2:$F$60,MATCH(B739,マスタ!$E$2:$E$60,0))&amp;"",""))</f>
        <v/>
      </c>
      <c r="D739" s="73"/>
      <c r="E739" s="75"/>
      <c r="F739" s="75"/>
      <c r="G739" s="75"/>
      <c r="H739" s="73"/>
      <c r="I739" s="75"/>
      <c r="J739" s="75"/>
      <c r="K739" s="75"/>
      <c r="L739" s="73"/>
      <c r="M739" s="78" t="str">
        <f aca="false">IF(OR(E739="",F739=""),"",MAX(0,((F739-E739-N(G739))*1440-N(H739)*10)/60))</f>
        <v/>
      </c>
      <c r="N739" s="78" t="str">
        <f aca="false">IF($D739="欠席",0,IF(OR(I739="",J739=""),"",MAX(0,((J739-I739-N(K739))*1440-N(L739)*10)/60)))</f>
        <v/>
      </c>
      <c r="O739" s="73"/>
    </row>
    <row r="740" customFormat="false" ht="15" hidden="false" customHeight="false" outlineLevel="0" collapsed="false">
      <c r="A740" s="77"/>
      <c r="B740" s="73"/>
      <c r="C740" s="71" t="str">
        <f aca="false">IF(B740="","",IFERROR(INDEX(マスタ!$F$2:$F$60,MATCH(B740,マスタ!$E$2:$E$60,0))&amp;"",""))</f>
        <v/>
      </c>
      <c r="D740" s="73"/>
      <c r="E740" s="75"/>
      <c r="F740" s="75"/>
      <c r="G740" s="75"/>
      <c r="H740" s="73"/>
      <c r="I740" s="75"/>
      <c r="J740" s="75"/>
      <c r="K740" s="75"/>
      <c r="L740" s="73"/>
      <c r="M740" s="78" t="str">
        <f aca="false">IF(OR(E740="",F740=""),"",MAX(0,((F740-E740-N(G740))*1440-N(H740)*10)/60))</f>
        <v/>
      </c>
      <c r="N740" s="78" t="str">
        <f aca="false">IF($D740="欠席",0,IF(OR(I740="",J740=""),"",MAX(0,((J740-I740-N(K740))*1440-N(L740)*10)/60)))</f>
        <v/>
      </c>
      <c r="O740" s="73"/>
    </row>
    <row r="741" customFormat="false" ht="15" hidden="false" customHeight="false" outlineLevel="0" collapsed="false">
      <c r="A741" s="77"/>
      <c r="B741" s="73"/>
      <c r="C741" s="71" t="str">
        <f aca="false">IF(B741="","",IFERROR(INDEX(マスタ!$F$2:$F$60,MATCH(B741,マスタ!$E$2:$E$60,0))&amp;"",""))</f>
        <v/>
      </c>
      <c r="D741" s="73"/>
      <c r="E741" s="75"/>
      <c r="F741" s="75"/>
      <c r="G741" s="75"/>
      <c r="H741" s="73"/>
      <c r="I741" s="75"/>
      <c r="J741" s="75"/>
      <c r="K741" s="75"/>
      <c r="L741" s="73"/>
      <c r="M741" s="78" t="str">
        <f aca="false">IF(OR(E741="",F741=""),"",MAX(0,((F741-E741-N(G741))*1440-N(H741)*10)/60))</f>
        <v/>
      </c>
      <c r="N741" s="78" t="str">
        <f aca="false">IF($D741="欠席",0,IF(OR(I741="",J741=""),"",MAX(0,((J741-I741-N(K741))*1440-N(L741)*10)/60)))</f>
        <v/>
      </c>
      <c r="O741" s="73"/>
    </row>
    <row r="742" customFormat="false" ht="15" hidden="false" customHeight="false" outlineLevel="0" collapsed="false">
      <c r="A742" s="77"/>
      <c r="B742" s="73"/>
      <c r="C742" s="71" t="str">
        <f aca="false">IF(B742="","",IFERROR(INDEX(マスタ!$F$2:$F$60,MATCH(B742,マスタ!$E$2:$E$60,0))&amp;"",""))</f>
        <v/>
      </c>
      <c r="D742" s="73"/>
      <c r="E742" s="75"/>
      <c r="F742" s="75"/>
      <c r="G742" s="75"/>
      <c r="H742" s="73"/>
      <c r="I742" s="75"/>
      <c r="J742" s="75"/>
      <c r="K742" s="75"/>
      <c r="L742" s="73"/>
      <c r="M742" s="78" t="str">
        <f aca="false">IF(OR(E742="",F742=""),"",MAX(0,((F742-E742-N(G742))*1440-N(H742)*10)/60))</f>
        <v/>
      </c>
      <c r="N742" s="78" t="str">
        <f aca="false">IF($D742="欠席",0,IF(OR(I742="",J742=""),"",MAX(0,((J742-I742-N(K742))*1440-N(L742)*10)/60)))</f>
        <v/>
      </c>
      <c r="O742" s="73"/>
    </row>
    <row r="743" customFormat="false" ht="15" hidden="false" customHeight="false" outlineLevel="0" collapsed="false">
      <c r="A743" s="77"/>
      <c r="B743" s="73"/>
      <c r="C743" s="71" t="str">
        <f aca="false">IF(B743="","",IFERROR(INDEX(マスタ!$F$2:$F$60,MATCH(B743,マスタ!$E$2:$E$60,0))&amp;"",""))</f>
        <v/>
      </c>
      <c r="D743" s="73"/>
      <c r="E743" s="75"/>
      <c r="F743" s="75"/>
      <c r="G743" s="75"/>
      <c r="H743" s="73"/>
      <c r="I743" s="75"/>
      <c r="J743" s="75"/>
      <c r="K743" s="75"/>
      <c r="L743" s="73"/>
      <c r="M743" s="78" t="str">
        <f aca="false">IF(OR(E743="",F743=""),"",MAX(0,((F743-E743-N(G743))*1440-N(H743)*10)/60))</f>
        <v/>
      </c>
      <c r="N743" s="78" t="str">
        <f aca="false">IF($D743="欠席",0,IF(OR(I743="",J743=""),"",MAX(0,((J743-I743-N(K743))*1440-N(L743)*10)/60)))</f>
        <v/>
      </c>
      <c r="O743" s="73"/>
    </row>
    <row r="744" customFormat="false" ht="15" hidden="false" customHeight="false" outlineLevel="0" collapsed="false">
      <c r="A744" s="77"/>
      <c r="B744" s="73"/>
      <c r="C744" s="71" t="str">
        <f aca="false">IF(B744="","",IFERROR(INDEX(マスタ!$F$2:$F$60,MATCH(B744,マスタ!$E$2:$E$60,0))&amp;"",""))</f>
        <v/>
      </c>
      <c r="D744" s="73"/>
      <c r="E744" s="75"/>
      <c r="F744" s="75"/>
      <c r="G744" s="75"/>
      <c r="H744" s="73"/>
      <c r="I744" s="75"/>
      <c r="J744" s="75"/>
      <c r="K744" s="75"/>
      <c r="L744" s="73"/>
      <c r="M744" s="78" t="str">
        <f aca="false">IF(OR(E744="",F744=""),"",MAX(0,((F744-E744-N(G744))*1440-N(H744)*10)/60))</f>
        <v/>
      </c>
      <c r="N744" s="78" t="str">
        <f aca="false">IF($D744="欠席",0,IF(OR(I744="",J744=""),"",MAX(0,((J744-I744-N(K744))*1440-N(L744)*10)/60)))</f>
        <v/>
      </c>
      <c r="O744" s="73"/>
    </row>
    <row r="745" customFormat="false" ht="15" hidden="false" customHeight="false" outlineLevel="0" collapsed="false">
      <c r="A745" s="77"/>
      <c r="B745" s="73"/>
      <c r="C745" s="71" t="str">
        <f aca="false">IF(B745="","",IFERROR(INDEX(マスタ!$F$2:$F$60,MATCH(B745,マスタ!$E$2:$E$60,0))&amp;"",""))</f>
        <v/>
      </c>
      <c r="D745" s="73"/>
      <c r="E745" s="75"/>
      <c r="F745" s="75"/>
      <c r="G745" s="75"/>
      <c r="H745" s="73"/>
      <c r="I745" s="75"/>
      <c r="J745" s="75"/>
      <c r="K745" s="75"/>
      <c r="L745" s="73"/>
      <c r="M745" s="78" t="str">
        <f aca="false">IF(OR(E745="",F745=""),"",MAX(0,((F745-E745-N(G745))*1440-N(H745)*10)/60))</f>
        <v/>
      </c>
      <c r="N745" s="78" t="str">
        <f aca="false">IF($D745="欠席",0,IF(OR(I745="",J745=""),"",MAX(0,((J745-I745-N(K745))*1440-N(L745)*10)/60)))</f>
        <v/>
      </c>
      <c r="O745" s="73"/>
    </row>
    <row r="746" customFormat="false" ht="15" hidden="false" customHeight="false" outlineLevel="0" collapsed="false">
      <c r="A746" s="77"/>
      <c r="B746" s="73"/>
      <c r="C746" s="71" t="str">
        <f aca="false">IF(B746="","",IFERROR(INDEX(マスタ!$F$2:$F$60,MATCH(B746,マスタ!$E$2:$E$60,0))&amp;"",""))</f>
        <v/>
      </c>
      <c r="D746" s="73"/>
      <c r="E746" s="75"/>
      <c r="F746" s="75"/>
      <c r="G746" s="75"/>
      <c r="H746" s="73"/>
      <c r="I746" s="75"/>
      <c r="J746" s="75"/>
      <c r="K746" s="75"/>
      <c r="L746" s="73"/>
      <c r="M746" s="78" t="str">
        <f aca="false">IF(OR(E746="",F746=""),"",MAX(0,((F746-E746-N(G746))*1440-N(H746)*10)/60))</f>
        <v/>
      </c>
      <c r="N746" s="78" t="str">
        <f aca="false">IF($D746="欠席",0,IF(OR(I746="",J746=""),"",MAX(0,((J746-I746-N(K746))*1440-N(L746)*10)/60)))</f>
        <v/>
      </c>
      <c r="O746" s="73"/>
    </row>
    <row r="747" customFormat="false" ht="15" hidden="false" customHeight="false" outlineLevel="0" collapsed="false">
      <c r="A747" s="77"/>
      <c r="B747" s="73"/>
      <c r="C747" s="71" t="str">
        <f aca="false">IF(B747="","",IFERROR(INDEX(マスタ!$F$2:$F$60,MATCH(B747,マスタ!$E$2:$E$60,0))&amp;"",""))</f>
        <v/>
      </c>
      <c r="D747" s="73"/>
      <c r="E747" s="75"/>
      <c r="F747" s="75"/>
      <c r="G747" s="75"/>
      <c r="H747" s="73"/>
      <c r="I747" s="75"/>
      <c r="J747" s="75"/>
      <c r="K747" s="75"/>
      <c r="L747" s="73"/>
      <c r="M747" s="78" t="str">
        <f aca="false">IF(OR(E747="",F747=""),"",MAX(0,((F747-E747-N(G747))*1440-N(H747)*10)/60))</f>
        <v/>
      </c>
      <c r="N747" s="78" t="str">
        <f aca="false">IF($D747="欠席",0,IF(OR(I747="",J747=""),"",MAX(0,((J747-I747-N(K747))*1440-N(L747)*10)/60)))</f>
        <v/>
      </c>
      <c r="O747" s="73"/>
    </row>
    <row r="748" customFormat="false" ht="15" hidden="false" customHeight="false" outlineLevel="0" collapsed="false">
      <c r="A748" s="77"/>
      <c r="B748" s="73"/>
      <c r="C748" s="71" t="str">
        <f aca="false">IF(B748="","",IFERROR(INDEX(マスタ!$F$2:$F$60,MATCH(B748,マスタ!$E$2:$E$60,0))&amp;"",""))</f>
        <v/>
      </c>
      <c r="D748" s="73"/>
      <c r="E748" s="75"/>
      <c r="F748" s="75"/>
      <c r="G748" s="75"/>
      <c r="H748" s="73"/>
      <c r="I748" s="75"/>
      <c r="J748" s="75"/>
      <c r="K748" s="75"/>
      <c r="L748" s="73"/>
      <c r="M748" s="78" t="str">
        <f aca="false">IF(OR(E748="",F748=""),"",MAX(0,((F748-E748-N(G748))*1440-N(H748)*10)/60))</f>
        <v/>
      </c>
      <c r="N748" s="78" t="str">
        <f aca="false">IF($D748="欠席",0,IF(OR(I748="",J748=""),"",MAX(0,((J748-I748-N(K748))*1440-N(L748)*10)/60)))</f>
        <v/>
      </c>
      <c r="O748" s="73"/>
    </row>
    <row r="749" customFormat="false" ht="15" hidden="false" customHeight="false" outlineLevel="0" collapsed="false">
      <c r="A749" s="77"/>
      <c r="B749" s="73"/>
      <c r="C749" s="71" t="str">
        <f aca="false">IF(B749="","",IFERROR(INDEX(マスタ!$F$2:$F$60,MATCH(B749,マスタ!$E$2:$E$60,0))&amp;"",""))</f>
        <v/>
      </c>
      <c r="D749" s="73"/>
      <c r="E749" s="75"/>
      <c r="F749" s="75"/>
      <c r="G749" s="75"/>
      <c r="H749" s="73"/>
      <c r="I749" s="75"/>
      <c r="J749" s="75"/>
      <c r="K749" s="75"/>
      <c r="L749" s="73"/>
      <c r="M749" s="78" t="str">
        <f aca="false">IF(OR(E749="",F749=""),"",MAX(0,((F749-E749-N(G749))*1440-N(H749)*10)/60))</f>
        <v/>
      </c>
      <c r="N749" s="78" t="str">
        <f aca="false">IF($D749="欠席",0,IF(OR(I749="",J749=""),"",MAX(0,((J749-I749-N(K749))*1440-N(L749)*10)/60)))</f>
        <v/>
      </c>
      <c r="O749" s="73"/>
    </row>
    <row r="750" customFormat="false" ht="15" hidden="false" customHeight="false" outlineLevel="0" collapsed="false">
      <c r="A750" s="77"/>
      <c r="B750" s="73"/>
      <c r="C750" s="71" t="str">
        <f aca="false">IF(B750="","",IFERROR(INDEX(マスタ!$F$2:$F$60,MATCH(B750,マスタ!$E$2:$E$60,0))&amp;"",""))</f>
        <v/>
      </c>
      <c r="D750" s="73"/>
      <c r="E750" s="75"/>
      <c r="F750" s="75"/>
      <c r="G750" s="75"/>
      <c r="H750" s="73"/>
      <c r="I750" s="75"/>
      <c r="J750" s="75"/>
      <c r="K750" s="75"/>
      <c r="L750" s="73"/>
      <c r="M750" s="78" t="str">
        <f aca="false">IF(OR(E750="",F750=""),"",MAX(0,((F750-E750-N(G750))*1440-N(H750)*10)/60))</f>
        <v/>
      </c>
      <c r="N750" s="78" t="str">
        <f aca="false">IF($D750="欠席",0,IF(OR(I750="",J750=""),"",MAX(0,((J750-I750-N(K750))*1440-N(L750)*10)/60)))</f>
        <v/>
      </c>
      <c r="O750" s="73"/>
    </row>
    <row r="751" customFormat="false" ht="15" hidden="false" customHeight="false" outlineLevel="0" collapsed="false">
      <c r="A751" s="77"/>
      <c r="B751" s="73"/>
      <c r="C751" s="71" t="str">
        <f aca="false">IF(B751="","",IFERROR(INDEX(マスタ!$F$2:$F$60,MATCH(B751,マスタ!$E$2:$E$60,0))&amp;"",""))</f>
        <v/>
      </c>
      <c r="D751" s="73"/>
      <c r="E751" s="75"/>
      <c r="F751" s="75"/>
      <c r="G751" s="75"/>
      <c r="H751" s="73"/>
      <c r="I751" s="75"/>
      <c r="J751" s="75"/>
      <c r="K751" s="75"/>
      <c r="L751" s="73"/>
      <c r="M751" s="78" t="str">
        <f aca="false">IF(OR(E751="",F751=""),"",MAX(0,((F751-E751-N(G751))*1440-N(H751)*10)/60))</f>
        <v/>
      </c>
      <c r="N751" s="78" t="str">
        <f aca="false">IF($D751="欠席",0,IF(OR(I751="",J751=""),"",MAX(0,((J751-I751-N(K751))*1440-N(L751)*10)/60)))</f>
        <v/>
      </c>
      <c r="O751" s="73"/>
    </row>
    <row r="752" customFormat="false" ht="15" hidden="false" customHeight="false" outlineLevel="0" collapsed="false">
      <c r="A752" s="77"/>
      <c r="B752" s="73"/>
      <c r="C752" s="71" t="str">
        <f aca="false">IF(B752="","",IFERROR(INDEX(マスタ!$F$2:$F$60,MATCH(B752,マスタ!$E$2:$E$60,0))&amp;"",""))</f>
        <v/>
      </c>
      <c r="D752" s="73"/>
      <c r="E752" s="75"/>
      <c r="F752" s="75"/>
      <c r="G752" s="75"/>
      <c r="H752" s="73"/>
      <c r="I752" s="75"/>
      <c r="J752" s="75"/>
      <c r="K752" s="75"/>
      <c r="L752" s="73"/>
      <c r="M752" s="78" t="str">
        <f aca="false">IF(OR(E752="",F752=""),"",MAX(0,((F752-E752-N(G752))*1440-N(H752)*10)/60))</f>
        <v/>
      </c>
      <c r="N752" s="78" t="str">
        <f aca="false">IF($D752="欠席",0,IF(OR(I752="",J752=""),"",MAX(0,((J752-I752-N(K752))*1440-N(L752)*10)/60)))</f>
        <v/>
      </c>
      <c r="O752" s="73"/>
    </row>
    <row r="753" customFormat="false" ht="15" hidden="false" customHeight="false" outlineLevel="0" collapsed="false">
      <c r="A753" s="77"/>
      <c r="B753" s="73"/>
      <c r="C753" s="71" t="str">
        <f aca="false">IF(B753="","",IFERROR(INDEX(マスタ!$F$2:$F$60,MATCH(B753,マスタ!$E$2:$E$60,0))&amp;"",""))</f>
        <v/>
      </c>
      <c r="D753" s="73"/>
      <c r="E753" s="75"/>
      <c r="F753" s="75"/>
      <c r="G753" s="75"/>
      <c r="H753" s="73"/>
      <c r="I753" s="75"/>
      <c r="J753" s="75"/>
      <c r="K753" s="75"/>
      <c r="L753" s="73"/>
      <c r="M753" s="78" t="str">
        <f aca="false">IF(OR(E753="",F753=""),"",MAX(0,((F753-E753-N(G753))*1440-N(H753)*10)/60))</f>
        <v/>
      </c>
      <c r="N753" s="78" t="str">
        <f aca="false">IF($D753="欠席",0,IF(OR(I753="",J753=""),"",MAX(0,((J753-I753-N(K753))*1440-N(L753)*10)/60)))</f>
        <v/>
      </c>
      <c r="O753" s="73"/>
    </row>
    <row r="754" customFormat="false" ht="15" hidden="false" customHeight="false" outlineLevel="0" collapsed="false">
      <c r="A754" s="77"/>
      <c r="B754" s="73"/>
      <c r="C754" s="71" t="str">
        <f aca="false">IF(B754="","",IFERROR(INDEX(マスタ!$F$2:$F$60,MATCH(B754,マスタ!$E$2:$E$60,0))&amp;"",""))</f>
        <v/>
      </c>
      <c r="D754" s="73"/>
      <c r="E754" s="75"/>
      <c r="F754" s="75"/>
      <c r="G754" s="75"/>
      <c r="H754" s="73"/>
      <c r="I754" s="75"/>
      <c r="J754" s="75"/>
      <c r="K754" s="75"/>
      <c r="L754" s="73"/>
      <c r="M754" s="78" t="str">
        <f aca="false">IF(OR(E754="",F754=""),"",MAX(0,((F754-E754-N(G754))*1440-N(H754)*10)/60))</f>
        <v/>
      </c>
      <c r="N754" s="78" t="str">
        <f aca="false">IF($D754="欠席",0,IF(OR(I754="",J754=""),"",MAX(0,((J754-I754-N(K754))*1440-N(L754)*10)/60)))</f>
        <v/>
      </c>
      <c r="O754" s="73"/>
    </row>
    <row r="755" customFormat="false" ht="15" hidden="false" customHeight="false" outlineLevel="0" collapsed="false">
      <c r="A755" s="77"/>
      <c r="B755" s="73"/>
      <c r="C755" s="71" t="str">
        <f aca="false">IF(B755="","",IFERROR(INDEX(マスタ!$F$2:$F$60,MATCH(B755,マスタ!$E$2:$E$60,0))&amp;"",""))</f>
        <v/>
      </c>
      <c r="D755" s="73"/>
      <c r="E755" s="75"/>
      <c r="F755" s="75"/>
      <c r="G755" s="75"/>
      <c r="H755" s="73"/>
      <c r="I755" s="75"/>
      <c r="J755" s="75"/>
      <c r="K755" s="75"/>
      <c r="L755" s="73"/>
      <c r="M755" s="78" t="str">
        <f aca="false">IF(OR(E755="",F755=""),"",MAX(0,((F755-E755-N(G755))*1440-N(H755)*10)/60))</f>
        <v/>
      </c>
      <c r="N755" s="78" t="str">
        <f aca="false">IF($D755="欠席",0,IF(OR(I755="",J755=""),"",MAX(0,((J755-I755-N(K755))*1440-N(L755)*10)/60)))</f>
        <v/>
      </c>
      <c r="O755" s="73"/>
    </row>
    <row r="756" customFormat="false" ht="15" hidden="false" customHeight="false" outlineLevel="0" collapsed="false">
      <c r="A756" s="77"/>
      <c r="B756" s="73"/>
      <c r="C756" s="71" t="str">
        <f aca="false">IF(B756="","",IFERROR(INDEX(マスタ!$F$2:$F$60,MATCH(B756,マスタ!$E$2:$E$60,0))&amp;"",""))</f>
        <v/>
      </c>
      <c r="D756" s="73"/>
      <c r="E756" s="75"/>
      <c r="F756" s="75"/>
      <c r="G756" s="75"/>
      <c r="H756" s="73"/>
      <c r="I756" s="75"/>
      <c r="J756" s="75"/>
      <c r="K756" s="75"/>
      <c r="L756" s="73"/>
      <c r="M756" s="78" t="str">
        <f aca="false">IF(OR(E756="",F756=""),"",MAX(0,((F756-E756-N(G756))*1440-N(H756)*10)/60))</f>
        <v/>
      </c>
      <c r="N756" s="78" t="str">
        <f aca="false">IF($D756="欠席",0,IF(OR(I756="",J756=""),"",MAX(0,((J756-I756-N(K756))*1440-N(L756)*10)/60)))</f>
        <v/>
      </c>
      <c r="O756" s="73"/>
    </row>
    <row r="757" customFormat="false" ht="15" hidden="false" customHeight="false" outlineLevel="0" collapsed="false">
      <c r="A757" s="77"/>
      <c r="B757" s="73"/>
      <c r="C757" s="71" t="str">
        <f aca="false">IF(B757="","",IFERROR(INDEX(マスタ!$F$2:$F$60,MATCH(B757,マスタ!$E$2:$E$60,0))&amp;"",""))</f>
        <v/>
      </c>
      <c r="D757" s="73"/>
      <c r="E757" s="75"/>
      <c r="F757" s="75"/>
      <c r="G757" s="75"/>
      <c r="H757" s="73"/>
      <c r="I757" s="75"/>
      <c r="J757" s="75"/>
      <c r="K757" s="75"/>
      <c r="L757" s="73"/>
      <c r="M757" s="78" t="str">
        <f aca="false">IF(OR(E757="",F757=""),"",MAX(0,((F757-E757-N(G757))*1440-N(H757)*10)/60))</f>
        <v/>
      </c>
      <c r="N757" s="78" t="str">
        <f aca="false">IF($D757="欠席",0,IF(OR(I757="",J757=""),"",MAX(0,((J757-I757-N(K757))*1440-N(L757)*10)/60)))</f>
        <v/>
      </c>
      <c r="O757" s="73"/>
    </row>
    <row r="758" customFormat="false" ht="15" hidden="false" customHeight="false" outlineLevel="0" collapsed="false">
      <c r="A758" s="77"/>
      <c r="B758" s="73"/>
      <c r="C758" s="71" t="str">
        <f aca="false">IF(B758="","",IFERROR(INDEX(マスタ!$F$2:$F$60,MATCH(B758,マスタ!$E$2:$E$60,0))&amp;"",""))</f>
        <v/>
      </c>
      <c r="D758" s="73"/>
      <c r="E758" s="75"/>
      <c r="F758" s="75"/>
      <c r="G758" s="75"/>
      <c r="H758" s="73"/>
      <c r="I758" s="75"/>
      <c r="J758" s="75"/>
      <c r="K758" s="75"/>
      <c r="L758" s="73"/>
      <c r="M758" s="78" t="str">
        <f aca="false">IF(OR(E758="",F758=""),"",MAX(0,((F758-E758-N(G758))*1440-N(H758)*10)/60))</f>
        <v/>
      </c>
      <c r="N758" s="78" t="str">
        <f aca="false">IF($D758="欠席",0,IF(OR(I758="",J758=""),"",MAX(0,((J758-I758-N(K758))*1440-N(L758)*10)/60)))</f>
        <v/>
      </c>
      <c r="O758" s="73"/>
    </row>
    <row r="759" customFormat="false" ht="15" hidden="false" customHeight="false" outlineLevel="0" collapsed="false">
      <c r="A759" s="77"/>
      <c r="B759" s="73"/>
      <c r="C759" s="71" t="str">
        <f aca="false">IF(B759="","",IFERROR(INDEX(マスタ!$F$2:$F$60,MATCH(B759,マスタ!$E$2:$E$60,0))&amp;"",""))</f>
        <v/>
      </c>
      <c r="D759" s="73"/>
      <c r="E759" s="75"/>
      <c r="F759" s="75"/>
      <c r="G759" s="75"/>
      <c r="H759" s="73"/>
      <c r="I759" s="75"/>
      <c r="J759" s="75"/>
      <c r="K759" s="75"/>
      <c r="L759" s="73"/>
      <c r="M759" s="78" t="str">
        <f aca="false">IF(OR(E759="",F759=""),"",MAX(0,((F759-E759-N(G759))*1440-N(H759)*10)/60))</f>
        <v/>
      </c>
      <c r="N759" s="78" t="str">
        <f aca="false">IF($D759="欠席",0,IF(OR(I759="",J759=""),"",MAX(0,((J759-I759-N(K759))*1440-N(L759)*10)/60)))</f>
        <v/>
      </c>
      <c r="O759" s="73"/>
    </row>
    <row r="760" customFormat="false" ht="15" hidden="false" customHeight="false" outlineLevel="0" collapsed="false">
      <c r="A760" s="77"/>
      <c r="B760" s="73"/>
      <c r="C760" s="71" t="str">
        <f aca="false">IF(B760="","",IFERROR(INDEX(マスタ!$F$2:$F$60,MATCH(B760,マスタ!$E$2:$E$60,0))&amp;"",""))</f>
        <v/>
      </c>
      <c r="D760" s="73"/>
      <c r="E760" s="75"/>
      <c r="F760" s="75"/>
      <c r="G760" s="75"/>
      <c r="H760" s="73"/>
      <c r="I760" s="75"/>
      <c r="J760" s="75"/>
      <c r="K760" s="75"/>
      <c r="L760" s="73"/>
      <c r="M760" s="78" t="str">
        <f aca="false">IF(OR(E760="",F760=""),"",MAX(0,((F760-E760-N(G760))*1440-N(H760)*10)/60))</f>
        <v/>
      </c>
      <c r="N760" s="78" t="str">
        <f aca="false">IF($D760="欠席",0,IF(OR(I760="",J760=""),"",MAX(0,((J760-I760-N(K760))*1440-N(L760)*10)/60)))</f>
        <v/>
      </c>
      <c r="O760" s="73"/>
    </row>
    <row r="761" customFormat="false" ht="15" hidden="false" customHeight="false" outlineLevel="0" collapsed="false">
      <c r="A761" s="77"/>
      <c r="B761" s="73"/>
      <c r="C761" s="71" t="str">
        <f aca="false">IF(B761="","",IFERROR(INDEX(マスタ!$F$2:$F$60,MATCH(B761,マスタ!$E$2:$E$60,0))&amp;"",""))</f>
        <v/>
      </c>
      <c r="D761" s="73"/>
      <c r="E761" s="75"/>
      <c r="F761" s="75"/>
      <c r="G761" s="75"/>
      <c r="H761" s="73"/>
      <c r="I761" s="75"/>
      <c r="J761" s="75"/>
      <c r="K761" s="75"/>
      <c r="L761" s="73"/>
      <c r="M761" s="78" t="str">
        <f aca="false">IF(OR(E761="",F761=""),"",MAX(0,((F761-E761-N(G761))*1440-N(H761)*10)/60))</f>
        <v/>
      </c>
      <c r="N761" s="78" t="str">
        <f aca="false">IF($D761="欠席",0,IF(OR(I761="",J761=""),"",MAX(0,((J761-I761-N(K761))*1440-N(L761)*10)/60)))</f>
        <v/>
      </c>
      <c r="O761" s="73"/>
    </row>
    <row r="762" customFormat="false" ht="15" hidden="false" customHeight="false" outlineLevel="0" collapsed="false">
      <c r="A762" s="77"/>
      <c r="B762" s="73"/>
      <c r="C762" s="71" t="str">
        <f aca="false">IF(B762="","",IFERROR(INDEX(マスタ!$F$2:$F$60,MATCH(B762,マスタ!$E$2:$E$60,0))&amp;"",""))</f>
        <v/>
      </c>
      <c r="D762" s="73"/>
      <c r="E762" s="75"/>
      <c r="F762" s="75"/>
      <c r="G762" s="75"/>
      <c r="H762" s="73"/>
      <c r="I762" s="75"/>
      <c r="J762" s="75"/>
      <c r="K762" s="75"/>
      <c r="L762" s="73"/>
      <c r="M762" s="78" t="str">
        <f aca="false">IF(OR(E762="",F762=""),"",MAX(0,((F762-E762-N(G762))*1440-N(H762)*10)/60))</f>
        <v/>
      </c>
      <c r="N762" s="78" t="str">
        <f aca="false">IF($D762="欠席",0,IF(OR(I762="",J762=""),"",MAX(0,((J762-I762-N(K762))*1440-N(L762)*10)/60)))</f>
        <v/>
      </c>
      <c r="O762" s="73"/>
    </row>
    <row r="763" customFormat="false" ht="15" hidden="false" customHeight="false" outlineLevel="0" collapsed="false">
      <c r="A763" s="77"/>
      <c r="B763" s="73"/>
      <c r="C763" s="71" t="str">
        <f aca="false">IF(B763="","",IFERROR(INDEX(マスタ!$F$2:$F$60,MATCH(B763,マスタ!$E$2:$E$60,0))&amp;"",""))</f>
        <v/>
      </c>
      <c r="D763" s="73"/>
      <c r="E763" s="75"/>
      <c r="F763" s="75"/>
      <c r="G763" s="75"/>
      <c r="H763" s="73"/>
      <c r="I763" s="75"/>
      <c r="J763" s="75"/>
      <c r="K763" s="75"/>
      <c r="L763" s="73"/>
      <c r="M763" s="78" t="str">
        <f aca="false">IF(OR(E763="",F763=""),"",MAX(0,((F763-E763-N(G763))*1440-N(H763)*10)/60))</f>
        <v/>
      </c>
      <c r="N763" s="78" t="str">
        <f aca="false">IF($D763="欠席",0,IF(OR(I763="",J763=""),"",MAX(0,((J763-I763-N(K763))*1440-N(L763)*10)/60)))</f>
        <v/>
      </c>
      <c r="O763" s="73"/>
    </row>
    <row r="764" customFormat="false" ht="15" hidden="false" customHeight="false" outlineLevel="0" collapsed="false">
      <c r="A764" s="77"/>
      <c r="B764" s="73"/>
      <c r="C764" s="71" t="str">
        <f aca="false">IF(B764="","",IFERROR(INDEX(マスタ!$F$2:$F$60,MATCH(B764,マスタ!$E$2:$E$60,0))&amp;"",""))</f>
        <v/>
      </c>
      <c r="D764" s="73"/>
      <c r="E764" s="75"/>
      <c r="F764" s="75"/>
      <c r="G764" s="75"/>
      <c r="H764" s="73"/>
      <c r="I764" s="75"/>
      <c r="J764" s="75"/>
      <c r="K764" s="75"/>
      <c r="L764" s="73"/>
      <c r="M764" s="78" t="str">
        <f aca="false">IF(OR(E764="",F764=""),"",MAX(0,((F764-E764-N(G764))*1440-N(H764)*10)/60))</f>
        <v/>
      </c>
      <c r="N764" s="78" t="str">
        <f aca="false">IF($D764="欠席",0,IF(OR(I764="",J764=""),"",MAX(0,((J764-I764-N(K764))*1440-N(L764)*10)/60)))</f>
        <v/>
      </c>
      <c r="O764" s="73"/>
    </row>
    <row r="765" customFormat="false" ht="15" hidden="false" customHeight="false" outlineLevel="0" collapsed="false">
      <c r="A765" s="77"/>
      <c r="B765" s="73"/>
      <c r="C765" s="71" t="str">
        <f aca="false">IF(B765="","",IFERROR(INDEX(マスタ!$F$2:$F$60,MATCH(B765,マスタ!$E$2:$E$60,0))&amp;"",""))</f>
        <v/>
      </c>
      <c r="D765" s="73"/>
      <c r="E765" s="75"/>
      <c r="F765" s="75"/>
      <c r="G765" s="75"/>
      <c r="H765" s="73"/>
      <c r="I765" s="75"/>
      <c r="J765" s="75"/>
      <c r="K765" s="75"/>
      <c r="L765" s="73"/>
      <c r="M765" s="78" t="str">
        <f aca="false">IF(OR(E765="",F765=""),"",MAX(0,((F765-E765-N(G765))*1440-N(H765)*10)/60))</f>
        <v/>
      </c>
      <c r="N765" s="78" t="str">
        <f aca="false">IF($D765="欠席",0,IF(OR(I765="",J765=""),"",MAX(0,((J765-I765-N(K765))*1440-N(L765)*10)/60)))</f>
        <v/>
      </c>
      <c r="O765" s="73"/>
    </row>
    <row r="766" customFormat="false" ht="15" hidden="false" customHeight="false" outlineLevel="0" collapsed="false">
      <c r="A766" s="77"/>
      <c r="B766" s="73"/>
      <c r="C766" s="71" t="str">
        <f aca="false">IF(B766="","",IFERROR(INDEX(マスタ!$F$2:$F$60,MATCH(B766,マスタ!$E$2:$E$60,0))&amp;"",""))</f>
        <v/>
      </c>
      <c r="D766" s="73"/>
      <c r="E766" s="75"/>
      <c r="F766" s="75"/>
      <c r="G766" s="75"/>
      <c r="H766" s="73"/>
      <c r="I766" s="75"/>
      <c r="J766" s="75"/>
      <c r="K766" s="75"/>
      <c r="L766" s="73"/>
      <c r="M766" s="78" t="str">
        <f aca="false">IF(OR(E766="",F766=""),"",MAX(0,((F766-E766-N(G766))*1440-N(H766)*10)/60))</f>
        <v/>
      </c>
      <c r="N766" s="78" t="str">
        <f aca="false">IF($D766="欠席",0,IF(OR(I766="",J766=""),"",MAX(0,((J766-I766-N(K766))*1440-N(L766)*10)/60)))</f>
        <v/>
      </c>
      <c r="O766" s="73"/>
    </row>
    <row r="767" customFormat="false" ht="15" hidden="false" customHeight="false" outlineLevel="0" collapsed="false">
      <c r="A767" s="77"/>
      <c r="B767" s="73"/>
      <c r="C767" s="71" t="str">
        <f aca="false">IF(B767="","",IFERROR(INDEX(マスタ!$F$2:$F$60,MATCH(B767,マスタ!$E$2:$E$60,0))&amp;"",""))</f>
        <v/>
      </c>
      <c r="D767" s="73"/>
      <c r="E767" s="75"/>
      <c r="F767" s="75"/>
      <c r="G767" s="75"/>
      <c r="H767" s="73"/>
      <c r="I767" s="75"/>
      <c r="J767" s="75"/>
      <c r="K767" s="75"/>
      <c r="L767" s="73"/>
      <c r="M767" s="78" t="str">
        <f aca="false">IF(OR(E767="",F767=""),"",MAX(0,((F767-E767-N(G767))*1440-N(H767)*10)/60))</f>
        <v/>
      </c>
      <c r="N767" s="78" t="str">
        <f aca="false">IF($D767="欠席",0,IF(OR(I767="",J767=""),"",MAX(0,((J767-I767-N(K767))*1440-N(L767)*10)/60)))</f>
        <v/>
      </c>
      <c r="O767" s="73"/>
    </row>
    <row r="768" customFormat="false" ht="15" hidden="false" customHeight="false" outlineLevel="0" collapsed="false">
      <c r="A768" s="77"/>
      <c r="B768" s="73"/>
      <c r="C768" s="71" t="str">
        <f aca="false">IF(B768="","",IFERROR(INDEX(マスタ!$F$2:$F$60,MATCH(B768,マスタ!$E$2:$E$60,0))&amp;"",""))</f>
        <v/>
      </c>
      <c r="D768" s="73"/>
      <c r="E768" s="75"/>
      <c r="F768" s="75"/>
      <c r="G768" s="75"/>
      <c r="H768" s="73"/>
      <c r="I768" s="75"/>
      <c r="J768" s="75"/>
      <c r="K768" s="75"/>
      <c r="L768" s="73"/>
      <c r="M768" s="78" t="str">
        <f aca="false">IF(OR(E768="",F768=""),"",MAX(0,((F768-E768-N(G768))*1440-N(H768)*10)/60))</f>
        <v/>
      </c>
      <c r="N768" s="78" t="str">
        <f aca="false">IF($D768="欠席",0,IF(OR(I768="",J768=""),"",MAX(0,((J768-I768-N(K768))*1440-N(L768)*10)/60)))</f>
        <v/>
      </c>
      <c r="O768" s="73"/>
    </row>
    <row r="769" customFormat="false" ht="15" hidden="false" customHeight="false" outlineLevel="0" collapsed="false">
      <c r="A769" s="77"/>
      <c r="B769" s="73"/>
      <c r="C769" s="71" t="str">
        <f aca="false">IF(B769="","",IFERROR(INDEX(マスタ!$F$2:$F$60,MATCH(B769,マスタ!$E$2:$E$60,0))&amp;"",""))</f>
        <v/>
      </c>
      <c r="D769" s="73"/>
      <c r="E769" s="75"/>
      <c r="F769" s="75"/>
      <c r="G769" s="75"/>
      <c r="H769" s="73"/>
      <c r="I769" s="75"/>
      <c r="J769" s="75"/>
      <c r="K769" s="75"/>
      <c r="L769" s="73"/>
      <c r="M769" s="78" t="str">
        <f aca="false">IF(OR(E769="",F769=""),"",MAX(0,((F769-E769-N(G769))*1440-N(H769)*10)/60))</f>
        <v/>
      </c>
      <c r="N769" s="78" t="str">
        <f aca="false">IF($D769="欠席",0,IF(OR(I769="",J769=""),"",MAX(0,((J769-I769-N(K769))*1440-N(L769)*10)/60)))</f>
        <v/>
      </c>
      <c r="O769" s="73"/>
    </row>
    <row r="770" customFormat="false" ht="15" hidden="false" customHeight="false" outlineLevel="0" collapsed="false">
      <c r="A770" s="77"/>
      <c r="B770" s="73"/>
      <c r="C770" s="71" t="str">
        <f aca="false">IF(B770="","",IFERROR(INDEX(マスタ!$F$2:$F$60,MATCH(B770,マスタ!$E$2:$E$60,0))&amp;"",""))</f>
        <v/>
      </c>
      <c r="D770" s="73"/>
      <c r="E770" s="75"/>
      <c r="F770" s="75"/>
      <c r="G770" s="75"/>
      <c r="H770" s="73"/>
      <c r="I770" s="75"/>
      <c r="J770" s="75"/>
      <c r="K770" s="75"/>
      <c r="L770" s="73"/>
      <c r="M770" s="78" t="str">
        <f aca="false">IF(OR(E770="",F770=""),"",MAX(0,((F770-E770-N(G770))*1440-N(H770)*10)/60))</f>
        <v/>
      </c>
      <c r="N770" s="78" t="str">
        <f aca="false">IF($D770="欠席",0,IF(OR(I770="",J770=""),"",MAX(0,((J770-I770-N(K770))*1440-N(L770)*10)/60)))</f>
        <v/>
      </c>
      <c r="O770" s="73"/>
    </row>
    <row r="771" customFormat="false" ht="15" hidden="false" customHeight="false" outlineLevel="0" collapsed="false">
      <c r="A771" s="77"/>
      <c r="B771" s="73"/>
      <c r="C771" s="71" t="str">
        <f aca="false">IF(B771="","",IFERROR(INDEX(マスタ!$F$2:$F$60,MATCH(B771,マスタ!$E$2:$E$60,0))&amp;"",""))</f>
        <v/>
      </c>
      <c r="D771" s="73"/>
      <c r="E771" s="75"/>
      <c r="F771" s="75"/>
      <c r="G771" s="75"/>
      <c r="H771" s="73"/>
      <c r="I771" s="75"/>
      <c r="J771" s="75"/>
      <c r="K771" s="75"/>
      <c r="L771" s="73"/>
      <c r="M771" s="78" t="str">
        <f aca="false">IF(OR(E771="",F771=""),"",MAX(0,((F771-E771-N(G771))*1440-N(H771)*10)/60))</f>
        <v/>
      </c>
      <c r="N771" s="78" t="str">
        <f aca="false">IF($D771="欠席",0,IF(OR(I771="",J771=""),"",MAX(0,((J771-I771-N(K771))*1440-N(L771)*10)/60)))</f>
        <v/>
      </c>
      <c r="O771" s="73"/>
    </row>
    <row r="772" customFormat="false" ht="15" hidden="false" customHeight="false" outlineLevel="0" collapsed="false">
      <c r="A772" s="77"/>
      <c r="B772" s="73"/>
      <c r="C772" s="71" t="str">
        <f aca="false">IF(B772="","",IFERROR(INDEX(マスタ!$F$2:$F$60,MATCH(B772,マスタ!$E$2:$E$60,0))&amp;"",""))</f>
        <v/>
      </c>
      <c r="D772" s="73"/>
      <c r="E772" s="75"/>
      <c r="F772" s="75"/>
      <c r="G772" s="75"/>
      <c r="H772" s="73"/>
      <c r="I772" s="75"/>
      <c r="J772" s="75"/>
      <c r="K772" s="75"/>
      <c r="L772" s="73"/>
      <c r="M772" s="78" t="str">
        <f aca="false">IF(OR(E772="",F772=""),"",MAX(0,((F772-E772-N(G772))*1440-N(H772)*10)/60))</f>
        <v/>
      </c>
      <c r="N772" s="78" t="str">
        <f aca="false">IF($D772="欠席",0,IF(OR(I772="",J772=""),"",MAX(0,((J772-I772-N(K772))*1440-N(L772)*10)/60)))</f>
        <v/>
      </c>
      <c r="O772" s="73"/>
    </row>
    <row r="773" customFormat="false" ht="15" hidden="false" customHeight="false" outlineLevel="0" collapsed="false">
      <c r="A773" s="77"/>
      <c r="B773" s="73"/>
      <c r="C773" s="71" t="str">
        <f aca="false">IF(B773="","",IFERROR(INDEX(マスタ!$F$2:$F$60,MATCH(B773,マスタ!$E$2:$E$60,0))&amp;"",""))</f>
        <v/>
      </c>
      <c r="D773" s="73"/>
      <c r="E773" s="75"/>
      <c r="F773" s="75"/>
      <c r="G773" s="75"/>
      <c r="H773" s="73"/>
      <c r="I773" s="75"/>
      <c r="J773" s="75"/>
      <c r="K773" s="75"/>
      <c r="L773" s="73"/>
      <c r="M773" s="78" t="str">
        <f aca="false">IF(OR(E773="",F773=""),"",MAX(0,((F773-E773-N(G773))*1440-N(H773)*10)/60))</f>
        <v/>
      </c>
      <c r="N773" s="78" t="str">
        <f aca="false">IF($D773="欠席",0,IF(OR(I773="",J773=""),"",MAX(0,((J773-I773-N(K773))*1440-N(L773)*10)/60)))</f>
        <v/>
      </c>
      <c r="O773" s="73"/>
    </row>
    <row r="774" customFormat="false" ht="15" hidden="false" customHeight="false" outlineLevel="0" collapsed="false">
      <c r="A774" s="77"/>
      <c r="B774" s="73"/>
      <c r="C774" s="71" t="str">
        <f aca="false">IF(B774="","",IFERROR(INDEX(マスタ!$F$2:$F$60,MATCH(B774,マスタ!$E$2:$E$60,0))&amp;"",""))</f>
        <v/>
      </c>
      <c r="D774" s="73"/>
      <c r="E774" s="75"/>
      <c r="F774" s="75"/>
      <c r="G774" s="75"/>
      <c r="H774" s="73"/>
      <c r="I774" s="75"/>
      <c r="J774" s="75"/>
      <c r="K774" s="75"/>
      <c r="L774" s="73"/>
      <c r="M774" s="78" t="str">
        <f aca="false">IF(OR(E774="",F774=""),"",MAX(0,((F774-E774-N(G774))*1440-N(H774)*10)/60))</f>
        <v/>
      </c>
      <c r="N774" s="78" t="str">
        <f aca="false">IF($D774="欠席",0,IF(OR(I774="",J774=""),"",MAX(0,((J774-I774-N(K774))*1440-N(L774)*10)/60)))</f>
        <v/>
      </c>
      <c r="O774" s="73"/>
    </row>
    <row r="775" customFormat="false" ht="15" hidden="false" customHeight="false" outlineLevel="0" collapsed="false">
      <c r="A775" s="77"/>
      <c r="B775" s="73"/>
      <c r="C775" s="71" t="str">
        <f aca="false">IF(B775="","",IFERROR(INDEX(マスタ!$F$2:$F$60,MATCH(B775,マスタ!$E$2:$E$60,0))&amp;"",""))</f>
        <v/>
      </c>
      <c r="D775" s="73"/>
      <c r="E775" s="75"/>
      <c r="F775" s="75"/>
      <c r="G775" s="75"/>
      <c r="H775" s="73"/>
      <c r="I775" s="75"/>
      <c r="J775" s="75"/>
      <c r="K775" s="75"/>
      <c r="L775" s="73"/>
      <c r="M775" s="78" t="str">
        <f aca="false">IF(OR(E775="",F775=""),"",MAX(0,((F775-E775-N(G775))*1440-N(H775)*10)/60))</f>
        <v/>
      </c>
      <c r="N775" s="78" t="str">
        <f aca="false">IF($D775="欠席",0,IF(OR(I775="",J775=""),"",MAX(0,((J775-I775-N(K775))*1440-N(L775)*10)/60)))</f>
        <v/>
      </c>
      <c r="O775" s="73"/>
    </row>
    <row r="776" customFormat="false" ht="15" hidden="false" customHeight="false" outlineLevel="0" collapsed="false">
      <c r="A776" s="77"/>
      <c r="B776" s="73"/>
      <c r="C776" s="71" t="str">
        <f aca="false">IF(B776="","",IFERROR(INDEX(マスタ!$F$2:$F$60,MATCH(B776,マスタ!$E$2:$E$60,0))&amp;"",""))</f>
        <v/>
      </c>
      <c r="D776" s="73"/>
      <c r="E776" s="75"/>
      <c r="F776" s="75"/>
      <c r="G776" s="75"/>
      <c r="H776" s="73"/>
      <c r="I776" s="75"/>
      <c r="J776" s="75"/>
      <c r="K776" s="75"/>
      <c r="L776" s="73"/>
      <c r="M776" s="78" t="str">
        <f aca="false">IF(OR(E776="",F776=""),"",MAX(0,((F776-E776-N(G776))*1440-N(H776)*10)/60))</f>
        <v/>
      </c>
      <c r="N776" s="78" t="str">
        <f aca="false">IF($D776="欠席",0,IF(OR(I776="",J776=""),"",MAX(0,((J776-I776-N(K776))*1440-N(L776)*10)/60)))</f>
        <v/>
      </c>
      <c r="O776" s="73"/>
    </row>
    <row r="777" customFormat="false" ht="15" hidden="false" customHeight="false" outlineLevel="0" collapsed="false">
      <c r="A777" s="77"/>
      <c r="B777" s="73"/>
      <c r="C777" s="71" t="str">
        <f aca="false">IF(B777="","",IFERROR(INDEX(マスタ!$F$2:$F$60,MATCH(B777,マスタ!$E$2:$E$60,0))&amp;"",""))</f>
        <v/>
      </c>
      <c r="D777" s="73"/>
      <c r="E777" s="75"/>
      <c r="F777" s="75"/>
      <c r="G777" s="75"/>
      <c r="H777" s="73"/>
      <c r="I777" s="75"/>
      <c r="J777" s="75"/>
      <c r="K777" s="75"/>
      <c r="L777" s="73"/>
      <c r="M777" s="78" t="str">
        <f aca="false">IF(OR(E777="",F777=""),"",MAX(0,((F777-E777-N(G777))*1440-N(H777)*10)/60))</f>
        <v/>
      </c>
      <c r="N777" s="78" t="str">
        <f aca="false">IF($D777="欠席",0,IF(OR(I777="",J777=""),"",MAX(0,((J777-I777-N(K777))*1440-N(L777)*10)/60)))</f>
        <v/>
      </c>
      <c r="O777" s="73"/>
    </row>
    <row r="778" customFormat="false" ht="15" hidden="false" customHeight="false" outlineLevel="0" collapsed="false">
      <c r="A778" s="77"/>
      <c r="B778" s="73"/>
      <c r="C778" s="71" t="str">
        <f aca="false">IF(B778="","",IFERROR(INDEX(マスタ!$F$2:$F$60,MATCH(B778,マスタ!$E$2:$E$60,0))&amp;"",""))</f>
        <v/>
      </c>
      <c r="D778" s="73"/>
      <c r="E778" s="75"/>
      <c r="F778" s="75"/>
      <c r="G778" s="75"/>
      <c r="H778" s="73"/>
      <c r="I778" s="75"/>
      <c r="J778" s="75"/>
      <c r="K778" s="75"/>
      <c r="L778" s="73"/>
      <c r="M778" s="78" t="str">
        <f aca="false">IF(OR(E778="",F778=""),"",MAX(0,((F778-E778-N(G778))*1440-N(H778)*10)/60))</f>
        <v/>
      </c>
      <c r="N778" s="78" t="str">
        <f aca="false">IF($D778="欠席",0,IF(OR(I778="",J778=""),"",MAX(0,((J778-I778-N(K778))*1440-N(L778)*10)/60)))</f>
        <v/>
      </c>
      <c r="O778" s="73"/>
    </row>
    <row r="779" customFormat="false" ht="15" hidden="false" customHeight="false" outlineLevel="0" collapsed="false">
      <c r="A779" s="77"/>
      <c r="B779" s="73"/>
      <c r="C779" s="71" t="str">
        <f aca="false">IF(B779="","",IFERROR(INDEX(マスタ!$F$2:$F$60,MATCH(B779,マスタ!$E$2:$E$60,0))&amp;"",""))</f>
        <v/>
      </c>
      <c r="D779" s="73"/>
      <c r="E779" s="75"/>
      <c r="F779" s="75"/>
      <c r="G779" s="75"/>
      <c r="H779" s="73"/>
      <c r="I779" s="75"/>
      <c r="J779" s="75"/>
      <c r="K779" s="75"/>
      <c r="L779" s="73"/>
      <c r="M779" s="78" t="str">
        <f aca="false">IF(OR(E779="",F779=""),"",MAX(0,((F779-E779-N(G779))*1440-N(H779)*10)/60))</f>
        <v/>
      </c>
      <c r="N779" s="78" t="str">
        <f aca="false">IF($D779="欠席",0,IF(OR(I779="",J779=""),"",MAX(0,((J779-I779-N(K779))*1440-N(L779)*10)/60)))</f>
        <v/>
      </c>
      <c r="O779" s="73"/>
    </row>
    <row r="780" customFormat="false" ht="15" hidden="false" customHeight="false" outlineLevel="0" collapsed="false">
      <c r="A780" s="77"/>
      <c r="B780" s="73"/>
      <c r="C780" s="71" t="str">
        <f aca="false">IF(B780="","",IFERROR(INDEX(マスタ!$F$2:$F$60,MATCH(B780,マスタ!$E$2:$E$60,0))&amp;"",""))</f>
        <v/>
      </c>
      <c r="D780" s="73"/>
      <c r="E780" s="75"/>
      <c r="F780" s="75"/>
      <c r="G780" s="75"/>
      <c r="H780" s="73"/>
      <c r="I780" s="75"/>
      <c r="J780" s="75"/>
      <c r="K780" s="75"/>
      <c r="L780" s="73"/>
      <c r="M780" s="78" t="str">
        <f aca="false">IF(OR(E780="",F780=""),"",MAX(0,((F780-E780-N(G780))*1440-N(H780)*10)/60))</f>
        <v/>
      </c>
      <c r="N780" s="78" t="str">
        <f aca="false">IF($D780="欠席",0,IF(OR(I780="",J780=""),"",MAX(0,((J780-I780-N(K780))*1440-N(L780)*10)/60)))</f>
        <v/>
      </c>
      <c r="O780" s="73"/>
    </row>
    <row r="781" customFormat="false" ht="15" hidden="false" customHeight="false" outlineLevel="0" collapsed="false">
      <c r="A781" s="77"/>
      <c r="B781" s="73"/>
      <c r="C781" s="71" t="str">
        <f aca="false">IF(B781="","",IFERROR(INDEX(マスタ!$F$2:$F$60,MATCH(B781,マスタ!$E$2:$E$60,0))&amp;"",""))</f>
        <v/>
      </c>
      <c r="D781" s="73"/>
      <c r="E781" s="75"/>
      <c r="F781" s="75"/>
      <c r="G781" s="75"/>
      <c r="H781" s="73"/>
      <c r="I781" s="75"/>
      <c r="J781" s="75"/>
      <c r="K781" s="75"/>
      <c r="L781" s="73"/>
      <c r="M781" s="78" t="str">
        <f aca="false">IF(OR(E781="",F781=""),"",MAX(0,((F781-E781-N(G781))*1440-N(H781)*10)/60))</f>
        <v/>
      </c>
      <c r="N781" s="78" t="str">
        <f aca="false">IF($D781="欠席",0,IF(OR(I781="",J781=""),"",MAX(0,((J781-I781-N(K781))*1440-N(L781)*10)/60)))</f>
        <v/>
      </c>
      <c r="O781" s="73"/>
    </row>
    <row r="782" customFormat="false" ht="15" hidden="false" customHeight="false" outlineLevel="0" collapsed="false">
      <c r="A782" s="77"/>
      <c r="B782" s="73"/>
      <c r="C782" s="71" t="str">
        <f aca="false">IF(B782="","",IFERROR(INDEX(マスタ!$F$2:$F$60,MATCH(B782,マスタ!$E$2:$E$60,0))&amp;"",""))</f>
        <v/>
      </c>
      <c r="D782" s="73"/>
      <c r="E782" s="75"/>
      <c r="F782" s="75"/>
      <c r="G782" s="75"/>
      <c r="H782" s="73"/>
      <c r="I782" s="75"/>
      <c r="J782" s="75"/>
      <c r="K782" s="75"/>
      <c r="L782" s="73"/>
      <c r="M782" s="78" t="str">
        <f aca="false">IF(OR(E782="",F782=""),"",MAX(0,((F782-E782-N(G782))*1440-N(H782)*10)/60))</f>
        <v/>
      </c>
      <c r="N782" s="78" t="str">
        <f aca="false">IF($D782="欠席",0,IF(OR(I782="",J782=""),"",MAX(0,((J782-I782-N(K782))*1440-N(L782)*10)/60)))</f>
        <v/>
      </c>
      <c r="O782" s="73"/>
    </row>
    <row r="783" customFormat="false" ht="15" hidden="false" customHeight="false" outlineLevel="0" collapsed="false">
      <c r="A783" s="77"/>
      <c r="B783" s="73"/>
      <c r="C783" s="71" t="str">
        <f aca="false">IF(B783="","",IFERROR(INDEX(マスタ!$F$2:$F$60,MATCH(B783,マスタ!$E$2:$E$60,0))&amp;"",""))</f>
        <v/>
      </c>
      <c r="D783" s="73"/>
      <c r="E783" s="75"/>
      <c r="F783" s="75"/>
      <c r="G783" s="75"/>
      <c r="H783" s="73"/>
      <c r="I783" s="75"/>
      <c r="J783" s="75"/>
      <c r="K783" s="75"/>
      <c r="L783" s="73"/>
      <c r="M783" s="78" t="str">
        <f aca="false">IF(OR(E783="",F783=""),"",MAX(0,((F783-E783-N(G783))*1440-N(H783)*10)/60))</f>
        <v/>
      </c>
      <c r="N783" s="78" t="str">
        <f aca="false">IF($D783="欠席",0,IF(OR(I783="",J783=""),"",MAX(0,((J783-I783-N(K783))*1440-N(L783)*10)/60)))</f>
        <v/>
      </c>
      <c r="O783" s="73"/>
    </row>
    <row r="784" customFormat="false" ht="15" hidden="false" customHeight="false" outlineLevel="0" collapsed="false">
      <c r="A784" s="77"/>
      <c r="B784" s="73"/>
      <c r="C784" s="71" t="str">
        <f aca="false">IF(B784="","",IFERROR(INDEX(マスタ!$F$2:$F$60,MATCH(B784,マスタ!$E$2:$E$60,0))&amp;"",""))</f>
        <v/>
      </c>
      <c r="D784" s="73"/>
      <c r="E784" s="75"/>
      <c r="F784" s="75"/>
      <c r="G784" s="75"/>
      <c r="H784" s="73"/>
      <c r="I784" s="75"/>
      <c r="J784" s="75"/>
      <c r="K784" s="75"/>
      <c r="L784" s="73"/>
      <c r="M784" s="78" t="str">
        <f aca="false">IF(OR(E784="",F784=""),"",MAX(0,((F784-E784-N(G784))*1440-N(H784)*10)/60))</f>
        <v/>
      </c>
      <c r="N784" s="78" t="str">
        <f aca="false">IF($D784="欠席",0,IF(OR(I784="",J784=""),"",MAX(0,((J784-I784-N(K784))*1440-N(L784)*10)/60)))</f>
        <v/>
      </c>
      <c r="O784" s="73"/>
    </row>
    <row r="785" customFormat="false" ht="15" hidden="false" customHeight="false" outlineLevel="0" collapsed="false">
      <c r="A785" s="77"/>
      <c r="B785" s="73"/>
      <c r="C785" s="71" t="str">
        <f aca="false">IF(B785="","",IFERROR(INDEX(マスタ!$F$2:$F$60,MATCH(B785,マスタ!$E$2:$E$60,0))&amp;"",""))</f>
        <v/>
      </c>
      <c r="D785" s="73"/>
      <c r="E785" s="75"/>
      <c r="F785" s="75"/>
      <c r="G785" s="75"/>
      <c r="H785" s="73"/>
      <c r="I785" s="75"/>
      <c r="J785" s="75"/>
      <c r="K785" s="75"/>
      <c r="L785" s="73"/>
      <c r="M785" s="78" t="str">
        <f aca="false">IF(OR(E785="",F785=""),"",MAX(0,((F785-E785-N(G785))*1440-N(H785)*10)/60))</f>
        <v/>
      </c>
      <c r="N785" s="78" t="str">
        <f aca="false">IF($D785="欠席",0,IF(OR(I785="",J785=""),"",MAX(0,((J785-I785-N(K785))*1440-N(L785)*10)/60)))</f>
        <v/>
      </c>
      <c r="O785" s="73"/>
    </row>
    <row r="786" customFormat="false" ht="15" hidden="false" customHeight="false" outlineLevel="0" collapsed="false">
      <c r="A786" s="77"/>
      <c r="B786" s="73"/>
      <c r="C786" s="71" t="str">
        <f aca="false">IF(B786="","",IFERROR(INDEX(マスタ!$F$2:$F$60,MATCH(B786,マスタ!$E$2:$E$60,0))&amp;"",""))</f>
        <v/>
      </c>
      <c r="D786" s="73"/>
      <c r="E786" s="75"/>
      <c r="F786" s="75"/>
      <c r="G786" s="75"/>
      <c r="H786" s="73"/>
      <c r="I786" s="75"/>
      <c r="J786" s="75"/>
      <c r="K786" s="75"/>
      <c r="L786" s="73"/>
      <c r="M786" s="78" t="str">
        <f aca="false">IF(OR(E786="",F786=""),"",MAX(0,((F786-E786-N(G786))*1440-N(H786)*10)/60))</f>
        <v/>
      </c>
      <c r="N786" s="78" t="str">
        <f aca="false">IF($D786="欠席",0,IF(OR(I786="",J786=""),"",MAX(0,((J786-I786-N(K786))*1440-N(L786)*10)/60)))</f>
        <v/>
      </c>
      <c r="O786" s="73"/>
    </row>
    <row r="787" customFormat="false" ht="15" hidden="false" customHeight="false" outlineLevel="0" collapsed="false">
      <c r="A787" s="77"/>
      <c r="B787" s="73"/>
      <c r="C787" s="71" t="str">
        <f aca="false">IF(B787="","",IFERROR(INDEX(マスタ!$F$2:$F$60,MATCH(B787,マスタ!$E$2:$E$60,0))&amp;"",""))</f>
        <v/>
      </c>
      <c r="D787" s="73"/>
      <c r="E787" s="75"/>
      <c r="F787" s="75"/>
      <c r="G787" s="75"/>
      <c r="H787" s="73"/>
      <c r="I787" s="75"/>
      <c r="J787" s="75"/>
      <c r="K787" s="75"/>
      <c r="L787" s="73"/>
      <c r="M787" s="78" t="str">
        <f aca="false">IF(OR(E787="",F787=""),"",MAX(0,((F787-E787-N(G787))*1440-N(H787)*10)/60))</f>
        <v/>
      </c>
      <c r="N787" s="78" t="str">
        <f aca="false">IF($D787="欠席",0,IF(OR(I787="",J787=""),"",MAX(0,((J787-I787-N(K787))*1440-N(L787)*10)/60)))</f>
        <v/>
      </c>
      <c r="O787" s="73"/>
    </row>
    <row r="788" customFormat="false" ht="15" hidden="false" customHeight="false" outlineLevel="0" collapsed="false">
      <c r="A788" s="77"/>
      <c r="B788" s="73"/>
      <c r="C788" s="71" t="str">
        <f aca="false">IF(B788="","",IFERROR(INDEX(マスタ!$F$2:$F$60,MATCH(B788,マスタ!$E$2:$E$60,0))&amp;"",""))</f>
        <v/>
      </c>
      <c r="D788" s="73"/>
      <c r="E788" s="75"/>
      <c r="F788" s="75"/>
      <c r="G788" s="75"/>
      <c r="H788" s="73"/>
      <c r="I788" s="75"/>
      <c r="J788" s="75"/>
      <c r="K788" s="75"/>
      <c r="L788" s="73"/>
      <c r="M788" s="78" t="str">
        <f aca="false">IF(OR(E788="",F788=""),"",MAX(0,((F788-E788-N(G788))*1440-N(H788)*10)/60))</f>
        <v/>
      </c>
      <c r="N788" s="78" t="str">
        <f aca="false">IF($D788="欠席",0,IF(OR(I788="",J788=""),"",MAX(0,((J788-I788-N(K788))*1440-N(L788)*10)/60)))</f>
        <v/>
      </c>
      <c r="O788" s="73"/>
    </row>
    <row r="789" customFormat="false" ht="15" hidden="false" customHeight="false" outlineLevel="0" collapsed="false">
      <c r="A789" s="77"/>
      <c r="B789" s="73"/>
      <c r="C789" s="71" t="str">
        <f aca="false">IF(B789="","",IFERROR(INDEX(マスタ!$F$2:$F$60,MATCH(B789,マスタ!$E$2:$E$60,0))&amp;"",""))</f>
        <v/>
      </c>
      <c r="D789" s="73"/>
      <c r="E789" s="75"/>
      <c r="F789" s="75"/>
      <c r="G789" s="75"/>
      <c r="H789" s="73"/>
      <c r="I789" s="75"/>
      <c r="J789" s="75"/>
      <c r="K789" s="75"/>
      <c r="L789" s="73"/>
      <c r="M789" s="78" t="str">
        <f aca="false">IF(OR(E789="",F789=""),"",MAX(0,((F789-E789-N(G789))*1440-N(H789)*10)/60))</f>
        <v/>
      </c>
      <c r="N789" s="78" t="str">
        <f aca="false">IF($D789="欠席",0,IF(OR(I789="",J789=""),"",MAX(0,((J789-I789-N(K789))*1440-N(L789)*10)/60)))</f>
        <v/>
      </c>
      <c r="O789" s="73"/>
    </row>
    <row r="790" customFormat="false" ht="15" hidden="false" customHeight="false" outlineLevel="0" collapsed="false">
      <c r="A790" s="77"/>
      <c r="B790" s="73"/>
      <c r="C790" s="71" t="str">
        <f aca="false">IF(B790="","",IFERROR(INDEX(マスタ!$F$2:$F$60,MATCH(B790,マスタ!$E$2:$E$60,0))&amp;"",""))</f>
        <v/>
      </c>
      <c r="D790" s="73"/>
      <c r="E790" s="75"/>
      <c r="F790" s="75"/>
      <c r="G790" s="75"/>
      <c r="H790" s="73"/>
      <c r="I790" s="75"/>
      <c r="J790" s="75"/>
      <c r="K790" s="75"/>
      <c r="L790" s="73"/>
      <c r="M790" s="78" t="str">
        <f aca="false">IF(OR(E790="",F790=""),"",MAX(0,((F790-E790-N(G790))*1440-N(H790)*10)/60))</f>
        <v/>
      </c>
      <c r="N790" s="78" t="str">
        <f aca="false">IF($D790="欠席",0,IF(OR(I790="",J790=""),"",MAX(0,((J790-I790-N(K790))*1440-N(L790)*10)/60)))</f>
        <v/>
      </c>
      <c r="O790" s="73"/>
    </row>
    <row r="791" customFormat="false" ht="15" hidden="false" customHeight="false" outlineLevel="0" collapsed="false">
      <c r="A791" s="77"/>
      <c r="B791" s="73"/>
      <c r="C791" s="71" t="str">
        <f aca="false">IF(B791="","",IFERROR(INDEX(マスタ!$F$2:$F$60,MATCH(B791,マスタ!$E$2:$E$60,0))&amp;"",""))</f>
        <v/>
      </c>
      <c r="D791" s="73"/>
      <c r="E791" s="75"/>
      <c r="F791" s="75"/>
      <c r="G791" s="75"/>
      <c r="H791" s="73"/>
      <c r="I791" s="75"/>
      <c r="J791" s="75"/>
      <c r="K791" s="75"/>
      <c r="L791" s="73"/>
      <c r="M791" s="78" t="str">
        <f aca="false">IF(OR(E791="",F791=""),"",MAX(0,((F791-E791-N(G791))*1440-N(H791)*10)/60))</f>
        <v/>
      </c>
      <c r="N791" s="78" t="str">
        <f aca="false">IF($D791="欠席",0,IF(OR(I791="",J791=""),"",MAX(0,((J791-I791-N(K791))*1440-N(L791)*10)/60)))</f>
        <v/>
      </c>
      <c r="O791" s="73"/>
    </row>
    <row r="792" customFormat="false" ht="15" hidden="false" customHeight="false" outlineLevel="0" collapsed="false">
      <c r="A792" s="77"/>
      <c r="B792" s="73"/>
      <c r="C792" s="71" t="str">
        <f aca="false">IF(B792="","",IFERROR(INDEX(マスタ!$F$2:$F$60,MATCH(B792,マスタ!$E$2:$E$60,0))&amp;"",""))</f>
        <v/>
      </c>
      <c r="D792" s="73"/>
      <c r="E792" s="75"/>
      <c r="F792" s="75"/>
      <c r="G792" s="75"/>
      <c r="H792" s="73"/>
      <c r="I792" s="75"/>
      <c r="J792" s="75"/>
      <c r="K792" s="75"/>
      <c r="L792" s="73"/>
      <c r="M792" s="78" t="str">
        <f aca="false">IF(OR(E792="",F792=""),"",MAX(0,((F792-E792-N(G792))*1440-N(H792)*10)/60))</f>
        <v/>
      </c>
      <c r="N792" s="78" t="str">
        <f aca="false">IF($D792="欠席",0,IF(OR(I792="",J792=""),"",MAX(0,((J792-I792-N(K792))*1440-N(L792)*10)/60)))</f>
        <v/>
      </c>
      <c r="O792" s="73"/>
    </row>
    <row r="793" customFormat="false" ht="15" hidden="false" customHeight="false" outlineLevel="0" collapsed="false">
      <c r="A793" s="77"/>
      <c r="B793" s="73"/>
      <c r="C793" s="71" t="str">
        <f aca="false">IF(B793="","",IFERROR(INDEX(マスタ!$F$2:$F$60,MATCH(B793,マスタ!$E$2:$E$60,0))&amp;"",""))</f>
        <v/>
      </c>
      <c r="D793" s="73"/>
      <c r="E793" s="75"/>
      <c r="F793" s="75"/>
      <c r="G793" s="75"/>
      <c r="H793" s="73"/>
      <c r="I793" s="75"/>
      <c r="J793" s="75"/>
      <c r="K793" s="75"/>
      <c r="L793" s="73"/>
      <c r="M793" s="78" t="str">
        <f aca="false">IF(OR(E793="",F793=""),"",MAX(0,((F793-E793-N(G793))*1440-N(H793)*10)/60))</f>
        <v/>
      </c>
      <c r="N793" s="78" t="str">
        <f aca="false">IF($D793="欠席",0,IF(OR(I793="",J793=""),"",MAX(0,((J793-I793-N(K793))*1440-N(L793)*10)/60)))</f>
        <v/>
      </c>
      <c r="O793" s="73"/>
    </row>
    <row r="794" customFormat="false" ht="15" hidden="false" customHeight="false" outlineLevel="0" collapsed="false">
      <c r="A794" s="77"/>
      <c r="B794" s="73"/>
      <c r="C794" s="71" t="str">
        <f aca="false">IF(B794="","",IFERROR(INDEX(マスタ!$F$2:$F$60,MATCH(B794,マスタ!$E$2:$E$60,0))&amp;"",""))</f>
        <v/>
      </c>
      <c r="D794" s="73"/>
      <c r="E794" s="75"/>
      <c r="F794" s="75"/>
      <c r="G794" s="75"/>
      <c r="H794" s="73"/>
      <c r="I794" s="75"/>
      <c r="J794" s="75"/>
      <c r="K794" s="75"/>
      <c r="L794" s="73"/>
      <c r="M794" s="78" t="str">
        <f aca="false">IF(OR(E794="",F794=""),"",MAX(0,((F794-E794-N(G794))*1440-N(H794)*10)/60))</f>
        <v/>
      </c>
      <c r="N794" s="78" t="str">
        <f aca="false">IF($D794="欠席",0,IF(OR(I794="",J794=""),"",MAX(0,((J794-I794-N(K794))*1440-N(L794)*10)/60)))</f>
        <v/>
      </c>
      <c r="O794" s="73"/>
    </row>
    <row r="795" customFormat="false" ht="15" hidden="false" customHeight="false" outlineLevel="0" collapsed="false">
      <c r="A795" s="77"/>
      <c r="B795" s="73"/>
      <c r="C795" s="71" t="str">
        <f aca="false">IF(B795="","",IFERROR(INDEX(マスタ!$F$2:$F$60,MATCH(B795,マスタ!$E$2:$E$60,0))&amp;"",""))</f>
        <v/>
      </c>
      <c r="D795" s="73"/>
      <c r="E795" s="75"/>
      <c r="F795" s="75"/>
      <c r="G795" s="75"/>
      <c r="H795" s="73"/>
      <c r="I795" s="75"/>
      <c r="J795" s="75"/>
      <c r="K795" s="75"/>
      <c r="L795" s="73"/>
      <c r="M795" s="78" t="str">
        <f aca="false">IF(OR(E795="",F795=""),"",MAX(0,((F795-E795-N(G795))*1440-N(H795)*10)/60))</f>
        <v/>
      </c>
      <c r="N795" s="78" t="str">
        <f aca="false">IF($D795="欠席",0,IF(OR(I795="",J795=""),"",MAX(0,((J795-I795-N(K795))*1440-N(L795)*10)/60)))</f>
        <v/>
      </c>
      <c r="O795" s="73"/>
    </row>
    <row r="796" customFormat="false" ht="15" hidden="false" customHeight="false" outlineLevel="0" collapsed="false">
      <c r="A796" s="77"/>
      <c r="B796" s="73"/>
      <c r="C796" s="71" t="str">
        <f aca="false">IF(B796="","",IFERROR(INDEX(マスタ!$F$2:$F$60,MATCH(B796,マスタ!$E$2:$E$60,0))&amp;"",""))</f>
        <v/>
      </c>
      <c r="D796" s="73"/>
      <c r="E796" s="75"/>
      <c r="F796" s="75"/>
      <c r="G796" s="75"/>
      <c r="H796" s="73"/>
      <c r="I796" s="75"/>
      <c r="J796" s="75"/>
      <c r="K796" s="75"/>
      <c r="L796" s="73"/>
      <c r="M796" s="78" t="str">
        <f aca="false">IF(OR(E796="",F796=""),"",MAX(0,((F796-E796-N(G796))*1440-N(H796)*10)/60))</f>
        <v/>
      </c>
      <c r="N796" s="78" t="str">
        <f aca="false">IF($D796="欠席",0,IF(OR(I796="",J796=""),"",MAX(0,((J796-I796-N(K796))*1440-N(L796)*10)/60)))</f>
        <v/>
      </c>
      <c r="O796" s="73"/>
    </row>
    <row r="797" customFormat="false" ht="15" hidden="false" customHeight="false" outlineLevel="0" collapsed="false">
      <c r="A797" s="77"/>
      <c r="B797" s="73"/>
      <c r="C797" s="71" t="str">
        <f aca="false">IF(B797="","",IFERROR(INDEX(マスタ!$F$2:$F$60,MATCH(B797,マスタ!$E$2:$E$60,0))&amp;"",""))</f>
        <v/>
      </c>
      <c r="D797" s="73"/>
      <c r="E797" s="75"/>
      <c r="F797" s="75"/>
      <c r="G797" s="75"/>
      <c r="H797" s="73"/>
      <c r="I797" s="75"/>
      <c r="J797" s="75"/>
      <c r="K797" s="75"/>
      <c r="L797" s="73"/>
      <c r="M797" s="78" t="str">
        <f aca="false">IF(OR(E797="",F797=""),"",MAX(0,((F797-E797-N(G797))*1440-N(H797)*10)/60))</f>
        <v/>
      </c>
      <c r="N797" s="78" t="str">
        <f aca="false">IF($D797="欠席",0,IF(OR(I797="",J797=""),"",MAX(0,((J797-I797-N(K797))*1440-N(L797)*10)/60)))</f>
        <v/>
      </c>
      <c r="O797" s="73"/>
    </row>
    <row r="798" customFormat="false" ht="15" hidden="false" customHeight="false" outlineLevel="0" collapsed="false">
      <c r="A798" s="77"/>
      <c r="B798" s="73"/>
      <c r="C798" s="71" t="str">
        <f aca="false">IF(B798="","",IFERROR(INDEX(マスタ!$F$2:$F$60,MATCH(B798,マスタ!$E$2:$E$60,0))&amp;"",""))</f>
        <v/>
      </c>
      <c r="D798" s="73"/>
      <c r="E798" s="75"/>
      <c r="F798" s="75"/>
      <c r="G798" s="75"/>
      <c r="H798" s="73"/>
      <c r="I798" s="75"/>
      <c r="J798" s="75"/>
      <c r="K798" s="75"/>
      <c r="L798" s="73"/>
      <c r="M798" s="78" t="str">
        <f aca="false">IF(OR(E798="",F798=""),"",MAX(0,((F798-E798-N(G798))*1440-N(H798)*10)/60))</f>
        <v/>
      </c>
      <c r="N798" s="78" t="str">
        <f aca="false">IF($D798="欠席",0,IF(OR(I798="",J798=""),"",MAX(0,((J798-I798-N(K798))*1440-N(L798)*10)/60)))</f>
        <v/>
      </c>
      <c r="O798" s="73"/>
    </row>
    <row r="799" customFormat="false" ht="15" hidden="false" customHeight="false" outlineLevel="0" collapsed="false">
      <c r="A799" s="77"/>
      <c r="B799" s="73"/>
      <c r="C799" s="71" t="str">
        <f aca="false">IF(B799="","",IFERROR(INDEX(マスタ!$F$2:$F$60,MATCH(B799,マスタ!$E$2:$E$60,0))&amp;"",""))</f>
        <v/>
      </c>
      <c r="D799" s="73"/>
      <c r="E799" s="75"/>
      <c r="F799" s="75"/>
      <c r="G799" s="75"/>
      <c r="H799" s="73"/>
      <c r="I799" s="75"/>
      <c r="J799" s="75"/>
      <c r="K799" s="75"/>
      <c r="L799" s="73"/>
      <c r="M799" s="78" t="str">
        <f aca="false">IF(OR(E799="",F799=""),"",MAX(0,((F799-E799-N(G799))*1440-N(H799)*10)/60))</f>
        <v/>
      </c>
      <c r="N799" s="78" t="str">
        <f aca="false">IF($D799="欠席",0,IF(OR(I799="",J799=""),"",MAX(0,((J799-I799-N(K799))*1440-N(L799)*10)/60)))</f>
        <v/>
      </c>
      <c r="O799" s="73"/>
    </row>
    <row r="800" customFormat="false" ht="15" hidden="false" customHeight="false" outlineLevel="0" collapsed="false">
      <c r="A800" s="77"/>
      <c r="B800" s="73"/>
      <c r="C800" s="71" t="str">
        <f aca="false">IF(B800="","",IFERROR(INDEX(マスタ!$F$2:$F$60,MATCH(B800,マスタ!$E$2:$E$60,0))&amp;"",""))</f>
        <v/>
      </c>
      <c r="D800" s="73"/>
      <c r="E800" s="75"/>
      <c r="F800" s="75"/>
      <c r="G800" s="75"/>
      <c r="H800" s="73"/>
      <c r="I800" s="75"/>
      <c r="J800" s="75"/>
      <c r="K800" s="75"/>
      <c r="L800" s="73"/>
      <c r="M800" s="78" t="str">
        <f aca="false">IF(OR(E800="",F800=""),"",MAX(0,((F800-E800-N(G800))*1440-N(H800)*10)/60))</f>
        <v/>
      </c>
      <c r="N800" s="78" t="str">
        <f aca="false">IF($D800="欠席",0,IF(OR(I800="",J800=""),"",MAX(0,((J800-I800-N(K800))*1440-N(L800)*10)/60)))</f>
        <v/>
      </c>
      <c r="O800" s="73"/>
    </row>
    <row r="801" customFormat="false" ht="15" hidden="false" customHeight="false" outlineLevel="0" collapsed="false">
      <c r="A801" s="77"/>
      <c r="B801" s="73"/>
      <c r="C801" s="71" t="str">
        <f aca="false">IF(B801="","",IFERROR(INDEX(マスタ!$F$2:$F$60,MATCH(B801,マスタ!$E$2:$E$60,0))&amp;"",""))</f>
        <v/>
      </c>
      <c r="D801" s="73"/>
      <c r="E801" s="75"/>
      <c r="F801" s="75"/>
      <c r="G801" s="75"/>
      <c r="H801" s="73"/>
      <c r="I801" s="75"/>
      <c r="J801" s="75"/>
      <c r="K801" s="75"/>
      <c r="L801" s="73"/>
      <c r="M801" s="78" t="str">
        <f aca="false">IF(OR(E801="",F801=""),"",MAX(0,((F801-E801-N(G801))*1440-N(H801)*10)/60))</f>
        <v/>
      </c>
      <c r="N801" s="78" t="str">
        <f aca="false">IF($D801="欠席",0,IF(OR(I801="",J801=""),"",MAX(0,((J801-I801-N(K801))*1440-N(L801)*10)/60)))</f>
        <v/>
      </c>
      <c r="O801" s="73"/>
    </row>
    <row r="802" customFormat="false" ht="15" hidden="false" customHeight="false" outlineLevel="0" collapsed="false">
      <c r="A802" s="77"/>
      <c r="B802" s="73"/>
      <c r="C802" s="71" t="str">
        <f aca="false">IF(B802="","",IFERROR(INDEX(マスタ!$F$2:$F$60,MATCH(B802,マスタ!$E$2:$E$60,0))&amp;"",""))</f>
        <v/>
      </c>
      <c r="D802" s="73"/>
      <c r="E802" s="75"/>
      <c r="F802" s="75"/>
      <c r="G802" s="75"/>
      <c r="H802" s="73"/>
      <c r="I802" s="75"/>
      <c r="J802" s="75"/>
      <c r="K802" s="75"/>
      <c r="L802" s="73"/>
      <c r="M802" s="78" t="str">
        <f aca="false">IF(OR(E802="",F802=""),"",MAX(0,((F802-E802-N(G802))*1440-N(H802)*10)/60))</f>
        <v/>
      </c>
      <c r="N802" s="78" t="str">
        <f aca="false">IF($D802="欠席",0,IF(OR(I802="",J802=""),"",MAX(0,((J802-I802-N(K802))*1440-N(L802)*10)/60)))</f>
        <v/>
      </c>
      <c r="O802" s="73"/>
    </row>
    <row r="803" customFormat="false" ht="15" hidden="false" customHeight="false" outlineLevel="0" collapsed="false">
      <c r="A803" s="77"/>
      <c r="B803" s="73"/>
      <c r="C803" s="71" t="str">
        <f aca="false">IF(B803="","",IFERROR(INDEX(マスタ!$F$2:$F$60,MATCH(B803,マスタ!$E$2:$E$60,0))&amp;"",""))</f>
        <v/>
      </c>
      <c r="D803" s="73"/>
      <c r="E803" s="75"/>
      <c r="F803" s="75"/>
      <c r="G803" s="75"/>
      <c r="H803" s="73"/>
      <c r="I803" s="75"/>
      <c r="J803" s="75"/>
      <c r="K803" s="75"/>
      <c r="L803" s="73"/>
      <c r="M803" s="78" t="str">
        <f aca="false">IF(OR(E803="",F803=""),"",MAX(0,((F803-E803-N(G803))*1440-N(H803)*10)/60))</f>
        <v/>
      </c>
      <c r="N803" s="78" t="str">
        <f aca="false">IF($D803="欠席",0,IF(OR(I803="",J803=""),"",MAX(0,((J803-I803-N(K803))*1440-N(L803)*10)/60)))</f>
        <v/>
      </c>
      <c r="O803" s="73"/>
    </row>
    <row r="804" customFormat="false" ht="15" hidden="false" customHeight="false" outlineLevel="0" collapsed="false">
      <c r="A804" s="77"/>
      <c r="B804" s="73"/>
      <c r="C804" s="71" t="str">
        <f aca="false">IF(B804="","",IFERROR(INDEX(マスタ!$F$2:$F$60,MATCH(B804,マスタ!$E$2:$E$60,0))&amp;"",""))</f>
        <v/>
      </c>
      <c r="D804" s="73"/>
      <c r="E804" s="75"/>
      <c r="F804" s="75"/>
      <c r="G804" s="75"/>
      <c r="H804" s="73"/>
      <c r="I804" s="75"/>
      <c r="J804" s="75"/>
      <c r="K804" s="75"/>
      <c r="L804" s="73"/>
      <c r="M804" s="78" t="str">
        <f aca="false">IF(OR(E804="",F804=""),"",MAX(0,((F804-E804-N(G804))*1440-N(H804)*10)/60))</f>
        <v/>
      </c>
      <c r="N804" s="78" t="str">
        <f aca="false">IF($D804="欠席",0,IF(OR(I804="",J804=""),"",MAX(0,((J804-I804-N(K804))*1440-N(L804)*10)/60)))</f>
        <v/>
      </c>
      <c r="O804" s="73"/>
    </row>
    <row r="805" customFormat="false" ht="15" hidden="false" customHeight="false" outlineLevel="0" collapsed="false">
      <c r="A805" s="77"/>
      <c r="B805" s="73"/>
      <c r="C805" s="71" t="str">
        <f aca="false">IF(B805="","",IFERROR(INDEX(マスタ!$F$2:$F$60,MATCH(B805,マスタ!$E$2:$E$60,0))&amp;"",""))</f>
        <v/>
      </c>
      <c r="D805" s="73"/>
      <c r="E805" s="75"/>
      <c r="F805" s="75"/>
      <c r="G805" s="75"/>
      <c r="H805" s="73"/>
      <c r="I805" s="75"/>
      <c r="J805" s="75"/>
      <c r="K805" s="75"/>
      <c r="L805" s="73"/>
      <c r="M805" s="78" t="str">
        <f aca="false">IF(OR(E805="",F805=""),"",MAX(0,((F805-E805-N(G805))*1440-N(H805)*10)/60))</f>
        <v/>
      </c>
      <c r="N805" s="78" t="str">
        <f aca="false">IF($D805="欠席",0,IF(OR(I805="",J805=""),"",MAX(0,((J805-I805-N(K805))*1440-N(L805)*10)/60)))</f>
        <v/>
      </c>
      <c r="O805" s="73"/>
    </row>
    <row r="806" customFormat="false" ht="15" hidden="false" customHeight="false" outlineLevel="0" collapsed="false">
      <c r="A806" s="77"/>
      <c r="B806" s="73"/>
      <c r="C806" s="71" t="str">
        <f aca="false">IF(B806="","",IFERROR(INDEX(マスタ!$F$2:$F$60,MATCH(B806,マスタ!$E$2:$E$60,0))&amp;"",""))</f>
        <v/>
      </c>
      <c r="D806" s="73"/>
      <c r="E806" s="75"/>
      <c r="F806" s="75"/>
      <c r="G806" s="75"/>
      <c r="H806" s="73"/>
      <c r="I806" s="75"/>
      <c r="J806" s="75"/>
      <c r="K806" s="75"/>
      <c r="L806" s="73"/>
      <c r="M806" s="78" t="str">
        <f aca="false">IF(OR(E806="",F806=""),"",MAX(0,((F806-E806-N(G806))*1440-N(H806)*10)/60))</f>
        <v/>
      </c>
      <c r="N806" s="78" t="str">
        <f aca="false">IF($D806="欠席",0,IF(OR(I806="",J806=""),"",MAX(0,((J806-I806-N(K806))*1440-N(L806)*10)/60)))</f>
        <v/>
      </c>
      <c r="O806" s="73"/>
    </row>
    <row r="807" customFormat="false" ht="15" hidden="false" customHeight="false" outlineLevel="0" collapsed="false">
      <c r="A807" s="77"/>
      <c r="B807" s="73"/>
      <c r="C807" s="71" t="str">
        <f aca="false">IF(B807="","",IFERROR(INDEX(マスタ!$F$2:$F$60,MATCH(B807,マスタ!$E$2:$E$60,0))&amp;"",""))</f>
        <v/>
      </c>
      <c r="D807" s="73"/>
      <c r="E807" s="75"/>
      <c r="F807" s="75"/>
      <c r="G807" s="75"/>
      <c r="H807" s="73"/>
      <c r="I807" s="75"/>
      <c r="J807" s="75"/>
      <c r="K807" s="75"/>
      <c r="L807" s="73"/>
      <c r="M807" s="78" t="str">
        <f aca="false">IF(OR(E807="",F807=""),"",MAX(0,((F807-E807-N(G807))*1440-N(H807)*10)/60))</f>
        <v/>
      </c>
      <c r="N807" s="78" t="str">
        <f aca="false">IF($D807="欠席",0,IF(OR(I807="",J807=""),"",MAX(0,((J807-I807-N(K807))*1440-N(L807)*10)/60)))</f>
        <v/>
      </c>
      <c r="O807" s="73"/>
    </row>
    <row r="808" customFormat="false" ht="15" hidden="false" customHeight="false" outlineLevel="0" collapsed="false">
      <c r="A808" s="77"/>
      <c r="B808" s="73"/>
      <c r="C808" s="71" t="str">
        <f aca="false">IF(B808="","",IFERROR(INDEX(マスタ!$F$2:$F$60,MATCH(B808,マスタ!$E$2:$E$60,0))&amp;"",""))</f>
        <v/>
      </c>
      <c r="D808" s="73"/>
      <c r="E808" s="75"/>
      <c r="F808" s="75"/>
      <c r="G808" s="75"/>
      <c r="H808" s="73"/>
      <c r="I808" s="75"/>
      <c r="J808" s="75"/>
      <c r="K808" s="75"/>
      <c r="L808" s="73"/>
      <c r="M808" s="78" t="str">
        <f aca="false">IF(OR(E808="",F808=""),"",MAX(0,((F808-E808-N(G808))*1440-N(H808)*10)/60))</f>
        <v/>
      </c>
      <c r="N808" s="78" t="str">
        <f aca="false">IF($D808="欠席",0,IF(OR(I808="",J808=""),"",MAX(0,((J808-I808-N(K808))*1440-N(L808)*10)/60)))</f>
        <v/>
      </c>
      <c r="O808" s="73"/>
    </row>
    <row r="809" customFormat="false" ht="15" hidden="false" customHeight="false" outlineLevel="0" collapsed="false">
      <c r="A809" s="77"/>
      <c r="B809" s="73"/>
      <c r="C809" s="71" t="str">
        <f aca="false">IF(B809="","",IFERROR(INDEX(マスタ!$F$2:$F$60,MATCH(B809,マスタ!$E$2:$E$60,0))&amp;"",""))</f>
        <v/>
      </c>
      <c r="D809" s="73"/>
      <c r="E809" s="75"/>
      <c r="F809" s="75"/>
      <c r="G809" s="75"/>
      <c r="H809" s="73"/>
      <c r="I809" s="75"/>
      <c r="J809" s="75"/>
      <c r="K809" s="75"/>
      <c r="L809" s="73"/>
      <c r="M809" s="78" t="str">
        <f aca="false">IF(OR(E809="",F809=""),"",MAX(0,((F809-E809-N(G809))*1440-N(H809)*10)/60))</f>
        <v/>
      </c>
      <c r="N809" s="78" t="str">
        <f aca="false">IF($D809="欠席",0,IF(OR(I809="",J809=""),"",MAX(0,((J809-I809-N(K809))*1440-N(L809)*10)/60)))</f>
        <v/>
      </c>
      <c r="O809" s="73"/>
    </row>
    <row r="810" customFormat="false" ht="15" hidden="false" customHeight="false" outlineLevel="0" collapsed="false">
      <c r="A810" s="77"/>
      <c r="B810" s="73"/>
      <c r="C810" s="71" t="str">
        <f aca="false">IF(B810="","",IFERROR(INDEX(マスタ!$F$2:$F$60,MATCH(B810,マスタ!$E$2:$E$60,0))&amp;"",""))</f>
        <v/>
      </c>
      <c r="D810" s="73"/>
      <c r="E810" s="75"/>
      <c r="F810" s="75"/>
      <c r="G810" s="75"/>
      <c r="H810" s="73"/>
      <c r="I810" s="75"/>
      <c r="J810" s="75"/>
      <c r="K810" s="75"/>
      <c r="L810" s="73"/>
      <c r="M810" s="78" t="str">
        <f aca="false">IF(OR(E810="",F810=""),"",MAX(0,((F810-E810-N(G810))*1440-N(H810)*10)/60))</f>
        <v/>
      </c>
      <c r="N810" s="78" t="str">
        <f aca="false">IF($D810="欠席",0,IF(OR(I810="",J810=""),"",MAX(0,((J810-I810-N(K810))*1440-N(L810)*10)/60)))</f>
        <v/>
      </c>
      <c r="O810" s="73"/>
    </row>
    <row r="811" customFormat="false" ht="15" hidden="false" customHeight="false" outlineLevel="0" collapsed="false">
      <c r="A811" s="77"/>
      <c r="B811" s="73"/>
      <c r="C811" s="71" t="str">
        <f aca="false">IF(B811="","",IFERROR(INDEX(マスタ!$F$2:$F$60,MATCH(B811,マスタ!$E$2:$E$60,0))&amp;"",""))</f>
        <v/>
      </c>
      <c r="D811" s="73"/>
      <c r="E811" s="75"/>
      <c r="F811" s="75"/>
      <c r="G811" s="75"/>
      <c r="H811" s="73"/>
      <c r="I811" s="75"/>
      <c r="J811" s="75"/>
      <c r="K811" s="75"/>
      <c r="L811" s="73"/>
      <c r="M811" s="78" t="str">
        <f aca="false">IF(OR(E811="",F811=""),"",MAX(0,((F811-E811-N(G811))*1440-N(H811)*10)/60))</f>
        <v/>
      </c>
      <c r="N811" s="78" t="str">
        <f aca="false">IF($D811="欠席",0,IF(OR(I811="",J811=""),"",MAX(0,((J811-I811-N(K811))*1440-N(L811)*10)/60)))</f>
        <v/>
      </c>
      <c r="O811" s="73"/>
    </row>
    <row r="812" customFormat="false" ht="15" hidden="false" customHeight="false" outlineLevel="0" collapsed="false">
      <c r="A812" s="77"/>
      <c r="B812" s="73"/>
      <c r="C812" s="71" t="str">
        <f aca="false">IF(B812="","",IFERROR(INDEX(マスタ!$F$2:$F$60,MATCH(B812,マスタ!$E$2:$E$60,0))&amp;"",""))</f>
        <v/>
      </c>
      <c r="D812" s="73"/>
      <c r="E812" s="75"/>
      <c r="F812" s="75"/>
      <c r="G812" s="75"/>
      <c r="H812" s="73"/>
      <c r="I812" s="75"/>
      <c r="J812" s="75"/>
      <c r="K812" s="75"/>
      <c r="L812" s="73"/>
      <c r="M812" s="78" t="str">
        <f aca="false">IF(OR(E812="",F812=""),"",MAX(0,((F812-E812-N(G812))*1440-N(H812)*10)/60))</f>
        <v/>
      </c>
      <c r="N812" s="78" t="str">
        <f aca="false">IF($D812="欠席",0,IF(OR(I812="",J812=""),"",MAX(0,((J812-I812-N(K812))*1440-N(L812)*10)/60)))</f>
        <v/>
      </c>
      <c r="O812" s="73"/>
    </row>
    <row r="813" customFormat="false" ht="15" hidden="false" customHeight="false" outlineLevel="0" collapsed="false">
      <c r="A813" s="77"/>
      <c r="B813" s="73"/>
      <c r="C813" s="71" t="str">
        <f aca="false">IF(B813="","",IFERROR(INDEX(マスタ!$F$2:$F$60,MATCH(B813,マスタ!$E$2:$E$60,0))&amp;"",""))</f>
        <v/>
      </c>
      <c r="D813" s="73"/>
      <c r="E813" s="75"/>
      <c r="F813" s="75"/>
      <c r="G813" s="75"/>
      <c r="H813" s="73"/>
      <c r="I813" s="75"/>
      <c r="J813" s="75"/>
      <c r="K813" s="75"/>
      <c r="L813" s="73"/>
      <c r="M813" s="78" t="str">
        <f aca="false">IF(OR(E813="",F813=""),"",MAX(0,((F813-E813-N(G813))*1440-N(H813)*10)/60))</f>
        <v/>
      </c>
      <c r="N813" s="78" t="str">
        <f aca="false">IF($D813="欠席",0,IF(OR(I813="",J813=""),"",MAX(0,((J813-I813-N(K813))*1440-N(L813)*10)/60)))</f>
        <v/>
      </c>
      <c r="O813" s="73"/>
    </row>
    <row r="814" customFormat="false" ht="15" hidden="false" customHeight="false" outlineLevel="0" collapsed="false">
      <c r="A814" s="77"/>
      <c r="B814" s="73"/>
      <c r="C814" s="71" t="str">
        <f aca="false">IF(B814="","",IFERROR(INDEX(マスタ!$F$2:$F$60,MATCH(B814,マスタ!$E$2:$E$60,0))&amp;"",""))</f>
        <v/>
      </c>
      <c r="D814" s="73"/>
      <c r="E814" s="75"/>
      <c r="F814" s="75"/>
      <c r="G814" s="75"/>
      <c r="H814" s="73"/>
      <c r="I814" s="75"/>
      <c r="J814" s="75"/>
      <c r="K814" s="75"/>
      <c r="L814" s="73"/>
      <c r="M814" s="78" t="str">
        <f aca="false">IF(OR(E814="",F814=""),"",MAX(0,((F814-E814-N(G814))*1440-N(H814)*10)/60))</f>
        <v/>
      </c>
      <c r="N814" s="78" t="str">
        <f aca="false">IF($D814="欠席",0,IF(OR(I814="",J814=""),"",MAX(0,((J814-I814-N(K814))*1440-N(L814)*10)/60)))</f>
        <v/>
      </c>
      <c r="O814" s="73"/>
    </row>
    <row r="815" customFormat="false" ht="15" hidden="false" customHeight="false" outlineLevel="0" collapsed="false">
      <c r="A815" s="77"/>
      <c r="B815" s="73"/>
      <c r="C815" s="71" t="str">
        <f aca="false">IF(B815="","",IFERROR(INDEX(マスタ!$F$2:$F$60,MATCH(B815,マスタ!$E$2:$E$60,0))&amp;"",""))</f>
        <v/>
      </c>
      <c r="D815" s="73"/>
      <c r="E815" s="75"/>
      <c r="F815" s="75"/>
      <c r="G815" s="75"/>
      <c r="H815" s="73"/>
      <c r="I815" s="75"/>
      <c r="J815" s="75"/>
      <c r="K815" s="75"/>
      <c r="L815" s="73"/>
      <c r="M815" s="78" t="str">
        <f aca="false">IF(OR(E815="",F815=""),"",MAX(0,((F815-E815-N(G815))*1440-N(H815)*10)/60))</f>
        <v/>
      </c>
      <c r="N815" s="78" t="str">
        <f aca="false">IF($D815="欠席",0,IF(OR(I815="",J815=""),"",MAX(0,((J815-I815-N(K815))*1440-N(L815)*10)/60)))</f>
        <v/>
      </c>
      <c r="O815" s="73"/>
    </row>
    <row r="816" customFormat="false" ht="15" hidden="false" customHeight="false" outlineLevel="0" collapsed="false">
      <c r="A816" s="77"/>
      <c r="B816" s="73"/>
      <c r="C816" s="71" t="str">
        <f aca="false">IF(B816="","",IFERROR(INDEX(マスタ!$F$2:$F$60,MATCH(B816,マスタ!$E$2:$E$60,0))&amp;"",""))</f>
        <v/>
      </c>
      <c r="D816" s="73"/>
      <c r="E816" s="75"/>
      <c r="F816" s="75"/>
      <c r="G816" s="75"/>
      <c r="H816" s="73"/>
      <c r="I816" s="75"/>
      <c r="J816" s="75"/>
      <c r="K816" s="75"/>
      <c r="L816" s="73"/>
      <c r="M816" s="78" t="str">
        <f aca="false">IF(OR(E816="",F816=""),"",MAX(0,((F816-E816-N(G816))*1440-N(H816)*10)/60))</f>
        <v/>
      </c>
      <c r="N816" s="78" t="str">
        <f aca="false">IF($D816="欠席",0,IF(OR(I816="",J816=""),"",MAX(0,((J816-I816-N(K816))*1440-N(L816)*10)/60)))</f>
        <v/>
      </c>
      <c r="O816" s="73"/>
    </row>
    <row r="817" customFormat="false" ht="15" hidden="false" customHeight="false" outlineLevel="0" collapsed="false">
      <c r="A817" s="77"/>
      <c r="B817" s="73"/>
      <c r="C817" s="71" t="str">
        <f aca="false">IF(B817="","",IFERROR(INDEX(マスタ!$F$2:$F$60,MATCH(B817,マスタ!$E$2:$E$60,0))&amp;"",""))</f>
        <v/>
      </c>
      <c r="D817" s="73"/>
      <c r="E817" s="75"/>
      <c r="F817" s="75"/>
      <c r="G817" s="75"/>
      <c r="H817" s="73"/>
      <c r="I817" s="75"/>
      <c r="J817" s="75"/>
      <c r="K817" s="75"/>
      <c r="L817" s="73"/>
      <c r="M817" s="78" t="str">
        <f aca="false">IF(OR(E817="",F817=""),"",MAX(0,((F817-E817-N(G817))*1440-N(H817)*10)/60))</f>
        <v/>
      </c>
      <c r="N817" s="78" t="str">
        <f aca="false">IF($D817="欠席",0,IF(OR(I817="",J817=""),"",MAX(0,((J817-I817-N(K817))*1440-N(L817)*10)/60)))</f>
        <v/>
      </c>
      <c r="O817" s="73"/>
    </row>
    <row r="818" customFormat="false" ht="15" hidden="false" customHeight="false" outlineLevel="0" collapsed="false">
      <c r="A818" s="77"/>
      <c r="B818" s="73"/>
      <c r="C818" s="71" t="str">
        <f aca="false">IF(B818="","",IFERROR(INDEX(マスタ!$F$2:$F$60,MATCH(B818,マスタ!$E$2:$E$60,0))&amp;"",""))</f>
        <v/>
      </c>
      <c r="D818" s="73"/>
      <c r="E818" s="75"/>
      <c r="F818" s="75"/>
      <c r="G818" s="75"/>
      <c r="H818" s="73"/>
      <c r="I818" s="75"/>
      <c r="J818" s="75"/>
      <c r="K818" s="75"/>
      <c r="L818" s="73"/>
      <c r="M818" s="78" t="str">
        <f aca="false">IF(OR(E818="",F818=""),"",MAX(0,((F818-E818-N(G818))*1440-N(H818)*10)/60))</f>
        <v/>
      </c>
      <c r="N818" s="78" t="str">
        <f aca="false">IF($D818="欠席",0,IF(OR(I818="",J818=""),"",MAX(0,((J818-I818-N(K818))*1440-N(L818)*10)/60)))</f>
        <v/>
      </c>
      <c r="O818" s="73"/>
    </row>
    <row r="819" customFormat="false" ht="15" hidden="false" customHeight="false" outlineLevel="0" collapsed="false">
      <c r="A819" s="77"/>
      <c r="B819" s="73"/>
      <c r="C819" s="71" t="str">
        <f aca="false">IF(B819="","",IFERROR(INDEX(マスタ!$F$2:$F$60,MATCH(B819,マスタ!$E$2:$E$60,0))&amp;"",""))</f>
        <v/>
      </c>
      <c r="D819" s="73"/>
      <c r="E819" s="75"/>
      <c r="F819" s="75"/>
      <c r="G819" s="75"/>
      <c r="H819" s="73"/>
      <c r="I819" s="75"/>
      <c r="J819" s="75"/>
      <c r="K819" s="75"/>
      <c r="L819" s="73"/>
      <c r="M819" s="78" t="str">
        <f aca="false">IF(OR(E819="",F819=""),"",MAX(0,((F819-E819-N(G819))*1440-N(H819)*10)/60))</f>
        <v/>
      </c>
      <c r="N819" s="78" t="str">
        <f aca="false">IF($D819="欠席",0,IF(OR(I819="",J819=""),"",MAX(0,((J819-I819-N(K819))*1440-N(L819)*10)/60)))</f>
        <v/>
      </c>
      <c r="O819" s="73"/>
    </row>
    <row r="820" customFormat="false" ht="15" hidden="false" customHeight="false" outlineLevel="0" collapsed="false">
      <c r="A820" s="77"/>
      <c r="B820" s="73"/>
      <c r="C820" s="71" t="str">
        <f aca="false">IF(B820="","",IFERROR(INDEX(マスタ!$F$2:$F$60,MATCH(B820,マスタ!$E$2:$E$60,0))&amp;"",""))</f>
        <v/>
      </c>
      <c r="D820" s="73"/>
      <c r="E820" s="75"/>
      <c r="F820" s="75"/>
      <c r="G820" s="75"/>
      <c r="H820" s="73"/>
      <c r="I820" s="75"/>
      <c r="J820" s="75"/>
      <c r="K820" s="75"/>
      <c r="L820" s="73"/>
      <c r="M820" s="78" t="str">
        <f aca="false">IF(OR(E820="",F820=""),"",MAX(0,((F820-E820-N(G820))*1440-N(H820)*10)/60))</f>
        <v/>
      </c>
      <c r="N820" s="78" t="str">
        <f aca="false">IF($D820="欠席",0,IF(OR(I820="",J820=""),"",MAX(0,((J820-I820-N(K820))*1440-N(L820)*10)/60)))</f>
        <v/>
      </c>
      <c r="O820" s="73"/>
    </row>
    <row r="821" customFormat="false" ht="15" hidden="false" customHeight="false" outlineLevel="0" collapsed="false">
      <c r="A821" s="77"/>
      <c r="B821" s="73"/>
      <c r="C821" s="71" t="str">
        <f aca="false">IF(B821="","",IFERROR(INDEX(マスタ!$F$2:$F$60,MATCH(B821,マスタ!$E$2:$E$60,0))&amp;"",""))</f>
        <v/>
      </c>
      <c r="D821" s="73"/>
      <c r="E821" s="75"/>
      <c r="F821" s="75"/>
      <c r="G821" s="75"/>
      <c r="H821" s="73"/>
      <c r="I821" s="75"/>
      <c r="J821" s="75"/>
      <c r="K821" s="75"/>
      <c r="L821" s="73"/>
      <c r="M821" s="78" t="str">
        <f aca="false">IF(OR(E821="",F821=""),"",MAX(0,((F821-E821-N(G821))*1440-N(H821)*10)/60))</f>
        <v/>
      </c>
      <c r="N821" s="78" t="str">
        <f aca="false">IF($D821="欠席",0,IF(OR(I821="",J821=""),"",MAX(0,((J821-I821-N(K821))*1440-N(L821)*10)/60)))</f>
        <v/>
      </c>
      <c r="O821" s="73"/>
    </row>
    <row r="822" customFormat="false" ht="15" hidden="false" customHeight="false" outlineLevel="0" collapsed="false">
      <c r="A822" s="77"/>
      <c r="B822" s="73"/>
      <c r="C822" s="71" t="str">
        <f aca="false">IF(B822="","",IFERROR(INDEX(マスタ!$F$2:$F$60,MATCH(B822,マスタ!$E$2:$E$60,0))&amp;"",""))</f>
        <v/>
      </c>
      <c r="D822" s="73"/>
      <c r="E822" s="75"/>
      <c r="F822" s="75"/>
      <c r="G822" s="75"/>
      <c r="H822" s="73"/>
      <c r="I822" s="75"/>
      <c r="J822" s="75"/>
      <c r="K822" s="75"/>
      <c r="L822" s="73"/>
      <c r="M822" s="78" t="str">
        <f aca="false">IF(OR(E822="",F822=""),"",MAX(0,((F822-E822-N(G822))*1440-N(H822)*10)/60))</f>
        <v/>
      </c>
      <c r="N822" s="78" t="str">
        <f aca="false">IF($D822="欠席",0,IF(OR(I822="",J822=""),"",MAX(0,((J822-I822-N(K822))*1440-N(L822)*10)/60)))</f>
        <v/>
      </c>
      <c r="O822" s="73"/>
    </row>
    <row r="823" customFormat="false" ht="15" hidden="false" customHeight="false" outlineLevel="0" collapsed="false">
      <c r="A823" s="77"/>
      <c r="B823" s="73"/>
      <c r="C823" s="71" t="str">
        <f aca="false">IF(B823="","",IFERROR(INDEX(マスタ!$F$2:$F$60,MATCH(B823,マスタ!$E$2:$E$60,0))&amp;"",""))</f>
        <v/>
      </c>
      <c r="D823" s="73"/>
      <c r="E823" s="75"/>
      <c r="F823" s="75"/>
      <c r="G823" s="75"/>
      <c r="H823" s="73"/>
      <c r="I823" s="75"/>
      <c r="J823" s="75"/>
      <c r="K823" s="75"/>
      <c r="L823" s="73"/>
      <c r="M823" s="78" t="str">
        <f aca="false">IF(OR(E823="",F823=""),"",MAX(0,((F823-E823-N(G823))*1440-N(H823)*10)/60))</f>
        <v/>
      </c>
      <c r="N823" s="78" t="str">
        <f aca="false">IF($D823="欠席",0,IF(OR(I823="",J823=""),"",MAX(0,((J823-I823-N(K823))*1440-N(L823)*10)/60)))</f>
        <v/>
      </c>
      <c r="O823" s="73"/>
    </row>
    <row r="824" customFormat="false" ht="15" hidden="false" customHeight="false" outlineLevel="0" collapsed="false">
      <c r="A824" s="77"/>
      <c r="B824" s="73"/>
      <c r="C824" s="71" t="str">
        <f aca="false">IF(B824="","",IFERROR(INDEX(マスタ!$F$2:$F$60,MATCH(B824,マスタ!$E$2:$E$60,0))&amp;"",""))</f>
        <v/>
      </c>
      <c r="D824" s="73"/>
      <c r="E824" s="75"/>
      <c r="F824" s="75"/>
      <c r="G824" s="75"/>
      <c r="H824" s="73"/>
      <c r="I824" s="75"/>
      <c r="J824" s="75"/>
      <c r="K824" s="75"/>
      <c r="L824" s="73"/>
      <c r="M824" s="78" t="str">
        <f aca="false">IF(OR(E824="",F824=""),"",MAX(0,((F824-E824-N(G824))*1440-N(H824)*10)/60))</f>
        <v/>
      </c>
      <c r="N824" s="78" t="str">
        <f aca="false">IF($D824="欠席",0,IF(OR(I824="",J824=""),"",MAX(0,((J824-I824-N(K824))*1440-N(L824)*10)/60)))</f>
        <v/>
      </c>
      <c r="O824" s="73"/>
    </row>
    <row r="825" customFormat="false" ht="15" hidden="false" customHeight="false" outlineLevel="0" collapsed="false">
      <c r="A825" s="77"/>
      <c r="B825" s="73"/>
      <c r="C825" s="71" t="str">
        <f aca="false">IF(B825="","",IFERROR(INDEX(マスタ!$F$2:$F$60,MATCH(B825,マスタ!$E$2:$E$60,0))&amp;"",""))</f>
        <v/>
      </c>
      <c r="D825" s="73"/>
      <c r="E825" s="75"/>
      <c r="F825" s="75"/>
      <c r="G825" s="75"/>
      <c r="H825" s="73"/>
      <c r="I825" s="75"/>
      <c r="J825" s="75"/>
      <c r="K825" s="75"/>
      <c r="L825" s="73"/>
      <c r="M825" s="78" t="str">
        <f aca="false">IF(OR(E825="",F825=""),"",MAX(0,((F825-E825-N(G825))*1440-N(H825)*10)/60))</f>
        <v/>
      </c>
      <c r="N825" s="78" t="str">
        <f aca="false">IF($D825="欠席",0,IF(OR(I825="",J825=""),"",MAX(0,((J825-I825-N(K825))*1440-N(L825)*10)/60)))</f>
        <v/>
      </c>
      <c r="O825" s="73"/>
    </row>
    <row r="826" customFormat="false" ht="15" hidden="false" customHeight="false" outlineLevel="0" collapsed="false">
      <c r="A826" s="77"/>
      <c r="B826" s="73"/>
      <c r="C826" s="71" t="str">
        <f aca="false">IF(B826="","",IFERROR(INDEX(マスタ!$F$2:$F$60,MATCH(B826,マスタ!$E$2:$E$60,0))&amp;"",""))</f>
        <v/>
      </c>
      <c r="D826" s="73"/>
      <c r="E826" s="75"/>
      <c r="F826" s="75"/>
      <c r="G826" s="75"/>
      <c r="H826" s="73"/>
      <c r="I826" s="75"/>
      <c r="J826" s="75"/>
      <c r="K826" s="75"/>
      <c r="L826" s="73"/>
      <c r="M826" s="78" t="str">
        <f aca="false">IF(OR(E826="",F826=""),"",MAX(0,((F826-E826-N(G826))*1440-N(H826)*10)/60))</f>
        <v/>
      </c>
      <c r="N826" s="78" t="str">
        <f aca="false">IF($D826="欠席",0,IF(OR(I826="",J826=""),"",MAX(0,((J826-I826-N(K826))*1440-N(L826)*10)/60)))</f>
        <v/>
      </c>
      <c r="O826" s="73"/>
    </row>
    <row r="827" customFormat="false" ht="15" hidden="false" customHeight="false" outlineLevel="0" collapsed="false">
      <c r="A827" s="77"/>
      <c r="B827" s="73"/>
      <c r="C827" s="71" t="str">
        <f aca="false">IF(B827="","",IFERROR(INDEX(マスタ!$F$2:$F$60,MATCH(B827,マスタ!$E$2:$E$60,0))&amp;"",""))</f>
        <v/>
      </c>
      <c r="D827" s="73"/>
      <c r="E827" s="75"/>
      <c r="F827" s="75"/>
      <c r="G827" s="75"/>
      <c r="H827" s="73"/>
      <c r="I827" s="75"/>
      <c r="J827" s="75"/>
      <c r="K827" s="75"/>
      <c r="L827" s="73"/>
      <c r="M827" s="78" t="str">
        <f aca="false">IF(OR(E827="",F827=""),"",MAX(0,((F827-E827-N(G827))*1440-N(H827)*10)/60))</f>
        <v/>
      </c>
      <c r="N827" s="78" t="str">
        <f aca="false">IF($D827="欠席",0,IF(OR(I827="",J827=""),"",MAX(0,((J827-I827-N(K827))*1440-N(L827)*10)/60)))</f>
        <v/>
      </c>
      <c r="O827" s="73"/>
    </row>
    <row r="828" customFormat="false" ht="15" hidden="false" customHeight="false" outlineLevel="0" collapsed="false">
      <c r="A828" s="77"/>
      <c r="B828" s="73"/>
      <c r="C828" s="71" t="str">
        <f aca="false">IF(B828="","",IFERROR(INDEX(マスタ!$F$2:$F$60,MATCH(B828,マスタ!$E$2:$E$60,0))&amp;"",""))</f>
        <v/>
      </c>
      <c r="D828" s="73"/>
      <c r="E828" s="75"/>
      <c r="F828" s="75"/>
      <c r="G828" s="75"/>
      <c r="H828" s="73"/>
      <c r="I828" s="75"/>
      <c r="J828" s="75"/>
      <c r="K828" s="75"/>
      <c r="L828" s="73"/>
      <c r="M828" s="78" t="str">
        <f aca="false">IF(OR(E828="",F828=""),"",MAX(0,((F828-E828-N(G828))*1440-N(H828)*10)/60))</f>
        <v/>
      </c>
      <c r="N828" s="78" t="str">
        <f aca="false">IF($D828="欠席",0,IF(OR(I828="",J828=""),"",MAX(0,((J828-I828-N(K828))*1440-N(L828)*10)/60)))</f>
        <v/>
      </c>
      <c r="O828" s="73"/>
    </row>
    <row r="829" customFormat="false" ht="15" hidden="false" customHeight="false" outlineLevel="0" collapsed="false">
      <c r="A829" s="77"/>
      <c r="B829" s="73"/>
      <c r="C829" s="71" t="str">
        <f aca="false">IF(B829="","",IFERROR(INDEX(マスタ!$F$2:$F$60,MATCH(B829,マスタ!$E$2:$E$60,0))&amp;"",""))</f>
        <v/>
      </c>
      <c r="D829" s="73"/>
      <c r="E829" s="75"/>
      <c r="F829" s="75"/>
      <c r="G829" s="75"/>
      <c r="H829" s="73"/>
      <c r="I829" s="75"/>
      <c r="J829" s="75"/>
      <c r="K829" s="75"/>
      <c r="L829" s="73"/>
      <c r="M829" s="78" t="str">
        <f aca="false">IF(OR(E829="",F829=""),"",MAX(0,((F829-E829-N(G829))*1440-N(H829)*10)/60))</f>
        <v/>
      </c>
      <c r="N829" s="78" t="str">
        <f aca="false">IF($D829="欠席",0,IF(OR(I829="",J829=""),"",MAX(0,((J829-I829-N(K829))*1440-N(L829)*10)/60)))</f>
        <v/>
      </c>
      <c r="O829" s="73"/>
    </row>
    <row r="830" customFormat="false" ht="15" hidden="false" customHeight="false" outlineLevel="0" collapsed="false">
      <c r="A830" s="77"/>
      <c r="B830" s="73"/>
      <c r="C830" s="71" t="str">
        <f aca="false">IF(B830="","",IFERROR(INDEX(マスタ!$F$2:$F$60,MATCH(B830,マスタ!$E$2:$E$60,0))&amp;"",""))</f>
        <v/>
      </c>
      <c r="D830" s="73"/>
      <c r="E830" s="75"/>
      <c r="F830" s="75"/>
      <c r="G830" s="75"/>
      <c r="H830" s="73"/>
      <c r="I830" s="75"/>
      <c r="J830" s="75"/>
      <c r="K830" s="75"/>
      <c r="L830" s="73"/>
      <c r="M830" s="78" t="str">
        <f aca="false">IF(OR(E830="",F830=""),"",MAX(0,((F830-E830-N(G830))*1440-N(H830)*10)/60))</f>
        <v/>
      </c>
      <c r="N830" s="78" t="str">
        <f aca="false">IF($D830="欠席",0,IF(OR(I830="",J830=""),"",MAX(0,((J830-I830-N(K830))*1440-N(L830)*10)/60)))</f>
        <v/>
      </c>
      <c r="O830" s="73"/>
    </row>
    <row r="831" customFormat="false" ht="15" hidden="false" customHeight="false" outlineLevel="0" collapsed="false">
      <c r="A831" s="77"/>
      <c r="B831" s="73"/>
      <c r="C831" s="71" t="str">
        <f aca="false">IF(B831="","",IFERROR(INDEX(マスタ!$F$2:$F$60,MATCH(B831,マスタ!$E$2:$E$60,0))&amp;"",""))</f>
        <v/>
      </c>
      <c r="D831" s="73"/>
      <c r="E831" s="75"/>
      <c r="F831" s="75"/>
      <c r="G831" s="75"/>
      <c r="H831" s="73"/>
      <c r="I831" s="75"/>
      <c r="J831" s="75"/>
      <c r="K831" s="75"/>
      <c r="L831" s="73"/>
      <c r="M831" s="78" t="str">
        <f aca="false">IF(OR(E831="",F831=""),"",MAX(0,((F831-E831-N(G831))*1440-N(H831)*10)/60))</f>
        <v/>
      </c>
      <c r="N831" s="78" t="str">
        <f aca="false">IF($D831="欠席",0,IF(OR(I831="",J831=""),"",MAX(0,((J831-I831-N(K831))*1440-N(L831)*10)/60)))</f>
        <v/>
      </c>
      <c r="O831" s="73"/>
    </row>
    <row r="832" customFormat="false" ht="15" hidden="false" customHeight="false" outlineLevel="0" collapsed="false">
      <c r="A832" s="77"/>
      <c r="B832" s="73"/>
      <c r="C832" s="71" t="str">
        <f aca="false">IF(B832="","",IFERROR(INDEX(マスタ!$F$2:$F$60,MATCH(B832,マスタ!$E$2:$E$60,0))&amp;"",""))</f>
        <v/>
      </c>
      <c r="D832" s="73"/>
      <c r="E832" s="75"/>
      <c r="F832" s="75"/>
      <c r="G832" s="75"/>
      <c r="H832" s="73"/>
      <c r="I832" s="75"/>
      <c r="J832" s="75"/>
      <c r="K832" s="75"/>
      <c r="L832" s="73"/>
      <c r="M832" s="78" t="str">
        <f aca="false">IF(OR(E832="",F832=""),"",MAX(0,((F832-E832-N(G832))*1440-N(H832)*10)/60))</f>
        <v/>
      </c>
      <c r="N832" s="78" t="str">
        <f aca="false">IF($D832="欠席",0,IF(OR(I832="",J832=""),"",MAX(0,((J832-I832-N(K832))*1440-N(L832)*10)/60)))</f>
        <v/>
      </c>
      <c r="O832" s="73"/>
    </row>
    <row r="833" customFormat="false" ht="15" hidden="false" customHeight="false" outlineLevel="0" collapsed="false">
      <c r="A833" s="77"/>
      <c r="B833" s="73"/>
      <c r="C833" s="71" t="str">
        <f aca="false">IF(B833="","",IFERROR(INDEX(マスタ!$F$2:$F$60,MATCH(B833,マスタ!$E$2:$E$60,0))&amp;"",""))</f>
        <v/>
      </c>
      <c r="D833" s="73"/>
      <c r="E833" s="75"/>
      <c r="F833" s="75"/>
      <c r="G833" s="75"/>
      <c r="H833" s="73"/>
      <c r="I833" s="75"/>
      <c r="J833" s="75"/>
      <c r="K833" s="75"/>
      <c r="L833" s="73"/>
      <c r="M833" s="78" t="str">
        <f aca="false">IF(OR(E833="",F833=""),"",MAX(0,((F833-E833-N(G833))*1440-N(H833)*10)/60))</f>
        <v/>
      </c>
      <c r="N833" s="78" t="str">
        <f aca="false">IF($D833="欠席",0,IF(OR(I833="",J833=""),"",MAX(0,((J833-I833-N(K833))*1440-N(L833)*10)/60)))</f>
        <v/>
      </c>
      <c r="O833" s="73"/>
    </row>
    <row r="834" customFormat="false" ht="15" hidden="false" customHeight="false" outlineLevel="0" collapsed="false">
      <c r="A834" s="77"/>
      <c r="B834" s="73"/>
      <c r="C834" s="71" t="str">
        <f aca="false">IF(B834="","",IFERROR(INDEX(マスタ!$F$2:$F$60,MATCH(B834,マスタ!$E$2:$E$60,0))&amp;"",""))</f>
        <v/>
      </c>
      <c r="D834" s="73"/>
      <c r="E834" s="75"/>
      <c r="F834" s="75"/>
      <c r="G834" s="75"/>
      <c r="H834" s="73"/>
      <c r="I834" s="75"/>
      <c r="J834" s="75"/>
      <c r="K834" s="75"/>
      <c r="L834" s="73"/>
      <c r="M834" s="78" t="str">
        <f aca="false">IF(OR(E834="",F834=""),"",MAX(0,((F834-E834-N(G834))*1440-N(H834)*10)/60))</f>
        <v/>
      </c>
      <c r="N834" s="78" t="str">
        <f aca="false">IF($D834="欠席",0,IF(OR(I834="",J834=""),"",MAX(0,((J834-I834-N(K834))*1440-N(L834)*10)/60)))</f>
        <v/>
      </c>
      <c r="O834" s="73"/>
    </row>
    <row r="835" customFormat="false" ht="15" hidden="false" customHeight="false" outlineLevel="0" collapsed="false">
      <c r="A835" s="77"/>
      <c r="B835" s="73"/>
      <c r="C835" s="71" t="str">
        <f aca="false">IF(B835="","",IFERROR(INDEX(マスタ!$F$2:$F$60,MATCH(B835,マスタ!$E$2:$E$60,0))&amp;"",""))</f>
        <v/>
      </c>
      <c r="D835" s="73"/>
      <c r="E835" s="75"/>
      <c r="F835" s="75"/>
      <c r="G835" s="75"/>
      <c r="H835" s="73"/>
      <c r="I835" s="75"/>
      <c r="J835" s="75"/>
      <c r="K835" s="75"/>
      <c r="L835" s="73"/>
      <c r="M835" s="78" t="str">
        <f aca="false">IF(OR(E835="",F835=""),"",MAX(0,((F835-E835-N(G835))*1440-N(H835)*10)/60))</f>
        <v/>
      </c>
      <c r="N835" s="78" t="str">
        <f aca="false">IF($D835="欠席",0,IF(OR(I835="",J835=""),"",MAX(0,((J835-I835-N(K835))*1440-N(L835)*10)/60)))</f>
        <v/>
      </c>
      <c r="O835" s="73"/>
    </row>
    <row r="836" customFormat="false" ht="15" hidden="false" customHeight="false" outlineLevel="0" collapsed="false">
      <c r="A836" s="77"/>
      <c r="B836" s="73"/>
      <c r="C836" s="71" t="str">
        <f aca="false">IF(B836="","",IFERROR(INDEX(マスタ!$F$2:$F$60,MATCH(B836,マスタ!$E$2:$E$60,0))&amp;"",""))</f>
        <v/>
      </c>
      <c r="D836" s="73"/>
      <c r="E836" s="75"/>
      <c r="F836" s="75"/>
      <c r="G836" s="75"/>
      <c r="H836" s="73"/>
      <c r="I836" s="75"/>
      <c r="J836" s="75"/>
      <c r="K836" s="75"/>
      <c r="L836" s="73"/>
      <c r="M836" s="78" t="str">
        <f aca="false">IF(OR(E836="",F836=""),"",MAX(0,((F836-E836-N(G836))*1440-N(H836)*10)/60))</f>
        <v/>
      </c>
      <c r="N836" s="78" t="str">
        <f aca="false">IF($D836="欠席",0,IF(OR(I836="",J836=""),"",MAX(0,((J836-I836-N(K836))*1440-N(L836)*10)/60)))</f>
        <v/>
      </c>
      <c r="O836" s="73"/>
    </row>
    <row r="837" customFormat="false" ht="15" hidden="false" customHeight="false" outlineLevel="0" collapsed="false">
      <c r="A837" s="77"/>
      <c r="B837" s="73"/>
      <c r="C837" s="71" t="str">
        <f aca="false">IF(B837="","",IFERROR(INDEX(マスタ!$F$2:$F$60,MATCH(B837,マスタ!$E$2:$E$60,0))&amp;"",""))</f>
        <v/>
      </c>
      <c r="D837" s="73"/>
      <c r="E837" s="75"/>
      <c r="F837" s="75"/>
      <c r="G837" s="75"/>
      <c r="H837" s="73"/>
      <c r="I837" s="75"/>
      <c r="J837" s="75"/>
      <c r="K837" s="75"/>
      <c r="L837" s="73"/>
      <c r="M837" s="78" t="str">
        <f aca="false">IF(OR(E837="",F837=""),"",MAX(0,((F837-E837-N(G837))*1440-N(H837)*10)/60))</f>
        <v/>
      </c>
      <c r="N837" s="78" t="str">
        <f aca="false">IF($D837="欠席",0,IF(OR(I837="",J837=""),"",MAX(0,((J837-I837-N(K837))*1440-N(L837)*10)/60)))</f>
        <v/>
      </c>
      <c r="O837" s="73"/>
    </row>
    <row r="838" customFormat="false" ht="15" hidden="false" customHeight="false" outlineLevel="0" collapsed="false">
      <c r="A838" s="77"/>
      <c r="B838" s="73"/>
      <c r="C838" s="71" t="str">
        <f aca="false">IF(B838="","",IFERROR(INDEX(マスタ!$F$2:$F$60,MATCH(B838,マスタ!$E$2:$E$60,0))&amp;"",""))</f>
        <v/>
      </c>
      <c r="D838" s="73"/>
      <c r="E838" s="75"/>
      <c r="F838" s="75"/>
      <c r="G838" s="75"/>
      <c r="H838" s="73"/>
      <c r="I838" s="75"/>
      <c r="J838" s="75"/>
      <c r="K838" s="75"/>
      <c r="L838" s="73"/>
      <c r="M838" s="78" t="str">
        <f aca="false">IF(OR(E838="",F838=""),"",MAX(0,((F838-E838-N(G838))*1440-N(H838)*10)/60))</f>
        <v/>
      </c>
      <c r="N838" s="78" t="str">
        <f aca="false">IF($D838="欠席",0,IF(OR(I838="",J838=""),"",MAX(0,((J838-I838-N(K838))*1440-N(L838)*10)/60)))</f>
        <v/>
      </c>
      <c r="O838" s="73"/>
    </row>
    <row r="839" customFormat="false" ht="15" hidden="false" customHeight="false" outlineLevel="0" collapsed="false">
      <c r="A839" s="77"/>
      <c r="B839" s="73"/>
      <c r="C839" s="71" t="str">
        <f aca="false">IF(B839="","",IFERROR(INDEX(マスタ!$F$2:$F$60,MATCH(B839,マスタ!$E$2:$E$60,0))&amp;"",""))</f>
        <v/>
      </c>
      <c r="D839" s="73"/>
      <c r="E839" s="75"/>
      <c r="F839" s="75"/>
      <c r="G839" s="75"/>
      <c r="H839" s="73"/>
      <c r="I839" s="75"/>
      <c r="J839" s="75"/>
      <c r="K839" s="75"/>
      <c r="L839" s="73"/>
      <c r="M839" s="78" t="str">
        <f aca="false">IF(OR(E839="",F839=""),"",MAX(0,((F839-E839-N(G839))*1440-N(H839)*10)/60))</f>
        <v/>
      </c>
      <c r="N839" s="78" t="str">
        <f aca="false">IF($D839="欠席",0,IF(OR(I839="",J839=""),"",MAX(0,((J839-I839-N(K839))*1440-N(L839)*10)/60)))</f>
        <v/>
      </c>
      <c r="O839" s="73"/>
    </row>
    <row r="840" customFormat="false" ht="15" hidden="false" customHeight="false" outlineLevel="0" collapsed="false">
      <c r="A840" s="77"/>
      <c r="B840" s="73"/>
      <c r="C840" s="71" t="str">
        <f aca="false">IF(B840="","",IFERROR(INDEX(マスタ!$F$2:$F$60,MATCH(B840,マスタ!$E$2:$E$60,0))&amp;"",""))</f>
        <v/>
      </c>
      <c r="D840" s="73"/>
      <c r="E840" s="75"/>
      <c r="F840" s="75"/>
      <c r="G840" s="75"/>
      <c r="H840" s="73"/>
      <c r="I840" s="75"/>
      <c r="J840" s="75"/>
      <c r="K840" s="75"/>
      <c r="L840" s="73"/>
      <c r="M840" s="78" t="str">
        <f aca="false">IF(OR(E840="",F840=""),"",MAX(0,((F840-E840-N(G840))*1440-N(H840)*10)/60))</f>
        <v/>
      </c>
      <c r="N840" s="78" t="str">
        <f aca="false">IF($D840="欠席",0,IF(OR(I840="",J840=""),"",MAX(0,((J840-I840-N(K840))*1440-N(L840)*10)/60)))</f>
        <v/>
      </c>
      <c r="O840" s="73"/>
    </row>
    <row r="841" customFormat="false" ht="15" hidden="false" customHeight="false" outlineLevel="0" collapsed="false">
      <c r="A841" s="77"/>
      <c r="B841" s="73"/>
      <c r="C841" s="71" t="str">
        <f aca="false">IF(B841="","",IFERROR(INDEX(マスタ!$F$2:$F$60,MATCH(B841,マスタ!$E$2:$E$60,0))&amp;"",""))</f>
        <v/>
      </c>
      <c r="D841" s="73"/>
      <c r="E841" s="75"/>
      <c r="F841" s="75"/>
      <c r="G841" s="75"/>
      <c r="H841" s="73"/>
      <c r="I841" s="75"/>
      <c r="J841" s="75"/>
      <c r="K841" s="75"/>
      <c r="L841" s="73"/>
      <c r="M841" s="78" t="str">
        <f aca="false">IF(OR(E841="",F841=""),"",MAX(0,((F841-E841-N(G841))*1440-N(H841)*10)/60))</f>
        <v/>
      </c>
      <c r="N841" s="78" t="str">
        <f aca="false">IF($D841="欠席",0,IF(OR(I841="",J841=""),"",MAX(0,((J841-I841-N(K841))*1440-N(L841)*10)/60)))</f>
        <v/>
      </c>
      <c r="O841" s="73"/>
    </row>
    <row r="842" customFormat="false" ht="15" hidden="false" customHeight="false" outlineLevel="0" collapsed="false">
      <c r="A842" s="77"/>
      <c r="B842" s="73"/>
      <c r="C842" s="71" t="str">
        <f aca="false">IF(B842="","",IFERROR(INDEX(マスタ!$F$2:$F$60,MATCH(B842,マスタ!$E$2:$E$60,0))&amp;"",""))</f>
        <v/>
      </c>
      <c r="D842" s="73"/>
      <c r="E842" s="75"/>
      <c r="F842" s="75"/>
      <c r="G842" s="75"/>
      <c r="H842" s="73"/>
      <c r="I842" s="75"/>
      <c r="J842" s="75"/>
      <c r="K842" s="75"/>
      <c r="L842" s="73"/>
      <c r="M842" s="78" t="str">
        <f aca="false">IF(OR(E842="",F842=""),"",MAX(0,((F842-E842-N(G842))*1440-N(H842)*10)/60))</f>
        <v/>
      </c>
      <c r="N842" s="78" t="str">
        <f aca="false">IF($D842="欠席",0,IF(OR(I842="",J842=""),"",MAX(0,((J842-I842-N(K842))*1440-N(L842)*10)/60)))</f>
        <v/>
      </c>
      <c r="O842" s="73"/>
    </row>
    <row r="843" customFormat="false" ht="15" hidden="false" customHeight="false" outlineLevel="0" collapsed="false">
      <c r="A843" s="77"/>
      <c r="B843" s="73"/>
      <c r="C843" s="71" t="str">
        <f aca="false">IF(B843="","",IFERROR(INDEX(マスタ!$F$2:$F$60,MATCH(B843,マスタ!$E$2:$E$60,0))&amp;"",""))</f>
        <v/>
      </c>
      <c r="D843" s="73"/>
      <c r="E843" s="75"/>
      <c r="F843" s="75"/>
      <c r="G843" s="75"/>
      <c r="H843" s="73"/>
      <c r="I843" s="75"/>
      <c r="J843" s="75"/>
      <c r="K843" s="75"/>
      <c r="L843" s="73"/>
      <c r="M843" s="78" t="str">
        <f aca="false">IF(OR(E843="",F843=""),"",MAX(0,((F843-E843-N(G843))*1440-N(H843)*10)/60))</f>
        <v/>
      </c>
      <c r="N843" s="78" t="str">
        <f aca="false">IF($D843="欠席",0,IF(OR(I843="",J843=""),"",MAX(0,((J843-I843-N(K843))*1440-N(L843)*10)/60)))</f>
        <v/>
      </c>
      <c r="O843" s="73"/>
    </row>
    <row r="844" customFormat="false" ht="15" hidden="false" customHeight="false" outlineLevel="0" collapsed="false">
      <c r="A844" s="77"/>
      <c r="B844" s="73"/>
      <c r="C844" s="71" t="str">
        <f aca="false">IF(B844="","",IFERROR(INDEX(マスタ!$F$2:$F$60,MATCH(B844,マスタ!$E$2:$E$60,0))&amp;"",""))</f>
        <v/>
      </c>
      <c r="D844" s="73"/>
      <c r="E844" s="75"/>
      <c r="F844" s="75"/>
      <c r="G844" s="75"/>
      <c r="H844" s="73"/>
      <c r="I844" s="75"/>
      <c r="J844" s="75"/>
      <c r="K844" s="75"/>
      <c r="L844" s="73"/>
      <c r="M844" s="78" t="str">
        <f aca="false">IF(OR(E844="",F844=""),"",MAX(0,((F844-E844-N(G844))*1440-N(H844)*10)/60))</f>
        <v/>
      </c>
      <c r="N844" s="78" t="str">
        <f aca="false">IF($D844="欠席",0,IF(OR(I844="",J844=""),"",MAX(0,((J844-I844-N(K844))*1440-N(L844)*10)/60)))</f>
        <v/>
      </c>
      <c r="O844" s="73"/>
    </row>
    <row r="845" customFormat="false" ht="15" hidden="false" customHeight="false" outlineLevel="0" collapsed="false">
      <c r="A845" s="77"/>
      <c r="B845" s="73"/>
      <c r="C845" s="71" t="str">
        <f aca="false">IF(B845="","",IFERROR(INDEX(マスタ!$F$2:$F$60,MATCH(B845,マスタ!$E$2:$E$60,0))&amp;"",""))</f>
        <v/>
      </c>
      <c r="D845" s="73"/>
      <c r="E845" s="75"/>
      <c r="F845" s="75"/>
      <c r="G845" s="75"/>
      <c r="H845" s="73"/>
      <c r="I845" s="75"/>
      <c r="J845" s="75"/>
      <c r="K845" s="75"/>
      <c r="L845" s="73"/>
      <c r="M845" s="78" t="str">
        <f aca="false">IF(OR(E845="",F845=""),"",MAX(0,((F845-E845-N(G845))*1440-N(H845)*10)/60))</f>
        <v/>
      </c>
      <c r="N845" s="78" t="str">
        <f aca="false">IF($D845="欠席",0,IF(OR(I845="",J845=""),"",MAX(0,((J845-I845-N(K845))*1440-N(L845)*10)/60)))</f>
        <v/>
      </c>
      <c r="O845" s="73"/>
    </row>
    <row r="846" customFormat="false" ht="15" hidden="false" customHeight="false" outlineLevel="0" collapsed="false">
      <c r="A846" s="77"/>
      <c r="B846" s="73"/>
      <c r="C846" s="71" t="str">
        <f aca="false">IF(B846="","",IFERROR(INDEX(マスタ!$F$2:$F$60,MATCH(B846,マスタ!$E$2:$E$60,0))&amp;"",""))</f>
        <v/>
      </c>
      <c r="D846" s="73"/>
      <c r="E846" s="75"/>
      <c r="F846" s="75"/>
      <c r="G846" s="75"/>
      <c r="H846" s="73"/>
      <c r="I846" s="75"/>
      <c r="J846" s="75"/>
      <c r="K846" s="75"/>
      <c r="L846" s="73"/>
      <c r="M846" s="78" t="str">
        <f aca="false">IF(OR(E846="",F846=""),"",MAX(0,((F846-E846-N(G846))*1440-N(H846)*10)/60))</f>
        <v/>
      </c>
      <c r="N846" s="78" t="str">
        <f aca="false">IF($D846="欠席",0,IF(OR(I846="",J846=""),"",MAX(0,((J846-I846-N(K846))*1440-N(L846)*10)/60)))</f>
        <v/>
      </c>
      <c r="O846" s="73"/>
    </row>
    <row r="847" customFormat="false" ht="15" hidden="false" customHeight="false" outlineLevel="0" collapsed="false">
      <c r="A847" s="77"/>
      <c r="B847" s="73"/>
      <c r="C847" s="71" t="str">
        <f aca="false">IF(B847="","",IFERROR(INDEX(マスタ!$F$2:$F$60,MATCH(B847,マスタ!$E$2:$E$60,0))&amp;"",""))</f>
        <v/>
      </c>
      <c r="D847" s="73"/>
      <c r="E847" s="75"/>
      <c r="F847" s="75"/>
      <c r="G847" s="75"/>
      <c r="H847" s="73"/>
      <c r="I847" s="75"/>
      <c r="J847" s="75"/>
      <c r="K847" s="75"/>
      <c r="L847" s="73"/>
      <c r="M847" s="78" t="str">
        <f aca="false">IF(OR(E847="",F847=""),"",MAX(0,((F847-E847-N(G847))*1440-N(H847)*10)/60))</f>
        <v/>
      </c>
      <c r="N847" s="78" t="str">
        <f aca="false">IF($D847="欠席",0,IF(OR(I847="",J847=""),"",MAX(0,((J847-I847-N(K847))*1440-N(L847)*10)/60)))</f>
        <v/>
      </c>
      <c r="O847" s="73"/>
    </row>
    <row r="848" customFormat="false" ht="15" hidden="false" customHeight="false" outlineLevel="0" collapsed="false">
      <c r="A848" s="77"/>
      <c r="B848" s="73"/>
      <c r="C848" s="71" t="str">
        <f aca="false">IF(B848="","",IFERROR(INDEX(マスタ!$F$2:$F$60,MATCH(B848,マスタ!$E$2:$E$60,0))&amp;"",""))</f>
        <v/>
      </c>
      <c r="D848" s="73"/>
      <c r="E848" s="75"/>
      <c r="F848" s="75"/>
      <c r="G848" s="75"/>
      <c r="H848" s="73"/>
      <c r="I848" s="75"/>
      <c r="J848" s="75"/>
      <c r="K848" s="75"/>
      <c r="L848" s="73"/>
      <c r="M848" s="78" t="str">
        <f aca="false">IF(OR(E848="",F848=""),"",MAX(0,((F848-E848-N(G848))*1440-N(H848)*10)/60))</f>
        <v/>
      </c>
      <c r="N848" s="78" t="str">
        <f aca="false">IF($D848="欠席",0,IF(OR(I848="",J848=""),"",MAX(0,((J848-I848-N(K848))*1440-N(L848)*10)/60)))</f>
        <v/>
      </c>
      <c r="O848" s="73"/>
    </row>
    <row r="849" customFormat="false" ht="15" hidden="false" customHeight="false" outlineLevel="0" collapsed="false">
      <c r="A849" s="77"/>
      <c r="B849" s="73"/>
      <c r="C849" s="71" t="str">
        <f aca="false">IF(B849="","",IFERROR(INDEX(マスタ!$F$2:$F$60,MATCH(B849,マスタ!$E$2:$E$60,0))&amp;"",""))</f>
        <v/>
      </c>
      <c r="D849" s="73"/>
      <c r="E849" s="75"/>
      <c r="F849" s="75"/>
      <c r="G849" s="75"/>
      <c r="H849" s="73"/>
      <c r="I849" s="75"/>
      <c r="J849" s="75"/>
      <c r="K849" s="75"/>
      <c r="L849" s="73"/>
      <c r="M849" s="78" t="str">
        <f aca="false">IF(OR(E849="",F849=""),"",MAX(0,((F849-E849-N(G849))*1440-N(H849)*10)/60))</f>
        <v/>
      </c>
      <c r="N849" s="78" t="str">
        <f aca="false">IF($D849="欠席",0,IF(OR(I849="",J849=""),"",MAX(0,((J849-I849-N(K849))*1440-N(L849)*10)/60)))</f>
        <v/>
      </c>
      <c r="O849" s="73"/>
    </row>
    <row r="850" customFormat="false" ht="15" hidden="false" customHeight="false" outlineLevel="0" collapsed="false">
      <c r="A850" s="77"/>
      <c r="B850" s="73"/>
      <c r="C850" s="71" t="str">
        <f aca="false">IF(B850="","",IFERROR(INDEX(マスタ!$F$2:$F$60,MATCH(B850,マスタ!$E$2:$E$60,0))&amp;"",""))</f>
        <v/>
      </c>
      <c r="D850" s="73"/>
      <c r="E850" s="75"/>
      <c r="F850" s="75"/>
      <c r="G850" s="75"/>
      <c r="H850" s="73"/>
      <c r="I850" s="75"/>
      <c r="J850" s="75"/>
      <c r="K850" s="75"/>
      <c r="L850" s="73"/>
      <c r="M850" s="78" t="str">
        <f aca="false">IF(OR(E850="",F850=""),"",MAX(0,((F850-E850-N(G850))*1440-N(H850)*10)/60))</f>
        <v/>
      </c>
      <c r="N850" s="78" t="str">
        <f aca="false">IF($D850="欠席",0,IF(OR(I850="",J850=""),"",MAX(0,((J850-I850-N(K850))*1440-N(L850)*10)/60)))</f>
        <v/>
      </c>
      <c r="O850" s="73"/>
    </row>
    <row r="851" customFormat="false" ht="15" hidden="false" customHeight="false" outlineLevel="0" collapsed="false">
      <c r="A851" s="77"/>
      <c r="B851" s="73"/>
      <c r="C851" s="71" t="str">
        <f aca="false">IF(B851="","",IFERROR(INDEX(マスタ!$F$2:$F$60,MATCH(B851,マスタ!$E$2:$E$60,0))&amp;"",""))</f>
        <v/>
      </c>
      <c r="D851" s="73"/>
      <c r="E851" s="75"/>
      <c r="F851" s="75"/>
      <c r="G851" s="75"/>
      <c r="H851" s="73"/>
      <c r="I851" s="75"/>
      <c r="J851" s="75"/>
      <c r="K851" s="75"/>
      <c r="L851" s="73"/>
      <c r="M851" s="78" t="str">
        <f aca="false">IF(OR(E851="",F851=""),"",MAX(0,((F851-E851-N(G851))*1440-N(H851)*10)/60))</f>
        <v/>
      </c>
      <c r="N851" s="78" t="str">
        <f aca="false">IF($D851="欠席",0,IF(OR(I851="",J851=""),"",MAX(0,((J851-I851-N(K851))*1440-N(L851)*10)/60)))</f>
        <v/>
      </c>
      <c r="O851" s="73"/>
    </row>
    <row r="852" customFormat="false" ht="15" hidden="false" customHeight="false" outlineLevel="0" collapsed="false">
      <c r="A852" s="77"/>
      <c r="B852" s="73"/>
      <c r="C852" s="71" t="str">
        <f aca="false">IF(B852="","",IFERROR(INDEX(マスタ!$F$2:$F$60,MATCH(B852,マスタ!$E$2:$E$60,0))&amp;"",""))</f>
        <v/>
      </c>
      <c r="D852" s="73"/>
      <c r="E852" s="75"/>
      <c r="F852" s="75"/>
      <c r="G852" s="75"/>
      <c r="H852" s="73"/>
      <c r="I852" s="75"/>
      <c r="J852" s="75"/>
      <c r="K852" s="75"/>
      <c r="L852" s="73"/>
      <c r="M852" s="78" t="str">
        <f aca="false">IF(OR(E852="",F852=""),"",MAX(0,((F852-E852-N(G852))*1440-N(H852)*10)/60))</f>
        <v/>
      </c>
      <c r="N852" s="78" t="str">
        <f aca="false">IF($D852="欠席",0,IF(OR(I852="",J852=""),"",MAX(0,((J852-I852-N(K852))*1440-N(L852)*10)/60)))</f>
        <v/>
      </c>
      <c r="O852" s="73"/>
    </row>
    <row r="853" customFormat="false" ht="15" hidden="false" customHeight="false" outlineLevel="0" collapsed="false">
      <c r="A853" s="77"/>
      <c r="B853" s="73"/>
      <c r="C853" s="71" t="str">
        <f aca="false">IF(B853="","",IFERROR(INDEX(マスタ!$F$2:$F$60,MATCH(B853,マスタ!$E$2:$E$60,0))&amp;"",""))</f>
        <v/>
      </c>
      <c r="D853" s="73"/>
      <c r="E853" s="75"/>
      <c r="F853" s="75"/>
      <c r="G853" s="75"/>
      <c r="H853" s="73"/>
      <c r="I853" s="75"/>
      <c r="J853" s="75"/>
      <c r="K853" s="75"/>
      <c r="L853" s="73"/>
      <c r="M853" s="78" t="str">
        <f aca="false">IF(OR(E853="",F853=""),"",MAX(0,((F853-E853-N(G853))*1440-N(H853)*10)/60))</f>
        <v/>
      </c>
      <c r="N853" s="78" t="str">
        <f aca="false">IF($D853="欠席",0,IF(OR(I853="",J853=""),"",MAX(0,((J853-I853-N(K853))*1440-N(L853)*10)/60)))</f>
        <v/>
      </c>
      <c r="O853" s="73"/>
    </row>
    <row r="854" customFormat="false" ht="15" hidden="false" customHeight="false" outlineLevel="0" collapsed="false">
      <c r="A854" s="77"/>
      <c r="B854" s="73"/>
      <c r="C854" s="71" t="str">
        <f aca="false">IF(B854="","",IFERROR(INDEX(マスタ!$F$2:$F$60,MATCH(B854,マスタ!$E$2:$E$60,0))&amp;"",""))</f>
        <v/>
      </c>
      <c r="D854" s="73"/>
      <c r="E854" s="75"/>
      <c r="F854" s="75"/>
      <c r="G854" s="75"/>
      <c r="H854" s="73"/>
      <c r="I854" s="75"/>
      <c r="J854" s="75"/>
      <c r="K854" s="75"/>
      <c r="L854" s="73"/>
      <c r="M854" s="78" t="str">
        <f aca="false">IF(OR(E854="",F854=""),"",MAX(0,((F854-E854-N(G854))*1440-N(H854)*10)/60))</f>
        <v/>
      </c>
      <c r="N854" s="78" t="str">
        <f aca="false">IF($D854="欠席",0,IF(OR(I854="",J854=""),"",MAX(0,((J854-I854-N(K854))*1440-N(L854)*10)/60)))</f>
        <v/>
      </c>
      <c r="O854" s="73"/>
    </row>
    <row r="855" customFormat="false" ht="15" hidden="false" customHeight="false" outlineLevel="0" collapsed="false">
      <c r="A855" s="77"/>
      <c r="B855" s="73"/>
      <c r="C855" s="71" t="str">
        <f aca="false">IF(B855="","",IFERROR(INDEX(マスタ!$F$2:$F$60,MATCH(B855,マスタ!$E$2:$E$60,0))&amp;"",""))</f>
        <v/>
      </c>
      <c r="D855" s="73"/>
      <c r="E855" s="75"/>
      <c r="F855" s="75"/>
      <c r="G855" s="75"/>
      <c r="H855" s="73"/>
      <c r="I855" s="75"/>
      <c r="J855" s="75"/>
      <c r="K855" s="75"/>
      <c r="L855" s="73"/>
      <c r="M855" s="78" t="str">
        <f aca="false">IF(OR(E855="",F855=""),"",MAX(0,((F855-E855-N(G855))*1440-N(H855)*10)/60))</f>
        <v/>
      </c>
      <c r="N855" s="78" t="str">
        <f aca="false">IF($D855="欠席",0,IF(OR(I855="",J855=""),"",MAX(0,((J855-I855-N(K855))*1440-N(L855)*10)/60)))</f>
        <v/>
      </c>
      <c r="O855" s="73"/>
    </row>
    <row r="856" customFormat="false" ht="15" hidden="false" customHeight="false" outlineLevel="0" collapsed="false">
      <c r="A856" s="77"/>
      <c r="B856" s="73"/>
      <c r="C856" s="71" t="str">
        <f aca="false">IF(B856="","",IFERROR(INDEX(マスタ!$F$2:$F$60,MATCH(B856,マスタ!$E$2:$E$60,0))&amp;"",""))</f>
        <v/>
      </c>
      <c r="D856" s="73"/>
      <c r="E856" s="75"/>
      <c r="F856" s="75"/>
      <c r="G856" s="75"/>
      <c r="H856" s="73"/>
      <c r="I856" s="75"/>
      <c r="J856" s="75"/>
      <c r="K856" s="75"/>
      <c r="L856" s="73"/>
      <c r="M856" s="78" t="str">
        <f aca="false">IF(OR(E856="",F856=""),"",MAX(0,((F856-E856-N(G856))*1440-N(H856)*10)/60))</f>
        <v/>
      </c>
      <c r="N856" s="78" t="str">
        <f aca="false">IF($D856="欠席",0,IF(OR(I856="",J856=""),"",MAX(0,((J856-I856-N(K856))*1440-N(L856)*10)/60)))</f>
        <v/>
      </c>
      <c r="O856" s="73"/>
    </row>
    <row r="857" customFormat="false" ht="15" hidden="false" customHeight="false" outlineLevel="0" collapsed="false">
      <c r="A857" s="77"/>
      <c r="B857" s="73"/>
      <c r="C857" s="71" t="str">
        <f aca="false">IF(B857="","",IFERROR(INDEX(マスタ!$F$2:$F$60,MATCH(B857,マスタ!$E$2:$E$60,0))&amp;"",""))</f>
        <v/>
      </c>
      <c r="D857" s="73"/>
      <c r="E857" s="75"/>
      <c r="F857" s="75"/>
      <c r="G857" s="75"/>
      <c r="H857" s="73"/>
      <c r="I857" s="75"/>
      <c r="J857" s="75"/>
      <c r="K857" s="75"/>
      <c r="L857" s="73"/>
      <c r="M857" s="78" t="str">
        <f aca="false">IF(OR(E857="",F857=""),"",MAX(0,((F857-E857-N(G857))*1440-N(H857)*10)/60))</f>
        <v/>
      </c>
      <c r="N857" s="78" t="str">
        <f aca="false">IF($D857="欠席",0,IF(OR(I857="",J857=""),"",MAX(0,((J857-I857-N(K857))*1440-N(L857)*10)/60)))</f>
        <v/>
      </c>
      <c r="O857" s="73"/>
    </row>
    <row r="858" customFormat="false" ht="15" hidden="false" customHeight="false" outlineLevel="0" collapsed="false">
      <c r="A858" s="77"/>
      <c r="B858" s="73"/>
      <c r="C858" s="71" t="str">
        <f aca="false">IF(B858="","",IFERROR(INDEX(マスタ!$F$2:$F$60,MATCH(B858,マスタ!$E$2:$E$60,0))&amp;"",""))</f>
        <v/>
      </c>
      <c r="D858" s="73"/>
      <c r="E858" s="75"/>
      <c r="F858" s="75"/>
      <c r="G858" s="75"/>
      <c r="H858" s="73"/>
      <c r="I858" s="75"/>
      <c r="J858" s="75"/>
      <c r="K858" s="75"/>
      <c r="L858" s="73"/>
      <c r="M858" s="78" t="str">
        <f aca="false">IF(OR(E858="",F858=""),"",MAX(0,((F858-E858-N(G858))*1440-N(H858)*10)/60))</f>
        <v/>
      </c>
      <c r="N858" s="78" t="str">
        <f aca="false">IF($D858="欠席",0,IF(OR(I858="",J858=""),"",MAX(0,((J858-I858-N(K858))*1440-N(L858)*10)/60)))</f>
        <v/>
      </c>
      <c r="O858" s="73"/>
    </row>
    <row r="859" customFormat="false" ht="15" hidden="false" customHeight="false" outlineLevel="0" collapsed="false">
      <c r="A859" s="77"/>
      <c r="B859" s="73"/>
      <c r="C859" s="71" t="str">
        <f aca="false">IF(B859="","",IFERROR(INDEX(マスタ!$F$2:$F$60,MATCH(B859,マスタ!$E$2:$E$60,0))&amp;"",""))</f>
        <v/>
      </c>
      <c r="D859" s="73"/>
      <c r="E859" s="75"/>
      <c r="F859" s="75"/>
      <c r="G859" s="75"/>
      <c r="H859" s="73"/>
      <c r="I859" s="75"/>
      <c r="J859" s="75"/>
      <c r="K859" s="75"/>
      <c r="L859" s="73"/>
      <c r="M859" s="78" t="str">
        <f aca="false">IF(OR(E859="",F859=""),"",MAX(0,((F859-E859-N(G859))*1440-N(H859)*10)/60))</f>
        <v/>
      </c>
      <c r="N859" s="78" t="str">
        <f aca="false">IF($D859="欠席",0,IF(OR(I859="",J859=""),"",MAX(0,((J859-I859-N(K859))*1440-N(L859)*10)/60)))</f>
        <v/>
      </c>
      <c r="O859" s="73"/>
    </row>
    <row r="860" customFormat="false" ht="15" hidden="false" customHeight="false" outlineLevel="0" collapsed="false">
      <c r="A860" s="77"/>
      <c r="B860" s="73"/>
      <c r="C860" s="71" t="str">
        <f aca="false">IF(B860="","",IFERROR(INDEX(マスタ!$F$2:$F$60,MATCH(B860,マスタ!$E$2:$E$60,0))&amp;"",""))</f>
        <v/>
      </c>
      <c r="D860" s="73"/>
      <c r="E860" s="75"/>
      <c r="F860" s="75"/>
      <c r="G860" s="75"/>
      <c r="H860" s="73"/>
      <c r="I860" s="75"/>
      <c r="J860" s="75"/>
      <c r="K860" s="75"/>
      <c r="L860" s="73"/>
      <c r="M860" s="78" t="str">
        <f aca="false">IF(OR(E860="",F860=""),"",MAX(0,((F860-E860-N(G860))*1440-N(H860)*10)/60))</f>
        <v/>
      </c>
      <c r="N860" s="78" t="str">
        <f aca="false">IF($D860="欠席",0,IF(OR(I860="",J860=""),"",MAX(0,((J860-I860-N(K860))*1440-N(L860)*10)/60)))</f>
        <v/>
      </c>
      <c r="O860" s="73"/>
    </row>
    <row r="861" customFormat="false" ht="15" hidden="false" customHeight="false" outlineLevel="0" collapsed="false">
      <c r="A861" s="77"/>
      <c r="B861" s="73"/>
      <c r="C861" s="71" t="str">
        <f aca="false">IF(B861="","",IFERROR(INDEX(マスタ!$F$2:$F$60,MATCH(B861,マスタ!$E$2:$E$60,0))&amp;"",""))</f>
        <v/>
      </c>
      <c r="D861" s="73"/>
      <c r="E861" s="75"/>
      <c r="F861" s="75"/>
      <c r="G861" s="75"/>
      <c r="H861" s="73"/>
      <c r="I861" s="75"/>
      <c r="J861" s="75"/>
      <c r="K861" s="75"/>
      <c r="L861" s="73"/>
      <c r="M861" s="78" t="str">
        <f aca="false">IF(OR(E861="",F861=""),"",MAX(0,((F861-E861-N(G861))*1440-N(H861)*10)/60))</f>
        <v/>
      </c>
      <c r="N861" s="78" t="str">
        <f aca="false">IF($D861="欠席",0,IF(OR(I861="",J861=""),"",MAX(0,((J861-I861-N(K861))*1440-N(L861)*10)/60)))</f>
        <v/>
      </c>
      <c r="O861" s="73"/>
    </row>
    <row r="862" customFormat="false" ht="15" hidden="false" customHeight="false" outlineLevel="0" collapsed="false">
      <c r="A862" s="77"/>
      <c r="B862" s="73"/>
      <c r="C862" s="71" t="str">
        <f aca="false">IF(B862="","",IFERROR(INDEX(マスタ!$F$2:$F$60,MATCH(B862,マスタ!$E$2:$E$60,0))&amp;"",""))</f>
        <v/>
      </c>
      <c r="D862" s="73"/>
      <c r="E862" s="75"/>
      <c r="F862" s="75"/>
      <c r="G862" s="75"/>
      <c r="H862" s="73"/>
      <c r="I862" s="75"/>
      <c r="J862" s="75"/>
      <c r="K862" s="75"/>
      <c r="L862" s="73"/>
      <c r="M862" s="78" t="str">
        <f aca="false">IF(OR(E862="",F862=""),"",MAX(0,((F862-E862-N(G862))*1440-N(H862)*10)/60))</f>
        <v/>
      </c>
      <c r="N862" s="78" t="str">
        <f aca="false">IF($D862="欠席",0,IF(OR(I862="",J862=""),"",MAX(0,((J862-I862-N(K862))*1440-N(L862)*10)/60)))</f>
        <v/>
      </c>
      <c r="O862" s="73"/>
    </row>
    <row r="863" customFormat="false" ht="15" hidden="false" customHeight="false" outlineLevel="0" collapsed="false">
      <c r="A863" s="77"/>
      <c r="B863" s="73"/>
      <c r="C863" s="71" t="str">
        <f aca="false">IF(B863="","",IFERROR(INDEX(マスタ!$F$2:$F$60,MATCH(B863,マスタ!$E$2:$E$60,0))&amp;"",""))</f>
        <v/>
      </c>
      <c r="D863" s="73"/>
      <c r="E863" s="75"/>
      <c r="F863" s="75"/>
      <c r="G863" s="75"/>
      <c r="H863" s="73"/>
      <c r="I863" s="75"/>
      <c r="J863" s="75"/>
      <c r="K863" s="75"/>
      <c r="L863" s="73"/>
      <c r="M863" s="78" t="str">
        <f aca="false">IF(OR(E863="",F863=""),"",MAX(0,((F863-E863-N(G863))*1440-N(H863)*10)/60))</f>
        <v/>
      </c>
      <c r="N863" s="78" t="str">
        <f aca="false">IF($D863="欠席",0,IF(OR(I863="",J863=""),"",MAX(0,((J863-I863-N(K863))*1440-N(L863)*10)/60)))</f>
        <v/>
      </c>
      <c r="O863" s="73"/>
    </row>
    <row r="864" customFormat="false" ht="15" hidden="false" customHeight="false" outlineLevel="0" collapsed="false">
      <c r="A864" s="77"/>
      <c r="B864" s="73"/>
      <c r="C864" s="71" t="str">
        <f aca="false">IF(B864="","",IFERROR(INDEX(マスタ!$F$2:$F$60,MATCH(B864,マスタ!$E$2:$E$60,0))&amp;"",""))</f>
        <v/>
      </c>
      <c r="D864" s="73"/>
      <c r="E864" s="75"/>
      <c r="F864" s="75"/>
      <c r="G864" s="75"/>
      <c r="H864" s="73"/>
      <c r="I864" s="75"/>
      <c r="J864" s="75"/>
      <c r="K864" s="75"/>
      <c r="L864" s="73"/>
      <c r="M864" s="78" t="str">
        <f aca="false">IF(OR(E864="",F864=""),"",MAX(0,((F864-E864-N(G864))*1440-N(H864)*10)/60))</f>
        <v/>
      </c>
      <c r="N864" s="78" t="str">
        <f aca="false">IF($D864="欠席",0,IF(OR(I864="",J864=""),"",MAX(0,((J864-I864-N(K864))*1440-N(L864)*10)/60)))</f>
        <v/>
      </c>
      <c r="O864" s="73"/>
    </row>
    <row r="865" customFormat="false" ht="15" hidden="false" customHeight="false" outlineLevel="0" collapsed="false">
      <c r="A865" s="77"/>
      <c r="B865" s="73"/>
      <c r="C865" s="71" t="str">
        <f aca="false">IF(B865="","",IFERROR(INDEX(マスタ!$F$2:$F$60,MATCH(B865,マスタ!$E$2:$E$60,0))&amp;"",""))</f>
        <v/>
      </c>
      <c r="D865" s="73"/>
      <c r="E865" s="75"/>
      <c r="F865" s="75"/>
      <c r="G865" s="75"/>
      <c r="H865" s="73"/>
      <c r="I865" s="75"/>
      <c r="J865" s="75"/>
      <c r="K865" s="75"/>
      <c r="L865" s="73"/>
      <c r="M865" s="78" t="str">
        <f aca="false">IF(OR(E865="",F865=""),"",MAX(0,((F865-E865-N(G865))*1440-N(H865)*10)/60))</f>
        <v/>
      </c>
      <c r="N865" s="78" t="str">
        <f aca="false">IF($D865="欠席",0,IF(OR(I865="",J865=""),"",MAX(0,((J865-I865-N(K865))*1440-N(L865)*10)/60)))</f>
        <v/>
      </c>
      <c r="O865" s="73"/>
    </row>
    <row r="866" customFormat="false" ht="15" hidden="false" customHeight="false" outlineLevel="0" collapsed="false">
      <c r="A866" s="77"/>
      <c r="B866" s="73"/>
      <c r="C866" s="71" t="str">
        <f aca="false">IF(B866="","",IFERROR(INDEX(マスタ!$F$2:$F$60,MATCH(B866,マスタ!$E$2:$E$60,0))&amp;"",""))</f>
        <v/>
      </c>
      <c r="D866" s="73"/>
      <c r="E866" s="75"/>
      <c r="F866" s="75"/>
      <c r="G866" s="75"/>
      <c r="H866" s="73"/>
      <c r="I866" s="75"/>
      <c r="J866" s="75"/>
      <c r="K866" s="75"/>
      <c r="L866" s="73"/>
      <c r="M866" s="78" t="str">
        <f aca="false">IF(OR(E866="",F866=""),"",MAX(0,((F866-E866-N(G866))*1440-N(H866)*10)/60))</f>
        <v/>
      </c>
      <c r="N866" s="78" t="str">
        <f aca="false">IF($D866="欠席",0,IF(OR(I866="",J866=""),"",MAX(0,((J866-I866-N(K866))*1440-N(L866)*10)/60)))</f>
        <v/>
      </c>
      <c r="O866" s="73"/>
    </row>
    <row r="867" customFormat="false" ht="15" hidden="false" customHeight="false" outlineLevel="0" collapsed="false">
      <c r="A867" s="77"/>
      <c r="B867" s="73"/>
      <c r="C867" s="71" t="str">
        <f aca="false">IF(B867="","",IFERROR(INDEX(マスタ!$F$2:$F$60,MATCH(B867,マスタ!$E$2:$E$60,0))&amp;"",""))</f>
        <v/>
      </c>
      <c r="D867" s="73"/>
      <c r="E867" s="75"/>
      <c r="F867" s="75"/>
      <c r="G867" s="75"/>
      <c r="H867" s="73"/>
      <c r="I867" s="75"/>
      <c r="J867" s="75"/>
      <c r="K867" s="75"/>
      <c r="L867" s="73"/>
      <c r="M867" s="78" t="str">
        <f aca="false">IF(OR(E867="",F867=""),"",MAX(0,((F867-E867-N(G867))*1440-N(H867)*10)/60))</f>
        <v/>
      </c>
      <c r="N867" s="78" t="str">
        <f aca="false">IF($D867="欠席",0,IF(OR(I867="",J867=""),"",MAX(0,((J867-I867-N(K867))*1440-N(L867)*10)/60)))</f>
        <v/>
      </c>
      <c r="O867" s="73"/>
    </row>
    <row r="868" customFormat="false" ht="15" hidden="false" customHeight="false" outlineLevel="0" collapsed="false">
      <c r="A868" s="77"/>
      <c r="B868" s="73"/>
      <c r="C868" s="71" t="str">
        <f aca="false">IF(B868="","",IFERROR(INDEX(マスタ!$F$2:$F$60,MATCH(B868,マスタ!$E$2:$E$60,0))&amp;"",""))</f>
        <v/>
      </c>
      <c r="D868" s="73"/>
      <c r="E868" s="75"/>
      <c r="F868" s="75"/>
      <c r="G868" s="75"/>
      <c r="H868" s="73"/>
      <c r="I868" s="75"/>
      <c r="J868" s="75"/>
      <c r="K868" s="75"/>
      <c r="L868" s="73"/>
      <c r="M868" s="78" t="str">
        <f aca="false">IF(OR(E868="",F868=""),"",MAX(0,((F868-E868-N(G868))*1440-N(H868)*10)/60))</f>
        <v/>
      </c>
      <c r="N868" s="78" t="str">
        <f aca="false">IF($D868="欠席",0,IF(OR(I868="",J868=""),"",MAX(0,((J868-I868-N(K868))*1440-N(L868)*10)/60)))</f>
        <v/>
      </c>
      <c r="O868" s="73"/>
    </row>
    <row r="869" customFormat="false" ht="15" hidden="false" customHeight="false" outlineLevel="0" collapsed="false">
      <c r="A869" s="77"/>
      <c r="B869" s="73"/>
      <c r="C869" s="71" t="str">
        <f aca="false">IF(B869="","",IFERROR(INDEX(マスタ!$F$2:$F$60,MATCH(B869,マスタ!$E$2:$E$60,0))&amp;"",""))</f>
        <v/>
      </c>
      <c r="D869" s="73"/>
      <c r="E869" s="75"/>
      <c r="F869" s="75"/>
      <c r="G869" s="75"/>
      <c r="H869" s="73"/>
      <c r="I869" s="75"/>
      <c r="J869" s="75"/>
      <c r="K869" s="75"/>
      <c r="L869" s="73"/>
      <c r="M869" s="78" t="str">
        <f aca="false">IF(OR(E869="",F869=""),"",MAX(0,((F869-E869-N(G869))*1440-N(H869)*10)/60))</f>
        <v/>
      </c>
      <c r="N869" s="78" t="str">
        <f aca="false">IF($D869="欠席",0,IF(OR(I869="",J869=""),"",MAX(0,((J869-I869-N(K869))*1440-N(L869)*10)/60)))</f>
        <v/>
      </c>
      <c r="O869" s="73"/>
    </row>
    <row r="870" customFormat="false" ht="15" hidden="false" customHeight="false" outlineLevel="0" collapsed="false">
      <c r="A870" s="77"/>
      <c r="B870" s="73"/>
      <c r="C870" s="71" t="str">
        <f aca="false">IF(B870="","",IFERROR(INDEX(マスタ!$F$2:$F$60,MATCH(B870,マスタ!$E$2:$E$60,0))&amp;"",""))</f>
        <v/>
      </c>
      <c r="D870" s="73"/>
      <c r="E870" s="75"/>
      <c r="F870" s="75"/>
      <c r="G870" s="75"/>
      <c r="H870" s="73"/>
      <c r="I870" s="75"/>
      <c r="J870" s="75"/>
      <c r="K870" s="75"/>
      <c r="L870" s="73"/>
      <c r="M870" s="78" t="str">
        <f aca="false">IF(OR(E870="",F870=""),"",MAX(0,((F870-E870-N(G870))*1440-N(H870)*10)/60))</f>
        <v/>
      </c>
      <c r="N870" s="78" t="str">
        <f aca="false">IF($D870="欠席",0,IF(OR(I870="",J870=""),"",MAX(0,((J870-I870-N(K870))*1440-N(L870)*10)/60)))</f>
        <v/>
      </c>
      <c r="O870" s="73"/>
    </row>
    <row r="871" customFormat="false" ht="15" hidden="false" customHeight="false" outlineLevel="0" collapsed="false">
      <c r="A871" s="77"/>
      <c r="B871" s="73"/>
      <c r="C871" s="71" t="str">
        <f aca="false">IF(B871="","",IFERROR(INDEX(マスタ!$F$2:$F$60,MATCH(B871,マスタ!$E$2:$E$60,0))&amp;"",""))</f>
        <v/>
      </c>
      <c r="D871" s="73"/>
      <c r="E871" s="75"/>
      <c r="F871" s="75"/>
      <c r="G871" s="75"/>
      <c r="H871" s="73"/>
      <c r="I871" s="75"/>
      <c r="J871" s="75"/>
      <c r="K871" s="75"/>
      <c r="L871" s="73"/>
      <c r="M871" s="78" t="str">
        <f aca="false">IF(OR(E871="",F871=""),"",MAX(0,((F871-E871-N(G871))*1440-N(H871)*10)/60))</f>
        <v/>
      </c>
      <c r="N871" s="78" t="str">
        <f aca="false">IF($D871="欠席",0,IF(OR(I871="",J871=""),"",MAX(0,((J871-I871-N(K871))*1440-N(L871)*10)/60)))</f>
        <v/>
      </c>
      <c r="O871" s="73"/>
    </row>
    <row r="872" customFormat="false" ht="15" hidden="false" customHeight="false" outlineLevel="0" collapsed="false">
      <c r="A872" s="77"/>
      <c r="B872" s="73"/>
      <c r="C872" s="71" t="str">
        <f aca="false">IF(B872="","",IFERROR(INDEX(マスタ!$F$2:$F$60,MATCH(B872,マスタ!$E$2:$E$60,0))&amp;"",""))</f>
        <v/>
      </c>
      <c r="D872" s="73"/>
      <c r="E872" s="75"/>
      <c r="F872" s="75"/>
      <c r="G872" s="75"/>
      <c r="H872" s="73"/>
      <c r="I872" s="75"/>
      <c r="J872" s="75"/>
      <c r="K872" s="75"/>
      <c r="L872" s="73"/>
      <c r="M872" s="78" t="str">
        <f aca="false">IF(OR(E872="",F872=""),"",MAX(0,((F872-E872-N(G872))*1440-N(H872)*10)/60))</f>
        <v/>
      </c>
      <c r="N872" s="78" t="str">
        <f aca="false">IF($D872="欠席",0,IF(OR(I872="",J872=""),"",MAX(0,((J872-I872-N(K872))*1440-N(L872)*10)/60)))</f>
        <v/>
      </c>
      <c r="O872" s="73"/>
    </row>
    <row r="873" customFormat="false" ht="15" hidden="false" customHeight="false" outlineLevel="0" collapsed="false">
      <c r="A873" s="77"/>
      <c r="B873" s="73"/>
      <c r="C873" s="71" t="str">
        <f aca="false">IF(B873="","",IFERROR(INDEX(マスタ!$F$2:$F$60,MATCH(B873,マスタ!$E$2:$E$60,0))&amp;"",""))</f>
        <v/>
      </c>
      <c r="D873" s="73"/>
      <c r="E873" s="75"/>
      <c r="F873" s="75"/>
      <c r="G873" s="75"/>
      <c r="H873" s="73"/>
      <c r="I873" s="75"/>
      <c r="J873" s="75"/>
      <c r="K873" s="75"/>
      <c r="L873" s="73"/>
      <c r="M873" s="78" t="str">
        <f aca="false">IF(OR(E873="",F873=""),"",MAX(0,((F873-E873-N(G873))*1440-N(H873)*10)/60))</f>
        <v/>
      </c>
      <c r="N873" s="78" t="str">
        <f aca="false">IF($D873="欠席",0,IF(OR(I873="",J873=""),"",MAX(0,((J873-I873-N(K873))*1440-N(L873)*10)/60)))</f>
        <v/>
      </c>
      <c r="O873" s="73"/>
    </row>
    <row r="874" customFormat="false" ht="15" hidden="false" customHeight="false" outlineLevel="0" collapsed="false">
      <c r="A874" s="77"/>
      <c r="B874" s="73"/>
      <c r="C874" s="71" t="str">
        <f aca="false">IF(B874="","",IFERROR(INDEX(マスタ!$F$2:$F$60,MATCH(B874,マスタ!$E$2:$E$60,0))&amp;"",""))</f>
        <v/>
      </c>
      <c r="D874" s="73"/>
      <c r="E874" s="75"/>
      <c r="F874" s="75"/>
      <c r="G874" s="75"/>
      <c r="H874" s="73"/>
      <c r="I874" s="75"/>
      <c r="J874" s="75"/>
      <c r="K874" s="75"/>
      <c r="L874" s="73"/>
      <c r="M874" s="78" t="str">
        <f aca="false">IF(OR(E874="",F874=""),"",MAX(0,((F874-E874-N(G874))*1440-N(H874)*10)/60))</f>
        <v/>
      </c>
      <c r="N874" s="78" t="str">
        <f aca="false">IF($D874="欠席",0,IF(OR(I874="",J874=""),"",MAX(0,((J874-I874-N(K874))*1440-N(L874)*10)/60)))</f>
        <v/>
      </c>
      <c r="O874" s="73"/>
    </row>
    <row r="875" customFormat="false" ht="15" hidden="false" customHeight="false" outlineLevel="0" collapsed="false">
      <c r="A875" s="77"/>
      <c r="B875" s="73"/>
      <c r="C875" s="71" t="str">
        <f aca="false">IF(B875="","",IFERROR(INDEX(マスタ!$F$2:$F$60,MATCH(B875,マスタ!$E$2:$E$60,0))&amp;"",""))</f>
        <v/>
      </c>
      <c r="D875" s="73"/>
      <c r="E875" s="75"/>
      <c r="F875" s="75"/>
      <c r="G875" s="75"/>
      <c r="H875" s="73"/>
      <c r="I875" s="75"/>
      <c r="J875" s="75"/>
      <c r="K875" s="75"/>
      <c r="L875" s="73"/>
      <c r="M875" s="78" t="str">
        <f aca="false">IF(OR(E875="",F875=""),"",MAX(0,((F875-E875-N(G875))*1440-N(H875)*10)/60))</f>
        <v/>
      </c>
      <c r="N875" s="78" t="str">
        <f aca="false">IF($D875="欠席",0,IF(OR(I875="",J875=""),"",MAX(0,((J875-I875-N(K875))*1440-N(L875)*10)/60)))</f>
        <v/>
      </c>
      <c r="O875" s="73"/>
    </row>
    <row r="876" customFormat="false" ht="15" hidden="false" customHeight="false" outlineLevel="0" collapsed="false">
      <c r="A876" s="77"/>
      <c r="B876" s="73"/>
      <c r="C876" s="71" t="str">
        <f aca="false">IF(B876="","",IFERROR(INDEX(マスタ!$F$2:$F$60,MATCH(B876,マスタ!$E$2:$E$60,0))&amp;"",""))</f>
        <v/>
      </c>
      <c r="D876" s="73"/>
      <c r="E876" s="75"/>
      <c r="F876" s="75"/>
      <c r="G876" s="75"/>
      <c r="H876" s="73"/>
      <c r="I876" s="75"/>
      <c r="J876" s="75"/>
      <c r="K876" s="75"/>
      <c r="L876" s="73"/>
      <c r="M876" s="78" t="str">
        <f aca="false">IF(OR(E876="",F876=""),"",MAX(0,((F876-E876-N(G876))*1440-N(H876)*10)/60))</f>
        <v/>
      </c>
      <c r="N876" s="78" t="str">
        <f aca="false">IF($D876="欠席",0,IF(OR(I876="",J876=""),"",MAX(0,((J876-I876-N(K876))*1440-N(L876)*10)/60)))</f>
        <v/>
      </c>
      <c r="O876" s="73"/>
    </row>
    <row r="877" customFormat="false" ht="15" hidden="false" customHeight="false" outlineLevel="0" collapsed="false">
      <c r="A877" s="77"/>
      <c r="B877" s="73"/>
      <c r="C877" s="71" t="str">
        <f aca="false">IF(B877="","",IFERROR(INDEX(マスタ!$F$2:$F$60,MATCH(B877,マスタ!$E$2:$E$60,0))&amp;"",""))</f>
        <v/>
      </c>
      <c r="D877" s="73"/>
      <c r="E877" s="75"/>
      <c r="F877" s="75"/>
      <c r="G877" s="75"/>
      <c r="H877" s="73"/>
      <c r="I877" s="75"/>
      <c r="J877" s="75"/>
      <c r="K877" s="75"/>
      <c r="L877" s="73"/>
      <c r="M877" s="78" t="str">
        <f aca="false">IF(OR(E877="",F877=""),"",MAX(0,((F877-E877-N(G877))*1440-N(H877)*10)/60))</f>
        <v/>
      </c>
      <c r="N877" s="78" t="str">
        <f aca="false">IF($D877="欠席",0,IF(OR(I877="",J877=""),"",MAX(0,((J877-I877-N(K877))*1440-N(L877)*10)/60)))</f>
        <v/>
      </c>
      <c r="O877" s="73"/>
    </row>
    <row r="878" customFormat="false" ht="15" hidden="false" customHeight="false" outlineLevel="0" collapsed="false">
      <c r="A878" s="77"/>
      <c r="B878" s="73"/>
      <c r="C878" s="71" t="str">
        <f aca="false">IF(B878="","",IFERROR(INDEX(マスタ!$F$2:$F$60,MATCH(B878,マスタ!$E$2:$E$60,0))&amp;"",""))</f>
        <v/>
      </c>
      <c r="D878" s="73"/>
      <c r="E878" s="75"/>
      <c r="F878" s="75"/>
      <c r="G878" s="75"/>
      <c r="H878" s="73"/>
      <c r="I878" s="75"/>
      <c r="J878" s="75"/>
      <c r="K878" s="75"/>
      <c r="L878" s="73"/>
      <c r="M878" s="78" t="str">
        <f aca="false">IF(OR(E878="",F878=""),"",MAX(0,((F878-E878-N(G878))*1440-N(H878)*10)/60))</f>
        <v/>
      </c>
      <c r="N878" s="78" t="str">
        <f aca="false">IF($D878="欠席",0,IF(OR(I878="",J878=""),"",MAX(0,((J878-I878-N(K878))*1440-N(L878)*10)/60)))</f>
        <v/>
      </c>
      <c r="O878" s="73"/>
    </row>
    <row r="879" customFormat="false" ht="15" hidden="false" customHeight="false" outlineLevel="0" collapsed="false">
      <c r="A879" s="77"/>
      <c r="B879" s="73"/>
      <c r="C879" s="71" t="str">
        <f aca="false">IF(B879="","",IFERROR(INDEX(マスタ!$F$2:$F$60,MATCH(B879,マスタ!$E$2:$E$60,0))&amp;"",""))</f>
        <v/>
      </c>
      <c r="D879" s="73"/>
      <c r="E879" s="75"/>
      <c r="F879" s="75"/>
      <c r="G879" s="75"/>
      <c r="H879" s="73"/>
      <c r="I879" s="75"/>
      <c r="J879" s="75"/>
      <c r="K879" s="75"/>
      <c r="L879" s="73"/>
      <c r="M879" s="78" t="str">
        <f aca="false">IF(OR(E879="",F879=""),"",MAX(0,((F879-E879-N(G879))*1440-N(H879)*10)/60))</f>
        <v/>
      </c>
      <c r="N879" s="78" t="str">
        <f aca="false">IF($D879="欠席",0,IF(OR(I879="",J879=""),"",MAX(0,((J879-I879-N(K879))*1440-N(L879)*10)/60)))</f>
        <v/>
      </c>
      <c r="O879" s="73"/>
    </row>
    <row r="880" customFormat="false" ht="15" hidden="false" customHeight="false" outlineLevel="0" collapsed="false">
      <c r="A880" s="77"/>
      <c r="B880" s="73"/>
      <c r="C880" s="71" t="str">
        <f aca="false">IF(B880="","",IFERROR(INDEX(マスタ!$F$2:$F$60,MATCH(B880,マスタ!$E$2:$E$60,0))&amp;"",""))</f>
        <v/>
      </c>
      <c r="D880" s="73"/>
      <c r="E880" s="75"/>
      <c r="F880" s="75"/>
      <c r="G880" s="75"/>
      <c r="H880" s="73"/>
      <c r="I880" s="75"/>
      <c r="J880" s="75"/>
      <c r="K880" s="75"/>
      <c r="L880" s="73"/>
      <c r="M880" s="78" t="str">
        <f aca="false">IF(OR(E880="",F880=""),"",MAX(0,((F880-E880-N(G880))*1440-N(H880)*10)/60))</f>
        <v/>
      </c>
      <c r="N880" s="78" t="str">
        <f aca="false">IF($D880="欠席",0,IF(OR(I880="",J880=""),"",MAX(0,((J880-I880-N(K880))*1440-N(L880)*10)/60)))</f>
        <v/>
      </c>
      <c r="O880" s="73"/>
    </row>
    <row r="881" customFormat="false" ht="15" hidden="false" customHeight="false" outlineLevel="0" collapsed="false">
      <c r="A881" s="77"/>
      <c r="B881" s="73"/>
      <c r="C881" s="71" t="str">
        <f aca="false">IF(B881="","",IFERROR(INDEX(マスタ!$F$2:$F$60,MATCH(B881,マスタ!$E$2:$E$60,0))&amp;"",""))</f>
        <v/>
      </c>
      <c r="D881" s="73"/>
      <c r="E881" s="75"/>
      <c r="F881" s="75"/>
      <c r="G881" s="75"/>
      <c r="H881" s="73"/>
      <c r="I881" s="75"/>
      <c r="J881" s="75"/>
      <c r="K881" s="75"/>
      <c r="L881" s="73"/>
      <c r="M881" s="78" t="str">
        <f aca="false">IF(OR(E881="",F881=""),"",MAX(0,((F881-E881-N(G881))*1440-N(H881)*10)/60))</f>
        <v/>
      </c>
      <c r="N881" s="78" t="str">
        <f aca="false">IF($D881="欠席",0,IF(OR(I881="",J881=""),"",MAX(0,((J881-I881-N(K881))*1440-N(L881)*10)/60)))</f>
        <v/>
      </c>
      <c r="O881" s="73"/>
    </row>
    <row r="882" customFormat="false" ht="15" hidden="false" customHeight="false" outlineLevel="0" collapsed="false">
      <c r="A882" s="77"/>
      <c r="B882" s="73"/>
      <c r="C882" s="71" t="str">
        <f aca="false">IF(B882="","",IFERROR(INDEX(マスタ!$F$2:$F$60,MATCH(B882,マスタ!$E$2:$E$60,0))&amp;"",""))</f>
        <v/>
      </c>
      <c r="D882" s="73"/>
      <c r="E882" s="75"/>
      <c r="F882" s="75"/>
      <c r="G882" s="75"/>
      <c r="H882" s="73"/>
      <c r="I882" s="75"/>
      <c r="J882" s="75"/>
      <c r="K882" s="75"/>
      <c r="L882" s="73"/>
      <c r="M882" s="78" t="str">
        <f aca="false">IF(OR(E882="",F882=""),"",MAX(0,((F882-E882-N(G882))*1440-N(H882)*10)/60))</f>
        <v/>
      </c>
      <c r="N882" s="78" t="str">
        <f aca="false">IF($D882="欠席",0,IF(OR(I882="",J882=""),"",MAX(0,((J882-I882-N(K882))*1440-N(L882)*10)/60)))</f>
        <v/>
      </c>
      <c r="O882" s="73"/>
    </row>
    <row r="883" customFormat="false" ht="15" hidden="false" customHeight="false" outlineLevel="0" collapsed="false">
      <c r="A883" s="77"/>
      <c r="B883" s="73"/>
      <c r="C883" s="71" t="str">
        <f aca="false">IF(B883="","",IFERROR(INDEX(マスタ!$F$2:$F$60,MATCH(B883,マスタ!$E$2:$E$60,0))&amp;"",""))</f>
        <v/>
      </c>
      <c r="D883" s="73"/>
      <c r="E883" s="75"/>
      <c r="F883" s="75"/>
      <c r="G883" s="75"/>
      <c r="H883" s="73"/>
      <c r="I883" s="75"/>
      <c r="J883" s="75"/>
      <c r="K883" s="75"/>
      <c r="L883" s="73"/>
      <c r="M883" s="78" t="str">
        <f aca="false">IF(OR(E883="",F883=""),"",MAX(0,((F883-E883-N(G883))*1440-N(H883)*10)/60))</f>
        <v/>
      </c>
      <c r="N883" s="78" t="str">
        <f aca="false">IF($D883="欠席",0,IF(OR(I883="",J883=""),"",MAX(0,((J883-I883-N(K883))*1440-N(L883)*10)/60)))</f>
        <v/>
      </c>
      <c r="O883" s="73"/>
    </row>
    <row r="884" customFormat="false" ht="15" hidden="false" customHeight="false" outlineLevel="0" collapsed="false">
      <c r="A884" s="77"/>
      <c r="B884" s="73"/>
      <c r="C884" s="71" t="str">
        <f aca="false">IF(B884="","",IFERROR(INDEX(マスタ!$F$2:$F$60,MATCH(B884,マスタ!$E$2:$E$60,0))&amp;"",""))</f>
        <v/>
      </c>
      <c r="D884" s="73"/>
      <c r="E884" s="75"/>
      <c r="F884" s="75"/>
      <c r="G884" s="75"/>
      <c r="H884" s="73"/>
      <c r="I884" s="75"/>
      <c r="J884" s="75"/>
      <c r="K884" s="75"/>
      <c r="L884" s="73"/>
      <c r="M884" s="78" t="str">
        <f aca="false">IF(OR(E884="",F884=""),"",MAX(0,((F884-E884-N(G884))*1440-N(H884)*10)/60))</f>
        <v/>
      </c>
      <c r="N884" s="78" t="str">
        <f aca="false">IF($D884="欠席",0,IF(OR(I884="",J884=""),"",MAX(0,((J884-I884-N(K884))*1440-N(L884)*10)/60)))</f>
        <v/>
      </c>
      <c r="O884" s="73"/>
    </row>
    <row r="885" customFormat="false" ht="15" hidden="false" customHeight="false" outlineLevel="0" collapsed="false">
      <c r="A885" s="77"/>
      <c r="B885" s="73"/>
      <c r="C885" s="71" t="str">
        <f aca="false">IF(B885="","",IFERROR(INDEX(マスタ!$F$2:$F$60,MATCH(B885,マスタ!$E$2:$E$60,0))&amp;"",""))</f>
        <v/>
      </c>
      <c r="D885" s="73"/>
      <c r="E885" s="75"/>
      <c r="F885" s="75"/>
      <c r="G885" s="75"/>
      <c r="H885" s="73"/>
      <c r="I885" s="75"/>
      <c r="J885" s="75"/>
      <c r="K885" s="75"/>
      <c r="L885" s="73"/>
      <c r="M885" s="78" t="str">
        <f aca="false">IF(OR(E885="",F885=""),"",MAX(0,((F885-E885-N(G885))*1440-N(H885)*10)/60))</f>
        <v/>
      </c>
      <c r="N885" s="78" t="str">
        <f aca="false">IF($D885="欠席",0,IF(OR(I885="",J885=""),"",MAX(0,((J885-I885-N(K885))*1440-N(L885)*10)/60)))</f>
        <v/>
      </c>
      <c r="O885" s="73"/>
    </row>
    <row r="886" customFormat="false" ht="15" hidden="false" customHeight="false" outlineLevel="0" collapsed="false">
      <c r="A886" s="77"/>
      <c r="B886" s="73"/>
      <c r="C886" s="71" t="str">
        <f aca="false">IF(B886="","",IFERROR(INDEX(マスタ!$F$2:$F$60,MATCH(B886,マスタ!$E$2:$E$60,0))&amp;"",""))</f>
        <v/>
      </c>
      <c r="D886" s="73"/>
      <c r="E886" s="75"/>
      <c r="F886" s="75"/>
      <c r="G886" s="75"/>
      <c r="H886" s="73"/>
      <c r="I886" s="75"/>
      <c r="J886" s="75"/>
      <c r="K886" s="75"/>
      <c r="L886" s="73"/>
      <c r="M886" s="78" t="str">
        <f aca="false">IF(OR(E886="",F886=""),"",MAX(0,((F886-E886-N(G886))*1440-N(H886)*10)/60))</f>
        <v/>
      </c>
      <c r="N886" s="78" t="str">
        <f aca="false">IF($D886="欠席",0,IF(OR(I886="",J886=""),"",MAX(0,((J886-I886-N(K886))*1440-N(L886)*10)/60)))</f>
        <v/>
      </c>
      <c r="O886" s="73"/>
    </row>
    <row r="887" customFormat="false" ht="15" hidden="false" customHeight="false" outlineLevel="0" collapsed="false">
      <c r="A887" s="77"/>
      <c r="B887" s="73"/>
      <c r="C887" s="71" t="str">
        <f aca="false">IF(B887="","",IFERROR(INDEX(マスタ!$F$2:$F$60,MATCH(B887,マスタ!$E$2:$E$60,0))&amp;"",""))</f>
        <v/>
      </c>
      <c r="D887" s="73"/>
      <c r="E887" s="75"/>
      <c r="F887" s="75"/>
      <c r="G887" s="75"/>
      <c r="H887" s="73"/>
      <c r="I887" s="75"/>
      <c r="J887" s="75"/>
      <c r="K887" s="75"/>
      <c r="L887" s="73"/>
      <c r="M887" s="78" t="str">
        <f aca="false">IF(OR(E887="",F887=""),"",MAX(0,((F887-E887-N(G887))*1440-N(H887)*10)/60))</f>
        <v/>
      </c>
      <c r="N887" s="78" t="str">
        <f aca="false">IF($D887="欠席",0,IF(OR(I887="",J887=""),"",MAX(0,((J887-I887-N(K887))*1440-N(L887)*10)/60)))</f>
        <v/>
      </c>
      <c r="O887" s="73"/>
    </row>
    <row r="888" customFormat="false" ht="15" hidden="false" customHeight="false" outlineLevel="0" collapsed="false">
      <c r="A888" s="77"/>
      <c r="B888" s="73"/>
      <c r="C888" s="71" t="str">
        <f aca="false">IF(B888="","",IFERROR(INDEX(マスタ!$F$2:$F$60,MATCH(B888,マスタ!$E$2:$E$60,0))&amp;"",""))</f>
        <v/>
      </c>
      <c r="D888" s="73"/>
      <c r="E888" s="75"/>
      <c r="F888" s="75"/>
      <c r="G888" s="75"/>
      <c r="H888" s="73"/>
      <c r="I888" s="75"/>
      <c r="J888" s="75"/>
      <c r="K888" s="75"/>
      <c r="L888" s="73"/>
      <c r="M888" s="78" t="str">
        <f aca="false">IF(OR(E888="",F888=""),"",MAX(0,((F888-E888-N(G888))*1440-N(H888)*10)/60))</f>
        <v/>
      </c>
      <c r="N888" s="78" t="str">
        <f aca="false">IF($D888="欠席",0,IF(OR(I888="",J888=""),"",MAX(0,((J888-I888-N(K888))*1440-N(L888)*10)/60)))</f>
        <v/>
      </c>
      <c r="O888" s="73"/>
    </row>
    <row r="889" customFormat="false" ht="15" hidden="false" customHeight="false" outlineLevel="0" collapsed="false">
      <c r="A889" s="77"/>
      <c r="B889" s="73"/>
      <c r="C889" s="71" t="str">
        <f aca="false">IF(B889="","",IFERROR(INDEX(マスタ!$F$2:$F$60,MATCH(B889,マスタ!$E$2:$E$60,0))&amp;"",""))</f>
        <v/>
      </c>
      <c r="D889" s="73"/>
      <c r="E889" s="75"/>
      <c r="F889" s="75"/>
      <c r="G889" s="75"/>
      <c r="H889" s="73"/>
      <c r="I889" s="75"/>
      <c r="J889" s="75"/>
      <c r="K889" s="75"/>
      <c r="L889" s="73"/>
      <c r="M889" s="78" t="str">
        <f aca="false">IF(OR(E889="",F889=""),"",MAX(0,((F889-E889-N(G889))*1440-N(H889)*10)/60))</f>
        <v/>
      </c>
      <c r="N889" s="78" t="str">
        <f aca="false">IF($D889="欠席",0,IF(OR(I889="",J889=""),"",MAX(0,((J889-I889-N(K889))*1440-N(L889)*10)/60)))</f>
        <v/>
      </c>
      <c r="O889" s="73"/>
    </row>
    <row r="890" customFormat="false" ht="15" hidden="false" customHeight="false" outlineLevel="0" collapsed="false">
      <c r="A890" s="77"/>
      <c r="B890" s="73"/>
      <c r="C890" s="71" t="str">
        <f aca="false">IF(B890="","",IFERROR(INDEX(マスタ!$F$2:$F$60,MATCH(B890,マスタ!$E$2:$E$60,0))&amp;"",""))</f>
        <v/>
      </c>
      <c r="D890" s="73"/>
      <c r="E890" s="75"/>
      <c r="F890" s="75"/>
      <c r="G890" s="75"/>
      <c r="H890" s="73"/>
      <c r="I890" s="75"/>
      <c r="J890" s="75"/>
      <c r="K890" s="75"/>
      <c r="L890" s="73"/>
      <c r="M890" s="78" t="str">
        <f aca="false">IF(OR(E890="",F890=""),"",MAX(0,((F890-E890-N(G890))*1440-N(H890)*10)/60))</f>
        <v/>
      </c>
      <c r="N890" s="78" t="str">
        <f aca="false">IF($D890="欠席",0,IF(OR(I890="",J890=""),"",MAX(0,((J890-I890-N(K890))*1440-N(L890)*10)/60)))</f>
        <v/>
      </c>
      <c r="O890" s="73"/>
    </row>
    <row r="891" customFormat="false" ht="15" hidden="false" customHeight="false" outlineLevel="0" collapsed="false">
      <c r="A891" s="77"/>
      <c r="B891" s="73"/>
      <c r="C891" s="71" t="str">
        <f aca="false">IF(B891="","",IFERROR(INDEX(マスタ!$F$2:$F$60,MATCH(B891,マスタ!$E$2:$E$60,0))&amp;"",""))</f>
        <v/>
      </c>
      <c r="D891" s="73"/>
      <c r="E891" s="75"/>
      <c r="F891" s="75"/>
      <c r="G891" s="75"/>
      <c r="H891" s="73"/>
      <c r="I891" s="75"/>
      <c r="J891" s="75"/>
      <c r="K891" s="75"/>
      <c r="L891" s="73"/>
      <c r="M891" s="78" t="str">
        <f aca="false">IF(OR(E891="",F891=""),"",MAX(0,((F891-E891-N(G891))*1440-N(H891)*10)/60))</f>
        <v/>
      </c>
      <c r="N891" s="78" t="str">
        <f aca="false">IF($D891="欠席",0,IF(OR(I891="",J891=""),"",MAX(0,((J891-I891-N(K891))*1440-N(L891)*10)/60)))</f>
        <v/>
      </c>
      <c r="O891" s="73"/>
    </row>
    <row r="892" customFormat="false" ht="15" hidden="false" customHeight="false" outlineLevel="0" collapsed="false">
      <c r="A892" s="77"/>
      <c r="B892" s="73"/>
      <c r="C892" s="71" t="str">
        <f aca="false">IF(B892="","",IFERROR(INDEX(マスタ!$F$2:$F$60,MATCH(B892,マスタ!$E$2:$E$60,0))&amp;"",""))</f>
        <v/>
      </c>
      <c r="D892" s="73"/>
      <c r="E892" s="75"/>
      <c r="F892" s="75"/>
      <c r="G892" s="75"/>
      <c r="H892" s="73"/>
      <c r="I892" s="75"/>
      <c r="J892" s="75"/>
      <c r="K892" s="75"/>
      <c r="L892" s="73"/>
      <c r="M892" s="78" t="str">
        <f aca="false">IF(OR(E892="",F892=""),"",MAX(0,((F892-E892-N(G892))*1440-N(H892)*10)/60))</f>
        <v/>
      </c>
      <c r="N892" s="78" t="str">
        <f aca="false">IF($D892="欠席",0,IF(OR(I892="",J892=""),"",MAX(0,((J892-I892-N(K892))*1440-N(L892)*10)/60)))</f>
        <v/>
      </c>
      <c r="O892" s="73"/>
    </row>
    <row r="893" customFormat="false" ht="15" hidden="false" customHeight="false" outlineLevel="0" collapsed="false">
      <c r="A893" s="77"/>
      <c r="B893" s="73"/>
      <c r="C893" s="71" t="str">
        <f aca="false">IF(B893="","",IFERROR(INDEX(マスタ!$F$2:$F$60,MATCH(B893,マスタ!$E$2:$E$60,0))&amp;"",""))</f>
        <v/>
      </c>
      <c r="D893" s="73"/>
      <c r="E893" s="75"/>
      <c r="F893" s="75"/>
      <c r="G893" s="75"/>
      <c r="H893" s="73"/>
      <c r="I893" s="75"/>
      <c r="J893" s="75"/>
      <c r="K893" s="75"/>
      <c r="L893" s="73"/>
      <c r="M893" s="78" t="str">
        <f aca="false">IF(OR(E893="",F893=""),"",MAX(0,((F893-E893-N(G893))*1440-N(H893)*10)/60))</f>
        <v/>
      </c>
      <c r="N893" s="78" t="str">
        <f aca="false">IF($D893="欠席",0,IF(OR(I893="",J893=""),"",MAX(0,((J893-I893-N(K893))*1440-N(L893)*10)/60)))</f>
        <v/>
      </c>
      <c r="O893" s="73"/>
    </row>
    <row r="894" customFormat="false" ht="15" hidden="false" customHeight="false" outlineLevel="0" collapsed="false">
      <c r="A894" s="77"/>
      <c r="B894" s="73"/>
      <c r="C894" s="71" t="str">
        <f aca="false">IF(B894="","",IFERROR(INDEX(マスタ!$F$2:$F$60,MATCH(B894,マスタ!$E$2:$E$60,0))&amp;"",""))</f>
        <v/>
      </c>
      <c r="D894" s="73"/>
      <c r="E894" s="75"/>
      <c r="F894" s="75"/>
      <c r="G894" s="75"/>
      <c r="H894" s="73"/>
      <c r="I894" s="75"/>
      <c r="J894" s="75"/>
      <c r="K894" s="75"/>
      <c r="L894" s="73"/>
      <c r="M894" s="78" t="str">
        <f aca="false">IF(OR(E894="",F894=""),"",MAX(0,((F894-E894-N(G894))*1440-N(H894)*10)/60))</f>
        <v/>
      </c>
      <c r="N894" s="78" t="str">
        <f aca="false">IF($D894="欠席",0,IF(OR(I894="",J894=""),"",MAX(0,((J894-I894-N(K894))*1440-N(L894)*10)/60)))</f>
        <v/>
      </c>
      <c r="O894" s="73"/>
    </row>
    <row r="895" customFormat="false" ht="15" hidden="false" customHeight="false" outlineLevel="0" collapsed="false">
      <c r="A895" s="77"/>
      <c r="B895" s="73"/>
      <c r="C895" s="71" t="str">
        <f aca="false">IF(B895="","",IFERROR(INDEX(マスタ!$F$2:$F$60,MATCH(B895,マスタ!$E$2:$E$60,0))&amp;"",""))</f>
        <v/>
      </c>
      <c r="D895" s="73"/>
      <c r="E895" s="75"/>
      <c r="F895" s="75"/>
      <c r="G895" s="75"/>
      <c r="H895" s="73"/>
      <c r="I895" s="75"/>
      <c r="J895" s="75"/>
      <c r="K895" s="75"/>
      <c r="L895" s="73"/>
      <c r="M895" s="78" t="str">
        <f aca="false">IF(OR(E895="",F895=""),"",MAX(0,((F895-E895-N(G895))*1440-N(H895)*10)/60))</f>
        <v/>
      </c>
      <c r="N895" s="78" t="str">
        <f aca="false">IF($D895="欠席",0,IF(OR(I895="",J895=""),"",MAX(0,((J895-I895-N(K895))*1440-N(L895)*10)/60)))</f>
        <v/>
      </c>
      <c r="O895" s="73"/>
    </row>
    <row r="896" customFormat="false" ht="15" hidden="false" customHeight="false" outlineLevel="0" collapsed="false">
      <c r="A896" s="77"/>
      <c r="B896" s="73"/>
      <c r="C896" s="71" t="str">
        <f aca="false">IF(B896="","",IFERROR(INDEX(マスタ!$F$2:$F$60,MATCH(B896,マスタ!$E$2:$E$60,0))&amp;"",""))</f>
        <v/>
      </c>
      <c r="D896" s="73"/>
      <c r="E896" s="75"/>
      <c r="F896" s="75"/>
      <c r="G896" s="75"/>
      <c r="H896" s="73"/>
      <c r="I896" s="75"/>
      <c r="J896" s="75"/>
      <c r="K896" s="75"/>
      <c r="L896" s="73"/>
      <c r="M896" s="78" t="str">
        <f aca="false">IF(OR(E896="",F896=""),"",MAX(0,((F896-E896-N(G896))*1440-N(H896)*10)/60))</f>
        <v/>
      </c>
      <c r="N896" s="78" t="str">
        <f aca="false">IF($D896="欠席",0,IF(OR(I896="",J896=""),"",MAX(0,((J896-I896-N(K896))*1440-N(L896)*10)/60)))</f>
        <v/>
      </c>
      <c r="O896" s="73"/>
    </row>
    <row r="897" customFormat="false" ht="15" hidden="false" customHeight="false" outlineLevel="0" collapsed="false">
      <c r="A897" s="77"/>
      <c r="B897" s="73"/>
      <c r="C897" s="71" t="str">
        <f aca="false">IF(B897="","",IFERROR(INDEX(マスタ!$F$2:$F$60,MATCH(B897,マスタ!$E$2:$E$60,0))&amp;"",""))</f>
        <v/>
      </c>
      <c r="D897" s="73"/>
      <c r="E897" s="75"/>
      <c r="F897" s="75"/>
      <c r="G897" s="75"/>
      <c r="H897" s="73"/>
      <c r="I897" s="75"/>
      <c r="J897" s="75"/>
      <c r="K897" s="75"/>
      <c r="L897" s="73"/>
      <c r="M897" s="78" t="str">
        <f aca="false">IF(OR(E897="",F897=""),"",MAX(0,((F897-E897-N(G897))*1440-N(H897)*10)/60))</f>
        <v/>
      </c>
      <c r="N897" s="78" t="str">
        <f aca="false">IF($D897="欠席",0,IF(OR(I897="",J897=""),"",MAX(0,((J897-I897-N(K897))*1440-N(L897)*10)/60)))</f>
        <v/>
      </c>
      <c r="O897" s="73"/>
    </row>
    <row r="898" customFormat="false" ht="15" hidden="false" customHeight="false" outlineLevel="0" collapsed="false">
      <c r="A898" s="77"/>
      <c r="B898" s="73"/>
      <c r="C898" s="71" t="str">
        <f aca="false">IF(B898="","",IFERROR(INDEX(マスタ!$F$2:$F$60,MATCH(B898,マスタ!$E$2:$E$60,0))&amp;"",""))</f>
        <v/>
      </c>
      <c r="D898" s="73"/>
      <c r="E898" s="75"/>
      <c r="F898" s="75"/>
      <c r="G898" s="75"/>
      <c r="H898" s="73"/>
      <c r="I898" s="75"/>
      <c r="J898" s="75"/>
      <c r="K898" s="75"/>
      <c r="L898" s="73"/>
      <c r="M898" s="78" t="str">
        <f aca="false">IF(OR(E898="",F898=""),"",MAX(0,((F898-E898-N(G898))*1440-N(H898)*10)/60))</f>
        <v/>
      </c>
      <c r="N898" s="78" t="str">
        <f aca="false">IF($D898="欠席",0,IF(OR(I898="",J898=""),"",MAX(0,((J898-I898-N(K898))*1440-N(L898)*10)/60)))</f>
        <v/>
      </c>
      <c r="O898" s="73"/>
    </row>
    <row r="899" customFormat="false" ht="15" hidden="false" customHeight="false" outlineLevel="0" collapsed="false">
      <c r="A899" s="77"/>
      <c r="B899" s="73"/>
      <c r="C899" s="71" t="str">
        <f aca="false">IF(B899="","",IFERROR(INDEX(マスタ!$F$2:$F$60,MATCH(B899,マスタ!$E$2:$E$60,0))&amp;"",""))</f>
        <v/>
      </c>
      <c r="D899" s="73"/>
      <c r="E899" s="75"/>
      <c r="F899" s="75"/>
      <c r="G899" s="75"/>
      <c r="H899" s="73"/>
      <c r="I899" s="75"/>
      <c r="J899" s="75"/>
      <c r="K899" s="75"/>
      <c r="L899" s="73"/>
      <c r="M899" s="78" t="str">
        <f aca="false">IF(OR(E899="",F899=""),"",MAX(0,((F899-E899-N(G899))*1440-N(H899)*10)/60))</f>
        <v/>
      </c>
      <c r="N899" s="78" t="str">
        <f aca="false">IF($D899="欠席",0,IF(OR(I899="",J899=""),"",MAX(0,((J899-I899-N(K899))*1440-N(L899)*10)/60)))</f>
        <v/>
      </c>
      <c r="O899" s="73"/>
    </row>
    <row r="900" customFormat="false" ht="15" hidden="false" customHeight="false" outlineLevel="0" collapsed="false">
      <c r="A900" s="77"/>
      <c r="B900" s="73"/>
      <c r="C900" s="71" t="str">
        <f aca="false">IF(B900="","",IFERROR(INDEX(マスタ!$F$2:$F$60,MATCH(B900,マスタ!$E$2:$E$60,0))&amp;"",""))</f>
        <v/>
      </c>
      <c r="D900" s="73"/>
      <c r="E900" s="75"/>
      <c r="F900" s="75"/>
      <c r="G900" s="75"/>
      <c r="H900" s="73"/>
      <c r="I900" s="75"/>
      <c r="J900" s="75"/>
      <c r="K900" s="75"/>
      <c r="L900" s="73"/>
      <c r="M900" s="78" t="str">
        <f aca="false">IF(OR(E900="",F900=""),"",MAX(0,((F900-E900-N(G900))*1440-N(H900)*10)/60))</f>
        <v/>
      </c>
      <c r="N900" s="78" t="str">
        <f aca="false">IF($D900="欠席",0,IF(OR(I900="",J900=""),"",MAX(0,((J900-I900-N(K900))*1440-N(L900)*10)/60)))</f>
        <v/>
      </c>
      <c r="O900" s="73"/>
    </row>
    <row r="901" customFormat="false" ht="15" hidden="false" customHeight="false" outlineLevel="0" collapsed="false">
      <c r="A901" s="77"/>
      <c r="B901" s="73"/>
      <c r="C901" s="71" t="str">
        <f aca="false">IF(B901="","",IFERROR(INDEX(マスタ!$F$2:$F$60,MATCH(B901,マスタ!$E$2:$E$60,0))&amp;"",""))</f>
        <v/>
      </c>
      <c r="D901" s="73"/>
      <c r="E901" s="75"/>
      <c r="F901" s="75"/>
      <c r="G901" s="75"/>
      <c r="H901" s="73"/>
      <c r="I901" s="75"/>
      <c r="J901" s="75"/>
      <c r="K901" s="75"/>
      <c r="L901" s="73"/>
      <c r="M901" s="78" t="str">
        <f aca="false">IF(OR(E901="",F901=""),"",MAX(0,((F901-E901-N(G901))*1440-N(H901)*10)/60))</f>
        <v/>
      </c>
      <c r="N901" s="78" t="str">
        <f aca="false">IF($D901="欠席",0,IF(OR(I901="",J901=""),"",MAX(0,((J901-I901-N(K901))*1440-N(L901)*10)/60)))</f>
        <v/>
      </c>
      <c r="O901" s="73"/>
    </row>
    <row r="902" customFormat="false" ht="15" hidden="false" customHeight="false" outlineLevel="0" collapsed="false">
      <c r="A902" s="77"/>
      <c r="B902" s="73"/>
      <c r="C902" s="71" t="str">
        <f aca="false">IF(B902="","",IFERROR(INDEX(マスタ!$F$2:$F$60,MATCH(B902,マスタ!$E$2:$E$60,0))&amp;"",""))</f>
        <v/>
      </c>
      <c r="D902" s="73"/>
      <c r="E902" s="75"/>
      <c r="F902" s="75"/>
      <c r="G902" s="75"/>
      <c r="H902" s="73"/>
      <c r="I902" s="75"/>
      <c r="J902" s="75"/>
      <c r="K902" s="75"/>
      <c r="L902" s="73"/>
      <c r="M902" s="78" t="str">
        <f aca="false">IF(OR(E902="",F902=""),"",MAX(0,((F902-E902-N(G902))*1440-N(H902)*10)/60))</f>
        <v/>
      </c>
      <c r="N902" s="78" t="str">
        <f aca="false">IF($D902="欠席",0,IF(OR(I902="",J902=""),"",MAX(0,((J902-I902-N(K902))*1440-N(L902)*10)/60)))</f>
        <v/>
      </c>
      <c r="O902" s="73"/>
    </row>
    <row r="903" customFormat="false" ht="15" hidden="false" customHeight="false" outlineLevel="0" collapsed="false">
      <c r="A903" s="77"/>
      <c r="B903" s="73"/>
      <c r="C903" s="71" t="str">
        <f aca="false">IF(B903="","",IFERROR(INDEX(マスタ!$F$2:$F$60,MATCH(B903,マスタ!$E$2:$E$60,0))&amp;"",""))</f>
        <v/>
      </c>
      <c r="D903" s="73"/>
      <c r="E903" s="75"/>
      <c r="F903" s="75"/>
      <c r="G903" s="75"/>
      <c r="H903" s="73"/>
      <c r="I903" s="75"/>
      <c r="J903" s="75"/>
      <c r="K903" s="75"/>
      <c r="L903" s="73"/>
      <c r="M903" s="78" t="str">
        <f aca="false">IF(OR(E903="",F903=""),"",MAX(0,((F903-E903-N(G903))*1440-N(H903)*10)/60))</f>
        <v/>
      </c>
      <c r="N903" s="78" t="str">
        <f aca="false">IF($D903="欠席",0,IF(OR(I903="",J903=""),"",MAX(0,((J903-I903-N(K903))*1440-N(L903)*10)/60)))</f>
        <v/>
      </c>
      <c r="O903" s="73"/>
    </row>
    <row r="904" customFormat="false" ht="15" hidden="false" customHeight="false" outlineLevel="0" collapsed="false">
      <c r="A904" s="77"/>
      <c r="B904" s="73"/>
      <c r="C904" s="71" t="str">
        <f aca="false">IF(B904="","",IFERROR(INDEX(マスタ!$F$2:$F$60,MATCH(B904,マスタ!$E$2:$E$60,0))&amp;"",""))</f>
        <v/>
      </c>
      <c r="D904" s="73"/>
      <c r="E904" s="75"/>
      <c r="F904" s="75"/>
      <c r="G904" s="75"/>
      <c r="H904" s="73"/>
      <c r="I904" s="75"/>
      <c r="J904" s="75"/>
      <c r="K904" s="75"/>
      <c r="L904" s="73"/>
      <c r="M904" s="78" t="str">
        <f aca="false">IF(OR(E904="",F904=""),"",MAX(0,((F904-E904-N(G904))*1440-N(H904)*10)/60))</f>
        <v/>
      </c>
      <c r="N904" s="78" t="str">
        <f aca="false">IF($D904="欠席",0,IF(OR(I904="",J904=""),"",MAX(0,((J904-I904-N(K904))*1440-N(L904)*10)/60)))</f>
        <v/>
      </c>
      <c r="O904" s="73"/>
    </row>
    <row r="905" customFormat="false" ht="15" hidden="false" customHeight="false" outlineLevel="0" collapsed="false">
      <c r="A905" s="77"/>
      <c r="B905" s="73"/>
      <c r="C905" s="71" t="str">
        <f aca="false">IF(B905="","",IFERROR(INDEX(マスタ!$F$2:$F$60,MATCH(B905,マスタ!$E$2:$E$60,0))&amp;"",""))</f>
        <v/>
      </c>
      <c r="D905" s="73"/>
      <c r="E905" s="75"/>
      <c r="F905" s="75"/>
      <c r="G905" s="75"/>
      <c r="H905" s="73"/>
      <c r="I905" s="75"/>
      <c r="J905" s="75"/>
      <c r="K905" s="75"/>
      <c r="L905" s="73"/>
      <c r="M905" s="78" t="str">
        <f aca="false">IF(OR(E905="",F905=""),"",MAX(0,((F905-E905-N(G905))*1440-N(H905)*10)/60))</f>
        <v/>
      </c>
      <c r="N905" s="78" t="str">
        <f aca="false">IF($D905="欠席",0,IF(OR(I905="",J905=""),"",MAX(0,((J905-I905-N(K905))*1440-N(L905)*10)/60)))</f>
        <v/>
      </c>
      <c r="O905" s="73"/>
    </row>
    <row r="906" customFormat="false" ht="15" hidden="false" customHeight="false" outlineLevel="0" collapsed="false">
      <c r="A906" s="77"/>
      <c r="B906" s="73"/>
      <c r="C906" s="71" t="str">
        <f aca="false">IF(B906="","",IFERROR(INDEX(マスタ!$F$2:$F$60,MATCH(B906,マスタ!$E$2:$E$60,0))&amp;"",""))</f>
        <v/>
      </c>
      <c r="D906" s="73"/>
      <c r="E906" s="75"/>
      <c r="F906" s="75"/>
      <c r="G906" s="75"/>
      <c r="H906" s="73"/>
      <c r="I906" s="75"/>
      <c r="J906" s="75"/>
      <c r="K906" s="75"/>
      <c r="L906" s="73"/>
      <c r="M906" s="78" t="str">
        <f aca="false">IF(OR(E906="",F906=""),"",MAX(0,((F906-E906-N(G906))*1440-N(H906)*10)/60))</f>
        <v/>
      </c>
      <c r="N906" s="78" t="str">
        <f aca="false">IF($D906="欠席",0,IF(OR(I906="",J906=""),"",MAX(0,((J906-I906-N(K906))*1440-N(L906)*10)/60)))</f>
        <v/>
      </c>
      <c r="O906" s="73"/>
    </row>
    <row r="907" customFormat="false" ht="15" hidden="false" customHeight="false" outlineLevel="0" collapsed="false">
      <c r="A907" s="77"/>
      <c r="B907" s="73"/>
      <c r="C907" s="71" t="str">
        <f aca="false">IF(B907="","",IFERROR(INDEX(マスタ!$F$2:$F$60,MATCH(B907,マスタ!$E$2:$E$60,0))&amp;"",""))</f>
        <v/>
      </c>
      <c r="D907" s="73"/>
      <c r="E907" s="75"/>
      <c r="F907" s="75"/>
      <c r="G907" s="75"/>
      <c r="H907" s="73"/>
      <c r="I907" s="75"/>
      <c r="J907" s="75"/>
      <c r="K907" s="75"/>
      <c r="L907" s="73"/>
      <c r="M907" s="78" t="str">
        <f aca="false">IF(OR(E907="",F907=""),"",MAX(0,((F907-E907-N(G907))*1440-N(H907)*10)/60))</f>
        <v/>
      </c>
      <c r="N907" s="78" t="str">
        <f aca="false">IF($D907="欠席",0,IF(OR(I907="",J907=""),"",MAX(0,((J907-I907-N(K907))*1440-N(L907)*10)/60)))</f>
        <v/>
      </c>
      <c r="O907" s="73"/>
    </row>
    <row r="908" customFormat="false" ht="15" hidden="false" customHeight="false" outlineLevel="0" collapsed="false">
      <c r="A908" s="77"/>
      <c r="B908" s="73"/>
      <c r="C908" s="71" t="str">
        <f aca="false">IF(B908="","",IFERROR(INDEX(マスタ!$F$2:$F$60,MATCH(B908,マスタ!$E$2:$E$60,0))&amp;"",""))</f>
        <v/>
      </c>
      <c r="D908" s="73"/>
      <c r="E908" s="75"/>
      <c r="F908" s="75"/>
      <c r="G908" s="75"/>
      <c r="H908" s="73"/>
      <c r="I908" s="75"/>
      <c r="J908" s="75"/>
      <c r="K908" s="75"/>
      <c r="L908" s="73"/>
      <c r="M908" s="78" t="str">
        <f aca="false">IF(OR(E908="",F908=""),"",MAX(0,((F908-E908-N(G908))*1440-N(H908)*10)/60))</f>
        <v/>
      </c>
      <c r="N908" s="78" t="str">
        <f aca="false">IF($D908="欠席",0,IF(OR(I908="",J908=""),"",MAX(0,((J908-I908-N(K908))*1440-N(L908)*10)/60)))</f>
        <v/>
      </c>
      <c r="O908" s="73"/>
    </row>
    <row r="909" customFormat="false" ht="15" hidden="false" customHeight="false" outlineLevel="0" collapsed="false">
      <c r="A909" s="77"/>
      <c r="B909" s="73"/>
      <c r="C909" s="71" t="str">
        <f aca="false">IF(B909="","",IFERROR(INDEX(マスタ!$F$2:$F$60,MATCH(B909,マスタ!$E$2:$E$60,0))&amp;"",""))</f>
        <v/>
      </c>
      <c r="D909" s="73"/>
      <c r="E909" s="75"/>
      <c r="F909" s="75"/>
      <c r="G909" s="75"/>
      <c r="H909" s="73"/>
      <c r="I909" s="75"/>
      <c r="J909" s="75"/>
      <c r="K909" s="75"/>
      <c r="L909" s="73"/>
      <c r="M909" s="78" t="str">
        <f aca="false">IF(OR(E909="",F909=""),"",MAX(0,((F909-E909-N(G909))*1440-N(H909)*10)/60))</f>
        <v/>
      </c>
      <c r="N909" s="78" t="str">
        <f aca="false">IF($D909="欠席",0,IF(OR(I909="",J909=""),"",MAX(0,((J909-I909-N(K909))*1440-N(L909)*10)/60)))</f>
        <v/>
      </c>
      <c r="O909" s="73"/>
    </row>
    <row r="910" customFormat="false" ht="15" hidden="false" customHeight="false" outlineLevel="0" collapsed="false">
      <c r="A910" s="77"/>
      <c r="B910" s="73"/>
      <c r="C910" s="71" t="str">
        <f aca="false">IF(B910="","",IFERROR(INDEX(マスタ!$F$2:$F$60,MATCH(B910,マスタ!$E$2:$E$60,0))&amp;"",""))</f>
        <v/>
      </c>
      <c r="D910" s="73"/>
      <c r="E910" s="75"/>
      <c r="F910" s="75"/>
      <c r="G910" s="75"/>
      <c r="H910" s="73"/>
      <c r="I910" s="75"/>
      <c r="J910" s="75"/>
      <c r="K910" s="75"/>
      <c r="L910" s="73"/>
      <c r="M910" s="78" t="str">
        <f aca="false">IF(OR(E910="",F910=""),"",MAX(0,((F910-E910-N(G910))*1440-N(H910)*10)/60))</f>
        <v/>
      </c>
      <c r="N910" s="78" t="str">
        <f aca="false">IF($D910="欠席",0,IF(OR(I910="",J910=""),"",MAX(0,((J910-I910-N(K910))*1440-N(L910)*10)/60)))</f>
        <v/>
      </c>
      <c r="O910" s="73"/>
    </row>
    <row r="911" customFormat="false" ht="15" hidden="false" customHeight="false" outlineLevel="0" collapsed="false">
      <c r="A911" s="77"/>
      <c r="B911" s="73"/>
      <c r="C911" s="71" t="str">
        <f aca="false">IF(B911="","",IFERROR(INDEX(マスタ!$F$2:$F$60,MATCH(B911,マスタ!$E$2:$E$60,0))&amp;"",""))</f>
        <v/>
      </c>
      <c r="D911" s="73"/>
      <c r="E911" s="75"/>
      <c r="F911" s="75"/>
      <c r="G911" s="75"/>
      <c r="H911" s="73"/>
      <c r="I911" s="75"/>
      <c r="J911" s="75"/>
      <c r="K911" s="75"/>
      <c r="L911" s="73"/>
      <c r="M911" s="78" t="str">
        <f aca="false">IF(OR(E911="",F911=""),"",MAX(0,((F911-E911-N(G911))*1440-N(H911)*10)/60))</f>
        <v/>
      </c>
      <c r="N911" s="78" t="str">
        <f aca="false">IF($D911="欠席",0,IF(OR(I911="",J911=""),"",MAX(0,((J911-I911-N(K911))*1440-N(L911)*10)/60)))</f>
        <v/>
      </c>
      <c r="O911" s="73"/>
    </row>
    <row r="912" customFormat="false" ht="15" hidden="false" customHeight="false" outlineLevel="0" collapsed="false">
      <c r="A912" s="77"/>
      <c r="B912" s="73"/>
      <c r="C912" s="71" t="str">
        <f aca="false">IF(B912="","",IFERROR(INDEX(マスタ!$F$2:$F$60,MATCH(B912,マスタ!$E$2:$E$60,0))&amp;"",""))</f>
        <v/>
      </c>
      <c r="D912" s="73"/>
      <c r="E912" s="75"/>
      <c r="F912" s="75"/>
      <c r="G912" s="75"/>
      <c r="H912" s="73"/>
      <c r="I912" s="75"/>
      <c r="J912" s="75"/>
      <c r="K912" s="75"/>
      <c r="L912" s="73"/>
      <c r="M912" s="78" t="str">
        <f aca="false">IF(OR(E912="",F912=""),"",MAX(0,((F912-E912-N(G912))*1440-N(H912)*10)/60))</f>
        <v/>
      </c>
      <c r="N912" s="78" t="str">
        <f aca="false">IF($D912="欠席",0,IF(OR(I912="",J912=""),"",MAX(0,((J912-I912-N(K912))*1440-N(L912)*10)/60)))</f>
        <v/>
      </c>
      <c r="O912" s="73"/>
    </row>
    <row r="913" customFormat="false" ht="15" hidden="false" customHeight="false" outlineLevel="0" collapsed="false">
      <c r="A913" s="77"/>
      <c r="B913" s="73"/>
      <c r="C913" s="71" t="str">
        <f aca="false">IF(B913="","",IFERROR(INDEX(マスタ!$F$2:$F$60,MATCH(B913,マスタ!$E$2:$E$60,0))&amp;"",""))</f>
        <v/>
      </c>
      <c r="D913" s="73"/>
      <c r="E913" s="75"/>
      <c r="F913" s="75"/>
      <c r="G913" s="75"/>
      <c r="H913" s="73"/>
      <c r="I913" s="75"/>
      <c r="J913" s="75"/>
      <c r="K913" s="75"/>
      <c r="L913" s="73"/>
      <c r="M913" s="78" t="str">
        <f aca="false">IF(OR(E913="",F913=""),"",MAX(0,((F913-E913-N(G913))*1440-N(H913)*10)/60))</f>
        <v/>
      </c>
      <c r="N913" s="78" t="str">
        <f aca="false">IF($D913="欠席",0,IF(OR(I913="",J913=""),"",MAX(0,((J913-I913-N(K913))*1440-N(L913)*10)/60)))</f>
        <v/>
      </c>
      <c r="O913" s="73"/>
    </row>
    <row r="914" customFormat="false" ht="15" hidden="false" customHeight="false" outlineLevel="0" collapsed="false">
      <c r="A914" s="77"/>
      <c r="B914" s="73"/>
      <c r="C914" s="71" t="str">
        <f aca="false">IF(B914="","",IFERROR(INDEX(マスタ!$F$2:$F$60,MATCH(B914,マスタ!$E$2:$E$60,0))&amp;"",""))</f>
        <v/>
      </c>
      <c r="D914" s="73"/>
      <c r="E914" s="75"/>
      <c r="F914" s="75"/>
      <c r="G914" s="75"/>
      <c r="H914" s="73"/>
      <c r="I914" s="75"/>
      <c r="J914" s="75"/>
      <c r="K914" s="75"/>
      <c r="L914" s="73"/>
      <c r="M914" s="78" t="str">
        <f aca="false">IF(OR(E914="",F914=""),"",MAX(0,((F914-E914-N(G914))*1440-N(H914)*10)/60))</f>
        <v/>
      </c>
      <c r="N914" s="78" t="str">
        <f aca="false">IF($D914="欠席",0,IF(OR(I914="",J914=""),"",MAX(0,((J914-I914-N(K914))*1440-N(L914)*10)/60)))</f>
        <v/>
      </c>
      <c r="O914" s="73"/>
    </row>
    <row r="915" customFormat="false" ht="15" hidden="false" customHeight="false" outlineLevel="0" collapsed="false">
      <c r="A915" s="77"/>
      <c r="B915" s="73"/>
      <c r="C915" s="71" t="str">
        <f aca="false">IF(B915="","",IFERROR(INDEX(マスタ!$F$2:$F$60,MATCH(B915,マスタ!$E$2:$E$60,0))&amp;"",""))</f>
        <v/>
      </c>
      <c r="D915" s="73"/>
      <c r="E915" s="75"/>
      <c r="F915" s="75"/>
      <c r="G915" s="75"/>
      <c r="H915" s="73"/>
      <c r="I915" s="75"/>
      <c r="J915" s="75"/>
      <c r="K915" s="75"/>
      <c r="L915" s="73"/>
      <c r="M915" s="78" t="str">
        <f aca="false">IF(OR(E915="",F915=""),"",MAX(0,((F915-E915-N(G915))*1440-N(H915)*10)/60))</f>
        <v/>
      </c>
      <c r="N915" s="78" t="str">
        <f aca="false">IF($D915="欠席",0,IF(OR(I915="",J915=""),"",MAX(0,((J915-I915-N(K915))*1440-N(L915)*10)/60)))</f>
        <v/>
      </c>
      <c r="O915" s="73"/>
    </row>
    <row r="916" customFormat="false" ht="15" hidden="false" customHeight="false" outlineLevel="0" collapsed="false">
      <c r="A916" s="77"/>
      <c r="B916" s="73"/>
      <c r="C916" s="71" t="str">
        <f aca="false">IF(B916="","",IFERROR(INDEX(マスタ!$F$2:$F$60,MATCH(B916,マスタ!$E$2:$E$60,0))&amp;"",""))</f>
        <v/>
      </c>
      <c r="D916" s="73"/>
      <c r="E916" s="75"/>
      <c r="F916" s="75"/>
      <c r="G916" s="75"/>
      <c r="H916" s="73"/>
      <c r="I916" s="75"/>
      <c r="J916" s="75"/>
      <c r="K916" s="75"/>
      <c r="L916" s="73"/>
      <c r="M916" s="78" t="str">
        <f aca="false">IF(OR(E916="",F916=""),"",MAX(0,((F916-E916-N(G916))*1440-N(H916)*10)/60))</f>
        <v/>
      </c>
      <c r="N916" s="78" t="str">
        <f aca="false">IF($D916="欠席",0,IF(OR(I916="",J916=""),"",MAX(0,((J916-I916-N(K916))*1440-N(L916)*10)/60)))</f>
        <v/>
      </c>
      <c r="O916" s="73"/>
    </row>
    <row r="917" customFormat="false" ht="15" hidden="false" customHeight="false" outlineLevel="0" collapsed="false">
      <c r="A917" s="77"/>
      <c r="B917" s="73"/>
      <c r="C917" s="71" t="str">
        <f aca="false">IF(B917="","",IFERROR(INDEX(マスタ!$F$2:$F$60,MATCH(B917,マスタ!$E$2:$E$60,0))&amp;"",""))</f>
        <v/>
      </c>
      <c r="D917" s="73"/>
      <c r="E917" s="75"/>
      <c r="F917" s="75"/>
      <c r="G917" s="75"/>
      <c r="H917" s="73"/>
      <c r="I917" s="75"/>
      <c r="J917" s="75"/>
      <c r="K917" s="75"/>
      <c r="L917" s="73"/>
      <c r="M917" s="78" t="str">
        <f aca="false">IF(OR(E917="",F917=""),"",MAX(0,((F917-E917-N(G917))*1440-N(H917)*10)/60))</f>
        <v/>
      </c>
      <c r="N917" s="78" t="str">
        <f aca="false">IF($D917="欠席",0,IF(OR(I917="",J917=""),"",MAX(0,((J917-I917-N(K917))*1440-N(L917)*10)/60)))</f>
        <v/>
      </c>
      <c r="O917" s="73"/>
    </row>
    <row r="918" customFormat="false" ht="15" hidden="false" customHeight="false" outlineLevel="0" collapsed="false">
      <c r="A918" s="77"/>
      <c r="B918" s="73"/>
      <c r="C918" s="71" t="str">
        <f aca="false">IF(B918="","",IFERROR(INDEX(マスタ!$F$2:$F$60,MATCH(B918,マスタ!$E$2:$E$60,0))&amp;"",""))</f>
        <v/>
      </c>
      <c r="D918" s="73"/>
      <c r="E918" s="75"/>
      <c r="F918" s="75"/>
      <c r="G918" s="75"/>
      <c r="H918" s="73"/>
      <c r="I918" s="75"/>
      <c r="J918" s="75"/>
      <c r="K918" s="75"/>
      <c r="L918" s="73"/>
      <c r="M918" s="78" t="str">
        <f aca="false">IF(OR(E918="",F918=""),"",MAX(0,((F918-E918-N(G918))*1440-N(H918)*10)/60))</f>
        <v/>
      </c>
      <c r="N918" s="78" t="str">
        <f aca="false">IF($D918="欠席",0,IF(OR(I918="",J918=""),"",MAX(0,((J918-I918-N(K918))*1440-N(L918)*10)/60)))</f>
        <v/>
      </c>
      <c r="O918" s="73"/>
    </row>
    <row r="919" customFormat="false" ht="15" hidden="false" customHeight="false" outlineLevel="0" collapsed="false">
      <c r="A919" s="77"/>
      <c r="B919" s="73"/>
      <c r="C919" s="71" t="str">
        <f aca="false">IF(B919="","",IFERROR(INDEX(マスタ!$F$2:$F$60,MATCH(B919,マスタ!$E$2:$E$60,0))&amp;"",""))</f>
        <v/>
      </c>
      <c r="D919" s="73"/>
      <c r="E919" s="75"/>
      <c r="F919" s="75"/>
      <c r="G919" s="75"/>
      <c r="H919" s="73"/>
      <c r="I919" s="75"/>
      <c r="J919" s="75"/>
      <c r="K919" s="75"/>
      <c r="L919" s="73"/>
      <c r="M919" s="78" t="str">
        <f aca="false">IF(OR(E919="",F919=""),"",MAX(0,((F919-E919-N(G919))*1440-N(H919)*10)/60))</f>
        <v/>
      </c>
      <c r="N919" s="78" t="str">
        <f aca="false">IF($D919="欠席",0,IF(OR(I919="",J919=""),"",MAX(0,((J919-I919-N(K919))*1440-N(L919)*10)/60)))</f>
        <v/>
      </c>
      <c r="O919" s="73"/>
    </row>
    <row r="920" customFormat="false" ht="15" hidden="false" customHeight="false" outlineLevel="0" collapsed="false">
      <c r="A920" s="77"/>
      <c r="B920" s="73"/>
      <c r="C920" s="71" t="str">
        <f aca="false">IF(B920="","",IFERROR(INDEX(マスタ!$F$2:$F$60,MATCH(B920,マスタ!$E$2:$E$60,0))&amp;"",""))</f>
        <v/>
      </c>
      <c r="D920" s="73"/>
      <c r="E920" s="75"/>
      <c r="F920" s="75"/>
      <c r="G920" s="75"/>
      <c r="H920" s="73"/>
      <c r="I920" s="75"/>
      <c r="J920" s="75"/>
      <c r="K920" s="75"/>
      <c r="L920" s="73"/>
      <c r="M920" s="78" t="str">
        <f aca="false">IF(OR(E920="",F920=""),"",MAX(0,((F920-E920-N(G920))*1440-N(H920)*10)/60))</f>
        <v/>
      </c>
      <c r="N920" s="78" t="str">
        <f aca="false">IF($D920="欠席",0,IF(OR(I920="",J920=""),"",MAX(0,((J920-I920-N(K920))*1440-N(L920)*10)/60)))</f>
        <v/>
      </c>
      <c r="O920" s="73"/>
    </row>
    <row r="921" customFormat="false" ht="15" hidden="false" customHeight="false" outlineLevel="0" collapsed="false">
      <c r="A921" s="77"/>
      <c r="B921" s="73"/>
      <c r="C921" s="71" t="str">
        <f aca="false">IF(B921="","",IFERROR(INDEX(マスタ!$F$2:$F$60,MATCH(B921,マスタ!$E$2:$E$60,0))&amp;"",""))</f>
        <v/>
      </c>
      <c r="D921" s="73"/>
      <c r="E921" s="75"/>
      <c r="F921" s="75"/>
      <c r="G921" s="75"/>
      <c r="H921" s="73"/>
      <c r="I921" s="75"/>
      <c r="J921" s="75"/>
      <c r="K921" s="75"/>
      <c r="L921" s="73"/>
      <c r="M921" s="78" t="str">
        <f aca="false">IF(OR(E921="",F921=""),"",MAX(0,((F921-E921-N(G921))*1440-N(H921)*10)/60))</f>
        <v/>
      </c>
      <c r="N921" s="78" t="str">
        <f aca="false">IF($D921="欠席",0,IF(OR(I921="",J921=""),"",MAX(0,((J921-I921-N(K921))*1440-N(L921)*10)/60)))</f>
        <v/>
      </c>
      <c r="O921" s="73"/>
    </row>
    <row r="922" customFormat="false" ht="15" hidden="false" customHeight="false" outlineLevel="0" collapsed="false">
      <c r="A922" s="77"/>
      <c r="B922" s="73"/>
      <c r="C922" s="71" t="str">
        <f aca="false">IF(B922="","",IFERROR(INDEX(マスタ!$F$2:$F$60,MATCH(B922,マスタ!$E$2:$E$60,0))&amp;"",""))</f>
        <v/>
      </c>
      <c r="D922" s="73"/>
      <c r="E922" s="75"/>
      <c r="F922" s="75"/>
      <c r="G922" s="75"/>
      <c r="H922" s="73"/>
      <c r="I922" s="75"/>
      <c r="J922" s="75"/>
      <c r="K922" s="75"/>
      <c r="L922" s="73"/>
      <c r="M922" s="78" t="str">
        <f aca="false">IF(OR(E922="",F922=""),"",MAX(0,((F922-E922-N(G922))*1440-N(H922)*10)/60))</f>
        <v/>
      </c>
      <c r="N922" s="78" t="str">
        <f aca="false">IF($D922="欠席",0,IF(OR(I922="",J922=""),"",MAX(0,((J922-I922-N(K922))*1440-N(L922)*10)/60)))</f>
        <v/>
      </c>
      <c r="O922" s="73"/>
    </row>
    <row r="923" customFormat="false" ht="15" hidden="false" customHeight="false" outlineLevel="0" collapsed="false">
      <c r="A923" s="77"/>
      <c r="B923" s="73"/>
      <c r="C923" s="71" t="str">
        <f aca="false">IF(B923="","",IFERROR(INDEX(マスタ!$F$2:$F$60,MATCH(B923,マスタ!$E$2:$E$60,0))&amp;"",""))</f>
        <v/>
      </c>
      <c r="D923" s="73"/>
      <c r="E923" s="75"/>
      <c r="F923" s="75"/>
      <c r="G923" s="75"/>
      <c r="H923" s="73"/>
      <c r="I923" s="75"/>
      <c r="J923" s="75"/>
      <c r="K923" s="75"/>
      <c r="L923" s="73"/>
      <c r="M923" s="78" t="str">
        <f aca="false">IF(OR(E923="",F923=""),"",MAX(0,((F923-E923-N(G923))*1440-N(H923)*10)/60))</f>
        <v/>
      </c>
      <c r="N923" s="78" t="str">
        <f aca="false">IF($D923="欠席",0,IF(OR(I923="",J923=""),"",MAX(0,((J923-I923-N(K923))*1440-N(L923)*10)/60)))</f>
        <v/>
      </c>
      <c r="O923" s="73"/>
    </row>
    <row r="924" customFormat="false" ht="15" hidden="false" customHeight="false" outlineLevel="0" collapsed="false">
      <c r="A924" s="77"/>
      <c r="B924" s="73"/>
      <c r="C924" s="71" t="str">
        <f aca="false">IF(B924="","",IFERROR(INDEX(マスタ!$F$2:$F$60,MATCH(B924,マスタ!$E$2:$E$60,0))&amp;"",""))</f>
        <v/>
      </c>
      <c r="D924" s="73"/>
      <c r="E924" s="75"/>
      <c r="F924" s="75"/>
      <c r="G924" s="75"/>
      <c r="H924" s="73"/>
      <c r="I924" s="75"/>
      <c r="J924" s="75"/>
      <c r="K924" s="75"/>
      <c r="L924" s="73"/>
      <c r="M924" s="78" t="str">
        <f aca="false">IF(OR(E924="",F924=""),"",MAX(0,((F924-E924-N(G924))*1440-N(H924)*10)/60))</f>
        <v/>
      </c>
      <c r="N924" s="78" t="str">
        <f aca="false">IF($D924="欠席",0,IF(OR(I924="",J924=""),"",MAX(0,((J924-I924-N(K924))*1440-N(L924)*10)/60)))</f>
        <v/>
      </c>
      <c r="O924" s="73"/>
    </row>
    <row r="925" customFormat="false" ht="15" hidden="false" customHeight="false" outlineLevel="0" collapsed="false">
      <c r="A925" s="77"/>
      <c r="B925" s="73"/>
      <c r="C925" s="71" t="str">
        <f aca="false">IF(B925="","",IFERROR(INDEX(マスタ!$F$2:$F$60,MATCH(B925,マスタ!$E$2:$E$60,0))&amp;"",""))</f>
        <v/>
      </c>
      <c r="D925" s="73"/>
      <c r="E925" s="75"/>
      <c r="F925" s="75"/>
      <c r="G925" s="75"/>
      <c r="H925" s="73"/>
      <c r="I925" s="75"/>
      <c r="J925" s="75"/>
      <c r="K925" s="75"/>
      <c r="L925" s="73"/>
      <c r="M925" s="78" t="str">
        <f aca="false">IF(OR(E925="",F925=""),"",MAX(0,((F925-E925-N(G925))*1440-N(H925)*10)/60))</f>
        <v/>
      </c>
      <c r="N925" s="78" t="str">
        <f aca="false">IF($D925="欠席",0,IF(OR(I925="",J925=""),"",MAX(0,((J925-I925-N(K925))*1440-N(L925)*10)/60)))</f>
        <v/>
      </c>
      <c r="O925" s="73"/>
    </row>
    <row r="926" customFormat="false" ht="15" hidden="false" customHeight="false" outlineLevel="0" collapsed="false">
      <c r="A926" s="77"/>
      <c r="B926" s="73"/>
      <c r="C926" s="71" t="str">
        <f aca="false">IF(B926="","",IFERROR(INDEX(マスタ!$F$2:$F$60,MATCH(B926,マスタ!$E$2:$E$60,0))&amp;"",""))</f>
        <v/>
      </c>
      <c r="D926" s="73"/>
      <c r="E926" s="75"/>
      <c r="F926" s="75"/>
      <c r="G926" s="75"/>
      <c r="H926" s="73"/>
      <c r="I926" s="75"/>
      <c r="J926" s="75"/>
      <c r="K926" s="75"/>
      <c r="L926" s="73"/>
      <c r="M926" s="78" t="str">
        <f aca="false">IF(OR(E926="",F926=""),"",MAX(0,((F926-E926-N(G926))*1440-N(H926)*10)/60))</f>
        <v/>
      </c>
      <c r="N926" s="78" t="str">
        <f aca="false">IF($D926="欠席",0,IF(OR(I926="",J926=""),"",MAX(0,((J926-I926-N(K926))*1440-N(L926)*10)/60)))</f>
        <v/>
      </c>
      <c r="O926" s="73"/>
    </row>
    <row r="927" customFormat="false" ht="15" hidden="false" customHeight="false" outlineLevel="0" collapsed="false">
      <c r="A927" s="77"/>
      <c r="B927" s="73"/>
      <c r="C927" s="71" t="str">
        <f aca="false">IF(B927="","",IFERROR(INDEX(マスタ!$F$2:$F$60,MATCH(B927,マスタ!$E$2:$E$60,0))&amp;"",""))</f>
        <v/>
      </c>
      <c r="D927" s="73"/>
      <c r="E927" s="75"/>
      <c r="F927" s="75"/>
      <c r="G927" s="75"/>
      <c r="H927" s="73"/>
      <c r="I927" s="75"/>
      <c r="J927" s="75"/>
      <c r="K927" s="75"/>
      <c r="L927" s="73"/>
      <c r="M927" s="78" t="str">
        <f aca="false">IF(OR(E927="",F927=""),"",MAX(0,((F927-E927-N(G927))*1440-N(H927)*10)/60))</f>
        <v/>
      </c>
      <c r="N927" s="78" t="str">
        <f aca="false">IF($D927="欠席",0,IF(OR(I927="",J927=""),"",MAX(0,((J927-I927-N(K927))*1440-N(L927)*10)/60)))</f>
        <v/>
      </c>
      <c r="O927" s="73"/>
    </row>
    <row r="928" customFormat="false" ht="15" hidden="false" customHeight="false" outlineLevel="0" collapsed="false">
      <c r="A928" s="77"/>
      <c r="B928" s="73"/>
      <c r="C928" s="71" t="str">
        <f aca="false">IF(B928="","",IFERROR(INDEX(マスタ!$F$2:$F$60,MATCH(B928,マスタ!$E$2:$E$60,0))&amp;"",""))</f>
        <v/>
      </c>
      <c r="D928" s="73"/>
      <c r="E928" s="75"/>
      <c r="F928" s="75"/>
      <c r="G928" s="75"/>
      <c r="H928" s="73"/>
      <c r="I928" s="75"/>
      <c r="J928" s="75"/>
      <c r="K928" s="75"/>
      <c r="L928" s="73"/>
      <c r="M928" s="78" t="str">
        <f aca="false">IF(OR(E928="",F928=""),"",MAX(0,((F928-E928-N(G928))*1440-N(H928)*10)/60))</f>
        <v/>
      </c>
      <c r="N928" s="78" t="str">
        <f aca="false">IF($D928="欠席",0,IF(OR(I928="",J928=""),"",MAX(0,((J928-I928-N(K928))*1440-N(L928)*10)/60)))</f>
        <v/>
      </c>
      <c r="O928" s="73"/>
    </row>
    <row r="929" customFormat="false" ht="15" hidden="false" customHeight="false" outlineLevel="0" collapsed="false">
      <c r="A929" s="77"/>
      <c r="B929" s="73"/>
      <c r="C929" s="71" t="str">
        <f aca="false">IF(B929="","",IFERROR(INDEX(マスタ!$F$2:$F$60,MATCH(B929,マスタ!$E$2:$E$60,0))&amp;"",""))</f>
        <v/>
      </c>
      <c r="D929" s="73"/>
      <c r="E929" s="75"/>
      <c r="F929" s="75"/>
      <c r="G929" s="75"/>
      <c r="H929" s="73"/>
      <c r="I929" s="75"/>
      <c r="J929" s="75"/>
      <c r="K929" s="75"/>
      <c r="L929" s="73"/>
      <c r="M929" s="78" t="str">
        <f aca="false">IF(OR(E929="",F929=""),"",MAX(0,((F929-E929-N(G929))*1440-N(H929)*10)/60))</f>
        <v/>
      </c>
      <c r="N929" s="78" t="str">
        <f aca="false">IF($D929="欠席",0,IF(OR(I929="",J929=""),"",MAX(0,((J929-I929-N(K929))*1440-N(L929)*10)/60)))</f>
        <v/>
      </c>
      <c r="O929" s="73"/>
    </row>
    <row r="930" customFormat="false" ht="15" hidden="false" customHeight="false" outlineLevel="0" collapsed="false">
      <c r="A930" s="77"/>
      <c r="B930" s="73"/>
      <c r="C930" s="71" t="str">
        <f aca="false">IF(B930="","",IFERROR(INDEX(マスタ!$F$2:$F$60,MATCH(B930,マスタ!$E$2:$E$60,0))&amp;"",""))</f>
        <v/>
      </c>
      <c r="D930" s="73"/>
      <c r="E930" s="75"/>
      <c r="F930" s="75"/>
      <c r="G930" s="75"/>
      <c r="H930" s="73"/>
      <c r="I930" s="75"/>
      <c r="J930" s="75"/>
      <c r="K930" s="75"/>
      <c r="L930" s="73"/>
      <c r="M930" s="78" t="str">
        <f aca="false">IF(OR(E930="",F930=""),"",MAX(0,((F930-E930-N(G930))*1440-N(H930)*10)/60))</f>
        <v/>
      </c>
      <c r="N930" s="78" t="str">
        <f aca="false">IF($D930="欠席",0,IF(OR(I930="",J930=""),"",MAX(0,((J930-I930-N(K930))*1440-N(L930)*10)/60)))</f>
        <v/>
      </c>
      <c r="O930" s="73"/>
    </row>
    <row r="931" customFormat="false" ht="15" hidden="false" customHeight="false" outlineLevel="0" collapsed="false">
      <c r="A931" s="77"/>
      <c r="B931" s="73"/>
      <c r="C931" s="71" t="str">
        <f aca="false">IF(B931="","",IFERROR(INDEX(マスタ!$F$2:$F$60,MATCH(B931,マスタ!$E$2:$E$60,0))&amp;"",""))</f>
        <v/>
      </c>
      <c r="D931" s="73"/>
      <c r="E931" s="75"/>
      <c r="F931" s="75"/>
      <c r="G931" s="75"/>
      <c r="H931" s="73"/>
      <c r="I931" s="75"/>
      <c r="J931" s="75"/>
      <c r="K931" s="75"/>
      <c r="L931" s="73"/>
      <c r="M931" s="78" t="str">
        <f aca="false">IF(OR(E931="",F931=""),"",MAX(0,((F931-E931-N(G931))*1440-N(H931)*10)/60))</f>
        <v/>
      </c>
      <c r="N931" s="78" t="str">
        <f aca="false">IF($D931="欠席",0,IF(OR(I931="",J931=""),"",MAX(0,((J931-I931-N(K931))*1440-N(L931)*10)/60)))</f>
        <v/>
      </c>
      <c r="O931" s="73"/>
    </row>
    <row r="932" customFormat="false" ht="15" hidden="false" customHeight="false" outlineLevel="0" collapsed="false">
      <c r="A932" s="77"/>
      <c r="B932" s="73"/>
      <c r="C932" s="71" t="str">
        <f aca="false">IF(B932="","",IFERROR(INDEX(マスタ!$F$2:$F$60,MATCH(B932,マスタ!$E$2:$E$60,0))&amp;"",""))</f>
        <v/>
      </c>
      <c r="D932" s="73"/>
      <c r="E932" s="75"/>
      <c r="F932" s="75"/>
      <c r="G932" s="75"/>
      <c r="H932" s="73"/>
      <c r="I932" s="75"/>
      <c r="J932" s="75"/>
      <c r="K932" s="75"/>
      <c r="L932" s="73"/>
      <c r="M932" s="78" t="str">
        <f aca="false">IF(OR(E932="",F932=""),"",MAX(0,((F932-E932-N(G932))*1440-N(H932)*10)/60))</f>
        <v/>
      </c>
      <c r="N932" s="78" t="str">
        <f aca="false">IF($D932="欠席",0,IF(OR(I932="",J932=""),"",MAX(0,((J932-I932-N(K932))*1440-N(L932)*10)/60)))</f>
        <v/>
      </c>
      <c r="O932" s="73"/>
    </row>
    <row r="933" customFormat="false" ht="15" hidden="false" customHeight="false" outlineLevel="0" collapsed="false">
      <c r="A933" s="77"/>
      <c r="B933" s="73"/>
      <c r="C933" s="71" t="str">
        <f aca="false">IF(B933="","",IFERROR(INDEX(マスタ!$F$2:$F$60,MATCH(B933,マスタ!$E$2:$E$60,0))&amp;"",""))</f>
        <v/>
      </c>
      <c r="D933" s="73"/>
      <c r="E933" s="75"/>
      <c r="F933" s="75"/>
      <c r="G933" s="75"/>
      <c r="H933" s="73"/>
      <c r="I933" s="75"/>
      <c r="J933" s="75"/>
      <c r="K933" s="75"/>
      <c r="L933" s="73"/>
      <c r="M933" s="78" t="str">
        <f aca="false">IF(OR(E933="",F933=""),"",MAX(0,((F933-E933-N(G933))*1440-N(H933)*10)/60))</f>
        <v/>
      </c>
      <c r="N933" s="78" t="str">
        <f aca="false">IF($D933="欠席",0,IF(OR(I933="",J933=""),"",MAX(0,((J933-I933-N(K933))*1440-N(L933)*10)/60)))</f>
        <v/>
      </c>
      <c r="O933" s="73"/>
    </row>
    <row r="934" customFormat="false" ht="15" hidden="false" customHeight="false" outlineLevel="0" collapsed="false">
      <c r="A934" s="77"/>
      <c r="B934" s="73"/>
      <c r="C934" s="71" t="str">
        <f aca="false">IF(B934="","",IFERROR(INDEX(マスタ!$F$2:$F$60,MATCH(B934,マスタ!$E$2:$E$60,0))&amp;"",""))</f>
        <v/>
      </c>
      <c r="D934" s="73"/>
      <c r="E934" s="75"/>
      <c r="F934" s="75"/>
      <c r="G934" s="75"/>
      <c r="H934" s="73"/>
      <c r="I934" s="75"/>
      <c r="J934" s="75"/>
      <c r="K934" s="75"/>
      <c r="L934" s="73"/>
      <c r="M934" s="78" t="str">
        <f aca="false">IF(OR(E934="",F934=""),"",MAX(0,((F934-E934-N(G934))*1440-N(H934)*10)/60))</f>
        <v/>
      </c>
      <c r="N934" s="78" t="str">
        <f aca="false">IF($D934="欠席",0,IF(OR(I934="",J934=""),"",MAX(0,((J934-I934-N(K934))*1440-N(L934)*10)/60)))</f>
        <v/>
      </c>
      <c r="O934" s="73"/>
    </row>
    <row r="935" customFormat="false" ht="15" hidden="false" customHeight="false" outlineLevel="0" collapsed="false">
      <c r="A935" s="77"/>
      <c r="B935" s="73"/>
      <c r="C935" s="71" t="str">
        <f aca="false">IF(B935="","",IFERROR(INDEX(マスタ!$F$2:$F$60,MATCH(B935,マスタ!$E$2:$E$60,0))&amp;"",""))</f>
        <v/>
      </c>
      <c r="D935" s="73"/>
      <c r="E935" s="75"/>
      <c r="F935" s="75"/>
      <c r="G935" s="75"/>
      <c r="H935" s="73"/>
      <c r="I935" s="75"/>
      <c r="J935" s="75"/>
      <c r="K935" s="75"/>
      <c r="L935" s="73"/>
      <c r="M935" s="78" t="str">
        <f aca="false">IF(OR(E935="",F935=""),"",MAX(0,((F935-E935-N(G935))*1440-N(H935)*10)/60))</f>
        <v/>
      </c>
      <c r="N935" s="78" t="str">
        <f aca="false">IF($D935="欠席",0,IF(OR(I935="",J935=""),"",MAX(0,((J935-I935-N(K935))*1440-N(L935)*10)/60)))</f>
        <v/>
      </c>
      <c r="O935" s="73"/>
    </row>
    <row r="936" customFormat="false" ht="15" hidden="false" customHeight="false" outlineLevel="0" collapsed="false">
      <c r="A936" s="77"/>
      <c r="B936" s="73"/>
      <c r="C936" s="71" t="str">
        <f aca="false">IF(B936="","",IFERROR(INDEX(マスタ!$F$2:$F$60,MATCH(B936,マスタ!$E$2:$E$60,0))&amp;"",""))</f>
        <v/>
      </c>
      <c r="D936" s="73"/>
      <c r="E936" s="75"/>
      <c r="F936" s="75"/>
      <c r="G936" s="75"/>
      <c r="H936" s="73"/>
      <c r="I936" s="75"/>
      <c r="J936" s="75"/>
      <c r="K936" s="75"/>
      <c r="L936" s="73"/>
      <c r="M936" s="78" t="str">
        <f aca="false">IF(OR(E936="",F936=""),"",MAX(0,((F936-E936-N(G936))*1440-N(H936)*10)/60))</f>
        <v/>
      </c>
      <c r="N936" s="78" t="str">
        <f aca="false">IF($D936="欠席",0,IF(OR(I936="",J936=""),"",MAX(0,((J936-I936-N(K936))*1440-N(L936)*10)/60)))</f>
        <v/>
      </c>
      <c r="O936" s="73"/>
    </row>
    <row r="937" customFormat="false" ht="15" hidden="false" customHeight="false" outlineLevel="0" collapsed="false">
      <c r="A937" s="77"/>
      <c r="B937" s="73"/>
      <c r="C937" s="71" t="str">
        <f aca="false">IF(B937="","",IFERROR(INDEX(マスタ!$F$2:$F$60,MATCH(B937,マスタ!$E$2:$E$60,0))&amp;"",""))</f>
        <v/>
      </c>
      <c r="D937" s="73"/>
      <c r="E937" s="75"/>
      <c r="F937" s="75"/>
      <c r="G937" s="75"/>
      <c r="H937" s="73"/>
      <c r="I937" s="75"/>
      <c r="J937" s="75"/>
      <c r="K937" s="75"/>
      <c r="L937" s="73"/>
      <c r="M937" s="78" t="str">
        <f aca="false">IF(OR(E937="",F937=""),"",MAX(0,((F937-E937-N(G937))*1440-N(H937)*10)/60))</f>
        <v/>
      </c>
      <c r="N937" s="78" t="str">
        <f aca="false">IF($D937="欠席",0,IF(OR(I937="",J937=""),"",MAX(0,((J937-I937-N(K937))*1440-N(L937)*10)/60)))</f>
        <v/>
      </c>
      <c r="O937" s="73"/>
    </row>
    <row r="938" customFormat="false" ht="15" hidden="false" customHeight="false" outlineLevel="0" collapsed="false">
      <c r="A938" s="77"/>
      <c r="B938" s="73"/>
      <c r="C938" s="71" t="str">
        <f aca="false">IF(B938="","",IFERROR(INDEX(マスタ!$F$2:$F$60,MATCH(B938,マスタ!$E$2:$E$60,0))&amp;"",""))</f>
        <v/>
      </c>
      <c r="D938" s="73"/>
      <c r="E938" s="75"/>
      <c r="F938" s="75"/>
      <c r="G938" s="75"/>
      <c r="H938" s="73"/>
      <c r="I938" s="75"/>
      <c r="J938" s="75"/>
      <c r="K938" s="75"/>
      <c r="L938" s="73"/>
      <c r="M938" s="78" t="str">
        <f aca="false">IF(OR(E938="",F938=""),"",MAX(0,((F938-E938-N(G938))*1440-N(H938)*10)/60))</f>
        <v/>
      </c>
      <c r="N938" s="78" t="str">
        <f aca="false">IF($D938="欠席",0,IF(OR(I938="",J938=""),"",MAX(0,((J938-I938-N(K938))*1440-N(L938)*10)/60)))</f>
        <v/>
      </c>
      <c r="O938" s="73"/>
    </row>
    <row r="939" customFormat="false" ht="15" hidden="false" customHeight="false" outlineLevel="0" collapsed="false">
      <c r="A939" s="77"/>
      <c r="B939" s="73"/>
      <c r="C939" s="71" t="str">
        <f aca="false">IF(B939="","",IFERROR(INDEX(マスタ!$F$2:$F$60,MATCH(B939,マスタ!$E$2:$E$60,0))&amp;"",""))</f>
        <v/>
      </c>
      <c r="D939" s="73"/>
      <c r="E939" s="75"/>
      <c r="F939" s="75"/>
      <c r="G939" s="75"/>
      <c r="H939" s="73"/>
      <c r="I939" s="75"/>
      <c r="J939" s="75"/>
      <c r="K939" s="75"/>
      <c r="L939" s="73"/>
      <c r="M939" s="78" t="str">
        <f aca="false">IF(OR(E939="",F939=""),"",MAX(0,((F939-E939-N(G939))*1440-N(H939)*10)/60))</f>
        <v/>
      </c>
      <c r="N939" s="78" t="str">
        <f aca="false">IF($D939="欠席",0,IF(OR(I939="",J939=""),"",MAX(0,((J939-I939-N(K939))*1440-N(L939)*10)/60)))</f>
        <v/>
      </c>
      <c r="O939" s="73"/>
    </row>
    <row r="940" customFormat="false" ht="15" hidden="false" customHeight="false" outlineLevel="0" collapsed="false">
      <c r="A940" s="77"/>
      <c r="B940" s="73"/>
      <c r="C940" s="71" t="str">
        <f aca="false">IF(B940="","",IFERROR(INDEX(マスタ!$F$2:$F$60,MATCH(B940,マスタ!$E$2:$E$60,0))&amp;"",""))</f>
        <v/>
      </c>
      <c r="D940" s="73"/>
      <c r="E940" s="75"/>
      <c r="F940" s="75"/>
      <c r="G940" s="75"/>
      <c r="H940" s="73"/>
      <c r="I940" s="75"/>
      <c r="J940" s="75"/>
      <c r="K940" s="75"/>
      <c r="L940" s="73"/>
      <c r="M940" s="78" t="str">
        <f aca="false">IF(OR(E940="",F940=""),"",MAX(0,((F940-E940-N(G940))*1440-N(H940)*10)/60))</f>
        <v/>
      </c>
      <c r="N940" s="78" t="str">
        <f aca="false">IF($D940="欠席",0,IF(OR(I940="",J940=""),"",MAX(0,((J940-I940-N(K940))*1440-N(L940)*10)/60)))</f>
        <v/>
      </c>
      <c r="O940" s="73"/>
    </row>
    <row r="941" customFormat="false" ht="15" hidden="false" customHeight="false" outlineLevel="0" collapsed="false">
      <c r="A941" s="77"/>
      <c r="B941" s="73"/>
      <c r="C941" s="71" t="str">
        <f aca="false">IF(B941="","",IFERROR(INDEX(マスタ!$F$2:$F$60,MATCH(B941,マスタ!$E$2:$E$60,0))&amp;"",""))</f>
        <v/>
      </c>
      <c r="D941" s="73"/>
      <c r="E941" s="75"/>
      <c r="F941" s="75"/>
      <c r="G941" s="75"/>
      <c r="H941" s="73"/>
      <c r="I941" s="75"/>
      <c r="J941" s="75"/>
      <c r="K941" s="75"/>
      <c r="L941" s="73"/>
      <c r="M941" s="78" t="str">
        <f aca="false">IF(OR(E941="",F941=""),"",MAX(0,((F941-E941-N(G941))*1440-N(H941)*10)/60))</f>
        <v/>
      </c>
      <c r="N941" s="78" t="str">
        <f aca="false">IF($D941="欠席",0,IF(OR(I941="",J941=""),"",MAX(0,((J941-I941-N(K941))*1440-N(L941)*10)/60)))</f>
        <v/>
      </c>
      <c r="O941" s="73"/>
    </row>
    <row r="942" customFormat="false" ht="15" hidden="false" customHeight="false" outlineLevel="0" collapsed="false">
      <c r="A942" s="77"/>
      <c r="B942" s="73"/>
      <c r="C942" s="71" t="str">
        <f aca="false">IF(B942="","",IFERROR(INDEX(マスタ!$F$2:$F$60,MATCH(B942,マスタ!$E$2:$E$60,0))&amp;"",""))</f>
        <v/>
      </c>
      <c r="D942" s="73"/>
      <c r="E942" s="75"/>
      <c r="F942" s="75"/>
      <c r="G942" s="75"/>
      <c r="H942" s="73"/>
      <c r="I942" s="75"/>
      <c r="J942" s="75"/>
      <c r="K942" s="75"/>
      <c r="L942" s="73"/>
      <c r="M942" s="78" t="str">
        <f aca="false">IF(OR(E942="",F942=""),"",MAX(0,((F942-E942-N(G942))*1440-N(H942)*10)/60))</f>
        <v/>
      </c>
      <c r="N942" s="78" t="str">
        <f aca="false">IF($D942="欠席",0,IF(OR(I942="",J942=""),"",MAX(0,((J942-I942-N(K942))*1440-N(L942)*10)/60)))</f>
        <v/>
      </c>
      <c r="O942" s="73"/>
    </row>
    <row r="943" customFormat="false" ht="15" hidden="false" customHeight="false" outlineLevel="0" collapsed="false">
      <c r="A943" s="77"/>
      <c r="B943" s="73"/>
      <c r="C943" s="71" t="str">
        <f aca="false">IF(B943="","",IFERROR(INDEX(マスタ!$F$2:$F$60,MATCH(B943,マスタ!$E$2:$E$60,0))&amp;"",""))</f>
        <v/>
      </c>
      <c r="D943" s="73"/>
      <c r="E943" s="75"/>
      <c r="F943" s="75"/>
      <c r="G943" s="75"/>
      <c r="H943" s="73"/>
      <c r="I943" s="75"/>
      <c r="J943" s="75"/>
      <c r="K943" s="75"/>
      <c r="L943" s="73"/>
      <c r="M943" s="78" t="str">
        <f aca="false">IF(OR(E943="",F943=""),"",MAX(0,((F943-E943-N(G943))*1440-N(H943)*10)/60))</f>
        <v/>
      </c>
      <c r="N943" s="78" t="str">
        <f aca="false">IF($D943="欠席",0,IF(OR(I943="",J943=""),"",MAX(0,((J943-I943-N(K943))*1440-N(L943)*10)/60)))</f>
        <v/>
      </c>
      <c r="O943" s="73"/>
    </row>
    <row r="944" customFormat="false" ht="15" hidden="false" customHeight="false" outlineLevel="0" collapsed="false">
      <c r="A944" s="77"/>
      <c r="B944" s="73"/>
      <c r="C944" s="71" t="str">
        <f aca="false">IF(B944="","",IFERROR(INDEX(マスタ!$F$2:$F$60,MATCH(B944,マスタ!$E$2:$E$60,0))&amp;"",""))</f>
        <v/>
      </c>
      <c r="D944" s="73"/>
      <c r="E944" s="75"/>
      <c r="F944" s="75"/>
      <c r="G944" s="75"/>
      <c r="H944" s="73"/>
      <c r="I944" s="75"/>
      <c r="J944" s="75"/>
      <c r="K944" s="75"/>
      <c r="L944" s="73"/>
      <c r="M944" s="78" t="str">
        <f aca="false">IF(OR(E944="",F944=""),"",MAX(0,((F944-E944-N(G944))*1440-N(H944)*10)/60))</f>
        <v/>
      </c>
      <c r="N944" s="78" t="str">
        <f aca="false">IF($D944="欠席",0,IF(OR(I944="",J944=""),"",MAX(0,((J944-I944-N(K944))*1440-N(L944)*10)/60)))</f>
        <v/>
      </c>
      <c r="O944" s="73"/>
    </row>
    <row r="945" customFormat="false" ht="15" hidden="false" customHeight="false" outlineLevel="0" collapsed="false">
      <c r="A945" s="77"/>
      <c r="B945" s="73"/>
      <c r="C945" s="71" t="str">
        <f aca="false">IF(B945="","",IFERROR(INDEX(マスタ!$F$2:$F$60,MATCH(B945,マスタ!$E$2:$E$60,0))&amp;"",""))</f>
        <v/>
      </c>
      <c r="D945" s="73"/>
      <c r="E945" s="75"/>
      <c r="F945" s="75"/>
      <c r="G945" s="75"/>
      <c r="H945" s="73"/>
      <c r="I945" s="75"/>
      <c r="J945" s="75"/>
      <c r="K945" s="75"/>
      <c r="L945" s="73"/>
      <c r="M945" s="78" t="str">
        <f aca="false">IF(OR(E945="",F945=""),"",MAX(0,((F945-E945-N(G945))*1440-N(H945)*10)/60))</f>
        <v/>
      </c>
      <c r="N945" s="78" t="str">
        <f aca="false">IF($D945="欠席",0,IF(OR(I945="",J945=""),"",MAX(0,((J945-I945-N(K945))*1440-N(L945)*10)/60)))</f>
        <v/>
      </c>
      <c r="O945" s="73"/>
    </row>
    <row r="946" customFormat="false" ht="15" hidden="false" customHeight="false" outlineLevel="0" collapsed="false">
      <c r="A946" s="77"/>
      <c r="B946" s="73"/>
      <c r="C946" s="71" t="str">
        <f aca="false">IF(B946="","",IFERROR(INDEX(マスタ!$F$2:$F$60,MATCH(B946,マスタ!$E$2:$E$60,0))&amp;"",""))</f>
        <v/>
      </c>
      <c r="D946" s="73"/>
      <c r="E946" s="75"/>
      <c r="F946" s="75"/>
      <c r="G946" s="75"/>
      <c r="H946" s="73"/>
      <c r="I946" s="75"/>
      <c r="J946" s="75"/>
      <c r="K946" s="75"/>
      <c r="L946" s="73"/>
      <c r="M946" s="78" t="str">
        <f aca="false">IF(OR(E946="",F946=""),"",MAX(0,((F946-E946-N(G946))*1440-N(H946)*10)/60))</f>
        <v/>
      </c>
      <c r="N946" s="78" t="str">
        <f aca="false">IF($D946="欠席",0,IF(OR(I946="",J946=""),"",MAX(0,((J946-I946-N(K946))*1440-N(L946)*10)/60)))</f>
        <v/>
      </c>
      <c r="O946" s="73"/>
    </row>
    <row r="947" customFormat="false" ht="15" hidden="false" customHeight="false" outlineLevel="0" collapsed="false">
      <c r="A947" s="77"/>
      <c r="B947" s="73"/>
      <c r="C947" s="71" t="str">
        <f aca="false">IF(B947="","",IFERROR(INDEX(マスタ!$F$2:$F$60,MATCH(B947,マスタ!$E$2:$E$60,0))&amp;"",""))</f>
        <v/>
      </c>
      <c r="D947" s="73"/>
      <c r="E947" s="75"/>
      <c r="F947" s="75"/>
      <c r="G947" s="75"/>
      <c r="H947" s="73"/>
      <c r="I947" s="75"/>
      <c r="J947" s="75"/>
      <c r="K947" s="75"/>
      <c r="L947" s="73"/>
      <c r="M947" s="78" t="str">
        <f aca="false">IF(OR(E947="",F947=""),"",MAX(0,((F947-E947-N(G947))*1440-N(H947)*10)/60))</f>
        <v/>
      </c>
      <c r="N947" s="78" t="str">
        <f aca="false">IF($D947="欠席",0,IF(OR(I947="",J947=""),"",MAX(0,((J947-I947-N(K947))*1440-N(L947)*10)/60)))</f>
        <v/>
      </c>
      <c r="O947" s="73"/>
    </row>
    <row r="948" customFormat="false" ht="15" hidden="false" customHeight="false" outlineLevel="0" collapsed="false">
      <c r="A948" s="77"/>
      <c r="B948" s="73"/>
      <c r="C948" s="71" t="str">
        <f aca="false">IF(B948="","",IFERROR(INDEX(マスタ!$F$2:$F$60,MATCH(B948,マスタ!$E$2:$E$60,0))&amp;"",""))</f>
        <v/>
      </c>
      <c r="D948" s="73"/>
      <c r="E948" s="75"/>
      <c r="F948" s="75"/>
      <c r="G948" s="75"/>
      <c r="H948" s="73"/>
      <c r="I948" s="75"/>
      <c r="J948" s="75"/>
      <c r="K948" s="75"/>
      <c r="L948" s="73"/>
      <c r="M948" s="78" t="str">
        <f aca="false">IF(OR(E948="",F948=""),"",MAX(0,((F948-E948-N(G948))*1440-N(H948)*10)/60))</f>
        <v/>
      </c>
      <c r="N948" s="78" t="str">
        <f aca="false">IF($D948="欠席",0,IF(OR(I948="",J948=""),"",MAX(0,((J948-I948-N(K948))*1440-N(L948)*10)/60)))</f>
        <v/>
      </c>
      <c r="O948" s="73"/>
    </row>
    <row r="949" customFormat="false" ht="15" hidden="false" customHeight="false" outlineLevel="0" collapsed="false">
      <c r="A949" s="77"/>
      <c r="B949" s="73"/>
      <c r="C949" s="71" t="str">
        <f aca="false">IF(B949="","",IFERROR(INDEX(マスタ!$F$2:$F$60,MATCH(B949,マスタ!$E$2:$E$60,0))&amp;"",""))</f>
        <v/>
      </c>
      <c r="D949" s="73"/>
      <c r="E949" s="75"/>
      <c r="F949" s="75"/>
      <c r="G949" s="75"/>
      <c r="H949" s="73"/>
      <c r="I949" s="75"/>
      <c r="J949" s="75"/>
      <c r="K949" s="75"/>
      <c r="L949" s="73"/>
      <c r="M949" s="78" t="str">
        <f aca="false">IF(OR(E949="",F949=""),"",MAX(0,((F949-E949-N(G949))*1440-N(H949)*10)/60))</f>
        <v/>
      </c>
      <c r="N949" s="78" t="str">
        <f aca="false">IF($D949="欠席",0,IF(OR(I949="",J949=""),"",MAX(0,((J949-I949-N(K949))*1440-N(L949)*10)/60)))</f>
        <v/>
      </c>
      <c r="O949" s="73"/>
    </row>
    <row r="950" customFormat="false" ht="15" hidden="false" customHeight="false" outlineLevel="0" collapsed="false">
      <c r="A950" s="77"/>
      <c r="B950" s="73"/>
      <c r="C950" s="71" t="str">
        <f aca="false">IF(B950="","",IFERROR(INDEX(マスタ!$F$2:$F$60,MATCH(B950,マスタ!$E$2:$E$60,0))&amp;"",""))</f>
        <v/>
      </c>
      <c r="D950" s="73"/>
      <c r="E950" s="75"/>
      <c r="F950" s="75"/>
      <c r="G950" s="75"/>
      <c r="H950" s="73"/>
      <c r="I950" s="75"/>
      <c r="J950" s="75"/>
      <c r="K950" s="75"/>
      <c r="L950" s="73"/>
      <c r="M950" s="78" t="str">
        <f aca="false">IF(OR(E950="",F950=""),"",MAX(0,((F950-E950-N(G950))*1440-N(H950)*10)/60))</f>
        <v/>
      </c>
      <c r="N950" s="78" t="str">
        <f aca="false">IF($D950="欠席",0,IF(OR(I950="",J950=""),"",MAX(0,((J950-I950-N(K950))*1440-N(L950)*10)/60)))</f>
        <v/>
      </c>
      <c r="O950" s="73"/>
    </row>
    <row r="951" customFormat="false" ht="15" hidden="false" customHeight="false" outlineLevel="0" collapsed="false">
      <c r="A951" s="77"/>
      <c r="B951" s="73"/>
      <c r="C951" s="71" t="str">
        <f aca="false">IF(B951="","",IFERROR(INDEX(マスタ!$F$2:$F$60,MATCH(B951,マスタ!$E$2:$E$60,0))&amp;"",""))</f>
        <v/>
      </c>
      <c r="D951" s="73"/>
      <c r="E951" s="75"/>
      <c r="F951" s="75"/>
      <c r="G951" s="75"/>
      <c r="H951" s="73"/>
      <c r="I951" s="75"/>
      <c r="J951" s="75"/>
      <c r="K951" s="75"/>
      <c r="L951" s="73"/>
      <c r="M951" s="78" t="str">
        <f aca="false">IF(OR(E951="",F951=""),"",MAX(0,((F951-E951-N(G951))*1440-N(H951)*10)/60))</f>
        <v/>
      </c>
      <c r="N951" s="78" t="str">
        <f aca="false">IF($D951="欠席",0,IF(OR(I951="",J951=""),"",MAX(0,((J951-I951-N(K951))*1440-N(L951)*10)/60)))</f>
        <v/>
      </c>
      <c r="O951" s="73"/>
    </row>
    <row r="952" customFormat="false" ht="15" hidden="false" customHeight="false" outlineLevel="0" collapsed="false">
      <c r="A952" s="77"/>
      <c r="B952" s="73"/>
      <c r="C952" s="71" t="str">
        <f aca="false">IF(B952="","",IFERROR(INDEX(マスタ!$F$2:$F$60,MATCH(B952,マスタ!$E$2:$E$60,0))&amp;"",""))</f>
        <v/>
      </c>
      <c r="D952" s="73"/>
      <c r="E952" s="75"/>
      <c r="F952" s="75"/>
      <c r="G952" s="75"/>
      <c r="H952" s="73"/>
      <c r="I952" s="75"/>
      <c r="J952" s="75"/>
      <c r="K952" s="75"/>
      <c r="L952" s="73"/>
      <c r="M952" s="78" t="str">
        <f aca="false">IF(OR(E952="",F952=""),"",MAX(0,((F952-E952-N(G952))*1440-N(H952)*10)/60))</f>
        <v/>
      </c>
      <c r="N952" s="78" t="str">
        <f aca="false">IF($D952="欠席",0,IF(OR(I952="",J952=""),"",MAX(0,((J952-I952-N(K952))*1440-N(L952)*10)/60)))</f>
        <v/>
      </c>
      <c r="O952" s="73"/>
    </row>
    <row r="953" customFormat="false" ht="15" hidden="false" customHeight="false" outlineLevel="0" collapsed="false">
      <c r="A953" s="77"/>
      <c r="B953" s="73"/>
      <c r="C953" s="71" t="str">
        <f aca="false">IF(B953="","",IFERROR(INDEX(マスタ!$F$2:$F$60,MATCH(B953,マスタ!$E$2:$E$60,0))&amp;"",""))</f>
        <v/>
      </c>
      <c r="D953" s="73"/>
      <c r="E953" s="75"/>
      <c r="F953" s="75"/>
      <c r="G953" s="75"/>
      <c r="H953" s="73"/>
      <c r="I953" s="75"/>
      <c r="J953" s="75"/>
      <c r="K953" s="75"/>
      <c r="L953" s="73"/>
      <c r="M953" s="78" t="str">
        <f aca="false">IF(OR(E953="",F953=""),"",MAX(0,((F953-E953-N(G953))*1440-N(H953)*10)/60))</f>
        <v/>
      </c>
      <c r="N953" s="78" t="str">
        <f aca="false">IF($D953="欠席",0,IF(OR(I953="",J953=""),"",MAX(0,((J953-I953-N(K953))*1440-N(L953)*10)/60)))</f>
        <v/>
      </c>
      <c r="O953" s="73"/>
    </row>
    <row r="954" customFormat="false" ht="15" hidden="false" customHeight="false" outlineLevel="0" collapsed="false">
      <c r="A954" s="77"/>
      <c r="B954" s="73"/>
      <c r="C954" s="71" t="str">
        <f aca="false">IF(B954="","",IFERROR(INDEX(マスタ!$F$2:$F$60,MATCH(B954,マスタ!$E$2:$E$60,0))&amp;"",""))</f>
        <v/>
      </c>
      <c r="D954" s="73"/>
      <c r="E954" s="75"/>
      <c r="F954" s="75"/>
      <c r="G954" s="75"/>
      <c r="H954" s="73"/>
      <c r="I954" s="75"/>
      <c r="J954" s="75"/>
      <c r="K954" s="75"/>
      <c r="L954" s="73"/>
      <c r="M954" s="78" t="str">
        <f aca="false">IF(OR(E954="",F954=""),"",MAX(0,((F954-E954-N(G954))*1440-N(H954)*10)/60))</f>
        <v/>
      </c>
      <c r="N954" s="78" t="str">
        <f aca="false">IF($D954="欠席",0,IF(OR(I954="",J954=""),"",MAX(0,((J954-I954-N(K954))*1440-N(L954)*10)/60)))</f>
        <v/>
      </c>
      <c r="O954" s="73"/>
    </row>
    <row r="955" customFormat="false" ht="15" hidden="false" customHeight="false" outlineLevel="0" collapsed="false">
      <c r="A955" s="77"/>
      <c r="B955" s="73"/>
      <c r="C955" s="71" t="str">
        <f aca="false">IF(B955="","",IFERROR(INDEX(マスタ!$F$2:$F$60,MATCH(B955,マスタ!$E$2:$E$60,0))&amp;"",""))</f>
        <v/>
      </c>
      <c r="D955" s="73"/>
      <c r="E955" s="75"/>
      <c r="F955" s="75"/>
      <c r="G955" s="75"/>
      <c r="H955" s="73"/>
      <c r="I955" s="75"/>
      <c r="J955" s="75"/>
      <c r="K955" s="75"/>
      <c r="L955" s="73"/>
      <c r="M955" s="78" t="str">
        <f aca="false">IF(OR(E955="",F955=""),"",MAX(0,((F955-E955-N(G955))*1440-N(H955)*10)/60))</f>
        <v/>
      </c>
      <c r="N955" s="78" t="str">
        <f aca="false">IF($D955="欠席",0,IF(OR(I955="",J955=""),"",MAX(0,((J955-I955-N(K955))*1440-N(L955)*10)/60)))</f>
        <v/>
      </c>
      <c r="O955" s="73"/>
    </row>
    <row r="956" customFormat="false" ht="15" hidden="false" customHeight="false" outlineLevel="0" collapsed="false">
      <c r="A956" s="77"/>
      <c r="B956" s="73"/>
      <c r="C956" s="71" t="str">
        <f aca="false">IF(B956="","",IFERROR(INDEX(マスタ!$F$2:$F$60,MATCH(B956,マスタ!$E$2:$E$60,0))&amp;"",""))</f>
        <v/>
      </c>
      <c r="D956" s="73"/>
      <c r="E956" s="75"/>
      <c r="F956" s="75"/>
      <c r="G956" s="75"/>
      <c r="H956" s="73"/>
      <c r="I956" s="75"/>
      <c r="J956" s="75"/>
      <c r="K956" s="75"/>
      <c r="L956" s="73"/>
      <c r="M956" s="78" t="str">
        <f aca="false">IF(OR(E956="",F956=""),"",MAX(0,((F956-E956-N(G956))*1440-N(H956)*10)/60))</f>
        <v/>
      </c>
      <c r="N956" s="78" t="str">
        <f aca="false">IF($D956="欠席",0,IF(OR(I956="",J956=""),"",MAX(0,((J956-I956-N(K956))*1440-N(L956)*10)/60)))</f>
        <v/>
      </c>
      <c r="O956" s="73"/>
    </row>
    <row r="957" customFormat="false" ht="15" hidden="false" customHeight="false" outlineLevel="0" collapsed="false">
      <c r="A957" s="77"/>
      <c r="B957" s="73"/>
      <c r="C957" s="71" t="str">
        <f aca="false">IF(B957="","",IFERROR(INDEX(マスタ!$F$2:$F$60,MATCH(B957,マスタ!$E$2:$E$60,0))&amp;"",""))</f>
        <v/>
      </c>
      <c r="D957" s="73"/>
      <c r="E957" s="75"/>
      <c r="F957" s="75"/>
      <c r="G957" s="75"/>
      <c r="H957" s="73"/>
      <c r="I957" s="75"/>
      <c r="J957" s="75"/>
      <c r="K957" s="75"/>
      <c r="L957" s="73"/>
      <c r="M957" s="78" t="str">
        <f aca="false">IF(OR(E957="",F957=""),"",MAX(0,((F957-E957-N(G957))*1440-N(H957)*10)/60))</f>
        <v/>
      </c>
      <c r="N957" s="78" t="str">
        <f aca="false">IF($D957="欠席",0,IF(OR(I957="",J957=""),"",MAX(0,((J957-I957-N(K957))*1440-N(L957)*10)/60)))</f>
        <v/>
      </c>
      <c r="O957" s="73"/>
    </row>
    <row r="958" customFormat="false" ht="15" hidden="false" customHeight="false" outlineLevel="0" collapsed="false">
      <c r="A958" s="77"/>
      <c r="B958" s="73"/>
      <c r="C958" s="71" t="str">
        <f aca="false">IF(B958="","",IFERROR(INDEX(マスタ!$F$2:$F$60,MATCH(B958,マスタ!$E$2:$E$60,0))&amp;"",""))</f>
        <v/>
      </c>
      <c r="D958" s="73"/>
      <c r="E958" s="75"/>
      <c r="F958" s="75"/>
      <c r="G958" s="75"/>
      <c r="H958" s="73"/>
      <c r="I958" s="75"/>
      <c r="J958" s="75"/>
      <c r="K958" s="75"/>
      <c r="L958" s="73"/>
      <c r="M958" s="78" t="str">
        <f aca="false">IF(OR(E958="",F958=""),"",MAX(0,((F958-E958-N(G958))*1440-N(H958)*10)/60))</f>
        <v/>
      </c>
      <c r="N958" s="78" t="str">
        <f aca="false">IF($D958="欠席",0,IF(OR(I958="",J958=""),"",MAX(0,((J958-I958-N(K958))*1440-N(L958)*10)/60)))</f>
        <v/>
      </c>
      <c r="O958" s="73"/>
    </row>
    <row r="959" customFormat="false" ht="15" hidden="false" customHeight="false" outlineLevel="0" collapsed="false">
      <c r="A959" s="77"/>
      <c r="B959" s="73"/>
      <c r="C959" s="71" t="str">
        <f aca="false">IF(B959="","",IFERROR(INDEX(マスタ!$F$2:$F$60,MATCH(B959,マスタ!$E$2:$E$60,0))&amp;"",""))</f>
        <v/>
      </c>
      <c r="D959" s="73"/>
      <c r="E959" s="75"/>
      <c r="F959" s="75"/>
      <c r="G959" s="75"/>
      <c r="H959" s="73"/>
      <c r="I959" s="75"/>
      <c r="J959" s="75"/>
      <c r="K959" s="75"/>
      <c r="L959" s="73"/>
      <c r="M959" s="78" t="str">
        <f aca="false">IF(OR(E959="",F959=""),"",MAX(0,((F959-E959-N(G959))*1440-N(H959)*10)/60))</f>
        <v/>
      </c>
      <c r="N959" s="78" t="str">
        <f aca="false">IF($D959="欠席",0,IF(OR(I959="",J959=""),"",MAX(0,((J959-I959-N(K959))*1440-N(L959)*10)/60)))</f>
        <v/>
      </c>
      <c r="O959" s="73"/>
    </row>
    <row r="960" customFormat="false" ht="15" hidden="false" customHeight="false" outlineLevel="0" collapsed="false">
      <c r="A960" s="77"/>
      <c r="B960" s="73"/>
      <c r="C960" s="71" t="str">
        <f aca="false">IF(B960="","",IFERROR(INDEX(マスタ!$F$2:$F$60,MATCH(B960,マスタ!$E$2:$E$60,0))&amp;"",""))</f>
        <v/>
      </c>
      <c r="D960" s="73"/>
      <c r="E960" s="75"/>
      <c r="F960" s="75"/>
      <c r="G960" s="75"/>
      <c r="H960" s="73"/>
      <c r="I960" s="75"/>
      <c r="J960" s="75"/>
      <c r="K960" s="75"/>
      <c r="L960" s="73"/>
      <c r="M960" s="78" t="str">
        <f aca="false">IF(OR(E960="",F960=""),"",MAX(0,((F960-E960-N(G960))*1440-N(H960)*10)/60))</f>
        <v/>
      </c>
      <c r="N960" s="78" t="str">
        <f aca="false">IF($D960="欠席",0,IF(OR(I960="",J960=""),"",MAX(0,((J960-I960-N(K960))*1440-N(L960)*10)/60)))</f>
        <v/>
      </c>
      <c r="O960" s="73"/>
    </row>
    <row r="961" customFormat="false" ht="15" hidden="false" customHeight="false" outlineLevel="0" collapsed="false">
      <c r="A961" s="77"/>
      <c r="B961" s="73"/>
      <c r="C961" s="71" t="str">
        <f aca="false">IF(B961="","",IFERROR(INDEX(マスタ!$F$2:$F$60,MATCH(B961,マスタ!$E$2:$E$60,0))&amp;"",""))</f>
        <v/>
      </c>
      <c r="D961" s="73"/>
      <c r="E961" s="75"/>
      <c r="F961" s="75"/>
      <c r="G961" s="75"/>
      <c r="H961" s="73"/>
      <c r="I961" s="75"/>
      <c r="J961" s="75"/>
      <c r="K961" s="75"/>
      <c r="L961" s="73"/>
      <c r="M961" s="78" t="str">
        <f aca="false">IF(OR(E961="",F961=""),"",MAX(0,((F961-E961-N(G961))*1440-N(H961)*10)/60))</f>
        <v/>
      </c>
      <c r="N961" s="78" t="str">
        <f aca="false">IF($D961="欠席",0,IF(OR(I961="",J961=""),"",MAX(0,((J961-I961-N(K961))*1440-N(L961)*10)/60)))</f>
        <v/>
      </c>
      <c r="O961" s="73"/>
    </row>
    <row r="962" customFormat="false" ht="15" hidden="false" customHeight="false" outlineLevel="0" collapsed="false">
      <c r="A962" s="77"/>
      <c r="B962" s="73"/>
      <c r="C962" s="71" t="str">
        <f aca="false">IF(B962="","",IFERROR(INDEX(マスタ!$F$2:$F$60,MATCH(B962,マスタ!$E$2:$E$60,0))&amp;"",""))</f>
        <v/>
      </c>
      <c r="D962" s="73"/>
      <c r="E962" s="75"/>
      <c r="F962" s="75"/>
      <c r="G962" s="75"/>
      <c r="H962" s="73"/>
      <c r="I962" s="75"/>
      <c r="J962" s="75"/>
      <c r="K962" s="75"/>
      <c r="L962" s="73"/>
      <c r="M962" s="78" t="str">
        <f aca="false">IF(OR(E962="",F962=""),"",MAX(0,((F962-E962-N(G962))*1440-N(H962)*10)/60))</f>
        <v/>
      </c>
      <c r="N962" s="78" t="str">
        <f aca="false">IF($D962="欠席",0,IF(OR(I962="",J962=""),"",MAX(0,((J962-I962-N(K962))*1440-N(L962)*10)/60)))</f>
        <v/>
      </c>
      <c r="O962" s="73"/>
    </row>
    <row r="963" customFormat="false" ht="15" hidden="false" customHeight="false" outlineLevel="0" collapsed="false">
      <c r="A963" s="77"/>
      <c r="B963" s="73"/>
      <c r="C963" s="71" t="str">
        <f aca="false">IF(B963="","",IFERROR(INDEX(マスタ!$F$2:$F$60,MATCH(B963,マスタ!$E$2:$E$60,0))&amp;"",""))</f>
        <v/>
      </c>
      <c r="D963" s="73"/>
      <c r="E963" s="75"/>
      <c r="F963" s="75"/>
      <c r="G963" s="75"/>
      <c r="H963" s="73"/>
      <c r="I963" s="75"/>
      <c r="J963" s="75"/>
      <c r="K963" s="75"/>
      <c r="L963" s="73"/>
      <c r="M963" s="78" t="str">
        <f aca="false">IF(OR(E963="",F963=""),"",MAX(0,((F963-E963-N(G963))*1440-N(H963)*10)/60))</f>
        <v/>
      </c>
      <c r="N963" s="78" t="str">
        <f aca="false">IF($D963="欠席",0,IF(OR(I963="",J963=""),"",MAX(0,((J963-I963-N(K963))*1440-N(L963)*10)/60)))</f>
        <v/>
      </c>
      <c r="O963" s="73"/>
    </row>
    <row r="964" customFormat="false" ht="15" hidden="false" customHeight="false" outlineLevel="0" collapsed="false">
      <c r="A964" s="77"/>
      <c r="B964" s="73"/>
      <c r="C964" s="71" t="str">
        <f aca="false">IF(B964="","",IFERROR(INDEX(マスタ!$F$2:$F$60,MATCH(B964,マスタ!$E$2:$E$60,0))&amp;"",""))</f>
        <v/>
      </c>
      <c r="D964" s="73"/>
      <c r="E964" s="75"/>
      <c r="F964" s="75"/>
      <c r="G964" s="75"/>
      <c r="H964" s="73"/>
      <c r="I964" s="75"/>
      <c r="J964" s="75"/>
      <c r="K964" s="75"/>
      <c r="L964" s="73"/>
      <c r="M964" s="78" t="str">
        <f aca="false">IF(OR(E964="",F964=""),"",MAX(0,((F964-E964-N(G964))*1440-N(H964)*10)/60))</f>
        <v/>
      </c>
      <c r="N964" s="78" t="str">
        <f aca="false">IF($D964="欠席",0,IF(OR(I964="",J964=""),"",MAX(0,((J964-I964-N(K964))*1440-N(L964)*10)/60)))</f>
        <v/>
      </c>
      <c r="O964" s="73"/>
    </row>
    <row r="965" customFormat="false" ht="15" hidden="false" customHeight="false" outlineLevel="0" collapsed="false">
      <c r="A965" s="77"/>
      <c r="B965" s="73"/>
      <c r="C965" s="71" t="str">
        <f aca="false">IF(B965="","",IFERROR(INDEX(マスタ!$F$2:$F$60,MATCH(B965,マスタ!$E$2:$E$60,0))&amp;"",""))</f>
        <v/>
      </c>
      <c r="D965" s="73"/>
      <c r="E965" s="75"/>
      <c r="F965" s="75"/>
      <c r="G965" s="75"/>
      <c r="H965" s="73"/>
      <c r="I965" s="75"/>
      <c r="J965" s="75"/>
      <c r="K965" s="75"/>
      <c r="L965" s="73"/>
      <c r="M965" s="78" t="str">
        <f aca="false">IF(OR(E965="",F965=""),"",MAX(0,((F965-E965-N(G965))*1440-N(H965)*10)/60))</f>
        <v/>
      </c>
      <c r="N965" s="78" t="str">
        <f aca="false">IF($D965="欠席",0,IF(OR(I965="",J965=""),"",MAX(0,((J965-I965-N(K965))*1440-N(L965)*10)/60)))</f>
        <v/>
      </c>
      <c r="O965" s="73"/>
    </row>
    <row r="966" customFormat="false" ht="15" hidden="false" customHeight="false" outlineLevel="0" collapsed="false">
      <c r="A966" s="77"/>
      <c r="B966" s="73"/>
      <c r="C966" s="71" t="str">
        <f aca="false">IF(B966="","",IFERROR(INDEX(マスタ!$F$2:$F$60,MATCH(B966,マスタ!$E$2:$E$60,0))&amp;"",""))</f>
        <v/>
      </c>
      <c r="D966" s="73"/>
      <c r="E966" s="75"/>
      <c r="F966" s="75"/>
      <c r="G966" s="75"/>
      <c r="H966" s="73"/>
      <c r="I966" s="75"/>
      <c r="J966" s="75"/>
      <c r="K966" s="75"/>
      <c r="L966" s="73"/>
      <c r="M966" s="78" t="str">
        <f aca="false">IF(OR(E966="",F966=""),"",MAX(0,((F966-E966-N(G966))*1440-N(H966)*10)/60))</f>
        <v/>
      </c>
      <c r="N966" s="78" t="str">
        <f aca="false">IF($D966="欠席",0,IF(OR(I966="",J966=""),"",MAX(0,((J966-I966-N(K966))*1440-N(L966)*10)/60)))</f>
        <v/>
      </c>
      <c r="O966" s="73"/>
    </row>
    <row r="967" customFormat="false" ht="15" hidden="false" customHeight="false" outlineLevel="0" collapsed="false">
      <c r="A967" s="77"/>
      <c r="B967" s="73"/>
      <c r="C967" s="71" t="str">
        <f aca="false">IF(B967="","",IFERROR(INDEX(マスタ!$F$2:$F$60,MATCH(B967,マスタ!$E$2:$E$60,0))&amp;"",""))</f>
        <v/>
      </c>
      <c r="D967" s="73"/>
      <c r="E967" s="75"/>
      <c r="F967" s="75"/>
      <c r="G967" s="75"/>
      <c r="H967" s="73"/>
      <c r="I967" s="75"/>
      <c r="J967" s="75"/>
      <c r="K967" s="75"/>
      <c r="L967" s="73"/>
      <c r="M967" s="78" t="str">
        <f aca="false">IF(OR(E967="",F967=""),"",MAX(0,((F967-E967-N(G967))*1440-N(H967)*10)/60))</f>
        <v/>
      </c>
      <c r="N967" s="78" t="str">
        <f aca="false">IF($D967="欠席",0,IF(OR(I967="",J967=""),"",MAX(0,((J967-I967-N(K967))*1440-N(L967)*10)/60)))</f>
        <v/>
      </c>
      <c r="O967" s="73"/>
    </row>
    <row r="968" customFormat="false" ht="15" hidden="false" customHeight="false" outlineLevel="0" collapsed="false">
      <c r="A968" s="77"/>
      <c r="B968" s="73"/>
      <c r="C968" s="71" t="str">
        <f aca="false">IF(B968="","",IFERROR(INDEX(マスタ!$F$2:$F$60,MATCH(B968,マスタ!$E$2:$E$60,0))&amp;"",""))</f>
        <v/>
      </c>
      <c r="D968" s="73"/>
      <c r="E968" s="75"/>
      <c r="F968" s="75"/>
      <c r="G968" s="75"/>
      <c r="H968" s="73"/>
      <c r="I968" s="75"/>
      <c r="J968" s="75"/>
      <c r="K968" s="75"/>
      <c r="L968" s="73"/>
      <c r="M968" s="78" t="str">
        <f aca="false">IF(OR(E968="",F968=""),"",MAX(0,((F968-E968-N(G968))*1440-N(H968)*10)/60))</f>
        <v/>
      </c>
      <c r="N968" s="78" t="str">
        <f aca="false">IF($D968="欠席",0,IF(OR(I968="",J968=""),"",MAX(0,((J968-I968-N(K968))*1440-N(L968)*10)/60)))</f>
        <v/>
      </c>
      <c r="O968" s="73"/>
    </row>
    <row r="969" customFormat="false" ht="15" hidden="false" customHeight="false" outlineLevel="0" collapsed="false">
      <c r="A969" s="77"/>
      <c r="B969" s="73"/>
      <c r="C969" s="71" t="str">
        <f aca="false">IF(B969="","",IFERROR(INDEX(マスタ!$F$2:$F$60,MATCH(B969,マスタ!$E$2:$E$60,0))&amp;"",""))</f>
        <v/>
      </c>
      <c r="D969" s="73"/>
      <c r="E969" s="75"/>
      <c r="F969" s="75"/>
      <c r="G969" s="75"/>
      <c r="H969" s="73"/>
      <c r="I969" s="75"/>
      <c r="J969" s="75"/>
      <c r="K969" s="75"/>
      <c r="L969" s="73"/>
      <c r="M969" s="78" t="str">
        <f aca="false">IF(OR(E969="",F969=""),"",MAX(0,((F969-E969-N(G969))*1440-N(H969)*10)/60))</f>
        <v/>
      </c>
      <c r="N969" s="78" t="str">
        <f aca="false">IF($D969="欠席",0,IF(OR(I969="",J969=""),"",MAX(0,((J969-I969-N(K969))*1440-N(L969)*10)/60)))</f>
        <v/>
      </c>
      <c r="O969" s="73"/>
    </row>
    <row r="970" customFormat="false" ht="15" hidden="false" customHeight="false" outlineLevel="0" collapsed="false">
      <c r="A970" s="77"/>
      <c r="B970" s="73"/>
      <c r="C970" s="71" t="str">
        <f aca="false">IF(B970="","",IFERROR(INDEX(マスタ!$F$2:$F$60,MATCH(B970,マスタ!$E$2:$E$60,0))&amp;"",""))</f>
        <v/>
      </c>
      <c r="D970" s="73"/>
      <c r="E970" s="75"/>
      <c r="F970" s="75"/>
      <c r="G970" s="75"/>
      <c r="H970" s="73"/>
      <c r="I970" s="75"/>
      <c r="J970" s="75"/>
      <c r="K970" s="75"/>
      <c r="L970" s="73"/>
      <c r="M970" s="78" t="str">
        <f aca="false">IF(OR(E970="",F970=""),"",MAX(0,((F970-E970-N(G970))*1440-N(H970)*10)/60))</f>
        <v/>
      </c>
      <c r="N970" s="78" t="str">
        <f aca="false">IF($D970="欠席",0,IF(OR(I970="",J970=""),"",MAX(0,((J970-I970-N(K970))*1440-N(L970)*10)/60)))</f>
        <v/>
      </c>
      <c r="O970" s="73"/>
    </row>
    <row r="971" customFormat="false" ht="15" hidden="false" customHeight="false" outlineLevel="0" collapsed="false">
      <c r="A971" s="77"/>
      <c r="B971" s="73"/>
      <c r="C971" s="71" t="str">
        <f aca="false">IF(B971="","",IFERROR(INDEX(マスタ!$F$2:$F$60,MATCH(B971,マスタ!$E$2:$E$60,0))&amp;"",""))</f>
        <v/>
      </c>
      <c r="D971" s="73"/>
      <c r="E971" s="75"/>
      <c r="F971" s="75"/>
      <c r="G971" s="75"/>
      <c r="H971" s="73"/>
      <c r="I971" s="75"/>
      <c r="J971" s="75"/>
      <c r="K971" s="75"/>
      <c r="L971" s="73"/>
      <c r="M971" s="78" t="str">
        <f aca="false">IF(OR(E971="",F971=""),"",MAX(0,((F971-E971-N(G971))*1440-N(H971)*10)/60))</f>
        <v/>
      </c>
      <c r="N971" s="78" t="str">
        <f aca="false">IF($D971="欠席",0,IF(OR(I971="",J971=""),"",MAX(0,((J971-I971-N(K971))*1440-N(L971)*10)/60)))</f>
        <v/>
      </c>
      <c r="O971" s="73"/>
    </row>
    <row r="972" customFormat="false" ht="15" hidden="false" customHeight="false" outlineLevel="0" collapsed="false">
      <c r="A972" s="77"/>
      <c r="B972" s="73"/>
      <c r="C972" s="71" t="str">
        <f aca="false">IF(B972="","",IFERROR(INDEX(マスタ!$F$2:$F$60,MATCH(B972,マスタ!$E$2:$E$60,0))&amp;"",""))</f>
        <v/>
      </c>
      <c r="D972" s="73"/>
      <c r="E972" s="75"/>
      <c r="F972" s="75"/>
      <c r="G972" s="75"/>
      <c r="H972" s="73"/>
      <c r="I972" s="75"/>
      <c r="J972" s="75"/>
      <c r="K972" s="75"/>
      <c r="L972" s="73"/>
      <c r="M972" s="78" t="str">
        <f aca="false">IF(OR(E972="",F972=""),"",MAX(0,((F972-E972-N(G972))*1440-N(H972)*10)/60))</f>
        <v/>
      </c>
      <c r="N972" s="78" t="str">
        <f aca="false">IF($D972="欠席",0,IF(OR(I972="",J972=""),"",MAX(0,((J972-I972-N(K972))*1440-N(L972)*10)/60)))</f>
        <v/>
      </c>
      <c r="O972" s="73"/>
    </row>
    <row r="973" customFormat="false" ht="15" hidden="false" customHeight="false" outlineLevel="0" collapsed="false">
      <c r="A973" s="77"/>
      <c r="B973" s="73"/>
      <c r="C973" s="71" t="str">
        <f aca="false">IF(B973="","",IFERROR(INDEX(マスタ!$F$2:$F$60,MATCH(B973,マスタ!$E$2:$E$60,0))&amp;"",""))</f>
        <v/>
      </c>
      <c r="D973" s="73"/>
      <c r="E973" s="75"/>
      <c r="F973" s="75"/>
      <c r="G973" s="75"/>
      <c r="H973" s="73"/>
      <c r="I973" s="75"/>
      <c r="J973" s="75"/>
      <c r="K973" s="75"/>
      <c r="L973" s="73"/>
      <c r="M973" s="78" t="str">
        <f aca="false">IF(OR(E973="",F973=""),"",MAX(0,((F973-E973-N(G973))*1440-N(H973)*10)/60))</f>
        <v/>
      </c>
      <c r="N973" s="78" t="str">
        <f aca="false">IF($D973="欠席",0,IF(OR(I973="",J973=""),"",MAX(0,((J973-I973-N(K973))*1440-N(L973)*10)/60)))</f>
        <v/>
      </c>
      <c r="O973" s="73"/>
    </row>
    <row r="974" customFormat="false" ht="15" hidden="false" customHeight="false" outlineLevel="0" collapsed="false">
      <c r="A974" s="77"/>
      <c r="B974" s="73"/>
      <c r="C974" s="71" t="str">
        <f aca="false">IF(B974="","",IFERROR(INDEX(マスタ!$F$2:$F$60,MATCH(B974,マスタ!$E$2:$E$60,0))&amp;"",""))</f>
        <v/>
      </c>
      <c r="D974" s="73"/>
      <c r="E974" s="75"/>
      <c r="F974" s="75"/>
      <c r="G974" s="75"/>
      <c r="H974" s="73"/>
      <c r="I974" s="75"/>
      <c r="J974" s="75"/>
      <c r="K974" s="75"/>
      <c r="L974" s="73"/>
      <c r="M974" s="78" t="str">
        <f aca="false">IF(OR(E974="",F974=""),"",MAX(0,((F974-E974-N(G974))*1440-N(H974)*10)/60))</f>
        <v/>
      </c>
      <c r="N974" s="78" t="str">
        <f aca="false">IF($D974="欠席",0,IF(OR(I974="",J974=""),"",MAX(0,((J974-I974-N(K974))*1440-N(L974)*10)/60)))</f>
        <v/>
      </c>
      <c r="O974" s="73"/>
    </row>
    <row r="975" customFormat="false" ht="15" hidden="false" customHeight="false" outlineLevel="0" collapsed="false">
      <c r="A975" s="77"/>
      <c r="B975" s="73"/>
      <c r="C975" s="71" t="str">
        <f aca="false">IF(B975="","",IFERROR(INDEX(マスタ!$F$2:$F$60,MATCH(B975,マスタ!$E$2:$E$60,0))&amp;"",""))</f>
        <v/>
      </c>
      <c r="D975" s="73"/>
      <c r="E975" s="75"/>
      <c r="F975" s="75"/>
      <c r="G975" s="75"/>
      <c r="H975" s="73"/>
      <c r="I975" s="75"/>
      <c r="J975" s="75"/>
      <c r="K975" s="75"/>
      <c r="L975" s="73"/>
      <c r="M975" s="78" t="str">
        <f aca="false">IF(OR(E975="",F975=""),"",MAX(0,((F975-E975-N(G975))*1440-N(H975)*10)/60))</f>
        <v/>
      </c>
      <c r="N975" s="78" t="str">
        <f aca="false">IF($D975="欠席",0,IF(OR(I975="",J975=""),"",MAX(0,((J975-I975-N(K975))*1440-N(L975)*10)/60)))</f>
        <v/>
      </c>
      <c r="O975" s="73"/>
    </row>
    <row r="976" customFormat="false" ht="15" hidden="false" customHeight="false" outlineLevel="0" collapsed="false">
      <c r="A976" s="77"/>
      <c r="B976" s="73"/>
      <c r="C976" s="71" t="str">
        <f aca="false">IF(B976="","",IFERROR(INDEX(マスタ!$F$2:$F$60,MATCH(B976,マスタ!$E$2:$E$60,0))&amp;"",""))</f>
        <v/>
      </c>
      <c r="D976" s="73"/>
      <c r="E976" s="75"/>
      <c r="F976" s="75"/>
      <c r="G976" s="75"/>
      <c r="H976" s="73"/>
      <c r="I976" s="75"/>
      <c r="J976" s="75"/>
      <c r="K976" s="75"/>
      <c r="L976" s="73"/>
      <c r="M976" s="78" t="str">
        <f aca="false">IF(OR(E976="",F976=""),"",MAX(0,((F976-E976-N(G976))*1440-N(H976)*10)/60))</f>
        <v/>
      </c>
      <c r="N976" s="78" t="str">
        <f aca="false">IF($D976="欠席",0,IF(OR(I976="",J976=""),"",MAX(0,((J976-I976-N(K976))*1440-N(L976)*10)/60)))</f>
        <v/>
      </c>
      <c r="O976" s="73"/>
    </row>
    <row r="977" customFormat="false" ht="15" hidden="false" customHeight="false" outlineLevel="0" collapsed="false">
      <c r="A977" s="77"/>
      <c r="B977" s="73"/>
      <c r="C977" s="71" t="str">
        <f aca="false">IF(B977="","",IFERROR(INDEX(マスタ!$F$2:$F$60,MATCH(B977,マスタ!$E$2:$E$60,0))&amp;"",""))</f>
        <v/>
      </c>
      <c r="D977" s="73"/>
      <c r="E977" s="75"/>
      <c r="F977" s="75"/>
      <c r="G977" s="75"/>
      <c r="H977" s="73"/>
      <c r="I977" s="75"/>
      <c r="J977" s="75"/>
      <c r="K977" s="75"/>
      <c r="L977" s="73"/>
      <c r="M977" s="78" t="str">
        <f aca="false">IF(OR(E977="",F977=""),"",MAX(0,((F977-E977-N(G977))*1440-N(H977)*10)/60))</f>
        <v/>
      </c>
      <c r="N977" s="78" t="str">
        <f aca="false">IF($D977="欠席",0,IF(OR(I977="",J977=""),"",MAX(0,((J977-I977-N(K977))*1440-N(L977)*10)/60)))</f>
        <v/>
      </c>
      <c r="O977" s="73"/>
    </row>
    <row r="978" customFormat="false" ht="15" hidden="false" customHeight="false" outlineLevel="0" collapsed="false">
      <c r="A978" s="77"/>
      <c r="B978" s="73"/>
      <c r="C978" s="71" t="str">
        <f aca="false">IF(B978="","",IFERROR(INDEX(マスタ!$F$2:$F$60,MATCH(B978,マスタ!$E$2:$E$60,0))&amp;"",""))</f>
        <v/>
      </c>
      <c r="D978" s="73"/>
      <c r="E978" s="75"/>
      <c r="F978" s="75"/>
      <c r="G978" s="75"/>
      <c r="H978" s="73"/>
      <c r="I978" s="75"/>
      <c r="J978" s="75"/>
      <c r="K978" s="75"/>
      <c r="L978" s="73"/>
      <c r="M978" s="78" t="str">
        <f aca="false">IF(OR(E978="",F978=""),"",MAX(0,((F978-E978-N(G978))*1440-N(H978)*10)/60))</f>
        <v/>
      </c>
      <c r="N978" s="78" t="str">
        <f aca="false">IF($D978="欠席",0,IF(OR(I978="",J978=""),"",MAX(0,((J978-I978-N(K978))*1440-N(L978)*10)/60)))</f>
        <v/>
      </c>
      <c r="O978" s="73"/>
    </row>
    <row r="979" customFormat="false" ht="15" hidden="false" customHeight="false" outlineLevel="0" collapsed="false">
      <c r="A979" s="77"/>
      <c r="B979" s="73"/>
      <c r="C979" s="71" t="str">
        <f aca="false">IF(B979="","",IFERROR(INDEX(マスタ!$F$2:$F$60,MATCH(B979,マスタ!$E$2:$E$60,0))&amp;"",""))</f>
        <v/>
      </c>
      <c r="D979" s="73"/>
      <c r="E979" s="75"/>
      <c r="F979" s="75"/>
      <c r="G979" s="75"/>
      <c r="H979" s="73"/>
      <c r="I979" s="75"/>
      <c r="J979" s="75"/>
      <c r="K979" s="75"/>
      <c r="L979" s="73"/>
      <c r="M979" s="78" t="str">
        <f aca="false">IF(OR(E979="",F979=""),"",MAX(0,((F979-E979-N(G979))*1440-N(H979)*10)/60))</f>
        <v/>
      </c>
      <c r="N979" s="78" t="str">
        <f aca="false">IF($D979="欠席",0,IF(OR(I979="",J979=""),"",MAX(0,((J979-I979-N(K979))*1440-N(L979)*10)/60)))</f>
        <v/>
      </c>
      <c r="O979" s="73"/>
    </row>
    <row r="980" customFormat="false" ht="15" hidden="false" customHeight="false" outlineLevel="0" collapsed="false">
      <c r="A980" s="77"/>
      <c r="B980" s="73"/>
      <c r="C980" s="71" t="str">
        <f aca="false">IF(B980="","",IFERROR(INDEX(マスタ!$F$2:$F$60,MATCH(B980,マスタ!$E$2:$E$60,0))&amp;"",""))</f>
        <v/>
      </c>
      <c r="D980" s="73"/>
      <c r="E980" s="75"/>
      <c r="F980" s="75"/>
      <c r="G980" s="75"/>
      <c r="H980" s="73"/>
      <c r="I980" s="75"/>
      <c r="J980" s="75"/>
      <c r="K980" s="75"/>
      <c r="L980" s="73"/>
      <c r="M980" s="78" t="str">
        <f aca="false">IF(OR(E980="",F980=""),"",MAX(0,((F980-E980-N(G980))*1440-N(H980)*10)/60))</f>
        <v/>
      </c>
      <c r="N980" s="78" t="str">
        <f aca="false">IF($D980="欠席",0,IF(OR(I980="",J980=""),"",MAX(0,((J980-I980-N(K980))*1440-N(L980)*10)/60)))</f>
        <v/>
      </c>
      <c r="O980" s="73"/>
    </row>
    <row r="981" customFormat="false" ht="15" hidden="false" customHeight="false" outlineLevel="0" collapsed="false">
      <c r="A981" s="77"/>
      <c r="B981" s="73"/>
      <c r="C981" s="71" t="str">
        <f aca="false">IF(B981="","",IFERROR(INDEX(マスタ!$F$2:$F$60,MATCH(B981,マスタ!$E$2:$E$60,0))&amp;"",""))</f>
        <v/>
      </c>
      <c r="D981" s="73"/>
      <c r="E981" s="75"/>
      <c r="F981" s="75"/>
      <c r="G981" s="75"/>
      <c r="H981" s="73"/>
      <c r="I981" s="75"/>
      <c r="J981" s="75"/>
      <c r="K981" s="75"/>
      <c r="L981" s="73"/>
      <c r="M981" s="78" t="str">
        <f aca="false">IF(OR(E981="",F981=""),"",MAX(0,((F981-E981-N(G981))*1440-N(H981)*10)/60))</f>
        <v/>
      </c>
      <c r="N981" s="78" t="str">
        <f aca="false">IF($D981="欠席",0,IF(OR(I981="",J981=""),"",MAX(0,((J981-I981-N(K981))*1440-N(L981)*10)/60)))</f>
        <v/>
      </c>
      <c r="O981" s="73"/>
    </row>
    <row r="982" customFormat="false" ht="15" hidden="false" customHeight="false" outlineLevel="0" collapsed="false">
      <c r="A982" s="77"/>
      <c r="B982" s="73"/>
      <c r="C982" s="71" t="str">
        <f aca="false">IF(B982="","",IFERROR(INDEX(マスタ!$F$2:$F$60,MATCH(B982,マスタ!$E$2:$E$60,0))&amp;"",""))</f>
        <v/>
      </c>
      <c r="D982" s="73"/>
      <c r="E982" s="75"/>
      <c r="F982" s="75"/>
      <c r="G982" s="75"/>
      <c r="H982" s="73"/>
      <c r="I982" s="75"/>
      <c r="J982" s="75"/>
      <c r="K982" s="75"/>
      <c r="L982" s="73"/>
      <c r="M982" s="78" t="str">
        <f aca="false">IF(OR(E982="",F982=""),"",MAX(0,((F982-E982-N(G982))*1440-N(H982)*10)/60))</f>
        <v/>
      </c>
      <c r="N982" s="78" t="str">
        <f aca="false">IF($D982="欠席",0,IF(OR(I982="",J982=""),"",MAX(0,((J982-I982-N(K982))*1440-N(L982)*10)/60)))</f>
        <v/>
      </c>
      <c r="O982" s="73"/>
    </row>
    <row r="983" customFormat="false" ht="15" hidden="false" customHeight="false" outlineLevel="0" collapsed="false">
      <c r="A983" s="77"/>
      <c r="B983" s="73"/>
      <c r="C983" s="71" t="str">
        <f aca="false">IF(B983="","",IFERROR(INDEX(マスタ!$F$2:$F$60,MATCH(B983,マスタ!$E$2:$E$60,0))&amp;"",""))</f>
        <v/>
      </c>
      <c r="D983" s="73"/>
      <c r="E983" s="75"/>
      <c r="F983" s="75"/>
      <c r="G983" s="75"/>
      <c r="H983" s="73"/>
      <c r="I983" s="75"/>
      <c r="J983" s="75"/>
      <c r="K983" s="75"/>
      <c r="L983" s="73"/>
      <c r="M983" s="78" t="str">
        <f aca="false">IF(OR(E983="",F983=""),"",MAX(0,((F983-E983-N(G983))*1440-N(H983)*10)/60))</f>
        <v/>
      </c>
      <c r="N983" s="78" t="str">
        <f aca="false">IF($D983="欠席",0,IF(OR(I983="",J983=""),"",MAX(0,((J983-I983-N(K983))*1440-N(L983)*10)/60)))</f>
        <v/>
      </c>
      <c r="O983" s="73"/>
    </row>
    <row r="984" customFormat="false" ht="15" hidden="false" customHeight="false" outlineLevel="0" collapsed="false">
      <c r="A984" s="77"/>
      <c r="B984" s="73"/>
      <c r="C984" s="71" t="str">
        <f aca="false">IF(B984="","",IFERROR(INDEX(マスタ!$F$2:$F$60,MATCH(B984,マスタ!$E$2:$E$60,0))&amp;"",""))</f>
        <v/>
      </c>
      <c r="D984" s="73"/>
      <c r="E984" s="75"/>
      <c r="F984" s="75"/>
      <c r="G984" s="75"/>
      <c r="H984" s="73"/>
      <c r="I984" s="75"/>
      <c r="J984" s="75"/>
      <c r="K984" s="75"/>
      <c r="L984" s="73"/>
      <c r="M984" s="78" t="str">
        <f aca="false">IF(OR(E984="",F984=""),"",MAX(0,((F984-E984-N(G984))*1440-N(H984)*10)/60))</f>
        <v/>
      </c>
      <c r="N984" s="78" t="str">
        <f aca="false">IF($D984="欠席",0,IF(OR(I984="",J984=""),"",MAX(0,((J984-I984-N(K984))*1440-N(L984)*10)/60)))</f>
        <v/>
      </c>
      <c r="O984" s="73"/>
    </row>
    <row r="985" customFormat="false" ht="15" hidden="false" customHeight="false" outlineLevel="0" collapsed="false">
      <c r="A985" s="77"/>
      <c r="B985" s="73"/>
      <c r="C985" s="71" t="str">
        <f aca="false">IF(B985="","",IFERROR(INDEX(マスタ!$F$2:$F$60,MATCH(B985,マスタ!$E$2:$E$60,0))&amp;"",""))</f>
        <v/>
      </c>
      <c r="D985" s="73"/>
      <c r="E985" s="75"/>
      <c r="F985" s="75"/>
      <c r="G985" s="75"/>
      <c r="H985" s="73"/>
      <c r="I985" s="75"/>
      <c r="J985" s="75"/>
      <c r="K985" s="75"/>
      <c r="L985" s="73"/>
      <c r="M985" s="78" t="str">
        <f aca="false">IF(OR(E985="",F985=""),"",MAX(0,((F985-E985-N(G985))*1440-N(H985)*10)/60))</f>
        <v/>
      </c>
      <c r="N985" s="78" t="str">
        <f aca="false">IF($D985="欠席",0,IF(OR(I985="",J985=""),"",MAX(0,((J985-I985-N(K985))*1440-N(L985)*10)/60)))</f>
        <v/>
      </c>
      <c r="O985" s="73"/>
    </row>
    <row r="986" customFormat="false" ht="15" hidden="false" customHeight="false" outlineLevel="0" collapsed="false">
      <c r="A986" s="77"/>
      <c r="B986" s="73"/>
      <c r="C986" s="71" t="str">
        <f aca="false">IF(B986="","",IFERROR(INDEX(マスタ!$F$2:$F$60,MATCH(B986,マスタ!$E$2:$E$60,0))&amp;"",""))</f>
        <v/>
      </c>
      <c r="D986" s="73"/>
      <c r="E986" s="75"/>
      <c r="F986" s="75"/>
      <c r="G986" s="75"/>
      <c r="H986" s="73"/>
      <c r="I986" s="75"/>
      <c r="J986" s="75"/>
      <c r="K986" s="75"/>
      <c r="L986" s="73"/>
      <c r="M986" s="78" t="str">
        <f aca="false">IF(OR(E986="",F986=""),"",MAX(0,((F986-E986-N(G986))*1440-N(H986)*10)/60))</f>
        <v/>
      </c>
      <c r="N986" s="78" t="str">
        <f aca="false">IF($D986="欠席",0,IF(OR(I986="",J986=""),"",MAX(0,((J986-I986-N(K986))*1440-N(L986)*10)/60)))</f>
        <v/>
      </c>
      <c r="O986" s="73"/>
    </row>
    <row r="987" customFormat="false" ht="15" hidden="false" customHeight="false" outlineLevel="0" collapsed="false">
      <c r="A987" s="77"/>
      <c r="B987" s="73"/>
      <c r="C987" s="71" t="str">
        <f aca="false">IF(B987="","",IFERROR(INDEX(マスタ!$F$2:$F$60,MATCH(B987,マスタ!$E$2:$E$60,0))&amp;"",""))</f>
        <v/>
      </c>
      <c r="D987" s="73"/>
      <c r="E987" s="75"/>
      <c r="F987" s="75"/>
      <c r="G987" s="75"/>
      <c r="H987" s="73"/>
      <c r="I987" s="75"/>
      <c r="J987" s="75"/>
      <c r="K987" s="75"/>
      <c r="L987" s="73"/>
      <c r="M987" s="78" t="str">
        <f aca="false">IF(OR(E987="",F987=""),"",MAX(0,((F987-E987-N(G987))*1440-N(H987)*10)/60))</f>
        <v/>
      </c>
      <c r="N987" s="78" t="str">
        <f aca="false">IF($D987="欠席",0,IF(OR(I987="",J987=""),"",MAX(0,((J987-I987-N(K987))*1440-N(L987)*10)/60)))</f>
        <v/>
      </c>
      <c r="O987" s="73"/>
    </row>
    <row r="988" customFormat="false" ht="15" hidden="false" customHeight="false" outlineLevel="0" collapsed="false">
      <c r="A988" s="77"/>
      <c r="B988" s="73"/>
      <c r="C988" s="71" t="str">
        <f aca="false">IF(B988="","",IFERROR(INDEX(マスタ!$F$2:$F$60,MATCH(B988,マスタ!$E$2:$E$60,0))&amp;"",""))</f>
        <v/>
      </c>
      <c r="D988" s="73"/>
      <c r="E988" s="75"/>
      <c r="F988" s="75"/>
      <c r="G988" s="75"/>
      <c r="H988" s="73"/>
      <c r="I988" s="75"/>
      <c r="J988" s="75"/>
      <c r="K988" s="75"/>
      <c r="L988" s="73"/>
      <c r="M988" s="78" t="str">
        <f aca="false">IF(OR(E988="",F988=""),"",MAX(0,((F988-E988-N(G988))*1440-N(H988)*10)/60))</f>
        <v/>
      </c>
      <c r="N988" s="78" t="str">
        <f aca="false">IF($D988="欠席",0,IF(OR(I988="",J988=""),"",MAX(0,((J988-I988-N(K988))*1440-N(L988)*10)/60)))</f>
        <v/>
      </c>
      <c r="O988" s="73"/>
    </row>
    <row r="989" customFormat="false" ht="15" hidden="false" customHeight="false" outlineLevel="0" collapsed="false">
      <c r="A989" s="77"/>
      <c r="B989" s="73"/>
      <c r="C989" s="71" t="str">
        <f aca="false">IF(B989="","",IFERROR(INDEX(マスタ!$F$2:$F$60,MATCH(B989,マスタ!$E$2:$E$60,0))&amp;"",""))</f>
        <v/>
      </c>
      <c r="D989" s="73"/>
      <c r="E989" s="75"/>
      <c r="F989" s="75"/>
      <c r="G989" s="75"/>
      <c r="H989" s="73"/>
      <c r="I989" s="75"/>
      <c r="J989" s="75"/>
      <c r="K989" s="75"/>
      <c r="L989" s="73"/>
      <c r="M989" s="78" t="str">
        <f aca="false">IF(OR(E989="",F989=""),"",MAX(0,((F989-E989-N(G989))*1440-N(H989)*10)/60))</f>
        <v/>
      </c>
      <c r="N989" s="78" t="str">
        <f aca="false">IF($D989="欠席",0,IF(OR(I989="",J989=""),"",MAX(0,((J989-I989-N(K989))*1440-N(L989)*10)/60)))</f>
        <v/>
      </c>
      <c r="O989" s="73"/>
    </row>
    <row r="990" customFormat="false" ht="15" hidden="false" customHeight="false" outlineLevel="0" collapsed="false">
      <c r="A990" s="77"/>
      <c r="B990" s="73"/>
      <c r="C990" s="71" t="str">
        <f aca="false">IF(B990="","",IFERROR(INDEX(マスタ!$F$2:$F$60,MATCH(B990,マスタ!$E$2:$E$60,0))&amp;"",""))</f>
        <v/>
      </c>
      <c r="D990" s="73"/>
      <c r="E990" s="75"/>
      <c r="F990" s="75"/>
      <c r="G990" s="75"/>
      <c r="H990" s="73"/>
      <c r="I990" s="75"/>
      <c r="J990" s="75"/>
      <c r="K990" s="75"/>
      <c r="L990" s="73"/>
      <c r="M990" s="78" t="str">
        <f aca="false">IF(OR(E990="",F990=""),"",MAX(0,((F990-E990-N(G990))*1440-N(H990)*10)/60))</f>
        <v/>
      </c>
      <c r="N990" s="78" t="str">
        <f aca="false">IF($D990="欠席",0,IF(OR(I990="",J990=""),"",MAX(0,((J990-I990-N(K990))*1440-N(L990)*10)/60)))</f>
        <v/>
      </c>
      <c r="O990" s="73"/>
    </row>
    <row r="991" customFormat="false" ht="15" hidden="false" customHeight="false" outlineLevel="0" collapsed="false">
      <c r="A991" s="77"/>
      <c r="B991" s="73"/>
      <c r="C991" s="71" t="str">
        <f aca="false">IF(B991="","",IFERROR(INDEX(マスタ!$F$2:$F$60,MATCH(B991,マスタ!$E$2:$E$60,0))&amp;"",""))</f>
        <v/>
      </c>
      <c r="D991" s="73"/>
      <c r="E991" s="75"/>
      <c r="F991" s="75"/>
      <c r="G991" s="75"/>
      <c r="H991" s="73"/>
      <c r="I991" s="75"/>
      <c r="J991" s="75"/>
      <c r="K991" s="75"/>
      <c r="L991" s="73"/>
      <c r="M991" s="78" t="str">
        <f aca="false">IF(OR(E991="",F991=""),"",MAX(0,((F991-E991-N(G991))*1440-N(H991)*10)/60))</f>
        <v/>
      </c>
      <c r="N991" s="78" t="str">
        <f aca="false">IF($D991="欠席",0,IF(OR(I991="",J991=""),"",MAX(0,((J991-I991-N(K991))*1440-N(L991)*10)/60)))</f>
        <v/>
      </c>
      <c r="O991" s="73"/>
    </row>
    <row r="992" customFormat="false" ht="15" hidden="false" customHeight="false" outlineLevel="0" collapsed="false">
      <c r="A992" s="77"/>
      <c r="B992" s="73"/>
      <c r="C992" s="71" t="str">
        <f aca="false">IF(B992="","",IFERROR(INDEX(マスタ!$F$2:$F$60,MATCH(B992,マスタ!$E$2:$E$60,0))&amp;"",""))</f>
        <v/>
      </c>
      <c r="D992" s="73"/>
      <c r="E992" s="75"/>
      <c r="F992" s="75"/>
      <c r="G992" s="75"/>
      <c r="H992" s="73"/>
      <c r="I992" s="75"/>
      <c r="J992" s="75"/>
      <c r="K992" s="75"/>
      <c r="L992" s="73"/>
      <c r="M992" s="78" t="str">
        <f aca="false">IF(OR(E992="",F992=""),"",MAX(0,((F992-E992-N(G992))*1440-N(H992)*10)/60))</f>
        <v/>
      </c>
      <c r="N992" s="78" t="str">
        <f aca="false">IF($D992="欠席",0,IF(OR(I992="",J992=""),"",MAX(0,((J992-I992-N(K992))*1440-N(L992)*10)/60)))</f>
        <v/>
      </c>
      <c r="O992" s="73"/>
    </row>
    <row r="993" customFormat="false" ht="15" hidden="false" customHeight="false" outlineLevel="0" collapsed="false">
      <c r="A993" s="77"/>
      <c r="B993" s="73"/>
      <c r="C993" s="71" t="str">
        <f aca="false">IF(B993="","",IFERROR(INDEX(マスタ!$F$2:$F$60,MATCH(B993,マスタ!$E$2:$E$60,0))&amp;"",""))</f>
        <v/>
      </c>
      <c r="D993" s="73"/>
      <c r="E993" s="75"/>
      <c r="F993" s="75"/>
      <c r="G993" s="75"/>
      <c r="H993" s="73"/>
      <c r="I993" s="75"/>
      <c r="J993" s="75"/>
      <c r="K993" s="75"/>
      <c r="L993" s="73"/>
      <c r="M993" s="78" t="str">
        <f aca="false">IF(OR(E993="",F993=""),"",MAX(0,((F993-E993-N(G993))*1440-N(H993)*10)/60))</f>
        <v/>
      </c>
      <c r="N993" s="78" t="str">
        <f aca="false">IF($D993="欠席",0,IF(OR(I993="",J993=""),"",MAX(0,((J993-I993-N(K993))*1440-N(L993)*10)/60)))</f>
        <v/>
      </c>
      <c r="O993" s="73"/>
    </row>
    <row r="994" customFormat="false" ht="15" hidden="false" customHeight="false" outlineLevel="0" collapsed="false">
      <c r="A994" s="77"/>
      <c r="B994" s="73"/>
      <c r="C994" s="71" t="str">
        <f aca="false">IF(B994="","",IFERROR(INDEX(マスタ!$F$2:$F$60,MATCH(B994,マスタ!$E$2:$E$60,0))&amp;"",""))</f>
        <v/>
      </c>
      <c r="D994" s="73"/>
      <c r="E994" s="75"/>
      <c r="F994" s="75"/>
      <c r="G994" s="75"/>
      <c r="H994" s="73"/>
      <c r="I994" s="75"/>
      <c r="J994" s="75"/>
      <c r="K994" s="75"/>
      <c r="L994" s="73"/>
      <c r="M994" s="78" t="str">
        <f aca="false">IF(OR(E994="",F994=""),"",MAX(0,((F994-E994-N(G994))*1440-N(H994)*10)/60))</f>
        <v/>
      </c>
      <c r="N994" s="78" t="str">
        <f aca="false">IF($D994="欠席",0,IF(OR(I994="",J994=""),"",MAX(0,((J994-I994-N(K994))*1440-N(L994)*10)/60)))</f>
        <v/>
      </c>
      <c r="O994" s="73"/>
    </row>
    <row r="995" customFormat="false" ht="15" hidden="false" customHeight="false" outlineLevel="0" collapsed="false">
      <c r="A995" s="77"/>
      <c r="B995" s="73"/>
      <c r="C995" s="71" t="str">
        <f aca="false">IF(B995="","",IFERROR(INDEX(マスタ!$F$2:$F$60,MATCH(B995,マスタ!$E$2:$E$60,0))&amp;"",""))</f>
        <v/>
      </c>
      <c r="D995" s="73"/>
      <c r="E995" s="75"/>
      <c r="F995" s="75"/>
      <c r="G995" s="75"/>
      <c r="H995" s="73"/>
      <c r="I995" s="75"/>
      <c r="J995" s="75"/>
      <c r="K995" s="75"/>
      <c r="L995" s="73"/>
      <c r="M995" s="78" t="str">
        <f aca="false">IF(OR(E995="",F995=""),"",MAX(0,((F995-E995-N(G995))*1440-N(H995)*10)/60))</f>
        <v/>
      </c>
      <c r="N995" s="78" t="str">
        <f aca="false">IF($D995="欠席",0,IF(OR(I995="",J995=""),"",MAX(0,((J995-I995-N(K995))*1440-N(L995)*10)/60)))</f>
        <v/>
      </c>
      <c r="O995" s="73"/>
    </row>
    <row r="996" customFormat="false" ht="15" hidden="false" customHeight="false" outlineLevel="0" collapsed="false">
      <c r="A996" s="77"/>
      <c r="B996" s="73"/>
      <c r="C996" s="71" t="str">
        <f aca="false">IF(B996="","",IFERROR(INDEX(マスタ!$F$2:$F$60,MATCH(B996,マスタ!$E$2:$E$60,0))&amp;"",""))</f>
        <v/>
      </c>
      <c r="D996" s="73"/>
      <c r="E996" s="75"/>
      <c r="F996" s="75"/>
      <c r="G996" s="75"/>
      <c r="H996" s="73"/>
      <c r="I996" s="75"/>
      <c r="J996" s="75"/>
      <c r="K996" s="75"/>
      <c r="L996" s="73"/>
      <c r="M996" s="78" t="str">
        <f aca="false">IF(OR(E996="",F996=""),"",MAX(0,((F996-E996-N(G996))*1440-N(H996)*10)/60))</f>
        <v/>
      </c>
      <c r="N996" s="78" t="str">
        <f aca="false">IF($D996="欠席",0,IF(OR(I996="",J996=""),"",MAX(0,((J996-I996-N(K996))*1440-N(L996)*10)/60)))</f>
        <v/>
      </c>
      <c r="O996" s="73"/>
    </row>
    <row r="997" customFormat="false" ht="15" hidden="false" customHeight="false" outlineLevel="0" collapsed="false">
      <c r="A997" s="77"/>
      <c r="B997" s="73"/>
      <c r="C997" s="71" t="str">
        <f aca="false">IF(B997="","",IFERROR(INDEX(マスタ!$F$2:$F$60,MATCH(B997,マスタ!$E$2:$E$60,0))&amp;"",""))</f>
        <v/>
      </c>
      <c r="D997" s="73"/>
      <c r="E997" s="75"/>
      <c r="F997" s="75"/>
      <c r="G997" s="75"/>
      <c r="H997" s="73"/>
      <c r="I997" s="75"/>
      <c r="J997" s="75"/>
      <c r="K997" s="75"/>
      <c r="L997" s="73"/>
      <c r="M997" s="78" t="str">
        <f aca="false">IF(OR(E997="",F997=""),"",MAX(0,((F997-E997-N(G997))*1440-N(H997)*10)/60))</f>
        <v/>
      </c>
      <c r="N997" s="78" t="str">
        <f aca="false">IF($D997="欠席",0,IF(OR(I997="",J997=""),"",MAX(0,((J997-I997-N(K997))*1440-N(L997)*10)/60)))</f>
        <v/>
      </c>
      <c r="O997" s="73"/>
    </row>
    <row r="998" customFormat="false" ht="15" hidden="false" customHeight="false" outlineLevel="0" collapsed="false">
      <c r="A998" s="77"/>
      <c r="B998" s="73"/>
      <c r="C998" s="71" t="str">
        <f aca="false">IF(B998="","",IFERROR(INDEX(マスタ!$F$2:$F$60,MATCH(B998,マスタ!$E$2:$E$60,0))&amp;"",""))</f>
        <v/>
      </c>
      <c r="D998" s="73"/>
      <c r="E998" s="75"/>
      <c r="F998" s="75"/>
      <c r="G998" s="75"/>
      <c r="H998" s="73"/>
      <c r="I998" s="75"/>
      <c r="J998" s="75"/>
      <c r="K998" s="75"/>
      <c r="L998" s="73"/>
      <c r="M998" s="78" t="str">
        <f aca="false">IF(OR(E998="",F998=""),"",MAX(0,((F998-E998-N(G998))*1440-N(H998)*10)/60))</f>
        <v/>
      </c>
      <c r="N998" s="78" t="str">
        <f aca="false">IF($D998="欠席",0,IF(OR(I998="",J998=""),"",MAX(0,((J998-I998-N(K998))*1440-N(L998)*10)/60)))</f>
        <v/>
      </c>
      <c r="O998" s="73"/>
    </row>
    <row r="999" customFormat="false" ht="15" hidden="false" customHeight="false" outlineLevel="0" collapsed="false">
      <c r="A999" s="77"/>
      <c r="B999" s="73"/>
      <c r="C999" s="71" t="str">
        <f aca="false">IF(B999="","",IFERROR(INDEX(マスタ!$F$2:$F$60,MATCH(B999,マスタ!$E$2:$E$60,0))&amp;"",""))</f>
        <v/>
      </c>
      <c r="D999" s="73"/>
      <c r="E999" s="75"/>
      <c r="F999" s="75"/>
      <c r="G999" s="75"/>
      <c r="H999" s="73"/>
      <c r="I999" s="75"/>
      <c r="J999" s="75"/>
      <c r="K999" s="75"/>
      <c r="L999" s="73"/>
      <c r="M999" s="78" t="str">
        <f aca="false">IF(OR(E999="",F999=""),"",MAX(0,((F999-E999-N(G999))*1440-N(H999)*10)/60))</f>
        <v/>
      </c>
      <c r="N999" s="78" t="str">
        <f aca="false">IF($D999="欠席",0,IF(OR(I999="",J999=""),"",MAX(0,((J999-I999-N(K999))*1440-N(L999)*10)/60)))</f>
        <v/>
      </c>
      <c r="O999" s="73"/>
    </row>
    <row r="1000" customFormat="false" ht="15" hidden="false" customHeight="false" outlineLevel="0" collapsed="false">
      <c r="A1000" s="77"/>
      <c r="B1000" s="73"/>
      <c r="C1000" s="71" t="str">
        <f aca="false">IF(B1000="","",IFERROR(INDEX(マスタ!$F$2:$F$60,MATCH(B1000,マスタ!$E$2:$E$60,0))&amp;"",""))</f>
        <v/>
      </c>
      <c r="D1000" s="73"/>
      <c r="E1000" s="75"/>
      <c r="F1000" s="75"/>
      <c r="G1000" s="75"/>
      <c r="H1000" s="73"/>
      <c r="I1000" s="75"/>
      <c r="J1000" s="75"/>
      <c r="K1000" s="75"/>
      <c r="L1000" s="73"/>
      <c r="M1000" s="78" t="str">
        <f aca="false">IF(OR(E1000="",F1000=""),"",MAX(0,((F1000-E1000-N(G1000))*1440-N(H1000)*10)/60))</f>
        <v/>
      </c>
      <c r="N1000" s="78" t="str">
        <f aca="false">IF($D1000="欠席",0,IF(OR(I1000="",J1000=""),"",MAX(0,((J1000-I1000-N(K1000))*1440-N(L1000)*10)/60)))</f>
        <v/>
      </c>
      <c r="O1000" s="73"/>
    </row>
    <row r="1001" customFormat="false" ht="15" hidden="false" customHeight="false" outlineLevel="0" collapsed="false">
      <c r="A1001" s="77"/>
      <c r="B1001" s="73"/>
      <c r="C1001" s="71" t="str">
        <f aca="false">IF(B1001="","",IFERROR(INDEX(マスタ!$F$2:$F$60,MATCH(B1001,マスタ!$E$2:$E$60,0))&amp;"",""))</f>
        <v/>
      </c>
      <c r="D1001" s="73"/>
      <c r="E1001" s="75"/>
      <c r="F1001" s="75"/>
      <c r="G1001" s="75"/>
      <c r="H1001" s="73"/>
      <c r="I1001" s="75"/>
      <c r="J1001" s="75"/>
      <c r="K1001" s="75"/>
      <c r="L1001" s="73"/>
      <c r="M1001" s="78" t="str">
        <f aca="false">IF(OR(E1001="",F1001=""),"",MAX(0,((F1001-E1001-N(G1001))*1440-N(H1001)*10)/60))</f>
        <v/>
      </c>
      <c r="N1001" s="78" t="str">
        <f aca="false">IF($D1001="欠席",0,IF(OR(I1001="",J1001=""),"",MAX(0,((J1001-I1001-N(K1001))*1440-N(L1001)*10)/60)))</f>
        <v/>
      </c>
      <c r="O1001" s="73"/>
    </row>
    <row r="1002" customFormat="false" ht="15" hidden="false" customHeight="false" outlineLevel="0" collapsed="false">
      <c r="A1002" s="77"/>
      <c r="B1002" s="73"/>
      <c r="C1002" s="71" t="str">
        <f aca="false">IF(B1002="","",IFERROR(INDEX(マスタ!$F$2:$F$60,MATCH(B1002,マスタ!$E$2:$E$60,0))&amp;"",""))</f>
        <v/>
      </c>
      <c r="D1002" s="73"/>
      <c r="E1002" s="75"/>
      <c r="F1002" s="75"/>
      <c r="G1002" s="75"/>
      <c r="H1002" s="73"/>
      <c r="I1002" s="75"/>
      <c r="J1002" s="75"/>
      <c r="K1002" s="75"/>
      <c r="L1002" s="73"/>
      <c r="M1002" s="78" t="str">
        <f aca="false">IF(OR(E1002="",F1002=""),"",MAX(0,((F1002-E1002-N(G1002))*1440-N(H1002)*10)/60))</f>
        <v/>
      </c>
      <c r="N1002" s="78" t="str">
        <f aca="false">IF($D1002="欠席",0,IF(OR(I1002="",J1002=""),"",MAX(0,((J1002-I1002-N(K1002))*1440-N(L1002)*10)/60)))</f>
        <v/>
      </c>
      <c r="O1002" s="73"/>
    </row>
    <row r="1003" customFormat="false" ht="15" hidden="false" customHeight="false" outlineLevel="0" collapsed="false">
      <c r="A1003" s="77"/>
      <c r="B1003" s="73"/>
      <c r="C1003" s="71" t="str">
        <f aca="false">IF(B1003="","",IFERROR(INDEX(マスタ!$F$2:$F$60,MATCH(B1003,マスタ!$E$2:$E$60,0))&amp;"",""))</f>
        <v/>
      </c>
      <c r="D1003" s="73"/>
      <c r="E1003" s="75"/>
      <c r="F1003" s="75"/>
      <c r="G1003" s="75"/>
      <c r="H1003" s="73"/>
      <c r="I1003" s="75"/>
      <c r="J1003" s="75"/>
      <c r="K1003" s="75"/>
      <c r="L1003" s="73"/>
      <c r="M1003" s="78" t="str">
        <f aca="false">IF(OR(E1003="",F1003=""),"",MAX(0,((F1003-E1003-N(G1003))*1440-N(H1003)*10)/60))</f>
        <v/>
      </c>
      <c r="N1003" s="78" t="str">
        <f aca="false">IF($D1003="欠席",0,IF(OR(I1003="",J1003=""),"",MAX(0,((J1003-I1003-N(K1003))*1440-N(L1003)*10)/60)))</f>
        <v/>
      </c>
      <c r="O1003" s="73"/>
    </row>
    <row r="1004" customFormat="false" ht="15" hidden="false" customHeight="false" outlineLevel="0" collapsed="false">
      <c r="A1004" s="77"/>
      <c r="B1004" s="73"/>
      <c r="C1004" s="71" t="str">
        <f aca="false">IF(B1004="","",IFERROR(INDEX(マスタ!$F$2:$F$60,MATCH(B1004,マスタ!$E$2:$E$60,0))&amp;"",""))</f>
        <v/>
      </c>
      <c r="D1004" s="73"/>
      <c r="E1004" s="75"/>
      <c r="F1004" s="75"/>
      <c r="G1004" s="75"/>
      <c r="H1004" s="73"/>
      <c r="I1004" s="75"/>
      <c r="J1004" s="75"/>
      <c r="K1004" s="75"/>
      <c r="L1004" s="73"/>
      <c r="M1004" s="78" t="str">
        <f aca="false">IF(OR(E1004="",F1004=""),"",MAX(0,((F1004-E1004-N(G1004))*1440-N(H1004)*10)/60))</f>
        <v/>
      </c>
      <c r="N1004" s="78" t="str">
        <f aca="false">IF($D1004="欠席",0,IF(OR(I1004="",J1004=""),"",MAX(0,((J1004-I1004-N(K1004))*1440-N(L1004)*10)/60)))</f>
        <v/>
      </c>
      <c r="O1004" s="73"/>
    </row>
    <row r="1005" customFormat="false" ht="15" hidden="false" customHeight="false" outlineLevel="0" collapsed="false">
      <c r="A1005" s="77"/>
      <c r="B1005" s="73"/>
      <c r="C1005" s="71" t="str">
        <f aca="false">IF(B1005="","",IFERROR(INDEX(マスタ!$F$2:$F$60,MATCH(B1005,マスタ!$E$2:$E$60,0))&amp;"",""))</f>
        <v/>
      </c>
      <c r="D1005" s="73"/>
      <c r="E1005" s="75"/>
      <c r="F1005" s="75"/>
      <c r="G1005" s="75"/>
      <c r="H1005" s="73"/>
      <c r="I1005" s="75"/>
      <c r="J1005" s="75"/>
      <c r="K1005" s="75"/>
      <c r="L1005" s="73"/>
      <c r="M1005" s="78" t="str">
        <f aca="false">IF(OR(E1005="",F1005=""),"",MAX(0,((F1005-E1005-N(G1005))*1440-N(H1005)*10)/60))</f>
        <v/>
      </c>
      <c r="N1005" s="78" t="str">
        <f aca="false">IF($D1005="欠席",0,IF(OR(I1005="",J1005=""),"",MAX(0,((J1005-I1005-N(K1005))*1440-N(L1005)*10)/60)))</f>
        <v/>
      </c>
      <c r="O1005" s="73"/>
    </row>
    <row r="1006" customFormat="false" ht="15" hidden="false" customHeight="false" outlineLevel="0" collapsed="false">
      <c r="A1006" s="77"/>
      <c r="B1006" s="73"/>
      <c r="C1006" s="71" t="str">
        <f aca="false">IF(B1006="","",IFERROR(INDEX(マスタ!$F$2:$F$60,MATCH(B1006,マスタ!$E$2:$E$60,0))&amp;"",""))</f>
        <v/>
      </c>
      <c r="D1006" s="73"/>
      <c r="E1006" s="75"/>
      <c r="F1006" s="75"/>
      <c r="G1006" s="75"/>
      <c r="H1006" s="73"/>
      <c r="I1006" s="75"/>
      <c r="J1006" s="75"/>
      <c r="K1006" s="75"/>
      <c r="L1006" s="73"/>
      <c r="M1006" s="78" t="str">
        <f aca="false">IF(OR(E1006="",F1006=""),"",MAX(0,((F1006-E1006-N(G1006))*1440-N(H1006)*10)/60))</f>
        <v/>
      </c>
      <c r="N1006" s="78" t="str">
        <f aca="false">IF($D1006="欠席",0,IF(OR(I1006="",J1006=""),"",MAX(0,((J1006-I1006-N(K1006))*1440-N(L1006)*10)/60)))</f>
        <v/>
      </c>
      <c r="O1006" s="73"/>
    </row>
    <row r="1007" customFormat="false" ht="15" hidden="false" customHeight="false" outlineLevel="0" collapsed="false">
      <c r="A1007" s="77"/>
      <c r="B1007" s="73"/>
      <c r="C1007" s="71" t="str">
        <f aca="false">IF(B1007="","",IFERROR(INDEX(マスタ!$F$2:$F$60,MATCH(B1007,マスタ!$E$2:$E$60,0))&amp;"",""))</f>
        <v/>
      </c>
      <c r="D1007" s="73"/>
      <c r="E1007" s="75"/>
      <c r="F1007" s="75"/>
      <c r="G1007" s="75"/>
      <c r="H1007" s="73"/>
      <c r="I1007" s="75"/>
      <c r="J1007" s="75"/>
      <c r="K1007" s="75"/>
      <c r="L1007" s="73"/>
      <c r="M1007" s="78" t="str">
        <f aca="false">IF(OR(E1007="",F1007=""),"",MAX(0,((F1007-E1007-N(G1007))*1440-N(H1007)*10)/60))</f>
        <v/>
      </c>
      <c r="N1007" s="78" t="str">
        <f aca="false">IF($D1007="欠席",0,IF(OR(I1007="",J1007=""),"",MAX(0,((J1007-I1007-N(K1007))*1440-N(L1007)*10)/60)))</f>
        <v/>
      </c>
      <c r="O1007" s="73"/>
    </row>
    <row r="1008" customFormat="false" ht="15" hidden="false" customHeight="false" outlineLevel="0" collapsed="false">
      <c r="A1008" s="77"/>
      <c r="B1008" s="73"/>
      <c r="C1008" s="71" t="str">
        <f aca="false">IF(B1008="","",IFERROR(INDEX(マスタ!$F$2:$F$60,MATCH(B1008,マスタ!$E$2:$E$60,0))&amp;"",""))</f>
        <v/>
      </c>
      <c r="D1008" s="73"/>
      <c r="E1008" s="75"/>
      <c r="F1008" s="75"/>
      <c r="G1008" s="75"/>
      <c r="H1008" s="73"/>
      <c r="I1008" s="75"/>
      <c r="J1008" s="75"/>
      <c r="K1008" s="75"/>
      <c r="L1008" s="73"/>
      <c r="M1008" s="78" t="str">
        <f aca="false">IF(OR(E1008="",F1008=""),"",MAX(0,((F1008-E1008-N(G1008))*1440-N(H1008)*10)/60))</f>
        <v/>
      </c>
      <c r="N1008" s="78" t="str">
        <f aca="false">IF($D1008="欠席",0,IF(OR(I1008="",J1008=""),"",MAX(0,((J1008-I1008-N(K1008))*1440-N(L1008)*10)/60)))</f>
        <v/>
      </c>
      <c r="O1008" s="73"/>
    </row>
    <row r="1009" customFormat="false" ht="15" hidden="false" customHeight="false" outlineLevel="0" collapsed="false">
      <c r="A1009" s="77"/>
      <c r="B1009" s="73"/>
      <c r="C1009" s="71" t="str">
        <f aca="false">IF(B1009="","",IFERROR(INDEX(マスタ!$F$2:$F$60,MATCH(B1009,マスタ!$E$2:$E$60,0))&amp;"",""))</f>
        <v/>
      </c>
      <c r="D1009" s="73"/>
      <c r="E1009" s="75"/>
      <c r="F1009" s="75"/>
      <c r="G1009" s="75"/>
      <c r="H1009" s="73"/>
      <c r="I1009" s="75"/>
      <c r="J1009" s="75"/>
      <c r="K1009" s="75"/>
      <c r="L1009" s="73"/>
      <c r="M1009" s="78" t="str">
        <f aca="false">IF(OR(E1009="",F1009=""),"",MAX(0,((F1009-E1009-N(G1009))*1440-N(H1009)*10)/60))</f>
        <v/>
      </c>
      <c r="N1009" s="78" t="str">
        <f aca="false">IF($D1009="欠席",0,IF(OR(I1009="",J1009=""),"",MAX(0,((J1009-I1009-N(K1009))*1440-N(L1009)*10)/60)))</f>
        <v/>
      </c>
      <c r="O1009" s="73"/>
    </row>
    <row r="1010" customFormat="false" ht="15" hidden="false" customHeight="false" outlineLevel="0" collapsed="false">
      <c r="A1010" s="77"/>
      <c r="B1010" s="73"/>
      <c r="C1010" s="71" t="str">
        <f aca="false">IF(B1010="","",IFERROR(INDEX(マスタ!$F$2:$F$60,MATCH(B1010,マスタ!$E$2:$E$60,0))&amp;"",""))</f>
        <v/>
      </c>
      <c r="D1010" s="73"/>
      <c r="E1010" s="75"/>
      <c r="F1010" s="75"/>
      <c r="G1010" s="75"/>
      <c r="H1010" s="73"/>
      <c r="I1010" s="75"/>
      <c r="J1010" s="75"/>
      <c r="K1010" s="75"/>
      <c r="L1010" s="73"/>
      <c r="M1010" s="78" t="str">
        <f aca="false">IF(OR(E1010="",F1010=""),"",MAX(0,((F1010-E1010-N(G1010))*1440-N(H1010)*10)/60))</f>
        <v/>
      </c>
      <c r="N1010" s="78" t="str">
        <f aca="false">IF($D1010="欠席",0,IF(OR(I1010="",J1010=""),"",MAX(0,((J1010-I1010-N(K1010))*1440-N(L1010)*10)/60)))</f>
        <v/>
      </c>
      <c r="O1010" s="73"/>
    </row>
    <row r="1011" customFormat="false" ht="15" hidden="false" customHeight="false" outlineLevel="0" collapsed="false">
      <c r="A1011" s="77"/>
      <c r="B1011" s="73"/>
      <c r="C1011" s="71" t="str">
        <f aca="false">IF(B1011="","",IFERROR(INDEX(マスタ!$F$2:$F$60,MATCH(B1011,マスタ!$E$2:$E$60,0))&amp;"",""))</f>
        <v/>
      </c>
      <c r="D1011" s="73"/>
      <c r="E1011" s="75"/>
      <c r="F1011" s="75"/>
      <c r="G1011" s="75"/>
      <c r="H1011" s="73"/>
      <c r="I1011" s="75"/>
      <c r="J1011" s="75"/>
      <c r="K1011" s="75"/>
      <c r="L1011" s="73"/>
      <c r="M1011" s="78" t="str">
        <f aca="false">IF(OR(E1011="",F1011=""),"",MAX(0,((F1011-E1011-N(G1011))*1440-N(H1011)*10)/60))</f>
        <v/>
      </c>
      <c r="N1011" s="78" t="str">
        <f aca="false">IF($D1011="欠席",0,IF(OR(I1011="",J1011=""),"",MAX(0,((J1011-I1011-N(K1011))*1440-N(L1011)*10)/60)))</f>
        <v/>
      </c>
      <c r="O1011" s="73"/>
    </row>
    <row r="1012" customFormat="false" ht="15" hidden="false" customHeight="false" outlineLevel="0" collapsed="false">
      <c r="A1012" s="77"/>
      <c r="B1012" s="73"/>
      <c r="C1012" s="71" t="str">
        <f aca="false">IF(B1012="","",IFERROR(INDEX(マスタ!$F$2:$F$60,MATCH(B1012,マスタ!$E$2:$E$60,0))&amp;"",""))</f>
        <v/>
      </c>
      <c r="D1012" s="73"/>
      <c r="E1012" s="75"/>
      <c r="F1012" s="75"/>
      <c r="G1012" s="75"/>
      <c r="H1012" s="73"/>
      <c r="I1012" s="75"/>
      <c r="J1012" s="75"/>
      <c r="K1012" s="75"/>
      <c r="L1012" s="73"/>
      <c r="M1012" s="78" t="str">
        <f aca="false">IF(OR(E1012="",F1012=""),"",MAX(0,((F1012-E1012-N(G1012))*1440-N(H1012)*10)/60))</f>
        <v/>
      </c>
      <c r="N1012" s="78" t="str">
        <f aca="false">IF($D1012="欠席",0,IF(OR(I1012="",J1012=""),"",MAX(0,((J1012-I1012-N(K1012))*1440-N(L1012)*10)/60)))</f>
        <v/>
      </c>
      <c r="O1012" s="73"/>
    </row>
    <row r="1013" customFormat="false" ht="15" hidden="false" customHeight="false" outlineLevel="0" collapsed="false">
      <c r="A1013" s="77"/>
      <c r="B1013" s="73"/>
      <c r="C1013" s="71" t="str">
        <f aca="false">IF(B1013="","",IFERROR(INDEX(マスタ!$F$2:$F$60,MATCH(B1013,マスタ!$E$2:$E$60,0))&amp;"",""))</f>
        <v/>
      </c>
      <c r="D1013" s="73"/>
      <c r="E1013" s="75"/>
      <c r="F1013" s="75"/>
      <c r="G1013" s="75"/>
      <c r="H1013" s="73"/>
      <c r="I1013" s="75"/>
      <c r="J1013" s="75"/>
      <c r="K1013" s="75"/>
      <c r="L1013" s="73"/>
      <c r="M1013" s="78" t="str">
        <f aca="false">IF(OR(E1013="",F1013=""),"",MAX(0,((F1013-E1013-N(G1013))*1440-N(H1013)*10)/60))</f>
        <v/>
      </c>
      <c r="N1013" s="78" t="str">
        <f aca="false">IF($D1013="欠席",0,IF(OR(I1013="",J1013=""),"",MAX(0,((J1013-I1013-N(K1013))*1440-N(L1013)*10)/60)))</f>
        <v/>
      </c>
      <c r="O1013" s="73"/>
    </row>
    <row r="1014" customFormat="false" ht="15" hidden="false" customHeight="false" outlineLevel="0" collapsed="false">
      <c r="A1014" s="77"/>
      <c r="B1014" s="73"/>
      <c r="C1014" s="71" t="str">
        <f aca="false">IF(B1014="","",IFERROR(INDEX(マスタ!$F$2:$F$60,MATCH(B1014,マスタ!$E$2:$E$60,0))&amp;"",""))</f>
        <v/>
      </c>
      <c r="D1014" s="73"/>
      <c r="E1014" s="75"/>
      <c r="F1014" s="75"/>
      <c r="G1014" s="75"/>
      <c r="H1014" s="73"/>
      <c r="I1014" s="75"/>
      <c r="J1014" s="75"/>
      <c r="K1014" s="75"/>
      <c r="L1014" s="73"/>
      <c r="M1014" s="78" t="str">
        <f aca="false">IF(OR(E1014="",F1014=""),"",MAX(0,((F1014-E1014-N(G1014))*1440-N(H1014)*10)/60))</f>
        <v/>
      </c>
      <c r="N1014" s="78" t="str">
        <f aca="false">IF($D1014="欠席",0,IF(OR(I1014="",J1014=""),"",MAX(0,((J1014-I1014-N(K1014))*1440-N(L1014)*10)/60)))</f>
        <v/>
      </c>
      <c r="O1014" s="73"/>
    </row>
    <row r="1015" customFormat="false" ht="15" hidden="false" customHeight="false" outlineLevel="0" collapsed="false">
      <c r="A1015" s="77"/>
      <c r="B1015" s="73"/>
      <c r="C1015" s="71" t="str">
        <f aca="false">IF(B1015="","",IFERROR(INDEX(マスタ!$F$2:$F$60,MATCH(B1015,マスタ!$E$2:$E$60,0))&amp;"",""))</f>
        <v/>
      </c>
      <c r="D1015" s="73"/>
      <c r="E1015" s="75"/>
      <c r="F1015" s="75"/>
      <c r="G1015" s="75"/>
      <c r="H1015" s="73"/>
      <c r="I1015" s="75"/>
      <c r="J1015" s="75"/>
      <c r="K1015" s="75"/>
      <c r="L1015" s="73"/>
      <c r="M1015" s="78" t="str">
        <f aca="false">IF(OR(E1015="",F1015=""),"",MAX(0,((F1015-E1015-N(G1015))*1440-N(H1015)*10)/60))</f>
        <v/>
      </c>
      <c r="N1015" s="78" t="str">
        <f aca="false">IF($D1015="欠席",0,IF(OR(I1015="",J1015=""),"",MAX(0,((J1015-I1015-N(K1015))*1440-N(L1015)*10)/60)))</f>
        <v/>
      </c>
      <c r="O1015" s="73"/>
    </row>
    <row r="1016" customFormat="false" ht="15" hidden="false" customHeight="false" outlineLevel="0" collapsed="false">
      <c r="A1016" s="77"/>
      <c r="B1016" s="73"/>
      <c r="C1016" s="71" t="str">
        <f aca="false">IF(B1016="","",IFERROR(INDEX(マスタ!$F$2:$F$60,MATCH(B1016,マスタ!$E$2:$E$60,0))&amp;"",""))</f>
        <v/>
      </c>
      <c r="D1016" s="73"/>
      <c r="E1016" s="75"/>
      <c r="F1016" s="75"/>
      <c r="G1016" s="75"/>
      <c r="H1016" s="73"/>
      <c r="I1016" s="75"/>
      <c r="J1016" s="75"/>
      <c r="K1016" s="75"/>
      <c r="L1016" s="73"/>
      <c r="M1016" s="78" t="str">
        <f aca="false">IF(OR(E1016="",F1016=""),"",MAX(0,((F1016-E1016-N(G1016))*1440-N(H1016)*10)/60))</f>
        <v/>
      </c>
      <c r="N1016" s="78" t="str">
        <f aca="false">IF($D1016="欠席",0,IF(OR(I1016="",J1016=""),"",MAX(0,((J1016-I1016-N(K1016))*1440-N(L1016)*10)/60)))</f>
        <v/>
      </c>
      <c r="O1016" s="73"/>
    </row>
    <row r="1017" customFormat="false" ht="15" hidden="false" customHeight="false" outlineLevel="0" collapsed="false">
      <c r="A1017" s="77"/>
      <c r="B1017" s="73"/>
      <c r="C1017" s="71" t="str">
        <f aca="false">IF(B1017="","",IFERROR(INDEX(マスタ!$F$2:$F$60,MATCH(B1017,マスタ!$E$2:$E$60,0))&amp;"",""))</f>
        <v/>
      </c>
      <c r="D1017" s="73"/>
      <c r="E1017" s="75"/>
      <c r="F1017" s="75"/>
      <c r="G1017" s="75"/>
      <c r="H1017" s="73"/>
      <c r="I1017" s="75"/>
      <c r="J1017" s="75"/>
      <c r="K1017" s="75"/>
      <c r="L1017" s="73"/>
      <c r="M1017" s="78" t="str">
        <f aca="false">IF(OR(E1017="",F1017=""),"",MAX(0,((F1017-E1017-N(G1017))*1440-N(H1017)*10)/60))</f>
        <v/>
      </c>
      <c r="N1017" s="78" t="str">
        <f aca="false">IF($D1017="欠席",0,IF(OR(I1017="",J1017=""),"",MAX(0,((J1017-I1017-N(K1017))*1440-N(L1017)*10)/60)))</f>
        <v/>
      </c>
      <c r="O1017" s="73"/>
    </row>
    <row r="1018" customFormat="false" ht="15" hidden="false" customHeight="false" outlineLevel="0" collapsed="false">
      <c r="A1018" s="77"/>
      <c r="B1018" s="73"/>
      <c r="C1018" s="71" t="str">
        <f aca="false">IF(B1018="","",IFERROR(INDEX(マスタ!$F$2:$F$60,MATCH(B1018,マスタ!$E$2:$E$60,0))&amp;"",""))</f>
        <v/>
      </c>
      <c r="D1018" s="73"/>
      <c r="E1018" s="75"/>
      <c r="F1018" s="75"/>
      <c r="G1018" s="75"/>
      <c r="H1018" s="73"/>
      <c r="I1018" s="75"/>
      <c r="J1018" s="75"/>
      <c r="K1018" s="75"/>
      <c r="L1018" s="73"/>
      <c r="M1018" s="78" t="str">
        <f aca="false">IF(OR(E1018="",F1018=""),"",MAX(0,((F1018-E1018-N(G1018))*1440-N(H1018)*10)/60))</f>
        <v/>
      </c>
      <c r="N1018" s="78" t="str">
        <f aca="false">IF($D1018="欠席",0,IF(OR(I1018="",J1018=""),"",MAX(0,((J1018-I1018-N(K1018))*1440-N(L1018)*10)/60)))</f>
        <v/>
      </c>
      <c r="O1018" s="73"/>
    </row>
    <row r="1019" customFormat="false" ht="15" hidden="false" customHeight="false" outlineLevel="0" collapsed="false">
      <c r="A1019" s="77"/>
      <c r="B1019" s="73"/>
      <c r="C1019" s="71" t="str">
        <f aca="false">IF(B1019="","",IFERROR(INDEX(マスタ!$F$2:$F$60,MATCH(B1019,マスタ!$E$2:$E$60,0))&amp;"",""))</f>
        <v/>
      </c>
      <c r="D1019" s="73"/>
      <c r="E1019" s="75"/>
      <c r="F1019" s="75"/>
      <c r="G1019" s="75"/>
      <c r="H1019" s="73"/>
      <c r="I1019" s="75"/>
      <c r="J1019" s="75"/>
      <c r="K1019" s="75"/>
      <c r="L1019" s="73"/>
      <c r="M1019" s="78" t="str">
        <f aca="false">IF(OR(E1019="",F1019=""),"",MAX(0,((F1019-E1019-N(G1019))*1440-N(H1019)*10)/60))</f>
        <v/>
      </c>
      <c r="N1019" s="78" t="str">
        <f aca="false">IF($D1019="欠席",0,IF(OR(I1019="",J1019=""),"",MAX(0,((J1019-I1019-N(K1019))*1440-N(L1019)*10)/60)))</f>
        <v/>
      </c>
      <c r="O1019" s="73"/>
    </row>
    <row r="1020" customFormat="false" ht="15" hidden="false" customHeight="false" outlineLevel="0" collapsed="false">
      <c r="A1020" s="77"/>
      <c r="B1020" s="73"/>
      <c r="C1020" s="71" t="str">
        <f aca="false">IF(B1020="","",IFERROR(INDEX(マスタ!$F$2:$F$60,MATCH(B1020,マスタ!$E$2:$E$60,0))&amp;"",""))</f>
        <v/>
      </c>
      <c r="D1020" s="73"/>
      <c r="E1020" s="75"/>
      <c r="F1020" s="75"/>
      <c r="G1020" s="75"/>
      <c r="H1020" s="73"/>
      <c r="I1020" s="75"/>
      <c r="J1020" s="75"/>
      <c r="K1020" s="75"/>
      <c r="L1020" s="73"/>
      <c r="M1020" s="78" t="str">
        <f aca="false">IF(OR(E1020="",F1020=""),"",MAX(0,((F1020-E1020-N(G1020))*1440-N(H1020)*10)/60))</f>
        <v/>
      </c>
      <c r="N1020" s="78" t="str">
        <f aca="false">IF($D1020="欠席",0,IF(OR(I1020="",J1020=""),"",MAX(0,((J1020-I1020-N(K1020))*1440-N(L1020)*10)/60)))</f>
        <v/>
      </c>
      <c r="O1020" s="73"/>
    </row>
    <row r="1021" customFormat="false" ht="15" hidden="false" customHeight="false" outlineLevel="0" collapsed="false">
      <c r="A1021" s="77"/>
      <c r="B1021" s="73"/>
      <c r="C1021" s="71" t="str">
        <f aca="false">IF(B1021="","",IFERROR(INDEX(マスタ!$F$2:$F$60,MATCH(B1021,マスタ!$E$2:$E$60,0))&amp;"",""))</f>
        <v/>
      </c>
      <c r="D1021" s="73"/>
      <c r="E1021" s="75"/>
      <c r="F1021" s="75"/>
      <c r="G1021" s="75"/>
      <c r="H1021" s="73"/>
      <c r="I1021" s="75"/>
      <c r="J1021" s="75"/>
      <c r="K1021" s="75"/>
      <c r="L1021" s="73"/>
      <c r="M1021" s="78" t="str">
        <f aca="false">IF(OR(E1021="",F1021=""),"",MAX(0,((F1021-E1021-N(G1021))*1440-N(H1021)*10)/60))</f>
        <v/>
      </c>
      <c r="N1021" s="78" t="str">
        <f aca="false">IF($D1021="欠席",0,IF(OR(I1021="",J1021=""),"",MAX(0,((J1021-I1021-N(K1021))*1440-N(L1021)*10)/60)))</f>
        <v/>
      </c>
      <c r="O1021" s="73"/>
    </row>
    <row r="1022" customFormat="false" ht="15" hidden="false" customHeight="false" outlineLevel="0" collapsed="false">
      <c r="A1022" s="77"/>
      <c r="B1022" s="73"/>
      <c r="C1022" s="71" t="str">
        <f aca="false">IF(B1022="","",IFERROR(INDEX(マスタ!$F$2:$F$60,MATCH(B1022,マスタ!$E$2:$E$60,0))&amp;"",""))</f>
        <v/>
      </c>
      <c r="D1022" s="73"/>
      <c r="E1022" s="75"/>
      <c r="F1022" s="75"/>
      <c r="G1022" s="75"/>
      <c r="H1022" s="73"/>
      <c r="I1022" s="75"/>
      <c r="J1022" s="75"/>
      <c r="K1022" s="75"/>
      <c r="L1022" s="73"/>
      <c r="M1022" s="78" t="str">
        <f aca="false">IF(OR(E1022="",F1022=""),"",MAX(0,((F1022-E1022-N(G1022))*1440-N(H1022)*10)/60))</f>
        <v/>
      </c>
      <c r="N1022" s="78" t="str">
        <f aca="false">IF($D1022="欠席",0,IF(OR(I1022="",J1022=""),"",MAX(0,((J1022-I1022-N(K1022))*1440-N(L1022)*10)/60)))</f>
        <v/>
      </c>
      <c r="O1022" s="73"/>
    </row>
    <row r="1023" customFormat="false" ht="15" hidden="false" customHeight="false" outlineLevel="0" collapsed="false">
      <c r="A1023" s="77"/>
      <c r="B1023" s="73"/>
      <c r="C1023" s="71" t="str">
        <f aca="false">IF(B1023="","",IFERROR(INDEX(マスタ!$F$2:$F$60,MATCH(B1023,マスタ!$E$2:$E$60,0))&amp;"",""))</f>
        <v/>
      </c>
      <c r="D1023" s="73"/>
      <c r="E1023" s="75"/>
      <c r="F1023" s="75"/>
      <c r="G1023" s="75"/>
      <c r="H1023" s="73"/>
      <c r="I1023" s="75"/>
      <c r="J1023" s="75"/>
      <c r="K1023" s="75"/>
      <c r="L1023" s="73"/>
      <c r="M1023" s="78" t="str">
        <f aca="false">IF(OR(E1023="",F1023=""),"",MAX(0,((F1023-E1023-N(G1023))*1440-N(H1023)*10)/60))</f>
        <v/>
      </c>
      <c r="N1023" s="78" t="str">
        <f aca="false">IF($D1023="欠席",0,IF(OR(I1023="",J1023=""),"",MAX(0,((J1023-I1023-N(K1023))*1440-N(L1023)*10)/60)))</f>
        <v/>
      </c>
      <c r="O1023" s="73"/>
    </row>
    <row r="1024" customFormat="false" ht="15" hidden="false" customHeight="false" outlineLevel="0" collapsed="false">
      <c r="A1024" s="77"/>
      <c r="B1024" s="73"/>
      <c r="C1024" s="71" t="str">
        <f aca="false">IF(B1024="","",IFERROR(INDEX(マスタ!$F$2:$F$60,MATCH(B1024,マスタ!$E$2:$E$60,0))&amp;"",""))</f>
        <v/>
      </c>
      <c r="D1024" s="73"/>
      <c r="E1024" s="75"/>
      <c r="F1024" s="75"/>
      <c r="G1024" s="75"/>
      <c r="H1024" s="73"/>
      <c r="I1024" s="75"/>
      <c r="J1024" s="75"/>
      <c r="K1024" s="75"/>
      <c r="L1024" s="73"/>
      <c r="M1024" s="78" t="str">
        <f aca="false">IF(OR(E1024="",F1024=""),"",MAX(0,((F1024-E1024-N(G1024))*1440-N(H1024)*10)/60))</f>
        <v/>
      </c>
      <c r="N1024" s="78" t="str">
        <f aca="false">IF($D1024="欠席",0,IF(OR(I1024="",J1024=""),"",MAX(0,((J1024-I1024-N(K1024))*1440-N(L1024)*10)/60)))</f>
        <v/>
      </c>
      <c r="O1024" s="73"/>
    </row>
    <row r="1025" customFormat="false" ht="15" hidden="false" customHeight="false" outlineLevel="0" collapsed="false">
      <c r="A1025" s="77"/>
      <c r="B1025" s="73"/>
      <c r="C1025" s="71" t="str">
        <f aca="false">IF(B1025="","",IFERROR(INDEX(マスタ!$F$2:$F$60,MATCH(B1025,マスタ!$E$2:$E$60,0))&amp;"",""))</f>
        <v/>
      </c>
      <c r="D1025" s="73"/>
      <c r="E1025" s="75"/>
      <c r="F1025" s="75"/>
      <c r="G1025" s="75"/>
      <c r="H1025" s="73"/>
      <c r="I1025" s="75"/>
      <c r="J1025" s="75"/>
      <c r="K1025" s="75"/>
      <c r="L1025" s="73"/>
      <c r="M1025" s="78" t="str">
        <f aca="false">IF(OR(E1025="",F1025=""),"",MAX(0,((F1025-E1025-N(G1025))*1440-N(H1025)*10)/60))</f>
        <v/>
      </c>
      <c r="N1025" s="78" t="str">
        <f aca="false">IF($D1025="欠席",0,IF(OR(I1025="",J1025=""),"",MAX(0,((J1025-I1025-N(K1025))*1440-N(L1025)*10)/60)))</f>
        <v/>
      </c>
      <c r="O1025" s="73"/>
    </row>
    <row r="1026" customFormat="false" ht="15" hidden="false" customHeight="false" outlineLevel="0" collapsed="false">
      <c r="A1026" s="77"/>
      <c r="B1026" s="73"/>
      <c r="C1026" s="71" t="str">
        <f aca="false">IF(B1026="","",IFERROR(INDEX(マスタ!$F$2:$F$60,MATCH(B1026,マスタ!$E$2:$E$60,0))&amp;"",""))</f>
        <v/>
      </c>
      <c r="D1026" s="73"/>
      <c r="E1026" s="75"/>
      <c r="F1026" s="75"/>
      <c r="G1026" s="75"/>
      <c r="H1026" s="73"/>
      <c r="I1026" s="75"/>
      <c r="J1026" s="75"/>
      <c r="K1026" s="75"/>
      <c r="L1026" s="73"/>
      <c r="M1026" s="78" t="str">
        <f aca="false">IF(OR(E1026="",F1026=""),"",MAX(0,((F1026-E1026-N(G1026))*1440-N(H1026)*10)/60))</f>
        <v/>
      </c>
      <c r="N1026" s="78" t="str">
        <f aca="false">IF($D1026="欠席",0,IF(OR(I1026="",J1026=""),"",MAX(0,((J1026-I1026-N(K1026))*1440-N(L1026)*10)/60)))</f>
        <v/>
      </c>
      <c r="O1026" s="73"/>
    </row>
    <row r="1027" customFormat="false" ht="15" hidden="false" customHeight="false" outlineLevel="0" collapsed="false">
      <c r="A1027" s="77"/>
      <c r="B1027" s="73"/>
      <c r="C1027" s="71" t="str">
        <f aca="false">IF(B1027="","",IFERROR(INDEX(マスタ!$F$2:$F$60,MATCH(B1027,マスタ!$E$2:$E$60,0))&amp;"",""))</f>
        <v/>
      </c>
      <c r="D1027" s="73"/>
      <c r="E1027" s="75"/>
      <c r="F1027" s="75"/>
      <c r="G1027" s="75"/>
      <c r="H1027" s="73"/>
      <c r="I1027" s="75"/>
      <c r="J1027" s="75"/>
      <c r="K1027" s="75"/>
      <c r="L1027" s="73"/>
      <c r="M1027" s="78" t="str">
        <f aca="false">IF(OR(E1027="",F1027=""),"",MAX(0,((F1027-E1027-N(G1027))*1440-N(H1027)*10)/60))</f>
        <v/>
      </c>
      <c r="N1027" s="78" t="str">
        <f aca="false">IF($D1027="欠席",0,IF(OR(I1027="",J1027=""),"",MAX(0,((J1027-I1027-N(K1027))*1440-N(L1027)*10)/60)))</f>
        <v/>
      </c>
      <c r="O1027" s="73"/>
    </row>
    <row r="1028" customFormat="false" ht="15" hidden="false" customHeight="false" outlineLevel="0" collapsed="false">
      <c r="A1028" s="77"/>
      <c r="B1028" s="73"/>
      <c r="C1028" s="71" t="str">
        <f aca="false">IF(B1028="","",IFERROR(INDEX(マスタ!$F$2:$F$60,MATCH(B1028,マスタ!$E$2:$E$60,0))&amp;"",""))</f>
        <v/>
      </c>
      <c r="D1028" s="73"/>
      <c r="E1028" s="75"/>
      <c r="F1028" s="75"/>
      <c r="G1028" s="75"/>
      <c r="H1028" s="73"/>
      <c r="I1028" s="75"/>
      <c r="J1028" s="75"/>
      <c r="K1028" s="75"/>
      <c r="L1028" s="73"/>
      <c r="M1028" s="78" t="str">
        <f aca="false">IF(OR(E1028="",F1028=""),"",MAX(0,((F1028-E1028-N(G1028))*1440-N(H1028)*10)/60))</f>
        <v/>
      </c>
      <c r="N1028" s="78" t="str">
        <f aca="false">IF($D1028="欠席",0,IF(OR(I1028="",J1028=""),"",MAX(0,((J1028-I1028-N(K1028))*1440-N(L1028)*10)/60)))</f>
        <v/>
      </c>
      <c r="O1028" s="73"/>
    </row>
    <row r="1029" customFormat="false" ht="15" hidden="false" customHeight="false" outlineLevel="0" collapsed="false">
      <c r="A1029" s="77"/>
      <c r="B1029" s="73"/>
      <c r="C1029" s="71" t="str">
        <f aca="false">IF(B1029="","",IFERROR(INDEX(マスタ!$F$2:$F$60,MATCH(B1029,マスタ!$E$2:$E$60,0))&amp;"",""))</f>
        <v/>
      </c>
      <c r="D1029" s="73"/>
      <c r="E1029" s="75"/>
      <c r="F1029" s="75"/>
      <c r="G1029" s="75"/>
      <c r="H1029" s="73"/>
      <c r="I1029" s="75"/>
      <c r="J1029" s="75"/>
      <c r="K1029" s="75"/>
      <c r="L1029" s="73"/>
      <c r="M1029" s="78" t="str">
        <f aca="false">IF(OR(E1029="",F1029=""),"",MAX(0,((F1029-E1029-N(G1029))*1440-N(H1029)*10)/60))</f>
        <v/>
      </c>
      <c r="N1029" s="78" t="str">
        <f aca="false">IF($D1029="欠席",0,IF(OR(I1029="",J1029=""),"",MAX(0,((J1029-I1029-N(K1029))*1440-N(L1029)*10)/60)))</f>
        <v/>
      </c>
      <c r="O1029" s="73"/>
    </row>
    <row r="1030" customFormat="false" ht="15" hidden="false" customHeight="false" outlineLevel="0" collapsed="false">
      <c r="A1030" s="77"/>
      <c r="B1030" s="73"/>
      <c r="C1030" s="71" t="str">
        <f aca="false">IF(B1030="","",IFERROR(INDEX(マスタ!$F$2:$F$60,MATCH(B1030,マスタ!$E$2:$E$60,0))&amp;"",""))</f>
        <v/>
      </c>
      <c r="D1030" s="73"/>
      <c r="E1030" s="75"/>
      <c r="F1030" s="75"/>
      <c r="G1030" s="75"/>
      <c r="H1030" s="73"/>
      <c r="I1030" s="75"/>
      <c r="J1030" s="75"/>
      <c r="K1030" s="75"/>
      <c r="L1030" s="73"/>
      <c r="M1030" s="78" t="str">
        <f aca="false">IF(OR(E1030="",F1030=""),"",MAX(0,((F1030-E1030-N(G1030))*1440-N(H1030)*10)/60))</f>
        <v/>
      </c>
      <c r="N1030" s="78" t="str">
        <f aca="false">IF($D1030="欠席",0,IF(OR(I1030="",J1030=""),"",MAX(0,((J1030-I1030-N(K1030))*1440-N(L1030)*10)/60)))</f>
        <v/>
      </c>
      <c r="O1030" s="73"/>
    </row>
    <row r="1031" customFormat="false" ht="15" hidden="false" customHeight="false" outlineLevel="0" collapsed="false">
      <c r="A1031" s="77"/>
      <c r="B1031" s="73"/>
      <c r="C1031" s="71" t="str">
        <f aca="false">IF(B1031="","",IFERROR(INDEX(マスタ!$F$2:$F$60,MATCH(B1031,マスタ!$E$2:$E$60,0))&amp;"",""))</f>
        <v/>
      </c>
      <c r="D1031" s="73"/>
      <c r="E1031" s="75"/>
      <c r="F1031" s="75"/>
      <c r="G1031" s="75"/>
      <c r="H1031" s="73"/>
      <c r="I1031" s="75"/>
      <c r="J1031" s="75"/>
      <c r="K1031" s="75"/>
      <c r="L1031" s="73"/>
      <c r="M1031" s="78" t="str">
        <f aca="false">IF(OR(E1031="",F1031=""),"",MAX(0,((F1031-E1031-N(G1031))*1440-N(H1031)*10)/60))</f>
        <v/>
      </c>
      <c r="N1031" s="78" t="str">
        <f aca="false">IF($D1031="欠席",0,IF(OR(I1031="",J1031=""),"",MAX(0,((J1031-I1031-N(K1031))*1440-N(L1031)*10)/60)))</f>
        <v/>
      </c>
      <c r="O1031" s="73"/>
    </row>
    <row r="1032" customFormat="false" ht="15" hidden="false" customHeight="false" outlineLevel="0" collapsed="false">
      <c r="A1032" s="77"/>
      <c r="B1032" s="73"/>
      <c r="C1032" s="71" t="str">
        <f aca="false">IF(B1032="","",IFERROR(INDEX(マスタ!$F$2:$F$60,MATCH(B1032,マスタ!$E$2:$E$60,0))&amp;"",""))</f>
        <v/>
      </c>
      <c r="D1032" s="73"/>
      <c r="E1032" s="75"/>
      <c r="F1032" s="75"/>
      <c r="G1032" s="75"/>
      <c r="H1032" s="73"/>
      <c r="I1032" s="75"/>
      <c r="J1032" s="75"/>
      <c r="K1032" s="75"/>
      <c r="L1032" s="73"/>
      <c r="M1032" s="78" t="str">
        <f aca="false">IF(OR(E1032="",F1032=""),"",MAX(0,((F1032-E1032-N(G1032))*1440-N(H1032)*10)/60))</f>
        <v/>
      </c>
      <c r="N1032" s="78" t="str">
        <f aca="false">IF($D1032="欠席",0,IF(OR(I1032="",J1032=""),"",MAX(0,((J1032-I1032-N(K1032))*1440-N(L1032)*10)/60)))</f>
        <v/>
      </c>
      <c r="O1032" s="73"/>
    </row>
    <row r="1033" customFormat="false" ht="15" hidden="false" customHeight="false" outlineLevel="0" collapsed="false">
      <c r="A1033" s="77"/>
      <c r="B1033" s="73"/>
      <c r="C1033" s="71" t="str">
        <f aca="false">IF(B1033="","",IFERROR(INDEX(マスタ!$F$2:$F$60,MATCH(B1033,マスタ!$E$2:$E$60,0))&amp;"",""))</f>
        <v/>
      </c>
      <c r="D1033" s="73"/>
      <c r="E1033" s="75"/>
      <c r="F1033" s="75"/>
      <c r="G1033" s="75"/>
      <c r="H1033" s="73"/>
      <c r="I1033" s="75"/>
      <c r="J1033" s="75"/>
      <c r="K1033" s="75"/>
      <c r="L1033" s="73"/>
      <c r="M1033" s="78" t="str">
        <f aca="false">IF(OR(E1033="",F1033=""),"",MAX(0,((F1033-E1033-N(G1033))*1440-N(H1033)*10)/60))</f>
        <v/>
      </c>
      <c r="N1033" s="78" t="str">
        <f aca="false">IF($D1033="欠席",0,IF(OR(I1033="",J1033=""),"",MAX(0,((J1033-I1033-N(K1033))*1440-N(L1033)*10)/60)))</f>
        <v/>
      </c>
      <c r="O1033" s="73"/>
    </row>
    <row r="1034" customFormat="false" ht="15" hidden="false" customHeight="false" outlineLevel="0" collapsed="false">
      <c r="A1034" s="77"/>
      <c r="B1034" s="73"/>
      <c r="C1034" s="71" t="str">
        <f aca="false">IF(B1034="","",IFERROR(INDEX(マスタ!$F$2:$F$60,MATCH(B1034,マスタ!$E$2:$E$60,0))&amp;"",""))</f>
        <v/>
      </c>
      <c r="D1034" s="73"/>
      <c r="E1034" s="75"/>
      <c r="F1034" s="75"/>
      <c r="G1034" s="75"/>
      <c r="H1034" s="73"/>
      <c r="I1034" s="75"/>
      <c r="J1034" s="75"/>
      <c r="K1034" s="75"/>
      <c r="L1034" s="73"/>
      <c r="M1034" s="78" t="str">
        <f aca="false">IF(OR(E1034="",F1034=""),"",MAX(0,((F1034-E1034-N(G1034))*1440-N(H1034)*10)/60))</f>
        <v/>
      </c>
      <c r="N1034" s="78" t="str">
        <f aca="false">IF($D1034="欠席",0,IF(OR(I1034="",J1034=""),"",MAX(0,((J1034-I1034-N(K1034))*1440-N(L1034)*10)/60)))</f>
        <v/>
      </c>
      <c r="O1034" s="73"/>
    </row>
    <row r="1035" customFormat="false" ht="15" hidden="false" customHeight="false" outlineLevel="0" collapsed="false">
      <c r="A1035" s="77"/>
      <c r="B1035" s="73"/>
      <c r="C1035" s="71" t="str">
        <f aca="false">IF(B1035="","",IFERROR(INDEX(マスタ!$F$2:$F$60,MATCH(B1035,マスタ!$E$2:$E$60,0))&amp;"",""))</f>
        <v/>
      </c>
      <c r="D1035" s="73"/>
      <c r="E1035" s="75"/>
      <c r="F1035" s="75"/>
      <c r="G1035" s="75"/>
      <c r="H1035" s="73"/>
      <c r="I1035" s="75"/>
      <c r="J1035" s="75"/>
      <c r="K1035" s="75"/>
      <c r="L1035" s="73"/>
      <c r="M1035" s="78" t="str">
        <f aca="false">IF(OR(E1035="",F1035=""),"",MAX(0,((F1035-E1035-N(G1035))*1440-N(H1035)*10)/60))</f>
        <v/>
      </c>
      <c r="N1035" s="78" t="str">
        <f aca="false">IF($D1035="欠席",0,IF(OR(I1035="",J1035=""),"",MAX(0,((J1035-I1035-N(K1035))*1440-N(L1035)*10)/60)))</f>
        <v/>
      </c>
      <c r="O1035" s="73"/>
    </row>
    <row r="1036" customFormat="false" ht="15" hidden="false" customHeight="false" outlineLevel="0" collapsed="false">
      <c r="A1036" s="77"/>
      <c r="B1036" s="73"/>
      <c r="C1036" s="71" t="str">
        <f aca="false">IF(B1036="","",IFERROR(INDEX(マスタ!$F$2:$F$60,MATCH(B1036,マスタ!$E$2:$E$60,0))&amp;"",""))</f>
        <v/>
      </c>
      <c r="D1036" s="73"/>
      <c r="E1036" s="75"/>
      <c r="F1036" s="75"/>
      <c r="G1036" s="75"/>
      <c r="H1036" s="73"/>
      <c r="I1036" s="75"/>
      <c r="J1036" s="75"/>
      <c r="K1036" s="75"/>
      <c r="L1036" s="73"/>
      <c r="M1036" s="78" t="str">
        <f aca="false">IF(OR(E1036="",F1036=""),"",MAX(0,((F1036-E1036-N(G1036))*1440-N(H1036)*10)/60))</f>
        <v/>
      </c>
      <c r="N1036" s="78" t="str">
        <f aca="false">IF($D1036="欠席",0,IF(OR(I1036="",J1036=""),"",MAX(0,((J1036-I1036-N(K1036))*1440-N(L1036)*10)/60)))</f>
        <v/>
      </c>
      <c r="O1036" s="73"/>
    </row>
    <row r="1037" customFormat="false" ht="15" hidden="false" customHeight="false" outlineLevel="0" collapsed="false">
      <c r="A1037" s="77"/>
      <c r="B1037" s="73"/>
      <c r="C1037" s="71" t="str">
        <f aca="false">IF(B1037="","",IFERROR(INDEX(マスタ!$F$2:$F$60,MATCH(B1037,マスタ!$E$2:$E$60,0))&amp;"",""))</f>
        <v/>
      </c>
      <c r="D1037" s="73"/>
      <c r="E1037" s="75"/>
      <c r="F1037" s="75"/>
      <c r="G1037" s="75"/>
      <c r="H1037" s="73"/>
      <c r="I1037" s="75"/>
      <c r="J1037" s="75"/>
      <c r="K1037" s="75"/>
      <c r="L1037" s="73"/>
      <c r="M1037" s="78" t="str">
        <f aca="false">IF(OR(E1037="",F1037=""),"",MAX(0,((F1037-E1037-N(G1037))*1440-N(H1037)*10)/60))</f>
        <v/>
      </c>
      <c r="N1037" s="78" t="str">
        <f aca="false">IF($D1037="欠席",0,IF(OR(I1037="",J1037=""),"",MAX(0,((J1037-I1037-N(K1037))*1440-N(L1037)*10)/60)))</f>
        <v/>
      </c>
      <c r="O1037" s="73"/>
    </row>
    <row r="1038" customFormat="false" ht="15" hidden="false" customHeight="false" outlineLevel="0" collapsed="false">
      <c r="A1038" s="77"/>
      <c r="B1038" s="73"/>
      <c r="C1038" s="71" t="str">
        <f aca="false">IF(B1038="","",IFERROR(INDEX(マスタ!$F$2:$F$60,MATCH(B1038,マスタ!$E$2:$E$60,0))&amp;"",""))</f>
        <v/>
      </c>
      <c r="D1038" s="73"/>
      <c r="E1038" s="75"/>
      <c r="F1038" s="75"/>
      <c r="G1038" s="75"/>
      <c r="H1038" s="73"/>
      <c r="I1038" s="75"/>
      <c r="J1038" s="75"/>
      <c r="K1038" s="75"/>
      <c r="L1038" s="73"/>
      <c r="M1038" s="78" t="str">
        <f aca="false">IF(OR(E1038="",F1038=""),"",MAX(0,((F1038-E1038-N(G1038))*1440-N(H1038)*10)/60))</f>
        <v/>
      </c>
      <c r="N1038" s="78" t="str">
        <f aca="false">IF($D1038="欠席",0,IF(OR(I1038="",J1038=""),"",MAX(0,((J1038-I1038-N(K1038))*1440-N(L1038)*10)/60)))</f>
        <v/>
      </c>
      <c r="O1038" s="73"/>
    </row>
    <row r="1039" customFormat="false" ht="15" hidden="false" customHeight="false" outlineLevel="0" collapsed="false">
      <c r="A1039" s="77"/>
      <c r="B1039" s="73"/>
      <c r="C1039" s="71" t="str">
        <f aca="false">IF(B1039="","",IFERROR(INDEX(マスタ!$F$2:$F$60,MATCH(B1039,マスタ!$E$2:$E$60,0))&amp;"",""))</f>
        <v/>
      </c>
      <c r="D1039" s="73"/>
      <c r="E1039" s="75"/>
      <c r="F1039" s="75"/>
      <c r="G1039" s="75"/>
      <c r="H1039" s="73"/>
      <c r="I1039" s="75"/>
      <c r="J1039" s="75"/>
      <c r="K1039" s="75"/>
      <c r="L1039" s="73"/>
      <c r="M1039" s="78" t="str">
        <f aca="false">IF(OR(E1039="",F1039=""),"",MAX(0,((F1039-E1039-N(G1039))*1440-N(H1039)*10)/60))</f>
        <v/>
      </c>
      <c r="N1039" s="78" t="str">
        <f aca="false">IF($D1039="欠席",0,IF(OR(I1039="",J1039=""),"",MAX(0,((J1039-I1039-N(K1039))*1440-N(L1039)*10)/60)))</f>
        <v/>
      </c>
      <c r="O1039" s="73"/>
    </row>
    <row r="1040" customFormat="false" ht="15" hidden="false" customHeight="false" outlineLevel="0" collapsed="false">
      <c r="A1040" s="77"/>
      <c r="B1040" s="73"/>
      <c r="C1040" s="71" t="str">
        <f aca="false">IF(B1040="","",IFERROR(INDEX(マスタ!$F$2:$F$60,MATCH(B1040,マスタ!$E$2:$E$60,0))&amp;"",""))</f>
        <v/>
      </c>
      <c r="D1040" s="73"/>
      <c r="E1040" s="75"/>
      <c r="F1040" s="75"/>
      <c r="G1040" s="75"/>
      <c r="H1040" s="73"/>
      <c r="I1040" s="75"/>
      <c r="J1040" s="75"/>
      <c r="K1040" s="75"/>
      <c r="L1040" s="73"/>
      <c r="M1040" s="78" t="str">
        <f aca="false">IF(OR(E1040="",F1040=""),"",MAX(0,((F1040-E1040-N(G1040))*1440-N(H1040)*10)/60))</f>
        <v/>
      </c>
      <c r="N1040" s="78" t="str">
        <f aca="false">IF($D1040="欠席",0,IF(OR(I1040="",J1040=""),"",MAX(0,((J1040-I1040-N(K1040))*1440-N(L1040)*10)/60)))</f>
        <v/>
      </c>
      <c r="O1040" s="73"/>
    </row>
    <row r="1041" customFormat="false" ht="15" hidden="false" customHeight="false" outlineLevel="0" collapsed="false">
      <c r="A1041" s="77"/>
      <c r="B1041" s="73"/>
      <c r="C1041" s="71" t="str">
        <f aca="false">IF(B1041="","",IFERROR(INDEX(マスタ!$F$2:$F$60,MATCH(B1041,マスタ!$E$2:$E$60,0))&amp;"",""))</f>
        <v/>
      </c>
      <c r="D1041" s="73"/>
      <c r="E1041" s="75"/>
      <c r="F1041" s="75"/>
      <c r="G1041" s="75"/>
      <c r="H1041" s="73"/>
      <c r="I1041" s="75"/>
      <c r="J1041" s="75"/>
      <c r="K1041" s="75"/>
      <c r="L1041" s="73"/>
      <c r="M1041" s="78" t="str">
        <f aca="false">IF(OR(E1041="",F1041=""),"",MAX(0,((F1041-E1041-N(G1041))*1440-N(H1041)*10)/60))</f>
        <v/>
      </c>
      <c r="N1041" s="78" t="str">
        <f aca="false">IF($D1041="欠席",0,IF(OR(I1041="",J1041=""),"",MAX(0,((J1041-I1041-N(K1041))*1440-N(L1041)*10)/60)))</f>
        <v/>
      </c>
      <c r="O1041" s="73"/>
    </row>
    <row r="1042" customFormat="false" ht="15" hidden="false" customHeight="false" outlineLevel="0" collapsed="false">
      <c r="A1042" s="77"/>
      <c r="B1042" s="73"/>
      <c r="C1042" s="71" t="str">
        <f aca="false">IF(B1042="","",IFERROR(INDEX(マスタ!$F$2:$F$60,MATCH(B1042,マスタ!$E$2:$E$60,0))&amp;"",""))</f>
        <v/>
      </c>
      <c r="D1042" s="73"/>
      <c r="E1042" s="75"/>
      <c r="F1042" s="75"/>
      <c r="G1042" s="75"/>
      <c r="H1042" s="73"/>
      <c r="I1042" s="75"/>
      <c r="J1042" s="75"/>
      <c r="K1042" s="75"/>
      <c r="L1042" s="73"/>
      <c r="M1042" s="78" t="str">
        <f aca="false">IF(OR(E1042="",F1042=""),"",MAX(0,((F1042-E1042-N(G1042))*1440-N(H1042)*10)/60))</f>
        <v/>
      </c>
      <c r="N1042" s="78" t="str">
        <f aca="false">IF($D1042="欠席",0,IF(OR(I1042="",J1042=""),"",MAX(0,((J1042-I1042-N(K1042))*1440-N(L1042)*10)/60)))</f>
        <v/>
      </c>
      <c r="O1042" s="73"/>
    </row>
    <row r="1043" customFormat="false" ht="15" hidden="false" customHeight="false" outlineLevel="0" collapsed="false">
      <c r="A1043" s="77"/>
      <c r="B1043" s="73"/>
      <c r="C1043" s="71" t="str">
        <f aca="false">IF(B1043="","",IFERROR(INDEX(マスタ!$F$2:$F$60,MATCH(B1043,マスタ!$E$2:$E$60,0))&amp;"",""))</f>
        <v/>
      </c>
      <c r="D1043" s="73"/>
      <c r="E1043" s="75"/>
      <c r="F1043" s="75"/>
      <c r="G1043" s="75"/>
      <c r="H1043" s="73"/>
      <c r="I1043" s="75"/>
      <c r="J1043" s="75"/>
      <c r="K1043" s="75"/>
      <c r="L1043" s="73"/>
      <c r="M1043" s="78" t="str">
        <f aca="false">IF(OR(E1043="",F1043=""),"",MAX(0,((F1043-E1043-N(G1043))*1440-N(H1043)*10)/60))</f>
        <v/>
      </c>
      <c r="N1043" s="78" t="str">
        <f aca="false">IF($D1043="欠席",0,IF(OR(I1043="",J1043=""),"",MAX(0,((J1043-I1043-N(K1043))*1440-N(L1043)*10)/60)))</f>
        <v/>
      </c>
      <c r="O1043" s="73"/>
    </row>
    <row r="1044" customFormat="false" ht="15" hidden="false" customHeight="false" outlineLevel="0" collapsed="false">
      <c r="A1044" s="77"/>
      <c r="B1044" s="73"/>
      <c r="C1044" s="71" t="str">
        <f aca="false">IF(B1044="","",IFERROR(INDEX(マスタ!$F$2:$F$60,MATCH(B1044,マスタ!$E$2:$E$60,0))&amp;"",""))</f>
        <v/>
      </c>
      <c r="D1044" s="73"/>
      <c r="E1044" s="75"/>
      <c r="F1044" s="75"/>
      <c r="G1044" s="75"/>
      <c r="H1044" s="73"/>
      <c r="I1044" s="75"/>
      <c r="J1044" s="75"/>
      <c r="K1044" s="75"/>
      <c r="L1044" s="73"/>
      <c r="M1044" s="78" t="str">
        <f aca="false">IF(OR(E1044="",F1044=""),"",MAX(0,((F1044-E1044-N(G1044))*1440-N(H1044)*10)/60))</f>
        <v/>
      </c>
      <c r="N1044" s="78" t="str">
        <f aca="false">IF($D1044="欠席",0,IF(OR(I1044="",J1044=""),"",MAX(0,((J1044-I1044-N(K1044))*1440-N(L1044)*10)/60)))</f>
        <v/>
      </c>
      <c r="O1044" s="73"/>
    </row>
    <row r="1045" customFormat="false" ht="15" hidden="false" customHeight="false" outlineLevel="0" collapsed="false">
      <c r="A1045" s="77"/>
      <c r="B1045" s="73"/>
      <c r="C1045" s="71" t="str">
        <f aca="false">IF(B1045="","",IFERROR(INDEX(マスタ!$F$2:$F$60,MATCH(B1045,マスタ!$E$2:$E$60,0))&amp;"",""))</f>
        <v/>
      </c>
      <c r="D1045" s="73"/>
      <c r="E1045" s="75"/>
      <c r="F1045" s="75"/>
      <c r="G1045" s="75"/>
      <c r="H1045" s="73"/>
      <c r="I1045" s="75"/>
      <c r="J1045" s="75"/>
      <c r="K1045" s="75"/>
      <c r="L1045" s="73"/>
      <c r="M1045" s="78" t="str">
        <f aca="false">IF(OR(E1045="",F1045=""),"",MAX(0,((F1045-E1045-N(G1045))*1440-N(H1045)*10)/60))</f>
        <v/>
      </c>
      <c r="N1045" s="78" t="str">
        <f aca="false">IF($D1045="欠席",0,IF(OR(I1045="",J1045=""),"",MAX(0,((J1045-I1045-N(K1045))*1440-N(L1045)*10)/60)))</f>
        <v/>
      </c>
      <c r="O1045" s="73"/>
    </row>
    <row r="1046" customFormat="false" ht="15" hidden="false" customHeight="false" outlineLevel="0" collapsed="false">
      <c r="A1046" s="77"/>
      <c r="B1046" s="73"/>
      <c r="C1046" s="71" t="str">
        <f aca="false">IF(B1046="","",IFERROR(INDEX(マスタ!$F$2:$F$60,MATCH(B1046,マスタ!$E$2:$E$60,0))&amp;"",""))</f>
        <v/>
      </c>
      <c r="D1046" s="73"/>
      <c r="E1046" s="75"/>
      <c r="F1046" s="75"/>
      <c r="G1046" s="75"/>
      <c r="H1046" s="73"/>
      <c r="I1046" s="75"/>
      <c r="J1046" s="75"/>
      <c r="K1046" s="75"/>
      <c r="L1046" s="73"/>
      <c r="M1046" s="78" t="str">
        <f aca="false">IF(OR(E1046="",F1046=""),"",MAX(0,((F1046-E1046-N(G1046))*1440-N(H1046)*10)/60))</f>
        <v/>
      </c>
      <c r="N1046" s="78" t="str">
        <f aca="false">IF($D1046="欠席",0,IF(OR(I1046="",J1046=""),"",MAX(0,((J1046-I1046-N(K1046))*1440-N(L1046)*10)/60)))</f>
        <v/>
      </c>
      <c r="O1046" s="73"/>
    </row>
    <row r="1047" customFormat="false" ht="15" hidden="false" customHeight="false" outlineLevel="0" collapsed="false">
      <c r="A1047" s="77"/>
      <c r="B1047" s="73"/>
      <c r="C1047" s="71" t="str">
        <f aca="false">IF(B1047="","",IFERROR(INDEX(マスタ!$F$2:$F$60,MATCH(B1047,マスタ!$E$2:$E$60,0))&amp;"",""))</f>
        <v/>
      </c>
      <c r="D1047" s="73"/>
      <c r="E1047" s="75"/>
      <c r="F1047" s="75"/>
      <c r="G1047" s="75"/>
      <c r="H1047" s="73"/>
      <c r="I1047" s="75"/>
      <c r="J1047" s="75"/>
      <c r="K1047" s="75"/>
      <c r="L1047" s="73"/>
      <c r="M1047" s="78" t="str">
        <f aca="false">IF(OR(E1047="",F1047=""),"",MAX(0,((F1047-E1047-N(G1047))*1440-N(H1047)*10)/60))</f>
        <v/>
      </c>
      <c r="N1047" s="78" t="str">
        <f aca="false">IF($D1047="欠席",0,IF(OR(I1047="",J1047=""),"",MAX(0,((J1047-I1047-N(K1047))*1440-N(L1047)*10)/60)))</f>
        <v/>
      </c>
      <c r="O1047" s="73"/>
    </row>
    <row r="1048" customFormat="false" ht="15" hidden="false" customHeight="false" outlineLevel="0" collapsed="false">
      <c r="A1048" s="77"/>
      <c r="B1048" s="73"/>
      <c r="C1048" s="71" t="str">
        <f aca="false">IF(B1048="","",IFERROR(INDEX(マスタ!$F$2:$F$60,MATCH(B1048,マスタ!$E$2:$E$60,0))&amp;"",""))</f>
        <v/>
      </c>
      <c r="D1048" s="73"/>
      <c r="E1048" s="75"/>
      <c r="F1048" s="75"/>
      <c r="G1048" s="75"/>
      <c r="H1048" s="73"/>
      <c r="I1048" s="75"/>
      <c r="J1048" s="75"/>
      <c r="K1048" s="75"/>
      <c r="L1048" s="73"/>
      <c r="M1048" s="78" t="str">
        <f aca="false">IF(OR(E1048="",F1048=""),"",MAX(0,((F1048-E1048-N(G1048))*1440-N(H1048)*10)/60))</f>
        <v/>
      </c>
      <c r="N1048" s="78" t="str">
        <f aca="false">IF($D1048="欠席",0,IF(OR(I1048="",J1048=""),"",MAX(0,((J1048-I1048-N(K1048))*1440-N(L1048)*10)/60)))</f>
        <v/>
      </c>
      <c r="O1048" s="73"/>
    </row>
    <row r="1049" customFormat="false" ht="15" hidden="false" customHeight="false" outlineLevel="0" collapsed="false">
      <c r="A1049" s="77"/>
      <c r="B1049" s="73"/>
      <c r="C1049" s="71" t="str">
        <f aca="false">IF(B1049="","",IFERROR(INDEX(マスタ!$F$2:$F$60,MATCH(B1049,マスタ!$E$2:$E$60,0))&amp;"",""))</f>
        <v/>
      </c>
      <c r="D1049" s="73"/>
      <c r="E1049" s="75"/>
      <c r="F1049" s="75"/>
      <c r="G1049" s="75"/>
      <c r="H1049" s="73"/>
      <c r="I1049" s="75"/>
      <c r="J1049" s="75"/>
      <c r="K1049" s="75"/>
      <c r="L1049" s="73"/>
      <c r="M1049" s="78" t="str">
        <f aca="false">IF(OR(E1049="",F1049=""),"",MAX(0,((F1049-E1049-N(G1049))*1440-N(H1049)*10)/60))</f>
        <v/>
      </c>
      <c r="N1049" s="78" t="str">
        <f aca="false">IF($D1049="欠席",0,IF(OR(I1049="",J1049=""),"",MAX(0,((J1049-I1049-N(K1049))*1440-N(L1049)*10)/60)))</f>
        <v/>
      </c>
      <c r="O1049" s="73"/>
    </row>
    <row r="1050" customFormat="false" ht="15" hidden="false" customHeight="false" outlineLevel="0" collapsed="false">
      <c r="A1050" s="77"/>
      <c r="B1050" s="73"/>
      <c r="C1050" s="71" t="str">
        <f aca="false">IF(B1050="","",IFERROR(INDEX(マスタ!$F$2:$F$60,MATCH(B1050,マスタ!$E$2:$E$60,0))&amp;"",""))</f>
        <v/>
      </c>
      <c r="D1050" s="73"/>
      <c r="E1050" s="75"/>
      <c r="F1050" s="75"/>
      <c r="G1050" s="75"/>
      <c r="H1050" s="73"/>
      <c r="I1050" s="75"/>
      <c r="J1050" s="75"/>
      <c r="K1050" s="75"/>
      <c r="L1050" s="73"/>
      <c r="M1050" s="78" t="str">
        <f aca="false">IF(OR(E1050="",F1050=""),"",MAX(0,((F1050-E1050-N(G1050))*1440-N(H1050)*10)/60))</f>
        <v/>
      </c>
      <c r="N1050" s="78" t="str">
        <f aca="false">IF($D1050="欠席",0,IF(OR(I1050="",J1050=""),"",MAX(0,((J1050-I1050-N(K1050))*1440-N(L1050)*10)/60)))</f>
        <v/>
      </c>
      <c r="O1050" s="73"/>
    </row>
    <row r="1051" customFormat="false" ht="15" hidden="false" customHeight="false" outlineLevel="0" collapsed="false">
      <c r="A1051" s="77"/>
      <c r="B1051" s="73"/>
      <c r="C1051" s="71" t="str">
        <f aca="false">IF(B1051="","",IFERROR(INDEX(マスタ!$F$2:$F$60,MATCH(B1051,マスタ!$E$2:$E$60,0))&amp;"",""))</f>
        <v/>
      </c>
      <c r="D1051" s="73"/>
      <c r="E1051" s="75"/>
      <c r="F1051" s="75"/>
      <c r="G1051" s="75"/>
      <c r="H1051" s="73"/>
      <c r="I1051" s="75"/>
      <c r="J1051" s="75"/>
      <c r="K1051" s="75"/>
      <c r="L1051" s="73"/>
      <c r="M1051" s="78" t="str">
        <f aca="false">IF(OR(E1051="",F1051=""),"",MAX(0,((F1051-E1051-N(G1051))*1440-N(H1051)*10)/60))</f>
        <v/>
      </c>
      <c r="N1051" s="78" t="str">
        <f aca="false">IF($D1051="欠席",0,IF(OR(I1051="",J1051=""),"",MAX(0,((J1051-I1051-N(K1051))*1440-N(L1051)*10)/60)))</f>
        <v/>
      </c>
      <c r="O1051" s="73"/>
    </row>
    <row r="1052" customFormat="false" ht="15" hidden="false" customHeight="false" outlineLevel="0" collapsed="false">
      <c r="A1052" s="77"/>
      <c r="B1052" s="73"/>
      <c r="C1052" s="71" t="str">
        <f aca="false">IF(B1052="","",IFERROR(INDEX(マスタ!$F$2:$F$60,MATCH(B1052,マスタ!$E$2:$E$60,0))&amp;"",""))</f>
        <v/>
      </c>
      <c r="D1052" s="73"/>
      <c r="E1052" s="75"/>
      <c r="F1052" s="75"/>
      <c r="G1052" s="75"/>
      <c r="H1052" s="73"/>
      <c r="I1052" s="75"/>
      <c r="J1052" s="75"/>
      <c r="K1052" s="75"/>
      <c r="L1052" s="73"/>
      <c r="M1052" s="78" t="str">
        <f aca="false">IF(OR(E1052="",F1052=""),"",MAX(0,((F1052-E1052-N(G1052))*1440-N(H1052)*10)/60))</f>
        <v/>
      </c>
      <c r="N1052" s="78" t="str">
        <f aca="false">IF($D1052="欠席",0,IF(OR(I1052="",J1052=""),"",MAX(0,((J1052-I1052-N(K1052))*1440-N(L1052)*10)/60)))</f>
        <v/>
      </c>
      <c r="O1052" s="73"/>
    </row>
    <row r="1053" customFormat="false" ht="15" hidden="false" customHeight="false" outlineLevel="0" collapsed="false">
      <c r="A1053" s="77"/>
      <c r="B1053" s="73"/>
      <c r="C1053" s="71" t="str">
        <f aca="false">IF(B1053="","",IFERROR(INDEX(マスタ!$F$2:$F$60,MATCH(B1053,マスタ!$E$2:$E$60,0))&amp;"",""))</f>
        <v/>
      </c>
      <c r="D1053" s="73"/>
      <c r="E1053" s="75"/>
      <c r="F1053" s="75"/>
      <c r="G1053" s="75"/>
      <c r="H1053" s="73"/>
      <c r="I1053" s="75"/>
      <c r="J1053" s="75"/>
      <c r="K1053" s="75"/>
      <c r="L1053" s="73"/>
      <c r="M1053" s="78" t="str">
        <f aca="false">IF(OR(E1053="",F1053=""),"",MAX(0,((F1053-E1053-N(G1053))*1440-N(H1053)*10)/60))</f>
        <v/>
      </c>
      <c r="N1053" s="78" t="str">
        <f aca="false">IF($D1053="欠席",0,IF(OR(I1053="",J1053=""),"",MAX(0,((J1053-I1053-N(K1053))*1440-N(L1053)*10)/60)))</f>
        <v/>
      </c>
      <c r="O1053" s="73"/>
    </row>
    <row r="1054" customFormat="false" ht="15" hidden="false" customHeight="false" outlineLevel="0" collapsed="false">
      <c r="A1054" s="77"/>
      <c r="B1054" s="73"/>
      <c r="C1054" s="71" t="str">
        <f aca="false">IF(B1054="","",IFERROR(INDEX(マスタ!$F$2:$F$60,MATCH(B1054,マスタ!$E$2:$E$60,0))&amp;"",""))</f>
        <v/>
      </c>
      <c r="D1054" s="73"/>
      <c r="E1054" s="75"/>
      <c r="F1054" s="75"/>
      <c r="G1054" s="75"/>
      <c r="H1054" s="73"/>
      <c r="I1054" s="75"/>
      <c r="J1054" s="75"/>
      <c r="K1054" s="75"/>
      <c r="L1054" s="73"/>
      <c r="M1054" s="78" t="str">
        <f aca="false">IF(OR(E1054="",F1054=""),"",MAX(0,((F1054-E1054-N(G1054))*1440-N(H1054)*10)/60))</f>
        <v/>
      </c>
      <c r="N1054" s="78" t="str">
        <f aca="false">IF($D1054="欠席",0,IF(OR(I1054="",J1054=""),"",MAX(0,((J1054-I1054-N(K1054))*1440-N(L1054)*10)/60)))</f>
        <v/>
      </c>
      <c r="O1054" s="73"/>
    </row>
    <row r="1055" customFormat="false" ht="15" hidden="false" customHeight="false" outlineLevel="0" collapsed="false">
      <c r="A1055" s="77"/>
      <c r="B1055" s="73"/>
      <c r="C1055" s="71" t="str">
        <f aca="false">IF(B1055="","",IFERROR(INDEX(マスタ!$F$2:$F$60,MATCH(B1055,マスタ!$E$2:$E$60,0))&amp;"",""))</f>
        <v/>
      </c>
      <c r="D1055" s="73"/>
      <c r="E1055" s="75"/>
      <c r="F1055" s="75"/>
      <c r="G1055" s="75"/>
      <c r="H1055" s="73"/>
      <c r="I1055" s="75"/>
      <c r="J1055" s="75"/>
      <c r="K1055" s="75"/>
      <c r="L1055" s="73"/>
      <c r="M1055" s="78" t="str">
        <f aca="false">IF(OR(E1055="",F1055=""),"",MAX(0,((F1055-E1055-N(G1055))*1440-N(H1055)*10)/60))</f>
        <v/>
      </c>
      <c r="N1055" s="78" t="str">
        <f aca="false">IF($D1055="欠席",0,IF(OR(I1055="",J1055=""),"",MAX(0,((J1055-I1055-N(K1055))*1440-N(L1055)*10)/60)))</f>
        <v/>
      </c>
      <c r="O1055" s="73"/>
    </row>
    <row r="1056" customFormat="false" ht="15" hidden="false" customHeight="false" outlineLevel="0" collapsed="false">
      <c r="A1056" s="77"/>
      <c r="B1056" s="73"/>
      <c r="C1056" s="71" t="str">
        <f aca="false">IF(B1056="","",IFERROR(INDEX(マスタ!$F$2:$F$60,MATCH(B1056,マスタ!$E$2:$E$60,0))&amp;"",""))</f>
        <v/>
      </c>
      <c r="D1056" s="73"/>
      <c r="E1056" s="75"/>
      <c r="F1056" s="75"/>
      <c r="G1056" s="75"/>
      <c r="H1056" s="73"/>
      <c r="I1056" s="75"/>
      <c r="J1056" s="75"/>
      <c r="K1056" s="75"/>
      <c r="L1056" s="73"/>
      <c r="M1056" s="78" t="str">
        <f aca="false">IF(OR(E1056="",F1056=""),"",MAX(0,((F1056-E1056-N(G1056))*1440-N(H1056)*10)/60))</f>
        <v/>
      </c>
      <c r="N1056" s="78" t="str">
        <f aca="false">IF($D1056="欠席",0,IF(OR(I1056="",J1056=""),"",MAX(0,((J1056-I1056-N(K1056))*1440-N(L1056)*10)/60)))</f>
        <v/>
      </c>
      <c r="O1056" s="73"/>
    </row>
    <row r="1057" customFormat="false" ht="15" hidden="false" customHeight="false" outlineLevel="0" collapsed="false">
      <c r="A1057" s="77"/>
      <c r="B1057" s="73"/>
      <c r="C1057" s="71" t="str">
        <f aca="false">IF(B1057="","",IFERROR(INDEX(マスタ!$F$2:$F$60,MATCH(B1057,マスタ!$E$2:$E$60,0))&amp;"",""))</f>
        <v/>
      </c>
      <c r="D1057" s="73"/>
      <c r="E1057" s="75"/>
      <c r="F1057" s="75"/>
      <c r="G1057" s="75"/>
      <c r="H1057" s="73"/>
      <c r="I1057" s="75"/>
      <c r="J1057" s="75"/>
      <c r="K1057" s="75"/>
      <c r="L1057" s="73"/>
      <c r="M1057" s="78" t="str">
        <f aca="false">IF(OR(E1057="",F1057=""),"",MAX(0,((F1057-E1057-N(G1057))*1440-N(H1057)*10)/60))</f>
        <v/>
      </c>
      <c r="N1057" s="78" t="str">
        <f aca="false">IF($D1057="欠席",0,IF(OR(I1057="",J1057=""),"",MAX(0,((J1057-I1057-N(K1057))*1440-N(L1057)*10)/60)))</f>
        <v/>
      </c>
      <c r="O1057" s="73"/>
    </row>
    <row r="1058" customFormat="false" ht="15" hidden="false" customHeight="false" outlineLevel="0" collapsed="false">
      <c r="A1058" s="77"/>
      <c r="B1058" s="73"/>
      <c r="C1058" s="71" t="str">
        <f aca="false">IF(B1058="","",IFERROR(INDEX(マスタ!$F$2:$F$60,MATCH(B1058,マスタ!$E$2:$E$60,0))&amp;"",""))</f>
        <v/>
      </c>
      <c r="D1058" s="73"/>
      <c r="E1058" s="75"/>
      <c r="F1058" s="75"/>
      <c r="G1058" s="75"/>
      <c r="H1058" s="73"/>
      <c r="I1058" s="75"/>
      <c r="J1058" s="75"/>
      <c r="K1058" s="75"/>
      <c r="L1058" s="73"/>
      <c r="M1058" s="78" t="str">
        <f aca="false">IF(OR(E1058="",F1058=""),"",MAX(0,((F1058-E1058-N(G1058))*1440-N(H1058)*10)/60))</f>
        <v/>
      </c>
      <c r="N1058" s="78" t="str">
        <f aca="false">IF($D1058="欠席",0,IF(OR(I1058="",J1058=""),"",MAX(0,((J1058-I1058-N(K1058))*1440-N(L1058)*10)/60)))</f>
        <v/>
      </c>
      <c r="O1058" s="73"/>
    </row>
    <row r="1059" customFormat="false" ht="15" hidden="false" customHeight="false" outlineLevel="0" collapsed="false">
      <c r="A1059" s="77"/>
      <c r="B1059" s="73"/>
      <c r="C1059" s="71" t="str">
        <f aca="false">IF(B1059="","",IFERROR(INDEX(マスタ!$F$2:$F$60,MATCH(B1059,マスタ!$E$2:$E$60,0))&amp;"",""))</f>
        <v/>
      </c>
      <c r="D1059" s="73"/>
      <c r="E1059" s="75"/>
      <c r="F1059" s="75"/>
      <c r="G1059" s="75"/>
      <c r="H1059" s="73"/>
      <c r="I1059" s="75"/>
      <c r="J1059" s="75"/>
      <c r="K1059" s="75"/>
      <c r="L1059" s="73"/>
      <c r="M1059" s="78" t="str">
        <f aca="false">IF(OR(E1059="",F1059=""),"",MAX(0,((F1059-E1059-N(G1059))*1440-N(H1059)*10)/60))</f>
        <v/>
      </c>
      <c r="N1059" s="78" t="str">
        <f aca="false">IF($D1059="欠席",0,IF(OR(I1059="",J1059=""),"",MAX(0,((J1059-I1059-N(K1059))*1440-N(L1059)*10)/60)))</f>
        <v/>
      </c>
      <c r="O1059" s="73"/>
    </row>
    <row r="1060" customFormat="false" ht="15" hidden="false" customHeight="false" outlineLevel="0" collapsed="false">
      <c r="A1060" s="77"/>
      <c r="B1060" s="73"/>
      <c r="C1060" s="71" t="str">
        <f aca="false">IF(B1060="","",IFERROR(INDEX(マスタ!$F$2:$F$60,MATCH(B1060,マスタ!$E$2:$E$60,0))&amp;"",""))</f>
        <v/>
      </c>
      <c r="D1060" s="73"/>
      <c r="E1060" s="75"/>
      <c r="F1060" s="75"/>
      <c r="G1060" s="75"/>
      <c r="H1060" s="73"/>
      <c r="I1060" s="75"/>
      <c r="J1060" s="75"/>
      <c r="K1060" s="75"/>
      <c r="L1060" s="73"/>
      <c r="M1060" s="78" t="str">
        <f aca="false">IF(OR(E1060="",F1060=""),"",MAX(0,((F1060-E1060-N(G1060))*1440-N(H1060)*10)/60))</f>
        <v/>
      </c>
      <c r="N1060" s="78" t="str">
        <f aca="false">IF($D1060="欠席",0,IF(OR(I1060="",J1060=""),"",MAX(0,((J1060-I1060-N(K1060))*1440-N(L1060)*10)/60)))</f>
        <v/>
      </c>
      <c r="O1060" s="73"/>
    </row>
    <row r="1061" customFormat="false" ht="15" hidden="false" customHeight="false" outlineLevel="0" collapsed="false">
      <c r="A1061" s="77"/>
      <c r="B1061" s="73"/>
      <c r="C1061" s="71" t="str">
        <f aca="false">IF(B1061="","",IFERROR(INDEX(マスタ!$F$2:$F$60,MATCH(B1061,マスタ!$E$2:$E$60,0))&amp;"",""))</f>
        <v/>
      </c>
      <c r="D1061" s="73"/>
      <c r="E1061" s="75"/>
      <c r="F1061" s="75"/>
      <c r="G1061" s="75"/>
      <c r="H1061" s="73"/>
      <c r="I1061" s="75"/>
      <c r="J1061" s="75"/>
      <c r="K1061" s="75"/>
      <c r="L1061" s="73"/>
      <c r="M1061" s="78" t="str">
        <f aca="false">IF(OR(E1061="",F1061=""),"",MAX(0,((F1061-E1061-N(G1061))*1440-N(H1061)*10)/60))</f>
        <v/>
      </c>
      <c r="N1061" s="78" t="str">
        <f aca="false">IF($D1061="欠席",0,IF(OR(I1061="",J1061=""),"",MAX(0,((J1061-I1061-N(K1061))*1440-N(L1061)*10)/60)))</f>
        <v/>
      </c>
      <c r="O1061" s="73"/>
    </row>
    <row r="1062" customFormat="false" ht="15" hidden="false" customHeight="false" outlineLevel="0" collapsed="false">
      <c r="A1062" s="77"/>
      <c r="B1062" s="73"/>
      <c r="C1062" s="71" t="str">
        <f aca="false">IF(B1062="","",IFERROR(INDEX(マスタ!$F$2:$F$60,MATCH(B1062,マスタ!$E$2:$E$60,0))&amp;"",""))</f>
        <v/>
      </c>
      <c r="D1062" s="73"/>
      <c r="E1062" s="75"/>
      <c r="F1062" s="75"/>
      <c r="G1062" s="75"/>
      <c r="H1062" s="73"/>
      <c r="I1062" s="75"/>
      <c r="J1062" s="75"/>
      <c r="K1062" s="75"/>
      <c r="L1062" s="73"/>
      <c r="M1062" s="78" t="str">
        <f aca="false">IF(OR(E1062="",F1062=""),"",MAX(0,((F1062-E1062-N(G1062))*1440-N(H1062)*10)/60))</f>
        <v/>
      </c>
      <c r="N1062" s="78" t="str">
        <f aca="false">IF($D1062="欠席",0,IF(OR(I1062="",J1062=""),"",MAX(0,((J1062-I1062-N(K1062))*1440-N(L1062)*10)/60)))</f>
        <v/>
      </c>
      <c r="O1062" s="73"/>
    </row>
    <row r="1063" customFormat="false" ht="15" hidden="false" customHeight="false" outlineLevel="0" collapsed="false">
      <c r="A1063" s="77"/>
      <c r="B1063" s="73"/>
      <c r="C1063" s="71" t="str">
        <f aca="false">IF(B1063="","",IFERROR(INDEX(マスタ!$F$2:$F$60,MATCH(B1063,マスタ!$E$2:$E$60,0))&amp;"",""))</f>
        <v/>
      </c>
      <c r="D1063" s="73"/>
      <c r="E1063" s="75"/>
      <c r="F1063" s="75"/>
      <c r="G1063" s="75"/>
      <c r="H1063" s="73"/>
      <c r="I1063" s="75"/>
      <c r="J1063" s="75"/>
      <c r="K1063" s="75"/>
      <c r="L1063" s="73"/>
      <c r="M1063" s="78" t="str">
        <f aca="false">IF(OR(E1063="",F1063=""),"",MAX(0,((F1063-E1063-N(G1063))*1440-N(H1063)*10)/60))</f>
        <v/>
      </c>
      <c r="N1063" s="78" t="str">
        <f aca="false">IF($D1063="欠席",0,IF(OR(I1063="",J1063=""),"",MAX(0,((J1063-I1063-N(K1063))*1440-N(L1063)*10)/60)))</f>
        <v/>
      </c>
      <c r="O1063" s="73"/>
    </row>
    <row r="1064" customFormat="false" ht="15" hidden="false" customHeight="false" outlineLevel="0" collapsed="false">
      <c r="A1064" s="77"/>
      <c r="B1064" s="73"/>
      <c r="C1064" s="71" t="str">
        <f aca="false">IF(B1064="","",IFERROR(INDEX(マスタ!$F$2:$F$60,MATCH(B1064,マスタ!$E$2:$E$60,0))&amp;"",""))</f>
        <v/>
      </c>
      <c r="D1064" s="73"/>
      <c r="E1064" s="75"/>
      <c r="F1064" s="75"/>
      <c r="G1064" s="75"/>
      <c r="H1064" s="73"/>
      <c r="I1064" s="75"/>
      <c r="J1064" s="75"/>
      <c r="K1064" s="75"/>
      <c r="L1064" s="73"/>
      <c r="M1064" s="78" t="str">
        <f aca="false">IF(OR(E1064="",F1064=""),"",MAX(0,((F1064-E1064-N(G1064))*1440-N(H1064)*10)/60))</f>
        <v/>
      </c>
      <c r="N1064" s="78" t="str">
        <f aca="false">IF($D1064="欠席",0,IF(OR(I1064="",J1064=""),"",MAX(0,((J1064-I1064-N(K1064))*1440-N(L1064)*10)/60)))</f>
        <v/>
      </c>
      <c r="O1064" s="73"/>
    </row>
    <row r="1065" customFormat="false" ht="15" hidden="false" customHeight="false" outlineLevel="0" collapsed="false">
      <c r="A1065" s="77"/>
      <c r="B1065" s="73"/>
      <c r="C1065" s="71" t="str">
        <f aca="false">IF(B1065="","",IFERROR(INDEX(マスタ!$F$2:$F$60,MATCH(B1065,マスタ!$E$2:$E$60,0))&amp;"",""))</f>
        <v/>
      </c>
      <c r="D1065" s="73"/>
      <c r="E1065" s="75"/>
      <c r="F1065" s="75"/>
      <c r="G1065" s="75"/>
      <c r="H1065" s="73"/>
      <c r="I1065" s="75"/>
      <c r="J1065" s="75"/>
      <c r="K1065" s="75"/>
      <c r="L1065" s="73"/>
      <c r="M1065" s="78" t="str">
        <f aca="false">IF(OR(E1065="",F1065=""),"",MAX(0,((F1065-E1065-N(G1065))*1440-N(H1065)*10)/60))</f>
        <v/>
      </c>
      <c r="N1065" s="78" t="str">
        <f aca="false">IF($D1065="欠席",0,IF(OR(I1065="",J1065=""),"",MAX(0,((J1065-I1065-N(K1065))*1440-N(L1065)*10)/60)))</f>
        <v/>
      </c>
      <c r="O1065" s="73"/>
    </row>
    <row r="1066" customFormat="false" ht="15" hidden="false" customHeight="false" outlineLevel="0" collapsed="false">
      <c r="A1066" s="77"/>
      <c r="B1066" s="73"/>
      <c r="C1066" s="71" t="str">
        <f aca="false">IF(B1066="","",IFERROR(INDEX(マスタ!$F$2:$F$60,MATCH(B1066,マスタ!$E$2:$E$60,0))&amp;"",""))</f>
        <v/>
      </c>
      <c r="D1066" s="73"/>
      <c r="E1066" s="75"/>
      <c r="F1066" s="75"/>
      <c r="G1066" s="75"/>
      <c r="H1066" s="73"/>
      <c r="I1066" s="75"/>
      <c r="J1066" s="75"/>
      <c r="K1066" s="75"/>
      <c r="L1066" s="73"/>
      <c r="M1066" s="78" t="str">
        <f aca="false">IF(OR(E1066="",F1066=""),"",MAX(0,((F1066-E1066-N(G1066))*1440-N(H1066)*10)/60))</f>
        <v/>
      </c>
      <c r="N1066" s="78" t="str">
        <f aca="false">IF($D1066="欠席",0,IF(OR(I1066="",J1066=""),"",MAX(0,((J1066-I1066-N(K1066))*1440-N(L1066)*10)/60)))</f>
        <v/>
      </c>
      <c r="O1066" s="73"/>
    </row>
    <row r="1067" customFormat="false" ht="15" hidden="false" customHeight="false" outlineLevel="0" collapsed="false">
      <c r="A1067" s="77"/>
      <c r="B1067" s="73"/>
      <c r="C1067" s="71" t="str">
        <f aca="false">IF(B1067="","",IFERROR(INDEX(マスタ!$F$2:$F$60,MATCH(B1067,マスタ!$E$2:$E$60,0))&amp;"",""))</f>
        <v/>
      </c>
      <c r="D1067" s="73"/>
      <c r="E1067" s="75"/>
      <c r="F1067" s="75"/>
      <c r="G1067" s="75"/>
      <c r="H1067" s="73"/>
      <c r="I1067" s="75"/>
      <c r="J1067" s="75"/>
      <c r="K1067" s="75"/>
      <c r="L1067" s="73"/>
      <c r="M1067" s="78" t="str">
        <f aca="false">IF(OR(E1067="",F1067=""),"",MAX(0,((F1067-E1067-N(G1067))*1440-N(H1067)*10)/60))</f>
        <v/>
      </c>
      <c r="N1067" s="78" t="str">
        <f aca="false">IF($D1067="欠席",0,IF(OR(I1067="",J1067=""),"",MAX(0,((J1067-I1067-N(K1067))*1440-N(L1067)*10)/60)))</f>
        <v/>
      </c>
      <c r="O1067" s="73"/>
    </row>
    <row r="1068" customFormat="false" ht="15" hidden="false" customHeight="false" outlineLevel="0" collapsed="false">
      <c r="A1068" s="77"/>
      <c r="B1068" s="73"/>
      <c r="C1068" s="71" t="str">
        <f aca="false">IF(B1068="","",IFERROR(INDEX(マスタ!$F$2:$F$60,MATCH(B1068,マスタ!$E$2:$E$60,0))&amp;"",""))</f>
        <v/>
      </c>
      <c r="D1068" s="73"/>
      <c r="E1068" s="75"/>
      <c r="F1068" s="75"/>
      <c r="G1068" s="75"/>
      <c r="H1068" s="73"/>
      <c r="I1068" s="75"/>
      <c r="J1068" s="75"/>
      <c r="K1068" s="75"/>
      <c r="L1068" s="73"/>
      <c r="M1068" s="78" t="str">
        <f aca="false">IF(OR(E1068="",F1068=""),"",MAX(0,((F1068-E1068-N(G1068))*1440-N(H1068)*10)/60))</f>
        <v/>
      </c>
      <c r="N1068" s="78" t="str">
        <f aca="false">IF($D1068="欠席",0,IF(OR(I1068="",J1068=""),"",MAX(0,((J1068-I1068-N(K1068))*1440-N(L1068)*10)/60)))</f>
        <v/>
      </c>
      <c r="O1068" s="73"/>
    </row>
    <row r="1069" customFormat="false" ht="15" hidden="false" customHeight="false" outlineLevel="0" collapsed="false">
      <c r="A1069" s="77"/>
      <c r="B1069" s="73"/>
      <c r="C1069" s="71" t="str">
        <f aca="false">IF(B1069="","",IFERROR(INDEX(マスタ!$F$2:$F$60,MATCH(B1069,マスタ!$E$2:$E$60,0))&amp;"",""))</f>
        <v/>
      </c>
      <c r="D1069" s="73"/>
      <c r="E1069" s="75"/>
      <c r="F1069" s="75"/>
      <c r="G1069" s="75"/>
      <c r="H1069" s="73"/>
      <c r="I1069" s="75"/>
      <c r="J1069" s="75"/>
      <c r="K1069" s="75"/>
      <c r="L1069" s="73"/>
      <c r="M1069" s="78" t="str">
        <f aca="false">IF(OR(E1069="",F1069=""),"",MAX(0,((F1069-E1069-N(G1069))*1440-N(H1069)*10)/60))</f>
        <v/>
      </c>
      <c r="N1069" s="78" t="str">
        <f aca="false">IF($D1069="欠席",0,IF(OR(I1069="",J1069=""),"",MAX(0,((J1069-I1069-N(K1069))*1440-N(L1069)*10)/60)))</f>
        <v/>
      </c>
      <c r="O1069" s="73"/>
    </row>
    <row r="1070" customFormat="false" ht="15" hidden="false" customHeight="false" outlineLevel="0" collapsed="false">
      <c r="A1070" s="77"/>
      <c r="B1070" s="73"/>
      <c r="C1070" s="71" t="str">
        <f aca="false">IF(B1070="","",IFERROR(INDEX(マスタ!$F$2:$F$60,MATCH(B1070,マスタ!$E$2:$E$60,0))&amp;"",""))</f>
        <v/>
      </c>
      <c r="D1070" s="73"/>
      <c r="E1070" s="75"/>
      <c r="F1070" s="75"/>
      <c r="G1070" s="75"/>
      <c r="H1070" s="73"/>
      <c r="I1070" s="75"/>
      <c r="J1070" s="75"/>
      <c r="K1070" s="75"/>
      <c r="L1070" s="73"/>
      <c r="M1070" s="78" t="str">
        <f aca="false">IF(OR(E1070="",F1070=""),"",MAX(0,((F1070-E1070-N(G1070))*1440-N(H1070)*10)/60))</f>
        <v/>
      </c>
      <c r="N1070" s="78" t="str">
        <f aca="false">IF($D1070="欠席",0,IF(OR(I1070="",J1070=""),"",MAX(0,((J1070-I1070-N(K1070))*1440-N(L1070)*10)/60)))</f>
        <v/>
      </c>
      <c r="O1070" s="73"/>
    </row>
    <row r="1071" customFormat="false" ht="15" hidden="false" customHeight="false" outlineLevel="0" collapsed="false">
      <c r="A1071" s="77"/>
      <c r="B1071" s="73"/>
      <c r="C1071" s="71" t="str">
        <f aca="false">IF(B1071="","",IFERROR(INDEX(マスタ!$F$2:$F$60,MATCH(B1071,マスタ!$E$2:$E$60,0))&amp;"",""))</f>
        <v/>
      </c>
      <c r="D1071" s="73"/>
      <c r="E1071" s="75"/>
      <c r="F1071" s="75"/>
      <c r="G1071" s="75"/>
      <c r="H1071" s="73"/>
      <c r="I1071" s="75"/>
      <c r="J1071" s="75"/>
      <c r="K1071" s="75"/>
      <c r="L1071" s="73"/>
      <c r="M1071" s="78" t="str">
        <f aca="false">IF(OR(E1071="",F1071=""),"",MAX(0,((F1071-E1071-N(G1071))*1440-N(H1071)*10)/60))</f>
        <v/>
      </c>
      <c r="N1071" s="78" t="str">
        <f aca="false">IF($D1071="欠席",0,IF(OR(I1071="",J1071=""),"",MAX(0,((J1071-I1071-N(K1071))*1440-N(L1071)*10)/60)))</f>
        <v/>
      </c>
      <c r="O1071" s="73"/>
    </row>
    <row r="1072" customFormat="false" ht="15" hidden="false" customHeight="false" outlineLevel="0" collapsed="false">
      <c r="A1072" s="77"/>
      <c r="B1072" s="73"/>
      <c r="C1072" s="71" t="str">
        <f aca="false">IF(B1072="","",IFERROR(INDEX(マスタ!$F$2:$F$60,MATCH(B1072,マスタ!$E$2:$E$60,0))&amp;"",""))</f>
        <v/>
      </c>
      <c r="D1072" s="73"/>
      <c r="E1072" s="75"/>
      <c r="F1072" s="75"/>
      <c r="G1072" s="75"/>
      <c r="H1072" s="73"/>
      <c r="I1072" s="75"/>
      <c r="J1072" s="75"/>
      <c r="K1072" s="75"/>
      <c r="L1072" s="73"/>
      <c r="M1072" s="78" t="str">
        <f aca="false">IF(OR(E1072="",F1072=""),"",MAX(0,((F1072-E1072-N(G1072))*1440-N(H1072)*10)/60))</f>
        <v/>
      </c>
      <c r="N1072" s="78" t="str">
        <f aca="false">IF($D1072="欠席",0,IF(OR(I1072="",J1072=""),"",MAX(0,((J1072-I1072-N(K1072))*1440-N(L1072)*10)/60)))</f>
        <v/>
      </c>
      <c r="O1072" s="73"/>
    </row>
    <row r="1073" customFormat="false" ht="15" hidden="false" customHeight="false" outlineLevel="0" collapsed="false">
      <c r="A1073" s="77"/>
      <c r="B1073" s="73"/>
      <c r="C1073" s="71" t="str">
        <f aca="false">IF(B1073="","",IFERROR(INDEX(マスタ!$F$2:$F$60,MATCH(B1073,マスタ!$E$2:$E$60,0))&amp;"",""))</f>
        <v/>
      </c>
      <c r="D1073" s="73"/>
      <c r="E1073" s="75"/>
      <c r="F1073" s="75"/>
      <c r="G1073" s="75"/>
      <c r="H1073" s="73"/>
      <c r="I1073" s="75"/>
      <c r="J1073" s="75"/>
      <c r="K1073" s="75"/>
      <c r="L1073" s="73"/>
      <c r="M1073" s="78" t="str">
        <f aca="false">IF(OR(E1073="",F1073=""),"",MAX(0,((F1073-E1073-N(G1073))*1440-N(H1073)*10)/60))</f>
        <v/>
      </c>
      <c r="N1073" s="78" t="str">
        <f aca="false">IF($D1073="欠席",0,IF(OR(I1073="",J1073=""),"",MAX(0,((J1073-I1073-N(K1073))*1440-N(L1073)*10)/60)))</f>
        <v/>
      </c>
      <c r="O1073" s="73"/>
    </row>
    <row r="1074" customFormat="false" ht="15" hidden="false" customHeight="false" outlineLevel="0" collapsed="false">
      <c r="A1074" s="77"/>
      <c r="B1074" s="73"/>
      <c r="C1074" s="71" t="str">
        <f aca="false">IF(B1074="","",IFERROR(INDEX(マスタ!$F$2:$F$60,MATCH(B1074,マスタ!$E$2:$E$60,0))&amp;"",""))</f>
        <v/>
      </c>
      <c r="D1074" s="73"/>
      <c r="E1074" s="75"/>
      <c r="F1074" s="75"/>
      <c r="G1074" s="75"/>
      <c r="H1074" s="73"/>
      <c r="I1074" s="75"/>
      <c r="J1074" s="75"/>
      <c r="K1074" s="75"/>
      <c r="L1074" s="73"/>
      <c r="M1074" s="78" t="str">
        <f aca="false">IF(OR(E1074="",F1074=""),"",MAX(0,((F1074-E1074-N(G1074))*1440-N(H1074)*10)/60))</f>
        <v/>
      </c>
      <c r="N1074" s="78" t="str">
        <f aca="false">IF($D1074="欠席",0,IF(OR(I1074="",J1074=""),"",MAX(0,((J1074-I1074-N(K1074))*1440-N(L1074)*10)/60)))</f>
        <v/>
      </c>
      <c r="O1074" s="73"/>
    </row>
    <row r="1075" customFormat="false" ht="15" hidden="false" customHeight="false" outlineLevel="0" collapsed="false">
      <c r="A1075" s="77"/>
      <c r="B1075" s="73"/>
      <c r="C1075" s="71" t="str">
        <f aca="false">IF(B1075="","",IFERROR(INDEX(マスタ!$F$2:$F$60,MATCH(B1075,マスタ!$E$2:$E$60,0))&amp;"",""))</f>
        <v/>
      </c>
      <c r="D1075" s="73"/>
      <c r="E1075" s="75"/>
      <c r="F1075" s="75"/>
      <c r="G1075" s="75"/>
      <c r="H1075" s="73"/>
      <c r="I1075" s="75"/>
      <c r="J1075" s="75"/>
      <c r="K1075" s="75"/>
      <c r="L1075" s="73"/>
      <c r="M1075" s="78" t="str">
        <f aca="false">IF(OR(E1075="",F1075=""),"",MAX(0,((F1075-E1075-N(G1075))*1440-N(H1075)*10)/60))</f>
        <v/>
      </c>
      <c r="N1075" s="78" t="str">
        <f aca="false">IF($D1075="欠席",0,IF(OR(I1075="",J1075=""),"",MAX(0,((J1075-I1075-N(K1075))*1440-N(L1075)*10)/60)))</f>
        <v/>
      </c>
      <c r="O1075" s="73"/>
    </row>
    <row r="1076" customFormat="false" ht="15" hidden="false" customHeight="false" outlineLevel="0" collapsed="false">
      <c r="A1076" s="77"/>
      <c r="B1076" s="73"/>
      <c r="C1076" s="71" t="str">
        <f aca="false">IF(B1076="","",IFERROR(INDEX(マスタ!$F$2:$F$60,MATCH(B1076,マスタ!$E$2:$E$60,0))&amp;"",""))</f>
        <v/>
      </c>
      <c r="D1076" s="73"/>
      <c r="E1076" s="75"/>
      <c r="F1076" s="75"/>
      <c r="G1076" s="75"/>
      <c r="H1076" s="73"/>
      <c r="I1076" s="75"/>
      <c r="J1076" s="75"/>
      <c r="K1076" s="75"/>
      <c r="L1076" s="73"/>
      <c r="M1076" s="78" t="str">
        <f aca="false">IF(OR(E1076="",F1076=""),"",MAX(0,((F1076-E1076-N(G1076))*1440-N(H1076)*10)/60))</f>
        <v/>
      </c>
      <c r="N1076" s="78" t="str">
        <f aca="false">IF($D1076="欠席",0,IF(OR(I1076="",J1076=""),"",MAX(0,((J1076-I1076-N(K1076))*1440-N(L1076)*10)/60)))</f>
        <v/>
      </c>
      <c r="O1076" s="73"/>
    </row>
    <row r="1077" customFormat="false" ht="15" hidden="false" customHeight="false" outlineLevel="0" collapsed="false">
      <c r="A1077" s="77"/>
      <c r="B1077" s="73"/>
      <c r="C1077" s="71" t="str">
        <f aca="false">IF(B1077="","",IFERROR(INDEX(マスタ!$F$2:$F$60,MATCH(B1077,マスタ!$E$2:$E$60,0))&amp;"",""))</f>
        <v/>
      </c>
      <c r="D1077" s="73"/>
      <c r="E1077" s="75"/>
      <c r="F1077" s="75"/>
      <c r="G1077" s="75"/>
      <c r="H1077" s="73"/>
      <c r="I1077" s="75"/>
      <c r="J1077" s="75"/>
      <c r="K1077" s="75"/>
      <c r="L1077" s="73"/>
      <c r="M1077" s="78" t="str">
        <f aca="false">IF(OR(E1077="",F1077=""),"",MAX(0,((F1077-E1077-N(G1077))*1440-N(H1077)*10)/60))</f>
        <v/>
      </c>
      <c r="N1077" s="78" t="str">
        <f aca="false">IF($D1077="欠席",0,IF(OR(I1077="",J1077=""),"",MAX(0,((J1077-I1077-N(K1077))*1440-N(L1077)*10)/60)))</f>
        <v/>
      </c>
      <c r="O1077" s="73"/>
    </row>
    <row r="1078" customFormat="false" ht="15" hidden="false" customHeight="false" outlineLevel="0" collapsed="false">
      <c r="A1078" s="77"/>
      <c r="B1078" s="73"/>
      <c r="C1078" s="71" t="str">
        <f aca="false">IF(B1078="","",IFERROR(INDEX(マスタ!$F$2:$F$60,MATCH(B1078,マスタ!$E$2:$E$60,0))&amp;"",""))</f>
        <v/>
      </c>
      <c r="D1078" s="73"/>
      <c r="E1078" s="75"/>
      <c r="F1078" s="75"/>
      <c r="G1078" s="75"/>
      <c r="H1078" s="73"/>
      <c r="I1078" s="75"/>
      <c r="J1078" s="75"/>
      <c r="K1078" s="75"/>
      <c r="L1078" s="73"/>
      <c r="M1078" s="78" t="str">
        <f aca="false">IF(OR(E1078="",F1078=""),"",MAX(0,((F1078-E1078-N(G1078))*1440-N(H1078)*10)/60))</f>
        <v/>
      </c>
      <c r="N1078" s="78" t="str">
        <f aca="false">IF($D1078="欠席",0,IF(OR(I1078="",J1078=""),"",MAX(0,((J1078-I1078-N(K1078))*1440-N(L1078)*10)/60)))</f>
        <v/>
      </c>
      <c r="O1078" s="73"/>
    </row>
    <row r="1079" customFormat="false" ht="15" hidden="false" customHeight="false" outlineLevel="0" collapsed="false">
      <c r="A1079" s="77"/>
      <c r="B1079" s="73"/>
      <c r="C1079" s="71" t="str">
        <f aca="false">IF(B1079="","",IFERROR(INDEX(マスタ!$F$2:$F$60,MATCH(B1079,マスタ!$E$2:$E$60,0))&amp;"",""))</f>
        <v/>
      </c>
      <c r="D1079" s="73"/>
      <c r="E1079" s="75"/>
      <c r="F1079" s="75"/>
      <c r="G1079" s="75"/>
      <c r="H1079" s="73"/>
      <c r="I1079" s="75"/>
      <c r="J1079" s="75"/>
      <c r="K1079" s="75"/>
      <c r="L1079" s="73"/>
      <c r="M1079" s="78" t="str">
        <f aca="false">IF(OR(E1079="",F1079=""),"",MAX(0,((F1079-E1079-N(G1079))*1440-N(H1079)*10)/60))</f>
        <v/>
      </c>
      <c r="N1079" s="78" t="str">
        <f aca="false">IF($D1079="欠席",0,IF(OR(I1079="",J1079=""),"",MAX(0,((J1079-I1079-N(K1079))*1440-N(L1079)*10)/60)))</f>
        <v/>
      </c>
      <c r="O1079" s="73"/>
    </row>
    <row r="1080" customFormat="false" ht="15" hidden="false" customHeight="false" outlineLevel="0" collapsed="false">
      <c r="A1080" s="77"/>
      <c r="B1080" s="73"/>
      <c r="C1080" s="71" t="str">
        <f aca="false">IF(B1080="","",IFERROR(INDEX(マスタ!$F$2:$F$60,MATCH(B1080,マスタ!$E$2:$E$60,0))&amp;"",""))</f>
        <v/>
      </c>
      <c r="D1080" s="73"/>
      <c r="E1080" s="75"/>
      <c r="F1080" s="75"/>
      <c r="G1080" s="75"/>
      <c r="H1080" s="73"/>
      <c r="I1080" s="75"/>
      <c r="J1080" s="75"/>
      <c r="K1080" s="75"/>
      <c r="L1080" s="73"/>
      <c r="M1080" s="78" t="str">
        <f aca="false">IF(OR(E1080="",F1080=""),"",MAX(0,((F1080-E1080-N(G1080))*1440-N(H1080)*10)/60))</f>
        <v/>
      </c>
      <c r="N1080" s="78" t="str">
        <f aca="false">IF($D1080="欠席",0,IF(OR(I1080="",J1080=""),"",MAX(0,((J1080-I1080-N(K1080))*1440-N(L1080)*10)/60)))</f>
        <v/>
      </c>
      <c r="O1080" s="73"/>
    </row>
    <row r="1081" customFormat="false" ht="15" hidden="false" customHeight="false" outlineLevel="0" collapsed="false">
      <c r="A1081" s="77"/>
      <c r="B1081" s="73"/>
      <c r="C1081" s="71" t="str">
        <f aca="false">IF(B1081="","",IFERROR(INDEX(マスタ!$F$2:$F$60,MATCH(B1081,マスタ!$E$2:$E$60,0))&amp;"",""))</f>
        <v/>
      </c>
      <c r="D1081" s="73"/>
      <c r="E1081" s="75"/>
      <c r="F1081" s="75"/>
      <c r="G1081" s="75"/>
      <c r="H1081" s="73"/>
      <c r="I1081" s="75"/>
      <c r="J1081" s="75"/>
      <c r="K1081" s="75"/>
      <c r="L1081" s="73"/>
      <c r="M1081" s="78" t="str">
        <f aca="false">IF(OR(E1081="",F1081=""),"",MAX(0,((F1081-E1081-N(G1081))*1440-N(H1081)*10)/60))</f>
        <v/>
      </c>
      <c r="N1081" s="78" t="str">
        <f aca="false">IF($D1081="欠席",0,IF(OR(I1081="",J1081=""),"",MAX(0,((J1081-I1081-N(K1081))*1440-N(L1081)*10)/60)))</f>
        <v/>
      </c>
      <c r="O1081" s="73"/>
    </row>
    <row r="1082" customFormat="false" ht="15" hidden="false" customHeight="false" outlineLevel="0" collapsed="false">
      <c r="A1082" s="77"/>
      <c r="B1082" s="73"/>
      <c r="C1082" s="71" t="str">
        <f aca="false">IF(B1082="","",IFERROR(INDEX(マスタ!$F$2:$F$60,MATCH(B1082,マスタ!$E$2:$E$60,0))&amp;"",""))</f>
        <v/>
      </c>
      <c r="D1082" s="73"/>
      <c r="E1082" s="75"/>
      <c r="F1082" s="75"/>
      <c r="G1082" s="75"/>
      <c r="H1082" s="73"/>
      <c r="I1082" s="75"/>
      <c r="J1082" s="75"/>
      <c r="K1082" s="75"/>
      <c r="L1082" s="73"/>
      <c r="M1082" s="78" t="str">
        <f aca="false">IF(OR(E1082="",F1082=""),"",MAX(0,((F1082-E1082-N(G1082))*1440-N(H1082)*10)/60))</f>
        <v/>
      </c>
      <c r="N1082" s="78" t="str">
        <f aca="false">IF($D1082="欠席",0,IF(OR(I1082="",J1082=""),"",MAX(0,((J1082-I1082-N(K1082))*1440-N(L1082)*10)/60)))</f>
        <v/>
      </c>
      <c r="O1082" s="73"/>
    </row>
    <row r="1083" customFormat="false" ht="15" hidden="false" customHeight="false" outlineLevel="0" collapsed="false">
      <c r="A1083" s="77"/>
      <c r="B1083" s="73"/>
      <c r="C1083" s="71" t="str">
        <f aca="false">IF(B1083="","",IFERROR(INDEX(マスタ!$F$2:$F$60,MATCH(B1083,マスタ!$E$2:$E$60,0))&amp;"",""))</f>
        <v/>
      </c>
      <c r="D1083" s="73"/>
      <c r="E1083" s="75"/>
      <c r="F1083" s="75"/>
      <c r="G1083" s="75"/>
      <c r="H1083" s="73"/>
      <c r="I1083" s="75"/>
      <c r="J1083" s="75"/>
      <c r="K1083" s="75"/>
      <c r="L1083" s="73"/>
      <c r="M1083" s="78" t="str">
        <f aca="false">IF(OR(E1083="",F1083=""),"",MAX(0,((F1083-E1083-N(G1083))*1440-N(H1083)*10)/60))</f>
        <v/>
      </c>
      <c r="N1083" s="78" t="str">
        <f aca="false">IF($D1083="欠席",0,IF(OR(I1083="",J1083=""),"",MAX(0,((J1083-I1083-N(K1083))*1440-N(L1083)*10)/60)))</f>
        <v/>
      </c>
      <c r="O1083" s="73"/>
    </row>
    <row r="1084" customFormat="false" ht="15" hidden="false" customHeight="false" outlineLevel="0" collapsed="false">
      <c r="A1084" s="77"/>
      <c r="B1084" s="73"/>
      <c r="C1084" s="71" t="str">
        <f aca="false">IF(B1084="","",IFERROR(INDEX(マスタ!$F$2:$F$60,MATCH(B1084,マスタ!$E$2:$E$60,0))&amp;"",""))</f>
        <v/>
      </c>
      <c r="D1084" s="73"/>
      <c r="E1084" s="75"/>
      <c r="F1084" s="75"/>
      <c r="G1084" s="75"/>
      <c r="H1084" s="73"/>
      <c r="I1084" s="75"/>
      <c r="J1084" s="75"/>
      <c r="K1084" s="75"/>
      <c r="L1084" s="73"/>
      <c r="M1084" s="78" t="str">
        <f aca="false">IF(OR(E1084="",F1084=""),"",MAX(0,((F1084-E1084-N(G1084))*1440-N(H1084)*10)/60))</f>
        <v/>
      </c>
      <c r="N1084" s="78" t="str">
        <f aca="false">IF($D1084="欠席",0,IF(OR(I1084="",J1084=""),"",MAX(0,((J1084-I1084-N(K1084))*1440-N(L1084)*10)/60)))</f>
        <v/>
      </c>
      <c r="O1084" s="73"/>
    </row>
    <row r="1085" customFormat="false" ht="15" hidden="false" customHeight="false" outlineLevel="0" collapsed="false">
      <c r="A1085" s="77"/>
      <c r="B1085" s="73"/>
      <c r="C1085" s="71" t="str">
        <f aca="false">IF(B1085="","",IFERROR(INDEX(マスタ!$F$2:$F$60,MATCH(B1085,マスタ!$E$2:$E$60,0))&amp;"",""))</f>
        <v/>
      </c>
      <c r="D1085" s="73"/>
      <c r="E1085" s="75"/>
      <c r="F1085" s="75"/>
      <c r="G1085" s="75"/>
      <c r="H1085" s="73"/>
      <c r="I1085" s="75"/>
      <c r="J1085" s="75"/>
      <c r="K1085" s="75"/>
      <c r="L1085" s="73"/>
      <c r="M1085" s="78" t="str">
        <f aca="false">IF(OR(E1085="",F1085=""),"",MAX(0,((F1085-E1085-N(G1085))*1440-N(H1085)*10)/60))</f>
        <v/>
      </c>
      <c r="N1085" s="78" t="str">
        <f aca="false">IF($D1085="欠席",0,IF(OR(I1085="",J1085=""),"",MAX(0,((J1085-I1085-N(K1085))*1440-N(L1085)*10)/60)))</f>
        <v/>
      </c>
      <c r="O1085" s="73"/>
    </row>
    <row r="1086" customFormat="false" ht="15" hidden="false" customHeight="false" outlineLevel="0" collapsed="false">
      <c r="A1086" s="77"/>
      <c r="B1086" s="73"/>
      <c r="C1086" s="71" t="str">
        <f aca="false">IF(B1086="","",IFERROR(INDEX(マスタ!$F$2:$F$60,MATCH(B1086,マスタ!$E$2:$E$60,0))&amp;"",""))</f>
        <v/>
      </c>
      <c r="D1086" s="73"/>
      <c r="E1086" s="75"/>
      <c r="F1086" s="75"/>
      <c r="G1086" s="75"/>
      <c r="H1086" s="73"/>
      <c r="I1086" s="75"/>
      <c r="J1086" s="75"/>
      <c r="K1086" s="75"/>
      <c r="L1086" s="73"/>
      <c r="M1086" s="78" t="str">
        <f aca="false">IF(OR(E1086="",F1086=""),"",MAX(0,((F1086-E1086-N(G1086))*1440-N(H1086)*10)/60))</f>
        <v/>
      </c>
      <c r="N1086" s="78" t="str">
        <f aca="false">IF($D1086="欠席",0,IF(OR(I1086="",J1086=""),"",MAX(0,((J1086-I1086-N(K1086))*1440-N(L1086)*10)/60)))</f>
        <v/>
      </c>
      <c r="O1086" s="73"/>
    </row>
    <row r="1087" customFormat="false" ht="15" hidden="false" customHeight="false" outlineLevel="0" collapsed="false">
      <c r="A1087" s="77"/>
      <c r="B1087" s="73"/>
      <c r="C1087" s="71" t="str">
        <f aca="false">IF(B1087="","",IFERROR(INDEX(マスタ!$F$2:$F$60,MATCH(B1087,マスタ!$E$2:$E$60,0))&amp;"",""))</f>
        <v/>
      </c>
      <c r="D1087" s="73"/>
      <c r="E1087" s="75"/>
      <c r="F1087" s="75"/>
      <c r="G1087" s="75"/>
      <c r="H1087" s="73"/>
      <c r="I1087" s="75"/>
      <c r="J1087" s="75"/>
      <c r="K1087" s="75"/>
      <c r="L1087" s="73"/>
      <c r="M1087" s="78" t="str">
        <f aca="false">IF(OR(E1087="",F1087=""),"",MAX(0,((F1087-E1087-N(G1087))*1440-N(H1087)*10)/60))</f>
        <v/>
      </c>
      <c r="N1087" s="78" t="str">
        <f aca="false">IF($D1087="欠席",0,IF(OR(I1087="",J1087=""),"",MAX(0,((J1087-I1087-N(K1087))*1440-N(L1087)*10)/60)))</f>
        <v/>
      </c>
      <c r="O1087" s="73"/>
    </row>
    <row r="1088" customFormat="false" ht="15" hidden="false" customHeight="false" outlineLevel="0" collapsed="false">
      <c r="A1088" s="77"/>
      <c r="B1088" s="73"/>
      <c r="C1088" s="71" t="str">
        <f aca="false">IF(B1088="","",IFERROR(INDEX(マスタ!$F$2:$F$60,MATCH(B1088,マスタ!$E$2:$E$60,0))&amp;"",""))</f>
        <v/>
      </c>
      <c r="D1088" s="73"/>
      <c r="E1088" s="75"/>
      <c r="F1088" s="75"/>
      <c r="G1088" s="75"/>
      <c r="H1088" s="73"/>
      <c r="I1088" s="75"/>
      <c r="J1088" s="75"/>
      <c r="K1088" s="75"/>
      <c r="L1088" s="73"/>
      <c r="M1088" s="78" t="str">
        <f aca="false">IF(OR(E1088="",F1088=""),"",MAX(0,((F1088-E1088-N(G1088))*1440-N(H1088)*10)/60))</f>
        <v/>
      </c>
      <c r="N1088" s="78" t="str">
        <f aca="false">IF($D1088="欠席",0,IF(OR(I1088="",J1088=""),"",MAX(0,((J1088-I1088-N(K1088))*1440-N(L1088)*10)/60)))</f>
        <v/>
      </c>
      <c r="O1088" s="73"/>
    </row>
    <row r="1089" customFormat="false" ht="15" hidden="false" customHeight="false" outlineLevel="0" collapsed="false">
      <c r="A1089" s="77"/>
      <c r="B1089" s="73"/>
      <c r="C1089" s="71" t="str">
        <f aca="false">IF(B1089="","",IFERROR(INDEX(マスタ!$F$2:$F$60,MATCH(B1089,マスタ!$E$2:$E$60,0))&amp;"",""))</f>
        <v/>
      </c>
      <c r="D1089" s="73"/>
      <c r="E1089" s="75"/>
      <c r="F1089" s="75"/>
      <c r="G1089" s="75"/>
      <c r="H1089" s="73"/>
      <c r="I1089" s="75"/>
      <c r="J1089" s="75"/>
      <c r="K1089" s="75"/>
      <c r="L1089" s="73"/>
      <c r="M1089" s="78" t="str">
        <f aca="false">IF(OR(E1089="",F1089=""),"",MAX(0,((F1089-E1089-N(G1089))*1440-N(H1089)*10)/60))</f>
        <v/>
      </c>
      <c r="N1089" s="78" t="str">
        <f aca="false">IF($D1089="欠席",0,IF(OR(I1089="",J1089=""),"",MAX(0,((J1089-I1089-N(K1089))*1440-N(L1089)*10)/60)))</f>
        <v/>
      </c>
      <c r="O1089" s="73"/>
    </row>
    <row r="1090" customFormat="false" ht="15" hidden="false" customHeight="false" outlineLevel="0" collapsed="false">
      <c r="A1090" s="77"/>
      <c r="B1090" s="73"/>
      <c r="C1090" s="71" t="str">
        <f aca="false">IF(B1090="","",IFERROR(INDEX(マスタ!$F$2:$F$60,MATCH(B1090,マスタ!$E$2:$E$60,0))&amp;"",""))</f>
        <v/>
      </c>
      <c r="D1090" s="73"/>
      <c r="E1090" s="75"/>
      <c r="F1090" s="75"/>
      <c r="G1090" s="75"/>
      <c r="H1090" s="73"/>
      <c r="I1090" s="75"/>
      <c r="J1090" s="75"/>
      <c r="K1090" s="75"/>
      <c r="L1090" s="73"/>
      <c r="M1090" s="78" t="str">
        <f aca="false">IF(OR(E1090="",F1090=""),"",MAX(0,((F1090-E1090-N(G1090))*1440-N(H1090)*10)/60))</f>
        <v/>
      </c>
      <c r="N1090" s="78" t="str">
        <f aca="false">IF($D1090="欠席",0,IF(OR(I1090="",J1090=""),"",MAX(0,((J1090-I1090-N(K1090))*1440-N(L1090)*10)/60)))</f>
        <v/>
      </c>
      <c r="O1090" s="73"/>
    </row>
    <row r="1091" customFormat="false" ht="15" hidden="false" customHeight="false" outlineLevel="0" collapsed="false">
      <c r="A1091" s="77"/>
      <c r="B1091" s="73"/>
      <c r="C1091" s="71" t="str">
        <f aca="false">IF(B1091="","",IFERROR(INDEX(マスタ!$F$2:$F$60,MATCH(B1091,マスタ!$E$2:$E$60,0))&amp;"",""))</f>
        <v/>
      </c>
      <c r="D1091" s="73"/>
      <c r="E1091" s="75"/>
      <c r="F1091" s="75"/>
      <c r="G1091" s="75"/>
      <c r="H1091" s="73"/>
      <c r="I1091" s="75"/>
      <c r="J1091" s="75"/>
      <c r="K1091" s="75"/>
      <c r="L1091" s="73"/>
      <c r="M1091" s="78" t="str">
        <f aca="false">IF(OR(E1091="",F1091=""),"",MAX(0,((F1091-E1091-N(G1091))*1440-N(H1091)*10)/60))</f>
        <v/>
      </c>
      <c r="N1091" s="78" t="str">
        <f aca="false">IF($D1091="欠席",0,IF(OR(I1091="",J1091=""),"",MAX(0,((J1091-I1091-N(K1091))*1440-N(L1091)*10)/60)))</f>
        <v/>
      </c>
      <c r="O1091" s="73"/>
    </row>
    <row r="1092" customFormat="false" ht="15" hidden="false" customHeight="false" outlineLevel="0" collapsed="false">
      <c r="A1092" s="77"/>
      <c r="B1092" s="73"/>
      <c r="C1092" s="71" t="str">
        <f aca="false">IF(B1092="","",IFERROR(INDEX(マスタ!$F$2:$F$60,MATCH(B1092,マスタ!$E$2:$E$60,0))&amp;"",""))</f>
        <v/>
      </c>
      <c r="D1092" s="73"/>
      <c r="E1092" s="75"/>
      <c r="F1092" s="75"/>
      <c r="G1092" s="75"/>
      <c r="H1092" s="73"/>
      <c r="I1092" s="75"/>
      <c r="J1092" s="75"/>
      <c r="K1092" s="75"/>
      <c r="L1092" s="73"/>
      <c r="M1092" s="78" t="str">
        <f aca="false">IF(OR(E1092="",F1092=""),"",MAX(0,((F1092-E1092-N(G1092))*1440-N(H1092)*10)/60))</f>
        <v/>
      </c>
      <c r="N1092" s="78" t="str">
        <f aca="false">IF($D1092="欠席",0,IF(OR(I1092="",J1092=""),"",MAX(0,((J1092-I1092-N(K1092))*1440-N(L1092)*10)/60)))</f>
        <v/>
      </c>
      <c r="O1092" s="73"/>
    </row>
    <row r="1093" customFormat="false" ht="15" hidden="false" customHeight="false" outlineLevel="0" collapsed="false">
      <c r="A1093" s="77"/>
      <c r="B1093" s="73"/>
      <c r="C1093" s="71" t="str">
        <f aca="false">IF(B1093="","",IFERROR(INDEX(マスタ!$F$2:$F$60,MATCH(B1093,マスタ!$E$2:$E$60,0))&amp;"",""))</f>
        <v/>
      </c>
      <c r="D1093" s="73"/>
      <c r="E1093" s="75"/>
      <c r="F1093" s="75"/>
      <c r="G1093" s="75"/>
      <c r="H1093" s="73"/>
      <c r="I1093" s="75"/>
      <c r="J1093" s="75"/>
      <c r="K1093" s="75"/>
      <c r="L1093" s="73"/>
      <c r="M1093" s="78" t="str">
        <f aca="false">IF(OR(E1093="",F1093=""),"",MAX(0,((F1093-E1093-N(G1093))*1440-N(H1093)*10)/60))</f>
        <v/>
      </c>
      <c r="N1093" s="78" t="str">
        <f aca="false">IF($D1093="欠席",0,IF(OR(I1093="",J1093=""),"",MAX(0,((J1093-I1093-N(K1093))*1440-N(L1093)*10)/60)))</f>
        <v/>
      </c>
      <c r="O1093" s="73"/>
    </row>
    <row r="1094" customFormat="false" ht="15" hidden="false" customHeight="false" outlineLevel="0" collapsed="false">
      <c r="A1094" s="77"/>
      <c r="B1094" s="73"/>
      <c r="C1094" s="71" t="str">
        <f aca="false">IF(B1094="","",IFERROR(INDEX(マスタ!$F$2:$F$60,MATCH(B1094,マスタ!$E$2:$E$60,0))&amp;"",""))</f>
        <v/>
      </c>
      <c r="D1094" s="73"/>
      <c r="E1094" s="75"/>
      <c r="F1094" s="75"/>
      <c r="G1094" s="75"/>
      <c r="H1094" s="73"/>
      <c r="I1094" s="75"/>
      <c r="J1094" s="75"/>
      <c r="K1094" s="75"/>
      <c r="L1094" s="73"/>
      <c r="M1094" s="78" t="str">
        <f aca="false">IF(OR(E1094="",F1094=""),"",MAX(0,((F1094-E1094-N(G1094))*1440-N(H1094)*10)/60))</f>
        <v/>
      </c>
      <c r="N1094" s="78" t="str">
        <f aca="false">IF($D1094="欠席",0,IF(OR(I1094="",J1094=""),"",MAX(0,((J1094-I1094-N(K1094))*1440-N(L1094)*10)/60)))</f>
        <v/>
      </c>
      <c r="O1094" s="73"/>
    </row>
    <row r="1095" customFormat="false" ht="15" hidden="false" customHeight="false" outlineLevel="0" collapsed="false">
      <c r="A1095" s="77"/>
      <c r="B1095" s="73"/>
      <c r="C1095" s="71" t="str">
        <f aca="false">IF(B1095="","",IFERROR(INDEX(マスタ!$F$2:$F$60,MATCH(B1095,マスタ!$E$2:$E$60,0))&amp;"",""))</f>
        <v/>
      </c>
      <c r="D1095" s="73"/>
      <c r="E1095" s="75"/>
      <c r="F1095" s="75"/>
      <c r="G1095" s="75"/>
      <c r="H1095" s="73"/>
      <c r="I1095" s="75"/>
      <c r="J1095" s="75"/>
      <c r="K1095" s="75"/>
      <c r="L1095" s="73"/>
      <c r="M1095" s="78" t="str">
        <f aca="false">IF(OR(E1095="",F1095=""),"",MAX(0,((F1095-E1095-N(G1095))*1440-N(H1095)*10)/60))</f>
        <v/>
      </c>
      <c r="N1095" s="78" t="str">
        <f aca="false">IF($D1095="欠席",0,IF(OR(I1095="",J1095=""),"",MAX(0,((J1095-I1095-N(K1095))*1440-N(L1095)*10)/60)))</f>
        <v/>
      </c>
      <c r="O1095" s="73"/>
    </row>
    <row r="1096" customFormat="false" ht="15" hidden="false" customHeight="false" outlineLevel="0" collapsed="false">
      <c r="A1096" s="77"/>
      <c r="B1096" s="73"/>
      <c r="C1096" s="71" t="str">
        <f aca="false">IF(B1096="","",IFERROR(INDEX(マスタ!$F$2:$F$60,MATCH(B1096,マスタ!$E$2:$E$60,0))&amp;"",""))</f>
        <v/>
      </c>
      <c r="D1096" s="73"/>
      <c r="E1096" s="75"/>
      <c r="F1096" s="75"/>
      <c r="G1096" s="75"/>
      <c r="H1096" s="73"/>
      <c r="I1096" s="75"/>
      <c r="J1096" s="75"/>
      <c r="K1096" s="75"/>
      <c r="L1096" s="73"/>
      <c r="M1096" s="78" t="str">
        <f aca="false">IF(OR(E1096="",F1096=""),"",MAX(0,((F1096-E1096-N(G1096))*1440-N(H1096)*10)/60))</f>
        <v/>
      </c>
      <c r="N1096" s="78" t="str">
        <f aca="false">IF($D1096="欠席",0,IF(OR(I1096="",J1096=""),"",MAX(0,((J1096-I1096-N(K1096))*1440-N(L1096)*10)/60)))</f>
        <v/>
      </c>
      <c r="O1096" s="73"/>
    </row>
    <row r="1097" customFormat="false" ht="15" hidden="false" customHeight="false" outlineLevel="0" collapsed="false">
      <c r="A1097" s="77"/>
      <c r="B1097" s="73"/>
      <c r="C1097" s="71" t="str">
        <f aca="false">IF(B1097="","",IFERROR(INDEX(マスタ!$F$2:$F$60,MATCH(B1097,マスタ!$E$2:$E$60,0))&amp;"",""))</f>
        <v/>
      </c>
      <c r="D1097" s="73"/>
      <c r="E1097" s="75"/>
      <c r="F1097" s="75"/>
      <c r="G1097" s="75"/>
      <c r="H1097" s="73"/>
      <c r="I1097" s="75"/>
      <c r="J1097" s="75"/>
      <c r="K1097" s="75"/>
      <c r="L1097" s="73"/>
      <c r="M1097" s="78" t="str">
        <f aca="false">IF(OR(E1097="",F1097=""),"",MAX(0,((F1097-E1097-N(G1097))*1440-N(H1097)*10)/60))</f>
        <v/>
      </c>
      <c r="N1097" s="78" t="str">
        <f aca="false">IF($D1097="欠席",0,IF(OR(I1097="",J1097=""),"",MAX(0,((J1097-I1097-N(K1097))*1440-N(L1097)*10)/60)))</f>
        <v/>
      </c>
      <c r="O1097" s="73"/>
    </row>
    <row r="1098" customFormat="false" ht="15" hidden="false" customHeight="false" outlineLevel="0" collapsed="false">
      <c r="A1098" s="77"/>
      <c r="B1098" s="73"/>
      <c r="C1098" s="71" t="str">
        <f aca="false">IF(B1098="","",IFERROR(INDEX(マスタ!$F$2:$F$60,MATCH(B1098,マスタ!$E$2:$E$60,0))&amp;"",""))</f>
        <v/>
      </c>
      <c r="D1098" s="73"/>
      <c r="E1098" s="75"/>
      <c r="F1098" s="75"/>
      <c r="G1098" s="75"/>
      <c r="H1098" s="73"/>
      <c r="I1098" s="75"/>
      <c r="J1098" s="75"/>
      <c r="K1098" s="75"/>
      <c r="L1098" s="73"/>
      <c r="M1098" s="78" t="str">
        <f aca="false">IF(OR(E1098="",F1098=""),"",MAX(0,((F1098-E1098-N(G1098))*1440-N(H1098)*10)/60))</f>
        <v/>
      </c>
      <c r="N1098" s="78" t="str">
        <f aca="false">IF($D1098="欠席",0,IF(OR(I1098="",J1098=""),"",MAX(0,((J1098-I1098-N(K1098))*1440-N(L1098)*10)/60)))</f>
        <v/>
      </c>
      <c r="O1098" s="73"/>
    </row>
    <row r="1099" customFormat="false" ht="15" hidden="false" customHeight="false" outlineLevel="0" collapsed="false">
      <c r="A1099" s="77"/>
      <c r="B1099" s="73"/>
      <c r="C1099" s="71" t="str">
        <f aca="false">IF(B1099="","",IFERROR(INDEX(マスタ!$F$2:$F$60,MATCH(B1099,マスタ!$E$2:$E$60,0))&amp;"",""))</f>
        <v/>
      </c>
      <c r="D1099" s="73"/>
      <c r="E1099" s="75"/>
      <c r="F1099" s="75"/>
      <c r="G1099" s="75"/>
      <c r="H1099" s="73"/>
      <c r="I1099" s="75"/>
      <c r="J1099" s="75"/>
      <c r="K1099" s="75"/>
      <c r="L1099" s="73"/>
      <c r="M1099" s="78" t="str">
        <f aca="false">IF(OR(E1099="",F1099=""),"",MAX(0,((F1099-E1099-N(G1099))*1440-N(H1099)*10)/60))</f>
        <v/>
      </c>
      <c r="N1099" s="78" t="str">
        <f aca="false">IF($D1099="欠席",0,IF(OR(I1099="",J1099=""),"",MAX(0,((J1099-I1099-N(K1099))*1440-N(L1099)*10)/60)))</f>
        <v/>
      </c>
      <c r="O1099" s="73"/>
    </row>
    <row r="1100" customFormat="false" ht="15" hidden="false" customHeight="false" outlineLevel="0" collapsed="false">
      <c r="A1100" s="77"/>
      <c r="B1100" s="73"/>
      <c r="C1100" s="71" t="str">
        <f aca="false">IF(B1100="","",IFERROR(INDEX(マスタ!$F$2:$F$60,MATCH(B1100,マスタ!$E$2:$E$60,0))&amp;"",""))</f>
        <v/>
      </c>
      <c r="D1100" s="73"/>
      <c r="E1100" s="75"/>
      <c r="F1100" s="75"/>
      <c r="G1100" s="75"/>
      <c r="H1100" s="73"/>
      <c r="I1100" s="75"/>
      <c r="J1100" s="75"/>
      <c r="K1100" s="75"/>
      <c r="L1100" s="73"/>
      <c r="M1100" s="78" t="str">
        <f aca="false">IF(OR(E1100="",F1100=""),"",MAX(0,((F1100-E1100-N(G1100))*1440-N(H1100)*10)/60))</f>
        <v/>
      </c>
      <c r="N1100" s="78" t="str">
        <f aca="false">IF($D1100="欠席",0,IF(OR(I1100="",J1100=""),"",MAX(0,((J1100-I1100-N(K1100))*1440-N(L1100)*10)/60)))</f>
        <v/>
      </c>
      <c r="O1100" s="73"/>
    </row>
    <row r="1101" customFormat="false" ht="15" hidden="false" customHeight="false" outlineLevel="0" collapsed="false">
      <c r="A1101" s="77"/>
      <c r="B1101" s="73"/>
      <c r="C1101" s="71" t="str">
        <f aca="false">IF(B1101="","",IFERROR(INDEX(マスタ!$F$2:$F$60,MATCH(B1101,マスタ!$E$2:$E$60,0))&amp;"",""))</f>
        <v/>
      </c>
      <c r="D1101" s="73"/>
      <c r="E1101" s="75"/>
      <c r="F1101" s="75"/>
      <c r="G1101" s="75"/>
      <c r="H1101" s="73"/>
      <c r="I1101" s="75"/>
      <c r="J1101" s="75"/>
      <c r="K1101" s="75"/>
      <c r="L1101" s="73"/>
      <c r="M1101" s="78" t="str">
        <f aca="false">IF(OR(E1101="",F1101=""),"",MAX(0,((F1101-E1101-N(G1101))*1440-N(H1101)*10)/60))</f>
        <v/>
      </c>
      <c r="N1101" s="78" t="str">
        <f aca="false">IF($D1101="欠席",0,IF(OR(I1101="",J1101=""),"",MAX(0,((J1101-I1101-N(K1101))*1440-N(L1101)*10)/60)))</f>
        <v/>
      </c>
      <c r="O1101" s="73"/>
    </row>
    <row r="1102" customFormat="false" ht="15" hidden="false" customHeight="false" outlineLevel="0" collapsed="false">
      <c r="A1102" s="77"/>
      <c r="B1102" s="73"/>
      <c r="C1102" s="71" t="str">
        <f aca="false">IF(B1102="","",IFERROR(INDEX(マスタ!$F$2:$F$60,MATCH(B1102,マスタ!$E$2:$E$60,0))&amp;"",""))</f>
        <v/>
      </c>
      <c r="D1102" s="73"/>
      <c r="E1102" s="75"/>
      <c r="F1102" s="75"/>
      <c r="G1102" s="75"/>
      <c r="H1102" s="73"/>
      <c r="I1102" s="75"/>
      <c r="J1102" s="75"/>
      <c r="K1102" s="75"/>
      <c r="L1102" s="73"/>
      <c r="M1102" s="78" t="str">
        <f aca="false">IF(OR(E1102="",F1102=""),"",MAX(0,((F1102-E1102-N(G1102))*1440-N(H1102)*10)/60))</f>
        <v/>
      </c>
      <c r="N1102" s="78" t="str">
        <f aca="false">IF($D1102="欠席",0,IF(OR(I1102="",J1102=""),"",MAX(0,((J1102-I1102-N(K1102))*1440-N(L1102)*10)/60)))</f>
        <v/>
      </c>
      <c r="O1102" s="73"/>
    </row>
    <row r="1103" customFormat="false" ht="15" hidden="false" customHeight="false" outlineLevel="0" collapsed="false">
      <c r="A1103" s="77"/>
      <c r="B1103" s="73"/>
      <c r="C1103" s="71" t="str">
        <f aca="false">IF(B1103="","",IFERROR(INDEX(マスタ!$F$2:$F$60,MATCH(B1103,マスタ!$E$2:$E$60,0))&amp;"",""))</f>
        <v/>
      </c>
      <c r="D1103" s="73"/>
      <c r="E1103" s="75"/>
      <c r="F1103" s="75"/>
      <c r="G1103" s="75"/>
      <c r="H1103" s="73"/>
      <c r="I1103" s="75"/>
      <c r="J1103" s="75"/>
      <c r="K1103" s="75"/>
      <c r="L1103" s="73"/>
      <c r="M1103" s="78" t="str">
        <f aca="false">IF(OR(E1103="",F1103=""),"",MAX(0,((F1103-E1103-N(G1103))*1440-N(H1103)*10)/60))</f>
        <v/>
      </c>
      <c r="N1103" s="78" t="str">
        <f aca="false">IF($D1103="欠席",0,IF(OR(I1103="",J1103=""),"",MAX(0,((J1103-I1103-N(K1103))*1440-N(L1103)*10)/60)))</f>
        <v/>
      </c>
      <c r="O1103" s="73"/>
    </row>
    <row r="1104" customFormat="false" ht="15" hidden="false" customHeight="false" outlineLevel="0" collapsed="false">
      <c r="A1104" s="77"/>
      <c r="B1104" s="73"/>
      <c r="C1104" s="71" t="str">
        <f aca="false">IF(B1104="","",IFERROR(INDEX(マスタ!$F$2:$F$60,MATCH(B1104,マスタ!$E$2:$E$60,0))&amp;"",""))</f>
        <v/>
      </c>
      <c r="D1104" s="73"/>
      <c r="E1104" s="75"/>
      <c r="F1104" s="75"/>
      <c r="G1104" s="75"/>
      <c r="H1104" s="73"/>
      <c r="I1104" s="75"/>
      <c r="J1104" s="75"/>
      <c r="K1104" s="75"/>
      <c r="L1104" s="73"/>
      <c r="M1104" s="78" t="str">
        <f aca="false">IF(OR(E1104="",F1104=""),"",MAX(0,((F1104-E1104-N(G1104))*1440-N(H1104)*10)/60))</f>
        <v/>
      </c>
      <c r="N1104" s="78" t="str">
        <f aca="false">IF($D1104="欠席",0,IF(OR(I1104="",J1104=""),"",MAX(0,((J1104-I1104-N(K1104))*1440-N(L1104)*10)/60)))</f>
        <v/>
      </c>
      <c r="O1104" s="73"/>
    </row>
    <row r="1105" customFormat="false" ht="15" hidden="false" customHeight="false" outlineLevel="0" collapsed="false">
      <c r="A1105" s="77"/>
      <c r="B1105" s="73"/>
      <c r="C1105" s="71" t="str">
        <f aca="false">IF(B1105="","",IFERROR(INDEX(マスタ!$F$2:$F$60,MATCH(B1105,マスタ!$E$2:$E$60,0))&amp;"",""))</f>
        <v/>
      </c>
      <c r="D1105" s="73"/>
      <c r="E1105" s="75"/>
      <c r="F1105" s="75"/>
      <c r="G1105" s="75"/>
      <c r="H1105" s="73"/>
      <c r="I1105" s="75"/>
      <c r="J1105" s="75"/>
      <c r="K1105" s="75"/>
      <c r="L1105" s="73"/>
      <c r="M1105" s="78" t="str">
        <f aca="false">IF(OR(E1105="",F1105=""),"",MAX(0,((F1105-E1105-N(G1105))*1440-N(H1105)*10)/60))</f>
        <v/>
      </c>
      <c r="N1105" s="78" t="str">
        <f aca="false">IF($D1105="欠席",0,IF(OR(I1105="",J1105=""),"",MAX(0,((J1105-I1105-N(K1105))*1440-N(L1105)*10)/60)))</f>
        <v/>
      </c>
      <c r="O1105" s="73"/>
    </row>
    <row r="1106" customFormat="false" ht="15" hidden="false" customHeight="false" outlineLevel="0" collapsed="false">
      <c r="A1106" s="77"/>
      <c r="B1106" s="73"/>
      <c r="C1106" s="71" t="str">
        <f aca="false">IF(B1106="","",IFERROR(INDEX(マスタ!$F$2:$F$60,MATCH(B1106,マスタ!$E$2:$E$60,0))&amp;"",""))</f>
        <v/>
      </c>
      <c r="D1106" s="73"/>
      <c r="E1106" s="75"/>
      <c r="F1106" s="75"/>
      <c r="G1106" s="75"/>
      <c r="H1106" s="73"/>
      <c r="I1106" s="75"/>
      <c r="J1106" s="75"/>
      <c r="K1106" s="75"/>
      <c r="L1106" s="73"/>
      <c r="M1106" s="78" t="str">
        <f aca="false">IF(OR(E1106="",F1106=""),"",MAX(0,((F1106-E1106-N(G1106))*1440-N(H1106)*10)/60))</f>
        <v/>
      </c>
      <c r="N1106" s="78" t="str">
        <f aca="false">IF($D1106="欠席",0,IF(OR(I1106="",J1106=""),"",MAX(0,((J1106-I1106-N(K1106))*1440-N(L1106)*10)/60)))</f>
        <v/>
      </c>
      <c r="O1106" s="73"/>
    </row>
    <row r="1107" customFormat="false" ht="15" hidden="false" customHeight="false" outlineLevel="0" collapsed="false">
      <c r="A1107" s="77"/>
      <c r="B1107" s="73"/>
      <c r="C1107" s="71" t="str">
        <f aca="false">IF(B1107="","",IFERROR(INDEX(マスタ!$F$2:$F$60,MATCH(B1107,マスタ!$E$2:$E$60,0))&amp;"",""))</f>
        <v/>
      </c>
      <c r="D1107" s="73"/>
      <c r="E1107" s="75"/>
      <c r="F1107" s="75"/>
      <c r="G1107" s="75"/>
      <c r="H1107" s="73"/>
      <c r="I1107" s="75"/>
      <c r="J1107" s="75"/>
      <c r="K1107" s="75"/>
      <c r="L1107" s="73"/>
      <c r="M1107" s="78" t="str">
        <f aca="false">IF(OR(E1107="",F1107=""),"",MAX(0,((F1107-E1107-N(G1107))*1440-N(H1107)*10)/60))</f>
        <v/>
      </c>
      <c r="N1107" s="78" t="str">
        <f aca="false">IF($D1107="欠席",0,IF(OR(I1107="",J1107=""),"",MAX(0,((J1107-I1107-N(K1107))*1440-N(L1107)*10)/60)))</f>
        <v/>
      </c>
      <c r="O1107" s="73"/>
    </row>
    <row r="1108" customFormat="false" ht="15" hidden="false" customHeight="false" outlineLevel="0" collapsed="false">
      <c r="A1108" s="77"/>
      <c r="B1108" s="73"/>
      <c r="C1108" s="71" t="str">
        <f aca="false">IF(B1108="","",IFERROR(INDEX(マスタ!$F$2:$F$60,MATCH(B1108,マスタ!$E$2:$E$60,0))&amp;"",""))</f>
        <v/>
      </c>
      <c r="D1108" s="73"/>
      <c r="E1108" s="75"/>
      <c r="F1108" s="75"/>
      <c r="G1108" s="75"/>
      <c r="H1108" s="73"/>
      <c r="I1108" s="75"/>
      <c r="J1108" s="75"/>
      <c r="K1108" s="75"/>
      <c r="L1108" s="73"/>
      <c r="M1108" s="78" t="str">
        <f aca="false">IF(OR(E1108="",F1108=""),"",MAX(0,((F1108-E1108-N(G1108))*1440-N(H1108)*10)/60))</f>
        <v/>
      </c>
      <c r="N1108" s="78" t="str">
        <f aca="false">IF($D1108="欠席",0,IF(OR(I1108="",J1108=""),"",MAX(0,((J1108-I1108-N(K1108))*1440-N(L1108)*10)/60)))</f>
        <v/>
      </c>
      <c r="O1108" s="73"/>
    </row>
    <row r="1109" customFormat="false" ht="15" hidden="false" customHeight="false" outlineLevel="0" collapsed="false">
      <c r="A1109" s="77"/>
      <c r="B1109" s="73"/>
      <c r="C1109" s="71" t="str">
        <f aca="false">IF(B1109="","",IFERROR(INDEX(マスタ!$F$2:$F$60,MATCH(B1109,マスタ!$E$2:$E$60,0))&amp;"",""))</f>
        <v/>
      </c>
      <c r="D1109" s="73"/>
      <c r="E1109" s="75"/>
      <c r="F1109" s="75"/>
      <c r="G1109" s="75"/>
      <c r="H1109" s="73"/>
      <c r="I1109" s="75"/>
      <c r="J1109" s="75"/>
      <c r="K1109" s="75"/>
      <c r="L1109" s="73"/>
      <c r="M1109" s="78" t="str">
        <f aca="false">IF(OR(E1109="",F1109=""),"",MAX(0,((F1109-E1109-N(G1109))*1440-N(H1109)*10)/60))</f>
        <v/>
      </c>
      <c r="N1109" s="78" t="str">
        <f aca="false">IF($D1109="欠席",0,IF(OR(I1109="",J1109=""),"",MAX(0,((J1109-I1109-N(K1109))*1440-N(L1109)*10)/60)))</f>
        <v/>
      </c>
      <c r="O1109" s="73"/>
    </row>
    <row r="1110" customFormat="false" ht="15" hidden="false" customHeight="false" outlineLevel="0" collapsed="false">
      <c r="A1110" s="77"/>
      <c r="B1110" s="73"/>
      <c r="C1110" s="71" t="str">
        <f aca="false">IF(B1110="","",IFERROR(INDEX(マスタ!$F$2:$F$60,MATCH(B1110,マスタ!$E$2:$E$60,0))&amp;"",""))</f>
        <v/>
      </c>
      <c r="D1110" s="73"/>
      <c r="E1110" s="75"/>
      <c r="F1110" s="75"/>
      <c r="G1110" s="75"/>
      <c r="H1110" s="73"/>
      <c r="I1110" s="75"/>
      <c r="J1110" s="75"/>
      <c r="K1110" s="75"/>
      <c r="L1110" s="73"/>
      <c r="M1110" s="78" t="str">
        <f aca="false">IF(OR(E1110="",F1110=""),"",MAX(0,((F1110-E1110-N(G1110))*1440-N(H1110)*10)/60))</f>
        <v/>
      </c>
      <c r="N1110" s="78" t="str">
        <f aca="false">IF($D1110="欠席",0,IF(OR(I1110="",J1110=""),"",MAX(0,((J1110-I1110-N(K1110))*1440-N(L1110)*10)/60)))</f>
        <v/>
      </c>
      <c r="O1110" s="73"/>
    </row>
    <row r="1111" customFormat="false" ht="15" hidden="false" customHeight="false" outlineLevel="0" collapsed="false">
      <c r="A1111" s="77"/>
      <c r="B1111" s="73"/>
      <c r="C1111" s="71" t="str">
        <f aca="false">IF(B1111="","",IFERROR(INDEX(マスタ!$F$2:$F$60,MATCH(B1111,マスタ!$E$2:$E$60,0))&amp;"",""))</f>
        <v/>
      </c>
      <c r="D1111" s="73"/>
      <c r="E1111" s="75"/>
      <c r="F1111" s="75"/>
      <c r="G1111" s="75"/>
      <c r="H1111" s="73"/>
      <c r="I1111" s="75"/>
      <c r="J1111" s="75"/>
      <c r="K1111" s="75"/>
      <c r="L1111" s="73"/>
      <c r="M1111" s="78" t="str">
        <f aca="false">IF(OR(E1111="",F1111=""),"",MAX(0,((F1111-E1111-N(G1111))*1440-N(H1111)*10)/60))</f>
        <v/>
      </c>
      <c r="N1111" s="78" t="str">
        <f aca="false">IF($D1111="欠席",0,IF(OR(I1111="",J1111=""),"",MAX(0,((J1111-I1111-N(K1111))*1440-N(L1111)*10)/60)))</f>
        <v/>
      </c>
      <c r="O1111" s="73"/>
    </row>
    <row r="1112" customFormat="false" ht="15" hidden="false" customHeight="false" outlineLevel="0" collapsed="false">
      <c r="A1112" s="77"/>
      <c r="B1112" s="73"/>
      <c r="C1112" s="71" t="str">
        <f aca="false">IF(B1112="","",IFERROR(INDEX(マスタ!$F$2:$F$60,MATCH(B1112,マスタ!$E$2:$E$60,0))&amp;"",""))</f>
        <v/>
      </c>
      <c r="D1112" s="73"/>
      <c r="E1112" s="75"/>
      <c r="F1112" s="75"/>
      <c r="G1112" s="75"/>
      <c r="H1112" s="73"/>
      <c r="I1112" s="75"/>
      <c r="J1112" s="75"/>
      <c r="K1112" s="75"/>
      <c r="L1112" s="73"/>
      <c r="M1112" s="78" t="str">
        <f aca="false">IF(OR(E1112="",F1112=""),"",MAX(0,((F1112-E1112-N(G1112))*1440-N(H1112)*10)/60))</f>
        <v/>
      </c>
      <c r="N1112" s="78" t="str">
        <f aca="false">IF($D1112="欠席",0,IF(OR(I1112="",J1112=""),"",MAX(0,((J1112-I1112-N(K1112))*1440-N(L1112)*10)/60)))</f>
        <v/>
      </c>
      <c r="O1112" s="73"/>
    </row>
    <row r="1113" customFormat="false" ht="15" hidden="false" customHeight="false" outlineLevel="0" collapsed="false">
      <c r="A1113" s="77"/>
      <c r="B1113" s="73"/>
      <c r="C1113" s="71" t="str">
        <f aca="false">IF(B1113="","",IFERROR(INDEX(マスタ!$F$2:$F$60,MATCH(B1113,マスタ!$E$2:$E$60,0))&amp;"",""))</f>
        <v/>
      </c>
      <c r="D1113" s="73"/>
      <c r="E1113" s="75"/>
      <c r="F1113" s="75"/>
      <c r="G1113" s="75"/>
      <c r="H1113" s="73"/>
      <c r="I1113" s="75"/>
      <c r="J1113" s="75"/>
      <c r="K1113" s="75"/>
      <c r="L1113" s="73"/>
      <c r="M1113" s="78" t="str">
        <f aca="false">IF(OR(E1113="",F1113=""),"",MAX(0,((F1113-E1113-N(G1113))*1440-N(H1113)*10)/60))</f>
        <v/>
      </c>
      <c r="N1113" s="78" t="str">
        <f aca="false">IF($D1113="欠席",0,IF(OR(I1113="",J1113=""),"",MAX(0,((J1113-I1113-N(K1113))*1440-N(L1113)*10)/60)))</f>
        <v/>
      </c>
      <c r="O1113" s="73"/>
    </row>
    <row r="1114" customFormat="false" ht="15" hidden="false" customHeight="false" outlineLevel="0" collapsed="false">
      <c r="A1114" s="77"/>
      <c r="B1114" s="73"/>
      <c r="C1114" s="71" t="str">
        <f aca="false">IF(B1114="","",IFERROR(INDEX(マスタ!$F$2:$F$60,MATCH(B1114,マスタ!$E$2:$E$60,0))&amp;"",""))</f>
        <v/>
      </c>
      <c r="D1114" s="73"/>
      <c r="E1114" s="75"/>
      <c r="F1114" s="75"/>
      <c r="G1114" s="75"/>
      <c r="H1114" s="73"/>
      <c r="I1114" s="75"/>
      <c r="J1114" s="75"/>
      <c r="K1114" s="75"/>
      <c r="L1114" s="73"/>
      <c r="M1114" s="78" t="str">
        <f aca="false">IF(OR(E1114="",F1114=""),"",MAX(0,((F1114-E1114-N(G1114))*1440-N(H1114)*10)/60))</f>
        <v/>
      </c>
      <c r="N1114" s="78" t="str">
        <f aca="false">IF($D1114="欠席",0,IF(OR(I1114="",J1114=""),"",MAX(0,((J1114-I1114-N(K1114))*1440-N(L1114)*10)/60)))</f>
        <v/>
      </c>
      <c r="O1114" s="73"/>
    </row>
    <row r="1115" customFormat="false" ht="15" hidden="false" customHeight="false" outlineLevel="0" collapsed="false">
      <c r="A1115" s="77"/>
      <c r="B1115" s="73"/>
      <c r="C1115" s="71" t="str">
        <f aca="false">IF(B1115="","",IFERROR(INDEX(マスタ!$F$2:$F$60,MATCH(B1115,マスタ!$E$2:$E$60,0))&amp;"",""))</f>
        <v/>
      </c>
      <c r="D1115" s="73"/>
      <c r="E1115" s="75"/>
      <c r="F1115" s="75"/>
      <c r="G1115" s="75"/>
      <c r="H1115" s="73"/>
      <c r="I1115" s="75"/>
      <c r="J1115" s="75"/>
      <c r="K1115" s="75"/>
      <c r="L1115" s="73"/>
      <c r="M1115" s="78" t="str">
        <f aca="false">IF(OR(E1115="",F1115=""),"",MAX(0,((F1115-E1115-N(G1115))*1440-N(H1115)*10)/60))</f>
        <v/>
      </c>
      <c r="N1115" s="78" t="str">
        <f aca="false">IF($D1115="欠席",0,IF(OR(I1115="",J1115=""),"",MAX(0,((J1115-I1115-N(K1115))*1440-N(L1115)*10)/60)))</f>
        <v/>
      </c>
      <c r="O1115" s="73"/>
    </row>
    <row r="1116" customFormat="false" ht="15" hidden="false" customHeight="false" outlineLevel="0" collapsed="false">
      <c r="A1116" s="77"/>
      <c r="B1116" s="73"/>
      <c r="C1116" s="71" t="str">
        <f aca="false">IF(B1116="","",IFERROR(INDEX(マスタ!$F$2:$F$60,MATCH(B1116,マスタ!$E$2:$E$60,0))&amp;"",""))</f>
        <v/>
      </c>
      <c r="D1116" s="73"/>
      <c r="E1116" s="75"/>
      <c r="F1116" s="75"/>
      <c r="G1116" s="75"/>
      <c r="H1116" s="73"/>
      <c r="I1116" s="75"/>
      <c r="J1116" s="75"/>
      <c r="K1116" s="75"/>
      <c r="L1116" s="73"/>
      <c r="M1116" s="78" t="str">
        <f aca="false">IF(OR(E1116="",F1116=""),"",MAX(0,((F1116-E1116-N(G1116))*1440-N(H1116)*10)/60))</f>
        <v/>
      </c>
      <c r="N1116" s="78" t="str">
        <f aca="false">IF($D1116="欠席",0,IF(OR(I1116="",J1116=""),"",MAX(0,((J1116-I1116-N(K1116))*1440-N(L1116)*10)/60)))</f>
        <v/>
      </c>
      <c r="O1116" s="73"/>
    </row>
    <row r="1117" customFormat="false" ht="15" hidden="false" customHeight="false" outlineLevel="0" collapsed="false">
      <c r="A1117" s="77"/>
      <c r="B1117" s="73"/>
      <c r="C1117" s="71" t="str">
        <f aca="false">IF(B1117="","",IFERROR(INDEX(マスタ!$F$2:$F$60,MATCH(B1117,マスタ!$E$2:$E$60,0))&amp;"",""))</f>
        <v/>
      </c>
      <c r="D1117" s="73"/>
      <c r="E1117" s="75"/>
      <c r="F1117" s="75"/>
      <c r="G1117" s="75"/>
      <c r="H1117" s="73"/>
      <c r="I1117" s="75"/>
      <c r="J1117" s="75"/>
      <c r="K1117" s="75"/>
      <c r="L1117" s="73"/>
      <c r="M1117" s="78" t="str">
        <f aca="false">IF(OR(E1117="",F1117=""),"",MAX(0,((F1117-E1117-N(G1117))*1440-N(H1117)*10)/60))</f>
        <v/>
      </c>
      <c r="N1117" s="78" t="str">
        <f aca="false">IF($D1117="欠席",0,IF(OR(I1117="",J1117=""),"",MAX(0,((J1117-I1117-N(K1117))*1440-N(L1117)*10)/60)))</f>
        <v/>
      </c>
      <c r="O1117" s="73"/>
    </row>
    <row r="1118" customFormat="false" ht="15" hidden="false" customHeight="false" outlineLevel="0" collapsed="false">
      <c r="A1118" s="77"/>
      <c r="B1118" s="73"/>
      <c r="C1118" s="71" t="str">
        <f aca="false">IF(B1118="","",IFERROR(INDEX(マスタ!$F$2:$F$60,MATCH(B1118,マスタ!$E$2:$E$60,0))&amp;"",""))</f>
        <v/>
      </c>
      <c r="D1118" s="73"/>
      <c r="E1118" s="75"/>
      <c r="F1118" s="75"/>
      <c r="G1118" s="75"/>
      <c r="H1118" s="73"/>
      <c r="I1118" s="75"/>
      <c r="J1118" s="75"/>
      <c r="K1118" s="75"/>
      <c r="L1118" s="73"/>
      <c r="M1118" s="78" t="str">
        <f aca="false">IF(OR(E1118="",F1118=""),"",MAX(0,((F1118-E1118-N(G1118))*1440-N(H1118)*10)/60))</f>
        <v/>
      </c>
      <c r="N1118" s="78" t="str">
        <f aca="false">IF($D1118="欠席",0,IF(OR(I1118="",J1118=""),"",MAX(0,((J1118-I1118-N(K1118))*1440-N(L1118)*10)/60)))</f>
        <v/>
      </c>
      <c r="O1118" s="73"/>
    </row>
    <row r="1119" customFormat="false" ht="15" hidden="false" customHeight="false" outlineLevel="0" collapsed="false">
      <c r="A1119" s="77"/>
      <c r="B1119" s="73"/>
      <c r="C1119" s="71" t="str">
        <f aca="false">IF(B1119="","",IFERROR(INDEX(マスタ!$F$2:$F$60,MATCH(B1119,マスタ!$E$2:$E$60,0))&amp;"",""))</f>
        <v/>
      </c>
      <c r="D1119" s="73"/>
      <c r="E1119" s="75"/>
      <c r="F1119" s="75"/>
      <c r="G1119" s="75"/>
      <c r="H1119" s="73"/>
      <c r="I1119" s="75"/>
      <c r="J1119" s="75"/>
      <c r="K1119" s="75"/>
      <c r="L1119" s="73"/>
      <c r="M1119" s="78" t="str">
        <f aca="false">IF(OR(E1119="",F1119=""),"",MAX(0,((F1119-E1119-N(G1119))*1440-N(H1119)*10)/60))</f>
        <v/>
      </c>
      <c r="N1119" s="78" t="str">
        <f aca="false">IF($D1119="欠席",0,IF(OR(I1119="",J1119=""),"",MAX(0,((J1119-I1119-N(K1119))*1440-N(L1119)*10)/60)))</f>
        <v/>
      </c>
      <c r="O1119" s="73"/>
    </row>
    <row r="1120" customFormat="false" ht="15" hidden="false" customHeight="false" outlineLevel="0" collapsed="false">
      <c r="A1120" s="77"/>
      <c r="B1120" s="73"/>
      <c r="C1120" s="71" t="str">
        <f aca="false">IF(B1120="","",IFERROR(INDEX(マスタ!$F$2:$F$60,MATCH(B1120,マスタ!$E$2:$E$60,0))&amp;"",""))</f>
        <v/>
      </c>
      <c r="D1120" s="73"/>
      <c r="E1120" s="75"/>
      <c r="F1120" s="75"/>
      <c r="G1120" s="75"/>
      <c r="H1120" s="73"/>
      <c r="I1120" s="75"/>
      <c r="J1120" s="75"/>
      <c r="K1120" s="75"/>
      <c r="L1120" s="73"/>
      <c r="M1120" s="78" t="str">
        <f aca="false">IF(OR(E1120="",F1120=""),"",MAX(0,((F1120-E1120-N(G1120))*1440-N(H1120)*10)/60))</f>
        <v/>
      </c>
      <c r="N1120" s="78" t="str">
        <f aca="false">IF($D1120="欠席",0,IF(OR(I1120="",J1120=""),"",MAX(0,((J1120-I1120-N(K1120))*1440-N(L1120)*10)/60)))</f>
        <v/>
      </c>
      <c r="O1120" s="73"/>
    </row>
    <row r="1121" customFormat="false" ht="15" hidden="false" customHeight="false" outlineLevel="0" collapsed="false">
      <c r="A1121" s="77"/>
      <c r="B1121" s="73"/>
      <c r="C1121" s="71" t="str">
        <f aca="false">IF(B1121="","",IFERROR(INDEX(マスタ!$F$2:$F$60,MATCH(B1121,マスタ!$E$2:$E$60,0))&amp;"",""))</f>
        <v/>
      </c>
      <c r="D1121" s="73"/>
      <c r="E1121" s="75"/>
      <c r="F1121" s="75"/>
      <c r="G1121" s="75"/>
      <c r="H1121" s="73"/>
      <c r="I1121" s="75"/>
      <c r="J1121" s="75"/>
      <c r="K1121" s="75"/>
      <c r="L1121" s="73"/>
      <c r="M1121" s="78" t="str">
        <f aca="false">IF(OR(E1121="",F1121=""),"",MAX(0,((F1121-E1121-N(G1121))*1440-N(H1121)*10)/60))</f>
        <v/>
      </c>
      <c r="N1121" s="78" t="str">
        <f aca="false">IF($D1121="欠席",0,IF(OR(I1121="",J1121=""),"",MAX(0,((J1121-I1121-N(K1121))*1440-N(L1121)*10)/60)))</f>
        <v/>
      </c>
      <c r="O1121" s="73"/>
    </row>
    <row r="1122" customFormat="false" ht="15" hidden="false" customHeight="false" outlineLevel="0" collapsed="false">
      <c r="A1122" s="77"/>
      <c r="B1122" s="73"/>
      <c r="C1122" s="71" t="str">
        <f aca="false">IF(B1122="","",IFERROR(INDEX(マスタ!$F$2:$F$60,MATCH(B1122,マスタ!$E$2:$E$60,0))&amp;"",""))</f>
        <v/>
      </c>
      <c r="D1122" s="73"/>
      <c r="E1122" s="75"/>
      <c r="F1122" s="75"/>
      <c r="G1122" s="75"/>
      <c r="H1122" s="73"/>
      <c r="I1122" s="75"/>
      <c r="J1122" s="75"/>
      <c r="K1122" s="75"/>
      <c r="L1122" s="73"/>
      <c r="M1122" s="78" t="str">
        <f aca="false">IF(OR(E1122="",F1122=""),"",MAX(0,((F1122-E1122-N(G1122))*1440-N(H1122)*10)/60))</f>
        <v/>
      </c>
      <c r="N1122" s="78" t="str">
        <f aca="false">IF($D1122="欠席",0,IF(OR(I1122="",J1122=""),"",MAX(0,((J1122-I1122-N(K1122))*1440-N(L1122)*10)/60)))</f>
        <v/>
      </c>
      <c r="O1122" s="73"/>
    </row>
    <row r="1123" customFormat="false" ht="15" hidden="false" customHeight="false" outlineLevel="0" collapsed="false">
      <c r="A1123" s="77"/>
      <c r="B1123" s="73"/>
      <c r="C1123" s="71" t="str">
        <f aca="false">IF(B1123="","",IFERROR(INDEX(マスタ!$F$2:$F$60,MATCH(B1123,マスタ!$E$2:$E$60,0))&amp;"",""))</f>
        <v/>
      </c>
      <c r="D1123" s="73"/>
      <c r="E1123" s="75"/>
      <c r="F1123" s="75"/>
      <c r="G1123" s="75"/>
      <c r="H1123" s="73"/>
      <c r="I1123" s="75"/>
      <c r="J1123" s="75"/>
      <c r="K1123" s="75"/>
      <c r="L1123" s="73"/>
      <c r="M1123" s="78" t="str">
        <f aca="false">IF(OR(E1123="",F1123=""),"",MAX(0,((F1123-E1123-N(G1123))*1440-N(H1123)*10)/60))</f>
        <v/>
      </c>
      <c r="N1123" s="78" t="str">
        <f aca="false">IF($D1123="欠席",0,IF(OR(I1123="",J1123=""),"",MAX(0,((J1123-I1123-N(K1123))*1440-N(L1123)*10)/60)))</f>
        <v/>
      </c>
      <c r="O1123" s="73"/>
    </row>
    <row r="1124" customFormat="false" ht="15" hidden="false" customHeight="false" outlineLevel="0" collapsed="false">
      <c r="A1124" s="77"/>
      <c r="B1124" s="73"/>
      <c r="C1124" s="71" t="str">
        <f aca="false">IF(B1124="","",IFERROR(INDEX(マスタ!$F$2:$F$60,MATCH(B1124,マスタ!$E$2:$E$60,0))&amp;"",""))</f>
        <v/>
      </c>
      <c r="D1124" s="73"/>
      <c r="E1124" s="75"/>
      <c r="F1124" s="75"/>
      <c r="G1124" s="75"/>
      <c r="H1124" s="73"/>
      <c r="I1124" s="75"/>
      <c r="J1124" s="75"/>
      <c r="K1124" s="75"/>
      <c r="L1124" s="73"/>
      <c r="M1124" s="78" t="str">
        <f aca="false">IF(OR(E1124="",F1124=""),"",MAX(0,((F1124-E1124-N(G1124))*1440-N(H1124)*10)/60))</f>
        <v/>
      </c>
      <c r="N1124" s="78" t="str">
        <f aca="false">IF($D1124="欠席",0,IF(OR(I1124="",J1124=""),"",MAX(0,((J1124-I1124-N(K1124))*1440-N(L1124)*10)/60)))</f>
        <v/>
      </c>
      <c r="O1124" s="73"/>
    </row>
    <row r="1125" customFormat="false" ht="15" hidden="false" customHeight="false" outlineLevel="0" collapsed="false">
      <c r="A1125" s="77"/>
      <c r="B1125" s="73"/>
      <c r="C1125" s="71" t="str">
        <f aca="false">IF(B1125="","",IFERROR(INDEX(マスタ!$F$2:$F$60,MATCH(B1125,マスタ!$E$2:$E$60,0))&amp;"",""))</f>
        <v/>
      </c>
      <c r="D1125" s="73"/>
      <c r="E1125" s="75"/>
      <c r="F1125" s="75"/>
      <c r="G1125" s="75"/>
      <c r="H1125" s="73"/>
      <c r="I1125" s="75"/>
      <c r="J1125" s="75"/>
      <c r="K1125" s="75"/>
      <c r="L1125" s="73"/>
      <c r="M1125" s="78" t="str">
        <f aca="false">IF(OR(E1125="",F1125=""),"",MAX(0,((F1125-E1125-N(G1125))*1440-N(H1125)*10)/60))</f>
        <v/>
      </c>
      <c r="N1125" s="78" t="str">
        <f aca="false">IF($D1125="欠席",0,IF(OR(I1125="",J1125=""),"",MAX(0,((J1125-I1125-N(K1125))*1440-N(L1125)*10)/60)))</f>
        <v/>
      </c>
      <c r="O1125" s="73"/>
    </row>
    <row r="1126" customFormat="false" ht="15" hidden="false" customHeight="false" outlineLevel="0" collapsed="false">
      <c r="A1126" s="77"/>
      <c r="B1126" s="73"/>
      <c r="C1126" s="71" t="str">
        <f aca="false">IF(B1126="","",IFERROR(INDEX(マスタ!$F$2:$F$60,MATCH(B1126,マスタ!$E$2:$E$60,0))&amp;"",""))</f>
        <v/>
      </c>
      <c r="D1126" s="73"/>
      <c r="E1126" s="75"/>
      <c r="F1126" s="75"/>
      <c r="G1126" s="75"/>
      <c r="H1126" s="73"/>
      <c r="I1126" s="75"/>
      <c r="J1126" s="75"/>
      <c r="K1126" s="75"/>
      <c r="L1126" s="73"/>
      <c r="M1126" s="78" t="str">
        <f aca="false">IF(OR(E1126="",F1126=""),"",MAX(0,((F1126-E1126-N(G1126))*1440-N(H1126)*10)/60))</f>
        <v/>
      </c>
      <c r="N1126" s="78" t="str">
        <f aca="false">IF($D1126="欠席",0,IF(OR(I1126="",J1126=""),"",MAX(0,((J1126-I1126-N(K1126))*1440-N(L1126)*10)/60)))</f>
        <v/>
      </c>
      <c r="O1126" s="73"/>
    </row>
    <row r="1127" customFormat="false" ht="15" hidden="false" customHeight="false" outlineLevel="0" collapsed="false">
      <c r="A1127" s="77"/>
      <c r="B1127" s="73"/>
      <c r="C1127" s="71" t="str">
        <f aca="false">IF(B1127="","",IFERROR(INDEX(マスタ!$F$2:$F$60,MATCH(B1127,マスタ!$E$2:$E$60,0))&amp;"",""))</f>
        <v/>
      </c>
      <c r="D1127" s="73"/>
      <c r="E1127" s="75"/>
      <c r="F1127" s="75"/>
      <c r="G1127" s="75"/>
      <c r="H1127" s="73"/>
      <c r="I1127" s="75"/>
      <c r="J1127" s="75"/>
      <c r="K1127" s="75"/>
      <c r="L1127" s="73"/>
      <c r="M1127" s="78" t="str">
        <f aca="false">IF(OR(E1127="",F1127=""),"",MAX(0,((F1127-E1127-N(G1127))*1440-N(H1127)*10)/60))</f>
        <v/>
      </c>
      <c r="N1127" s="78" t="str">
        <f aca="false">IF($D1127="欠席",0,IF(OR(I1127="",J1127=""),"",MAX(0,((J1127-I1127-N(K1127))*1440-N(L1127)*10)/60)))</f>
        <v/>
      </c>
      <c r="O1127" s="73"/>
    </row>
    <row r="1128" customFormat="false" ht="15" hidden="false" customHeight="false" outlineLevel="0" collapsed="false">
      <c r="A1128" s="77"/>
      <c r="B1128" s="73"/>
      <c r="C1128" s="71" t="str">
        <f aca="false">IF(B1128="","",IFERROR(INDEX(マスタ!$F$2:$F$60,MATCH(B1128,マスタ!$E$2:$E$60,0))&amp;"",""))</f>
        <v/>
      </c>
      <c r="D1128" s="73"/>
      <c r="E1128" s="75"/>
      <c r="F1128" s="75"/>
      <c r="G1128" s="75"/>
      <c r="H1128" s="73"/>
      <c r="I1128" s="75"/>
      <c r="J1128" s="75"/>
      <c r="K1128" s="75"/>
      <c r="L1128" s="73"/>
      <c r="M1128" s="78" t="str">
        <f aca="false">IF(OR(E1128="",F1128=""),"",MAX(0,((F1128-E1128-N(G1128))*1440-N(H1128)*10)/60))</f>
        <v/>
      </c>
      <c r="N1128" s="78" t="str">
        <f aca="false">IF($D1128="欠席",0,IF(OR(I1128="",J1128=""),"",MAX(0,((J1128-I1128-N(K1128))*1440-N(L1128)*10)/60)))</f>
        <v/>
      </c>
      <c r="O1128" s="73"/>
    </row>
    <row r="1129" customFormat="false" ht="15" hidden="false" customHeight="false" outlineLevel="0" collapsed="false">
      <c r="A1129" s="77"/>
      <c r="B1129" s="73"/>
      <c r="C1129" s="71" t="str">
        <f aca="false">IF(B1129="","",IFERROR(INDEX(マスタ!$F$2:$F$60,MATCH(B1129,マスタ!$E$2:$E$60,0))&amp;"",""))</f>
        <v/>
      </c>
      <c r="D1129" s="73"/>
      <c r="E1129" s="75"/>
      <c r="F1129" s="75"/>
      <c r="G1129" s="75"/>
      <c r="H1129" s="73"/>
      <c r="I1129" s="75"/>
      <c r="J1129" s="75"/>
      <c r="K1129" s="75"/>
      <c r="L1129" s="73"/>
      <c r="M1129" s="78" t="str">
        <f aca="false">IF(OR(E1129="",F1129=""),"",MAX(0,((F1129-E1129-N(G1129))*1440-N(H1129)*10)/60))</f>
        <v/>
      </c>
      <c r="N1129" s="78" t="str">
        <f aca="false">IF($D1129="欠席",0,IF(OR(I1129="",J1129=""),"",MAX(0,((J1129-I1129-N(K1129))*1440-N(L1129)*10)/60)))</f>
        <v/>
      </c>
      <c r="O1129" s="73"/>
    </row>
    <row r="1130" customFormat="false" ht="15" hidden="false" customHeight="false" outlineLevel="0" collapsed="false">
      <c r="A1130" s="77"/>
      <c r="B1130" s="73"/>
      <c r="C1130" s="71" t="str">
        <f aca="false">IF(B1130="","",IFERROR(INDEX(マスタ!$F$2:$F$60,MATCH(B1130,マスタ!$E$2:$E$60,0))&amp;"",""))</f>
        <v/>
      </c>
      <c r="D1130" s="73"/>
      <c r="E1130" s="75"/>
      <c r="F1130" s="75"/>
      <c r="G1130" s="75"/>
      <c r="H1130" s="73"/>
      <c r="I1130" s="75"/>
      <c r="J1130" s="75"/>
      <c r="K1130" s="75"/>
      <c r="L1130" s="73"/>
      <c r="M1130" s="78" t="str">
        <f aca="false">IF(OR(E1130="",F1130=""),"",MAX(0,((F1130-E1130-N(G1130))*1440-N(H1130)*10)/60))</f>
        <v/>
      </c>
      <c r="N1130" s="78" t="str">
        <f aca="false">IF($D1130="欠席",0,IF(OR(I1130="",J1130=""),"",MAX(0,((J1130-I1130-N(K1130))*1440-N(L1130)*10)/60)))</f>
        <v/>
      </c>
      <c r="O1130" s="73"/>
    </row>
    <row r="1131" customFormat="false" ht="15" hidden="false" customHeight="false" outlineLevel="0" collapsed="false">
      <c r="A1131" s="77"/>
      <c r="B1131" s="73"/>
      <c r="C1131" s="71" t="str">
        <f aca="false">IF(B1131="","",IFERROR(INDEX(マスタ!$F$2:$F$60,MATCH(B1131,マスタ!$E$2:$E$60,0))&amp;"",""))</f>
        <v/>
      </c>
      <c r="D1131" s="73"/>
      <c r="E1131" s="75"/>
      <c r="F1131" s="75"/>
      <c r="G1131" s="75"/>
      <c r="H1131" s="73"/>
      <c r="I1131" s="75"/>
      <c r="J1131" s="75"/>
      <c r="K1131" s="75"/>
      <c r="L1131" s="73"/>
      <c r="M1131" s="78" t="str">
        <f aca="false">IF(OR(E1131="",F1131=""),"",MAX(0,((F1131-E1131-N(G1131))*1440-N(H1131)*10)/60))</f>
        <v/>
      </c>
      <c r="N1131" s="78" t="str">
        <f aca="false">IF($D1131="欠席",0,IF(OR(I1131="",J1131=""),"",MAX(0,((J1131-I1131-N(K1131))*1440-N(L1131)*10)/60)))</f>
        <v/>
      </c>
      <c r="O1131" s="73"/>
    </row>
    <row r="1132" customFormat="false" ht="15" hidden="false" customHeight="false" outlineLevel="0" collapsed="false">
      <c r="A1132" s="77"/>
      <c r="B1132" s="73"/>
      <c r="C1132" s="71" t="str">
        <f aca="false">IF(B1132="","",IFERROR(INDEX(マスタ!$F$2:$F$60,MATCH(B1132,マスタ!$E$2:$E$60,0))&amp;"",""))</f>
        <v/>
      </c>
      <c r="D1132" s="73"/>
      <c r="E1132" s="75"/>
      <c r="F1132" s="75"/>
      <c r="G1132" s="75"/>
      <c r="H1132" s="73"/>
      <c r="I1132" s="75"/>
      <c r="J1132" s="75"/>
      <c r="K1132" s="75"/>
      <c r="L1132" s="73"/>
      <c r="M1132" s="78" t="str">
        <f aca="false">IF(OR(E1132="",F1132=""),"",MAX(0,((F1132-E1132-N(G1132))*1440-N(H1132)*10)/60))</f>
        <v/>
      </c>
      <c r="N1132" s="78" t="str">
        <f aca="false">IF($D1132="欠席",0,IF(OR(I1132="",J1132=""),"",MAX(0,((J1132-I1132-N(K1132))*1440-N(L1132)*10)/60)))</f>
        <v/>
      </c>
      <c r="O1132" s="73"/>
    </row>
    <row r="1133" customFormat="false" ht="15" hidden="false" customHeight="false" outlineLevel="0" collapsed="false">
      <c r="A1133" s="77"/>
      <c r="B1133" s="73"/>
      <c r="C1133" s="71" t="str">
        <f aca="false">IF(B1133="","",IFERROR(INDEX(マスタ!$F$2:$F$60,MATCH(B1133,マスタ!$E$2:$E$60,0))&amp;"",""))</f>
        <v/>
      </c>
      <c r="D1133" s="73"/>
      <c r="E1133" s="75"/>
      <c r="F1133" s="75"/>
      <c r="G1133" s="75"/>
      <c r="H1133" s="73"/>
      <c r="I1133" s="75"/>
      <c r="J1133" s="75"/>
      <c r="K1133" s="75"/>
      <c r="L1133" s="73"/>
      <c r="M1133" s="78" t="str">
        <f aca="false">IF(OR(E1133="",F1133=""),"",MAX(0,((F1133-E1133-N(G1133))*1440-N(H1133)*10)/60))</f>
        <v/>
      </c>
      <c r="N1133" s="78" t="str">
        <f aca="false">IF($D1133="欠席",0,IF(OR(I1133="",J1133=""),"",MAX(0,((J1133-I1133-N(K1133))*1440-N(L1133)*10)/60)))</f>
        <v/>
      </c>
      <c r="O1133" s="73"/>
    </row>
    <row r="1134" customFormat="false" ht="15" hidden="false" customHeight="false" outlineLevel="0" collapsed="false">
      <c r="A1134" s="77"/>
      <c r="B1134" s="73"/>
      <c r="C1134" s="71" t="str">
        <f aca="false">IF(B1134="","",IFERROR(INDEX(マスタ!$F$2:$F$60,MATCH(B1134,マスタ!$E$2:$E$60,0))&amp;"",""))</f>
        <v/>
      </c>
      <c r="D1134" s="73"/>
      <c r="E1134" s="75"/>
      <c r="F1134" s="75"/>
      <c r="G1134" s="75"/>
      <c r="H1134" s="73"/>
      <c r="I1134" s="75"/>
      <c r="J1134" s="75"/>
      <c r="K1134" s="75"/>
      <c r="L1134" s="73"/>
      <c r="M1134" s="78" t="str">
        <f aca="false">IF(OR(E1134="",F1134=""),"",MAX(0,((F1134-E1134-N(G1134))*1440-N(H1134)*10)/60))</f>
        <v/>
      </c>
      <c r="N1134" s="78" t="str">
        <f aca="false">IF($D1134="欠席",0,IF(OR(I1134="",J1134=""),"",MAX(0,((J1134-I1134-N(K1134))*1440-N(L1134)*10)/60)))</f>
        <v/>
      </c>
      <c r="O1134" s="73"/>
    </row>
    <row r="1135" customFormat="false" ht="15" hidden="false" customHeight="false" outlineLevel="0" collapsed="false">
      <c r="A1135" s="77"/>
      <c r="B1135" s="73"/>
      <c r="C1135" s="71" t="str">
        <f aca="false">IF(B1135="","",IFERROR(INDEX(マスタ!$F$2:$F$60,MATCH(B1135,マスタ!$E$2:$E$60,0))&amp;"",""))</f>
        <v/>
      </c>
      <c r="D1135" s="73"/>
      <c r="E1135" s="75"/>
      <c r="F1135" s="75"/>
      <c r="G1135" s="75"/>
      <c r="H1135" s="73"/>
      <c r="I1135" s="75"/>
      <c r="J1135" s="75"/>
      <c r="K1135" s="75"/>
      <c r="L1135" s="73"/>
      <c r="M1135" s="78" t="str">
        <f aca="false">IF(OR(E1135="",F1135=""),"",MAX(0,((F1135-E1135-N(G1135))*1440-N(H1135)*10)/60))</f>
        <v/>
      </c>
      <c r="N1135" s="78" t="str">
        <f aca="false">IF($D1135="欠席",0,IF(OR(I1135="",J1135=""),"",MAX(0,((J1135-I1135-N(K1135))*1440-N(L1135)*10)/60)))</f>
        <v/>
      </c>
      <c r="O1135" s="73"/>
    </row>
    <row r="1136" customFormat="false" ht="15" hidden="false" customHeight="false" outlineLevel="0" collapsed="false">
      <c r="A1136" s="77"/>
      <c r="B1136" s="73"/>
      <c r="C1136" s="71" t="str">
        <f aca="false">IF(B1136="","",IFERROR(INDEX(マスタ!$F$2:$F$60,MATCH(B1136,マスタ!$E$2:$E$60,0))&amp;"",""))</f>
        <v/>
      </c>
      <c r="D1136" s="73"/>
      <c r="E1136" s="75"/>
      <c r="F1136" s="75"/>
      <c r="G1136" s="75"/>
      <c r="H1136" s="73"/>
      <c r="I1136" s="75"/>
      <c r="J1136" s="75"/>
      <c r="K1136" s="75"/>
      <c r="L1136" s="73"/>
      <c r="M1136" s="78" t="str">
        <f aca="false">IF(OR(E1136="",F1136=""),"",MAX(0,((F1136-E1136-N(G1136))*1440-N(H1136)*10)/60))</f>
        <v/>
      </c>
      <c r="N1136" s="78" t="str">
        <f aca="false">IF($D1136="欠席",0,IF(OR(I1136="",J1136=""),"",MAX(0,((J1136-I1136-N(K1136))*1440-N(L1136)*10)/60)))</f>
        <v/>
      </c>
      <c r="O1136" s="73"/>
    </row>
    <row r="1137" customFormat="false" ht="15" hidden="false" customHeight="false" outlineLevel="0" collapsed="false">
      <c r="A1137" s="77"/>
      <c r="B1137" s="73"/>
      <c r="C1137" s="71" t="str">
        <f aca="false">IF(B1137="","",IFERROR(INDEX(マスタ!$F$2:$F$60,MATCH(B1137,マスタ!$E$2:$E$60,0))&amp;"",""))</f>
        <v/>
      </c>
      <c r="D1137" s="73"/>
      <c r="E1137" s="75"/>
      <c r="F1137" s="75"/>
      <c r="G1137" s="75"/>
      <c r="H1137" s="73"/>
      <c r="I1137" s="75"/>
      <c r="J1137" s="75"/>
      <c r="K1137" s="75"/>
      <c r="L1137" s="73"/>
      <c r="M1137" s="78" t="str">
        <f aca="false">IF(OR(E1137="",F1137=""),"",MAX(0,((F1137-E1137-N(G1137))*1440-N(H1137)*10)/60))</f>
        <v/>
      </c>
      <c r="N1137" s="78" t="str">
        <f aca="false">IF($D1137="欠席",0,IF(OR(I1137="",J1137=""),"",MAX(0,((J1137-I1137-N(K1137))*1440-N(L1137)*10)/60)))</f>
        <v/>
      </c>
      <c r="O1137" s="73"/>
    </row>
    <row r="1138" customFormat="false" ht="15" hidden="false" customHeight="false" outlineLevel="0" collapsed="false">
      <c r="A1138" s="77"/>
      <c r="B1138" s="73"/>
      <c r="C1138" s="71" t="str">
        <f aca="false">IF(B1138="","",IFERROR(INDEX(マスタ!$F$2:$F$60,MATCH(B1138,マスタ!$E$2:$E$60,0))&amp;"",""))</f>
        <v/>
      </c>
      <c r="D1138" s="73"/>
      <c r="E1138" s="75"/>
      <c r="F1138" s="75"/>
      <c r="G1138" s="75"/>
      <c r="H1138" s="73"/>
      <c r="I1138" s="75"/>
      <c r="J1138" s="75"/>
      <c r="K1138" s="75"/>
      <c r="L1138" s="73"/>
      <c r="M1138" s="78" t="str">
        <f aca="false">IF(OR(E1138="",F1138=""),"",MAX(0,((F1138-E1138-N(G1138))*1440-N(H1138)*10)/60))</f>
        <v/>
      </c>
      <c r="N1138" s="78" t="str">
        <f aca="false">IF($D1138="欠席",0,IF(OR(I1138="",J1138=""),"",MAX(0,((J1138-I1138-N(K1138))*1440-N(L1138)*10)/60)))</f>
        <v/>
      </c>
      <c r="O1138" s="73"/>
    </row>
    <row r="1139" customFormat="false" ht="15" hidden="false" customHeight="false" outlineLevel="0" collapsed="false">
      <c r="A1139" s="77"/>
      <c r="B1139" s="73"/>
      <c r="C1139" s="71" t="str">
        <f aca="false">IF(B1139="","",IFERROR(INDEX(マスタ!$F$2:$F$60,MATCH(B1139,マスタ!$E$2:$E$60,0))&amp;"",""))</f>
        <v/>
      </c>
      <c r="D1139" s="73"/>
      <c r="E1139" s="75"/>
      <c r="F1139" s="75"/>
      <c r="G1139" s="75"/>
      <c r="H1139" s="73"/>
      <c r="I1139" s="75"/>
      <c r="J1139" s="75"/>
      <c r="K1139" s="75"/>
      <c r="L1139" s="73"/>
      <c r="M1139" s="78" t="str">
        <f aca="false">IF(OR(E1139="",F1139=""),"",MAX(0,((F1139-E1139-N(G1139))*1440-N(H1139)*10)/60))</f>
        <v/>
      </c>
      <c r="N1139" s="78" t="str">
        <f aca="false">IF($D1139="欠席",0,IF(OR(I1139="",J1139=""),"",MAX(0,((J1139-I1139-N(K1139))*1440-N(L1139)*10)/60)))</f>
        <v/>
      </c>
      <c r="O1139" s="73"/>
    </row>
    <row r="1140" customFormat="false" ht="15" hidden="false" customHeight="false" outlineLevel="0" collapsed="false">
      <c r="A1140" s="77"/>
      <c r="B1140" s="73"/>
      <c r="C1140" s="71" t="str">
        <f aca="false">IF(B1140="","",IFERROR(INDEX(マスタ!$F$2:$F$60,MATCH(B1140,マスタ!$E$2:$E$60,0))&amp;"",""))</f>
        <v/>
      </c>
      <c r="D1140" s="73"/>
      <c r="E1140" s="75"/>
      <c r="F1140" s="75"/>
      <c r="G1140" s="75"/>
      <c r="H1140" s="73"/>
      <c r="I1140" s="75"/>
      <c r="J1140" s="75"/>
      <c r="K1140" s="75"/>
      <c r="L1140" s="73"/>
      <c r="M1140" s="78" t="str">
        <f aca="false">IF(OR(E1140="",F1140=""),"",MAX(0,((F1140-E1140-N(G1140))*1440-N(H1140)*10)/60))</f>
        <v/>
      </c>
      <c r="N1140" s="78" t="str">
        <f aca="false">IF($D1140="欠席",0,IF(OR(I1140="",J1140=""),"",MAX(0,((J1140-I1140-N(K1140))*1440-N(L1140)*10)/60)))</f>
        <v/>
      </c>
      <c r="O1140" s="73"/>
    </row>
    <row r="1141" customFormat="false" ht="15" hidden="false" customHeight="false" outlineLevel="0" collapsed="false">
      <c r="A1141" s="77"/>
      <c r="B1141" s="73"/>
      <c r="C1141" s="71" t="str">
        <f aca="false">IF(B1141="","",IFERROR(INDEX(マスタ!$F$2:$F$60,MATCH(B1141,マスタ!$E$2:$E$60,0))&amp;"",""))</f>
        <v/>
      </c>
      <c r="D1141" s="73"/>
      <c r="E1141" s="75"/>
      <c r="F1141" s="75"/>
      <c r="G1141" s="75"/>
      <c r="H1141" s="73"/>
      <c r="I1141" s="75"/>
      <c r="J1141" s="75"/>
      <c r="K1141" s="75"/>
      <c r="L1141" s="73"/>
      <c r="M1141" s="78" t="str">
        <f aca="false">IF(OR(E1141="",F1141=""),"",MAX(0,((F1141-E1141-N(G1141))*1440-N(H1141)*10)/60))</f>
        <v/>
      </c>
      <c r="N1141" s="78" t="str">
        <f aca="false">IF($D1141="欠席",0,IF(OR(I1141="",J1141=""),"",MAX(0,((J1141-I1141-N(K1141))*1440-N(L1141)*10)/60)))</f>
        <v/>
      </c>
      <c r="O1141" s="73"/>
    </row>
    <row r="1142" customFormat="false" ht="15" hidden="false" customHeight="false" outlineLevel="0" collapsed="false">
      <c r="A1142" s="77"/>
      <c r="B1142" s="73"/>
      <c r="C1142" s="71" t="str">
        <f aca="false">IF(B1142="","",IFERROR(INDEX(マスタ!$F$2:$F$60,MATCH(B1142,マスタ!$E$2:$E$60,0))&amp;"",""))</f>
        <v/>
      </c>
      <c r="D1142" s="73"/>
      <c r="E1142" s="75"/>
      <c r="F1142" s="75"/>
      <c r="G1142" s="75"/>
      <c r="H1142" s="73"/>
      <c r="I1142" s="75"/>
      <c r="J1142" s="75"/>
      <c r="K1142" s="75"/>
      <c r="L1142" s="73"/>
      <c r="M1142" s="78" t="str">
        <f aca="false">IF(OR(E1142="",F1142=""),"",MAX(0,((F1142-E1142-N(G1142))*1440-N(H1142)*10)/60))</f>
        <v/>
      </c>
      <c r="N1142" s="78" t="str">
        <f aca="false">IF($D1142="欠席",0,IF(OR(I1142="",J1142=""),"",MAX(0,((J1142-I1142-N(K1142))*1440-N(L1142)*10)/60)))</f>
        <v/>
      </c>
      <c r="O1142" s="73"/>
    </row>
    <row r="1143" customFormat="false" ht="15" hidden="false" customHeight="false" outlineLevel="0" collapsed="false">
      <c r="A1143" s="77"/>
      <c r="B1143" s="73"/>
      <c r="C1143" s="71" t="str">
        <f aca="false">IF(B1143="","",IFERROR(INDEX(マスタ!$F$2:$F$60,MATCH(B1143,マスタ!$E$2:$E$60,0))&amp;"",""))</f>
        <v/>
      </c>
      <c r="D1143" s="73"/>
      <c r="E1143" s="75"/>
      <c r="F1143" s="75"/>
      <c r="G1143" s="75"/>
      <c r="H1143" s="73"/>
      <c r="I1143" s="75"/>
      <c r="J1143" s="75"/>
      <c r="K1143" s="75"/>
      <c r="L1143" s="73"/>
      <c r="M1143" s="78" t="str">
        <f aca="false">IF(OR(E1143="",F1143=""),"",MAX(0,((F1143-E1143-N(G1143))*1440-N(H1143)*10)/60))</f>
        <v/>
      </c>
      <c r="N1143" s="78" t="str">
        <f aca="false">IF($D1143="欠席",0,IF(OR(I1143="",J1143=""),"",MAX(0,((J1143-I1143-N(K1143))*1440-N(L1143)*10)/60)))</f>
        <v/>
      </c>
      <c r="O1143" s="73"/>
    </row>
    <row r="1144" customFormat="false" ht="15" hidden="false" customHeight="false" outlineLevel="0" collapsed="false">
      <c r="A1144" s="77"/>
      <c r="B1144" s="73"/>
      <c r="C1144" s="71" t="str">
        <f aca="false">IF(B1144="","",IFERROR(INDEX(マスタ!$F$2:$F$60,MATCH(B1144,マスタ!$E$2:$E$60,0))&amp;"",""))</f>
        <v/>
      </c>
      <c r="D1144" s="73"/>
      <c r="E1144" s="75"/>
      <c r="F1144" s="75"/>
      <c r="G1144" s="75"/>
      <c r="H1144" s="73"/>
      <c r="I1144" s="75"/>
      <c r="J1144" s="75"/>
      <c r="K1144" s="75"/>
      <c r="L1144" s="73"/>
      <c r="M1144" s="78" t="str">
        <f aca="false">IF(OR(E1144="",F1144=""),"",MAX(0,((F1144-E1144-N(G1144))*1440-N(H1144)*10)/60))</f>
        <v/>
      </c>
      <c r="N1144" s="78" t="str">
        <f aca="false">IF($D1144="欠席",0,IF(OR(I1144="",J1144=""),"",MAX(0,((J1144-I1144-N(K1144))*1440-N(L1144)*10)/60)))</f>
        <v/>
      </c>
      <c r="O1144" s="73"/>
    </row>
    <row r="1145" customFormat="false" ht="15" hidden="false" customHeight="false" outlineLevel="0" collapsed="false">
      <c r="A1145" s="77"/>
      <c r="B1145" s="73"/>
      <c r="C1145" s="71" t="str">
        <f aca="false">IF(B1145="","",IFERROR(INDEX(マスタ!$F$2:$F$60,MATCH(B1145,マスタ!$E$2:$E$60,0))&amp;"",""))</f>
        <v/>
      </c>
      <c r="D1145" s="73"/>
      <c r="E1145" s="75"/>
      <c r="F1145" s="75"/>
      <c r="G1145" s="75"/>
      <c r="H1145" s="73"/>
      <c r="I1145" s="75"/>
      <c r="J1145" s="75"/>
      <c r="K1145" s="75"/>
      <c r="L1145" s="73"/>
      <c r="M1145" s="78" t="str">
        <f aca="false">IF(OR(E1145="",F1145=""),"",MAX(0,((F1145-E1145-N(G1145))*1440-N(H1145)*10)/60))</f>
        <v/>
      </c>
      <c r="N1145" s="78" t="str">
        <f aca="false">IF($D1145="欠席",0,IF(OR(I1145="",J1145=""),"",MAX(0,((J1145-I1145-N(K1145))*1440-N(L1145)*10)/60)))</f>
        <v/>
      </c>
      <c r="O1145" s="73"/>
    </row>
    <row r="1146" customFormat="false" ht="15" hidden="false" customHeight="false" outlineLevel="0" collapsed="false">
      <c r="A1146" s="77"/>
      <c r="B1146" s="73"/>
      <c r="C1146" s="71" t="str">
        <f aca="false">IF(B1146="","",IFERROR(INDEX(マスタ!$F$2:$F$60,MATCH(B1146,マスタ!$E$2:$E$60,0))&amp;"",""))</f>
        <v/>
      </c>
      <c r="D1146" s="73"/>
      <c r="E1146" s="75"/>
      <c r="F1146" s="75"/>
      <c r="G1146" s="75"/>
      <c r="H1146" s="73"/>
      <c r="I1146" s="75"/>
      <c r="J1146" s="75"/>
      <c r="K1146" s="75"/>
      <c r="L1146" s="73"/>
      <c r="M1146" s="78" t="str">
        <f aca="false">IF(OR(E1146="",F1146=""),"",MAX(0,((F1146-E1146-N(G1146))*1440-N(H1146)*10)/60))</f>
        <v/>
      </c>
      <c r="N1146" s="78" t="str">
        <f aca="false">IF($D1146="欠席",0,IF(OR(I1146="",J1146=""),"",MAX(0,((J1146-I1146-N(K1146))*1440-N(L1146)*10)/60)))</f>
        <v/>
      </c>
      <c r="O1146" s="73"/>
    </row>
    <row r="1147" customFormat="false" ht="15" hidden="false" customHeight="false" outlineLevel="0" collapsed="false">
      <c r="A1147" s="77"/>
      <c r="B1147" s="73"/>
      <c r="C1147" s="71" t="str">
        <f aca="false">IF(B1147="","",IFERROR(INDEX(マスタ!$F$2:$F$60,MATCH(B1147,マスタ!$E$2:$E$60,0))&amp;"",""))</f>
        <v/>
      </c>
      <c r="D1147" s="73"/>
      <c r="E1147" s="75"/>
      <c r="F1147" s="75"/>
      <c r="G1147" s="75"/>
      <c r="H1147" s="73"/>
      <c r="I1147" s="75"/>
      <c r="J1147" s="75"/>
      <c r="K1147" s="75"/>
      <c r="L1147" s="73"/>
      <c r="M1147" s="78" t="str">
        <f aca="false">IF(OR(E1147="",F1147=""),"",MAX(0,((F1147-E1147-N(G1147))*1440-N(H1147)*10)/60))</f>
        <v/>
      </c>
      <c r="N1147" s="78" t="str">
        <f aca="false">IF($D1147="欠席",0,IF(OR(I1147="",J1147=""),"",MAX(0,((J1147-I1147-N(K1147))*1440-N(L1147)*10)/60)))</f>
        <v/>
      </c>
      <c r="O1147" s="73"/>
    </row>
    <row r="1148" customFormat="false" ht="15" hidden="false" customHeight="false" outlineLevel="0" collapsed="false">
      <c r="A1148" s="77"/>
      <c r="B1148" s="73"/>
      <c r="C1148" s="71" t="str">
        <f aca="false">IF(B1148="","",IFERROR(INDEX(マスタ!$F$2:$F$60,MATCH(B1148,マスタ!$E$2:$E$60,0))&amp;"",""))</f>
        <v/>
      </c>
      <c r="D1148" s="73"/>
      <c r="E1148" s="75"/>
      <c r="F1148" s="75"/>
      <c r="G1148" s="75"/>
      <c r="H1148" s="73"/>
      <c r="I1148" s="75"/>
      <c r="J1148" s="75"/>
      <c r="K1148" s="75"/>
      <c r="L1148" s="73"/>
      <c r="M1148" s="78" t="str">
        <f aca="false">IF(OR(E1148="",F1148=""),"",MAX(0,((F1148-E1148-N(G1148))*1440-N(H1148)*10)/60))</f>
        <v/>
      </c>
      <c r="N1148" s="78" t="str">
        <f aca="false">IF($D1148="欠席",0,IF(OR(I1148="",J1148=""),"",MAX(0,((J1148-I1148-N(K1148))*1440-N(L1148)*10)/60)))</f>
        <v/>
      </c>
      <c r="O1148" s="73"/>
    </row>
    <row r="1149" customFormat="false" ht="15" hidden="false" customHeight="false" outlineLevel="0" collapsed="false">
      <c r="A1149" s="77"/>
      <c r="B1149" s="73"/>
      <c r="C1149" s="71" t="str">
        <f aca="false">IF(B1149="","",IFERROR(INDEX(マスタ!$F$2:$F$60,MATCH(B1149,マスタ!$E$2:$E$60,0))&amp;"",""))</f>
        <v/>
      </c>
      <c r="D1149" s="73"/>
      <c r="E1149" s="75"/>
      <c r="F1149" s="75"/>
      <c r="G1149" s="75"/>
      <c r="H1149" s="73"/>
      <c r="I1149" s="75"/>
      <c r="J1149" s="75"/>
      <c r="K1149" s="75"/>
      <c r="L1149" s="73"/>
      <c r="M1149" s="78" t="str">
        <f aca="false">IF(OR(E1149="",F1149=""),"",MAX(0,((F1149-E1149-N(G1149))*1440-N(H1149)*10)/60))</f>
        <v/>
      </c>
      <c r="N1149" s="78" t="str">
        <f aca="false">IF($D1149="欠席",0,IF(OR(I1149="",J1149=""),"",MAX(0,((J1149-I1149-N(K1149))*1440-N(L1149)*10)/60)))</f>
        <v/>
      </c>
      <c r="O1149" s="73"/>
    </row>
    <row r="1150" customFormat="false" ht="15" hidden="false" customHeight="false" outlineLevel="0" collapsed="false">
      <c r="A1150" s="77"/>
      <c r="B1150" s="73"/>
      <c r="C1150" s="71" t="str">
        <f aca="false">IF(B1150="","",IFERROR(INDEX(マスタ!$F$2:$F$60,MATCH(B1150,マスタ!$E$2:$E$60,0))&amp;"",""))</f>
        <v/>
      </c>
      <c r="D1150" s="73"/>
      <c r="E1150" s="75"/>
      <c r="F1150" s="75"/>
      <c r="G1150" s="75"/>
      <c r="H1150" s="73"/>
      <c r="I1150" s="75"/>
      <c r="J1150" s="75"/>
      <c r="K1150" s="75"/>
      <c r="L1150" s="73"/>
      <c r="M1150" s="78" t="str">
        <f aca="false">IF(OR(E1150="",F1150=""),"",MAX(0,((F1150-E1150-N(G1150))*1440-N(H1150)*10)/60))</f>
        <v/>
      </c>
      <c r="N1150" s="78" t="str">
        <f aca="false">IF($D1150="欠席",0,IF(OR(I1150="",J1150=""),"",MAX(0,((J1150-I1150-N(K1150))*1440-N(L1150)*10)/60)))</f>
        <v/>
      </c>
      <c r="O1150" s="73"/>
    </row>
    <row r="1151" customFormat="false" ht="15" hidden="false" customHeight="false" outlineLevel="0" collapsed="false">
      <c r="A1151" s="77"/>
      <c r="B1151" s="73"/>
      <c r="C1151" s="71" t="str">
        <f aca="false">IF(B1151="","",IFERROR(INDEX(マスタ!$F$2:$F$60,MATCH(B1151,マスタ!$E$2:$E$60,0))&amp;"",""))</f>
        <v/>
      </c>
      <c r="D1151" s="73"/>
      <c r="E1151" s="75"/>
      <c r="F1151" s="75"/>
      <c r="G1151" s="75"/>
      <c r="H1151" s="73"/>
      <c r="I1151" s="75"/>
      <c r="J1151" s="75"/>
      <c r="K1151" s="75"/>
      <c r="L1151" s="73"/>
      <c r="M1151" s="78" t="str">
        <f aca="false">IF(OR(E1151="",F1151=""),"",MAX(0,((F1151-E1151-N(G1151))*1440-N(H1151)*10)/60))</f>
        <v/>
      </c>
      <c r="N1151" s="78" t="str">
        <f aca="false">IF($D1151="欠席",0,IF(OR(I1151="",J1151=""),"",MAX(0,((J1151-I1151-N(K1151))*1440-N(L1151)*10)/60)))</f>
        <v/>
      </c>
      <c r="O1151" s="73"/>
    </row>
    <row r="1152" customFormat="false" ht="15" hidden="false" customHeight="false" outlineLevel="0" collapsed="false">
      <c r="A1152" s="77"/>
      <c r="B1152" s="73"/>
      <c r="C1152" s="71" t="str">
        <f aca="false">IF(B1152="","",IFERROR(INDEX(マスタ!$F$2:$F$60,MATCH(B1152,マスタ!$E$2:$E$60,0))&amp;"",""))</f>
        <v/>
      </c>
      <c r="D1152" s="73"/>
      <c r="E1152" s="75"/>
      <c r="F1152" s="75"/>
      <c r="G1152" s="75"/>
      <c r="H1152" s="73"/>
      <c r="I1152" s="75"/>
      <c r="J1152" s="75"/>
      <c r="K1152" s="75"/>
      <c r="L1152" s="73"/>
      <c r="M1152" s="78" t="str">
        <f aca="false">IF(OR(E1152="",F1152=""),"",MAX(0,((F1152-E1152-N(G1152))*1440-N(H1152)*10)/60))</f>
        <v/>
      </c>
      <c r="N1152" s="78" t="str">
        <f aca="false">IF($D1152="欠席",0,IF(OR(I1152="",J1152=""),"",MAX(0,((J1152-I1152-N(K1152))*1440-N(L1152)*10)/60)))</f>
        <v/>
      </c>
      <c r="O1152" s="73"/>
    </row>
    <row r="1153" customFormat="false" ht="15" hidden="false" customHeight="false" outlineLevel="0" collapsed="false">
      <c r="A1153" s="77"/>
      <c r="B1153" s="73"/>
      <c r="C1153" s="71" t="str">
        <f aca="false">IF(B1153="","",IFERROR(INDEX(マスタ!$F$2:$F$60,MATCH(B1153,マスタ!$E$2:$E$60,0))&amp;"",""))</f>
        <v/>
      </c>
      <c r="D1153" s="73"/>
      <c r="E1153" s="75"/>
      <c r="F1153" s="75"/>
      <c r="G1153" s="75"/>
      <c r="H1153" s="73"/>
      <c r="I1153" s="75"/>
      <c r="J1153" s="75"/>
      <c r="K1153" s="75"/>
      <c r="L1153" s="73"/>
      <c r="M1153" s="78" t="str">
        <f aca="false">IF(OR(E1153="",F1153=""),"",MAX(0,((F1153-E1153-N(G1153))*1440-N(H1153)*10)/60))</f>
        <v/>
      </c>
      <c r="N1153" s="78" t="str">
        <f aca="false">IF($D1153="欠席",0,IF(OR(I1153="",J1153=""),"",MAX(0,((J1153-I1153-N(K1153))*1440-N(L1153)*10)/60)))</f>
        <v/>
      </c>
      <c r="O1153" s="73"/>
    </row>
    <row r="1154" customFormat="false" ht="15" hidden="false" customHeight="false" outlineLevel="0" collapsed="false">
      <c r="A1154" s="77"/>
      <c r="B1154" s="73"/>
      <c r="C1154" s="71" t="str">
        <f aca="false">IF(B1154="","",IFERROR(INDEX(マスタ!$F$2:$F$60,MATCH(B1154,マスタ!$E$2:$E$60,0))&amp;"",""))</f>
        <v/>
      </c>
      <c r="D1154" s="73"/>
      <c r="E1154" s="75"/>
      <c r="F1154" s="75"/>
      <c r="G1154" s="75"/>
      <c r="H1154" s="73"/>
      <c r="I1154" s="75"/>
      <c r="J1154" s="75"/>
      <c r="K1154" s="75"/>
      <c r="L1154" s="73"/>
      <c r="M1154" s="78" t="str">
        <f aca="false">IF(OR(E1154="",F1154=""),"",MAX(0,((F1154-E1154-N(G1154))*1440-N(H1154)*10)/60))</f>
        <v/>
      </c>
      <c r="N1154" s="78" t="str">
        <f aca="false">IF($D1154="欠席",0,IF(OR(I1154="",J1154=""),"",MAX(0,((J1154-I1154-N(K1154))*1440-N(L1154)*10)/60)))</f>
        <v/>
      </c>
      <c r="O1154" s="73"/>
    </row>
    <row r="1155" customFormat="false" ht="15" hidden="false" customHeight="false" outlineLevel="0" collapsed="false">
      <c r="A1155" s="77"/>
      <c r="B1155" s="73"/>
      <c r="C1155" s="71" t="str">
        <f aca="false">IF(B1155="","",IFERROR(INDEX(マスタ!$F$2:$F$60,MATCH(B1155,マスタ!$E$2:$E$60,0))&amp;"",""))</f>
        <v/>
      </c>
      <c r="D1155" s="73"/>
      <c r="E1155" s="75"/>
      <c r="F1155" s="75"/>
      <c r="G1155" s="75"/>
      <c r="H1155" s="73"/>
      <c r="I1155" s="75"/>
      <c r="J1155" s="75"/>
      <c r="K1155" s="75"/>
      <c r="L1155" s="73"/>
      <c r="M1155" s="78" t="str">
        <f aca="false">IF(OR(E1155="",F1155=""),"",MAX(0,((F1155-E1155-N(G1155))*1440-N(H1155)*10)/60))</f>
        <v/>
      </c>
      <c r="N1155" s="78" t="str">
        <f aca="false">IF($D1155="欠席",0,IF(OR(I1155="",J1155=""),"",MAX(0,((J1155-I1155-N(K1155))*1440-N(L1155)*10)/60)))</f>
        <v/>
      </c>
      <c r="O1155" s="73"/>
    </row>
    <row r="1156" customFormat="false" ht="15" hidden="false" customHeight="false" outlineLevel="0" collapsed="false">
      <c r="A1156" s="77"/>
      <c r="B1156" s="73"/>
      <c r="C1156" s="71" t="str">
        <f aca="false">IF(B1156="","",IFERROR(INDEX(マスタ!$F$2:$F$60,MATCH(B1156,マスタ!$E$2:$E$60,0))&amp;"",""))</f>
        <v/>
      </c>
      <c r="D1156" s="73"/>
      <c r="E1156" s="75"/>
      <c r="F1156" s="75"/>
      <c r="G1156" s="75"/>
      <c r="H1156" s="73"/>
      <c r="I1156" s="75"/>
      <c r="J1156" s="75"/>
      <c r="K1156" s="75"/>
      <c r="L1156" s="73"/>
      <c r="M1156" s="78" t="str">
        <f aca="false">IF(OR(E1156="",F1156=""),"",MAX(0,((F1156-E1156-N(G1156))*1440-N(H1156)*10)/60))</f>
        <v/>
      </c>
      <c r="N1156" s="78" t="str">
        <f aca="false">IF($D1156="欠席",0,IF(OR(I1156="",J1156=""),"",MAX(0,((J1156-I1156-N(K1156))*1440-N(L1156)*10)/60)))</f>
        <v/>
      </c>
      <c r="O1156" s="73"/>
    </row>
    <row r="1157" customFormat="false" ht="15" hidden="false" customHeight="false" outlineLevel="0" collapsed="false">
      <c r="A1157" s="77"/>
      <c r="B1157" s="73"/>
      <c r="C1157" s="71" t="str">
        <f aca="false">IF(B1157="","",IFERROR(INDEX(マスタ!$F$2:$F$60,MATCH(B1157,マスタ!$E$2:$E$60,0))&amp;"",""))</f>
        <v/>
      </c>
      <c r="D1157" s="73"/>
      <c r="E1157" s="75"/>
      <c r="F1157" s="75"/>
      <c r="G1157" s="75"/>
      <c r="H1157" s="73"/>
      <c r="I1157" s="75"/>
      <c r="J1157" s="75"/>
      <c r="K1157" s="75"/>
      <c r="L1157" s="73"/>
      <c r="M1157" s="78" t="str">
        <f aca="false">IF(OR(E1157="",F1157=""),"",MAX(0,((F1157-E1157-N(G1157))*1440-N(H1157)*10)/60))</f>
        <v/>
      </c>
      <c r="N1157" s="78" t="str">
        <f aca="false">IF($D1157="欠席",0,IF(OR(I1157="",J1157=""),"",MAX(0,((J1157-I1157-N(K1157))*1440-N(L1157)*10)/60)))</f>
        <v/>
      </c>
      <c r="O1157" s="73"/>
    </row>
    <row r="1158" customFormat="false" ht="15" hidden="false" customHeight="false" outlineLevel="0" collapsed="false">
      <c r="A1158" s="77"/>
      <c r="B1158" s="73"/>
      <c r="C1158" s="71" t="str">
        <f aca="false">IF(B1158="","",IFERROR(INDEX(マスタ!$F$2:$F$60,MATCH(B1158,マスタ!$E$2:$E$60,0))&amp;"",""))</f>
        <v/>
      </c>
      <c r="D1158" s="73"/>
      <c r="E1158" s="75"/>
      <c r="F1158" s="75"/>
      <c r="G1158" s="75"/>
      <c r="H1158" s="73"/>
      <c r="I1158" s="75"/>
      <c r="J1158" s="75"/>
      <c r="K1158" s="75"/>
      <c r="L1158" s="73"/>
      <c r="M1158" s="78" t="str">
        <f aca="false">IF(OR(E1158="",F1158=""),"",MAX(0,((F1158-E1158-N(G1158))*1440-N(H1158)*10)/60))</f>
        <v/>
      </c>
      <c r="N1158" s="78" t="str">
        <f aca="false">IF($D1158="欠席",0,IF(OR(I1158="",J1158=""),"",MAX(0,((J1158-I1158-N(K1158))*1440-N(L1158)*10)/60)))</f>
        <v/>
      </c>
      <c r="O1158" s="73"/>
    </row>
    <row r="1159" customFormat="false" ht="15" hidden="false" customHeight="false" outlineLevel="0" collapsed="false">
      <c r="A1159" s="77"/>
      <c r="B1159" s="73"/>
      <c r="C1159" s="71" t="str">
        <f aca="false">IF(B1159="","",IFERROR(INDEX(マスタ!$F$2:$F$60,MATCH(B1159,マスタ!$E$2:$E$60,0))&amp;"",""))</f>
        <v/>
      </c>
      <c r="D1159" s="73"/>
      <c r="E1159" s="75"/>
      <c r="F1159" s="75"/>
      <c r="G1159" s="75"/>
      <c r="H1159" s="73"/>
      <c r="I1159" s="75"/>
      <c r="J1159" s="75"/>
      <c r="K1159" s="75"/>
      <c r="L1159" s="73"/>
      <c r="M1159" s="78" t="str">
        <f aca="false">IF(OR(E1159="",F1159=""),"",MAX(0,((F1159-E1159-N(G1159))*1440-N(H1159)*10)/60))</f>
        <v/>
      </c>
      <c r="N1159" s="78" t="str">
        <f aca="false">IF($D1159="欠席",0,IF(OR(I1159="",J1159=""),"",MAX(0,((J1159-I1159-N(K1159))*1440-N(L1159)*10)/60)))</f>
        <v/>
      </c>
      <c r="O1159" s="73"/>
    </row>
    <row r="1160" customFormat="false" ht="15" hidden="false" customHeight="false" outlineLevel="0" collapsed="false">
      <c r="A1160" s="77"/>
      <c r="B1160" s="73"/>
      <c r="C1160" s="71" t="str">
        <f aca="false">IF(B1160="","",IFERROR(INDEX(マスタ!$F$2:$F$60,MATCH(B1160,マスタ!$E$2:$E$60,0))&amp;"",""))</f>
        <v/>
      </c>
      <c r="D1160" s="73"/>
      <c r="E1160" s="75"/>
      <c r="F1160" s="75"/>
      <c r="G1160" s="75"/>
      <c r="H1160" s="73"/>
      <c r="I1160" s="75"/>
      <c r="J1160" s="75"/>
      <c r="K1160" s="75"/>
      <c r="L1160" s="73"/>
      <c r="M1160" s="78" t="str">
        <f aca="false">IF(OR(E1160="",F1160=""),"",MAX(0,((F1160-E1160-N(G1160))*1440-N(H1160)*10)/60))</f>
        <v/>
      </c>
      <c r="N1160" s="78" t="str">
        <f aca="false">IF($D1160="欠席",0,IF(OR(I1160="",J1160=""),"",MAX(0,((J1160-I1160-N(K1160))*1440-N(L1160)*10)/60)))</f>
        <v/>
      </c>
      <c r="O1160" s="73"/>
    </row>
    <row r="1161" customFormat="false" ht="15" hidden="false" customHeight="false" outlineLevel="0" collapsed="false">
      <c r="A1161" s="77"/>
      <c r="B1161" s="73"/>
      <c r="C1161" s="71" t="str">
        <f aca="false">IF(B1161="","",IFERROR(INDEX(マスタ!$F$2:$F$60,MATCH(B1161,マスタ!$E$2:$E$60,0))&amp;"",""))</f>
        <v/>
      </c>
      <c r="D1161" s="73"/>
      <c r="E1161" s="75"/>
      <c r="F1161" s="75"/>
      <c r="G1161" s="75"/>
      <c r="H1161" s="73"/>
      <c r="I1161" s="75"/>
      <c r="J1161" s="75"/>
      <c r="K1161" s="75"/>
      <c r="L1161" s="73"/>
      <c r="M1161" s="78" t="str">
        <f aca="false">IF(OR(E1161="",F1161=""),"",MAX(0,((F1161-E1161-N(G1161))*1440-N(H1161)*10)/60))</f>
        <v/>
      </c>
      <c r="N1161" s="78" t="str">
        <f aca="false">IF($D1161="欠席",0,IF(OR(I1161="",J1161=""),"",MAX(0,((J1161-I1161-N(K1161))*1440-N(L1161)*10)/60)))</f>
        <v/>
      </c>
      <c r="O1161" s="73"/>
    </row>
    <row r="1162" customFormat="false" ht="15" hidden="false" customHeight="false" outlineLevel="0" collapsed="false">
      <c r="A1162" s="77"/>
      <c r="B1162" s="73"/>
      <c r="C1162" s="71" t="str">
        <f aca="false">IF(B1162="","",IFERROR(INDEX(マスタ!$F$2:$F$60,MATCH(B1162,マスタ!$E$2:$E$60,0))&amp;"",""))</f>
        <v/>
      </c>
      <c r="D1162" s="73"/>
      <c r="E1162" s="75"/>
      <c r="F1162" s="75"/>
      <c r="G1162" s="75"/>
      <c r="H1162" s="73"/>
      <c r="I1162" s="75"/>
      <c r="J1162" s="75"/>
      <c r="K1162" s="75"/>
      <c r="L1162" s="73"/>
      <c r="M1162" s="78" t="str">
        <f aca="false">IF(OR(E1162="",F1162=""),"",MAX(0,((F1162-E1162-N(G1162))*1440-N(H1162)*10)/60))</f>
        <v/>
      </c>
      <c r="N1162" s="78" t="str">
        <f aca="false">IF($D1162="欠席",0,IF(OR(I1162="",J1162=""),"",MAX(0,((J1162-I1162-N(K1162))*1440-N(L1162)*10)/60)))</f>
        <v/>
      </c>
      <c r="O1162" s="73"/>
    </row>
    <row r="1163" customFormat="false" ht="15" hidden="false" customHeight="false" outlineLevel="0" collapsed="false">
      <c r="A1163" s="77"/>
      <c r="B1163" s="73"/>
      <c r="C1163" s="71" t="str">
        <f aca="false">IF(B1163="","",IFERROR(INDEX(マスタ!$F$2:$F$60,MATCH(B1163,マスタ!$E$2:$E$60,0))&amp;"",""))</f>
        <v/>
      </c>
      <c r="D1163" s="73"/>
      <c r="E1163" s="75"/>
      <c r="F1163" s="75"/>
      <c r="G1163" s="75"/>
      <c r="H1163" s="73"/>
      <c r="I1163" s="75"/>
      <c r="J1163" s="75"/>
      <c r="K1163" s="75"/>
      <c r="L1163" s="73"/>
      <c r="M1163" s="78" t="str">
        <f aca="false">IF(OR(E1163="",F1163=""),"",MAX(0,((F1163-E1163-N(G1163))*1440-N(H1163)*10)/60))</f>
        <v/>
      </c>
      <c r="N1163" s="78" t="str">
        <f aca="false">IF($D1163="欠席",0,IF(OR(I1163="",J1163=""),"",MAX(0,((J1163-I1163-N(K1163))*1440-N(L1163)*10)/60)))</f>
        <v/>
      </c>
      <c r="O1163" s="73"/>
    </row>
    <row r="1164" customFormat="false" ht="15" hidden="false" customHeight="false" outlineLevel="0" collapsed="false">
      <c r="A1164" s="77"/>
      <c r="B1164" s="73"/>
      <c r="C1164" s="71" t="str">
        <f aca="false">IF(B1164="","",IFERROR(INDEX(マスタ!$F$2:$F$60,MATCH(B1164,マスタ!$E$2:$E$60,0))&amp;"",""))</f>
        <v/>
      </c>
      <c r="D1164" s="73"/>
      <c r="E1164" s="75"/>
      <c r="F1164" s="75"/>
      <c r="G1164" s="75"/>
      <c r="H1164" s="73"/>
      <c r="I1164" s="75"/>
      <c r="J1164" s="75"/>
      <c r="K1164" s="75"/>
      <c r="L1164" s="73"/>
      <c r="M1164" s="78" t="str">
        <f aca="false">IF(OR(E1164="",F1164=""),"",MAX(0,((F1164-E1164-N(G1164))*1440-N(H1164)*10)/60))</f>
        <v/>
      </c>
      <c r="N1164" s="78" t="str">
        <f aca="false">IF($D1164="欠席",0,IF(OR(I1164="",J1164=""),"",MAX(0,((J1164-I1164-N(K1164))*1440-N(L1164)*10)/60)))</f>
        <v/>
      </c>
      <c r="O1164" s="73"/>
    </row>
    <row r="1165" customFormat="false" ht="15" hidden="false" customHeight="false" outlineLevel="0" collapsed="false">
      <c r="A1165" s="77"/>
      <c r="B1165" s="73"/>
      <c r="C1165" s="71" t="str">
        <f aca="false">IF(B1165="","",IFERROR(INDEX(マスタ!$F$2:$F$60,MATCH(B1165,マスタ!$E$2:$E$60,0))&amp;"",""))</f>
        <v/>
      </c>
      <c r="D1165" s="73"/>
      <c r="E1165" s="75"/>
      <c r="F1165" s="75"/>
      <c r="G1165" s="75"/>
      <c r="H1165" s="73"/>
      <c r="I1165" s="75"/>
      <c r="J1165" s="75"/>
      <c r="K1165" s="75"/>
      <c r="L1165" s="73"/>
      <c r="M1165" s="78" t="str">
        <f aca="false">IF(OR(E1165="",F1165=""),"",MAX(0,((F1165-E1165-N(G1165))*1440-N(H1165)*10)/60))</f>
        <v/>
      </c>
      <c r="N1165" s="78" t="str">
        <f aca="false">IF($D1165="欠席",0,IF(OR(I1165="",J1165=""),"",MAX(0,((J1165-I1165-N(K1165))*1440-N(L1165)*10)/60)))</f>
        <v/>
      </c>
      <c r="O1165" s="73"/>
    </row>
    <row r="1166" customFormat="false" ht="15" hidden="false" customHeight="false" outlineLevel="0" collapsed="false">
      <c r="A1166" s="77"/>
      <c r="B1166" s="73"/>
      <c r="C1166" s="71" t="str">
        <f aca="false">IF(B1166="","",IFERROR(INDEX(マスタ!$F$2:$F$60,MATCH(B1166,マスタ!$E$2:$E$60,0))&amp;"",""))</f>
        <v/>
      </c>
      <c r="D1166" s="73"/>
      <c r="E1166" s="75"/>
      <c r="F1166" s="75"/>
      <c r="G1166" s="75"/>
      <c r="H1166" s="73"/>
      <c r="I1166" s="75"/>
      <c r="J1166" s="75"/>
      <c r="K1166" s="75"/>
      <c r="L1166" s="73"/>
      <c r="M1166" s="78" t="str">
        <f aca="false">IF(OR(E1166="",F1166=""),"",MAX(0,((F1166-E1166-N(G1166))*1440-N(H1166)*10)/60))</f>
        <v/>
      </c>
      <c r="N1166" s="78" t="str">
        <f aca="false">IF($D1166="欠席",0,IF(OR(I1166="",J1166=""),"",MAX(0,((J1166-I1166-N(K1166))*1440-N(L1166)*10)/60)))</f>
        <v/>
      </c>
      <c r="O1166" s="73"/>
    </row>
    <row r="1167" customFormat="false" ht="15" hidden="false" customHeight="false" outlineLevel="0" collapsed="false">
      <c r="A1167" s="77"/>
      <c r="B1167" s="73"/>
      <c r="C1167" s="71" t="str">
        <f aca="false">IF(B1167="","",IFERROR(INDEX(マスタ!$F$2:$F$60,MATCH(B1167,マスタ!$E$2:$E$60,0))&amp;"",""))</f>
        <v/>
      </c>
      <c r="D1167" s="73"/>
      <c r="E1167" s="75"/>
      <c r="F1167" s="75"/>
      <c r="G1167" s="75"/>
      <c r="H1167" s="73"/>
      <c r="I1167" s="75"/>
      <c r="J1167" s="75"/>
      <c r="K1167" s="75"/>
      <c r="L1167" s="73"/>
      <c r="M1167" s="78" t="str">
        <f aca="false">IF(OR(E1167="",F1167=""),"",MAX(0,((F1167-E1167-N(G1167))*1440-N(H1167)*10)/60))</f>
        <v/>
      </c>
      <c r="N1167" s="78" t="str">
        <f aca="false">IF($D1167="欠席",0,IF(OR(I1167="",J1167=""),"",MAX(0,((J1167-I1167-N(K1167))*1440-N(L1167)*10)/60)))</f>
        <v/>
      </c>
      <c r="O1167" s="73"/>
    </row>
    <row r="1168" customFormat="false" ht="15" hidden="false" customHeight="false" outlineLevel="0" collapsed="false">
      <c r="A1168" s="77"/>
      <c r="B1168" s="73"/>
      <c r="C1168" s="71" t="str">
        <f aca="false">IF(B1168="","",IFERROR(INDEX(マスタ!$F$2:$F$60,MATCH(B1168,マスタ!$E$2:$E$60,0))&amp;"",""))</f>
        <v/>
      </c>
      <c r="D1168" s="73"/>
      <c r="E1168" s="75"/>
      <c r="F1168" s="75"/>
      <c r="G1168" s="75"/>
      <c r="H1168" s="73"/>
      <c r="I1168" s="75"/>
      <c r="J1168" s="75"/>
      <c r="K1168" s="75"/>
      <c r="L1168" s="73"/>
      <c r="M1168" s="78" t="str">
        <f aca="false">IF(OR(E1168="",F1168=""),"",MAX(0,((F1168-E1168-N(G1168))*1440-N(H1168)*10)/60))</f>
        <v/>
      </c>
      <c r="N1168" s="78" t="str">
        <f aca="false">IF($D1168="欠席",0,IF(OR(I1168="",J1168=""),"",MAX(0,((J1168-I1168-N(K1168))*1440-N(L1168)*10)/60)))</f>
        <v/>
      </c>
      <c r="O1168" s="73"/>
    </row>
    <row r="1169" customFormat="false" ht="15" hidden="false" customHeight="false" outlineLevel="0" collapsed="false">
      <c r="A1169" s="77"/>
      <c r="B1169" s="73"/>
      <c r="C1169" s="71" t="str">
        <f aca="false">IF(B1169="","",IFERROR(INDEX(マスタ!$F$2:$F$60,MATCH(B1169,マスタ!$E$2:$E$60,0))&amp;"",""))</f>
        <v/>
      </c>
      <c r="D1169" s="73"/>
      <c r="E1169" s="75"/>
      <c r="F1169" s="75"/>
      <c r="G1169" s="75"/>
      <c r="H1169" s="73"/>
      <c r="I1169" s="75"/>
      <c r="J1169" s="75"/>
      <c r="K1169" s="75"/>
      <c r="L1169" s="73"/>
      <c r="M1169" s="78" t="str">
        <f aca="false">IF(OR(E1169="",F1169=""),"",MAX(0,((F1169-E1169-N(G1169))*1440-N(H1169)*10)/60))</f>
        <v/>
      </c>
      <c r="N1169" s="78" t="str">
        <f aca="false">IF($D1169="欠席",0,IF(OR(I1169="",J1169=""),"",MAX(0,((J1169-I1169-N(K1169))*1440-N(L1169)*10)/60)))</f>
        <v/>
      </c>
      <c r="O1169" s="73"/>
    </row>
    <row r="1170" customFormat="false" ht="15" hidden="false" customHeight="false" outlineLevel="0" collapsed="false">
      <c r="A1170" s="77"/>
      <c r="B1170" s="73"/>
      <c r="C1170" s="71" t="str">
        <f aca="false">IF(B1170="","",IFERROR(INDEX(マスタ!$F$2:$F$60,MATCH(B1170,マスタ!$E$2:$E$60,0))&amp;"",""))</f>
        <v/>
      </c>
      <c r="D1170" s="73"/>
      <c r="E1170" s="75"/>
      <c r="F1170" s="75"/>
      <c r="G1170" s="75"/>
      <c r="H1170" s="73"/>
      <c r="I1170" s="75"/>
      <c r="J1170" s="75"/>
      <c r="K1170" s="75"/>
      <c r="L1170" s="73"/>
      <c r="M1170" s="78" t="str">
        <f aca="false">IF(OR(E1170="",F1170=""),"",MAX(0,((F1170-E1170-N(G1170))*1440-N(H1170)*10)/60))</f>
        <v/>
      </c>
      <c r="N1170" s="78" t="str">
        <f aca="false">IF($D1170="欠席",0,IF(OR(I1170="",J1170=""),"",MAX(0,((J1170-I1170-N(K1170))*1440-N(L1170)*10)/60)))</f>
        <v/>
      </c>
      <c r="O1170" s="73"/>
    </row>
    <row r="1171" customFormat="false" ht="15" hidden="false" customHeight="false" outlineLevel="0" collapsed="false">
      <c r="A1171" s="77"/>
      <c r="B1171" s="73"/>
      <c r="C1171" s="71" t="str">
        <f aca="false">IF(B1171="","",IFERROR(INDEX(マスタ!$F$2:$F$60,MATCH(B1171,マスタ!$E$2:$E$60,0))&amp;"",""))</f>
        <v/>
      </c>
      <c r="D1171" s="73"/>
      <c r="E1171" s="75"/>
      <c r="F1171" s="75"/>
      <c r="G1171" s="75"/>
      <c r="H1171" s="73"/>
      <c r="I1171" s="75"/>
      <c r="J1171" s="75"/>
      <c r="K1171" s="75"/>
      <c r="L1171" s="73"/>
      <c r="M1171" s="78" t="str">
        <f aca="false">IF(OR(E1171="",F1171=""),"",MAX(0,((F1171-E1171-N(G1171))*1440-N(H1171)*10)/60))</f>
        <v/>
      </c>
      <c r="N1171" s="78" t="str">
        <f aca="false">IF($D1171="欠席",0,IF(OR(I1171="",J1171=""),"",MAX(0,((J1171-I1171-N(K1171))*1440-N(L1171)*10)/60)))</f>
        <v/>
      </c>
      <c r="O1171" s="73"/>
    </row>
    <row r="1172" customFormat="false" ht="15" hidden="false" customHeight="false" outlineLevel="0" collapsed="false">
      <c r="A1172" s="77"/>
      <c r="B1172" s="73"/>
      <c r="C1172" s="71" t="str">
        <f aca="false">IF(B1172="","",IFERROR(INDEX(マスタ!$F$2:$F$60,MATCH(B1172,マスタ!$E$2:$E$60,0))&amp;"",""))</f>
        <v/>
      </c>
      <c r="D1172" s="73"/>
      <c r="E1172" s="75"/>
      <c r="F1172" s="75"/>
      <c r="G1172" s="75"/>
      <c r="H1172" s="73"/>
      <c r="I1172" s="75"/>
      <c r="J1172" s="75"/>
      <c r="K1172" s="75"/>
      <c r="L1172" s="73"/>
      <c r="M1172" s="78" t="str">
        <f aca="false">IF(OR(E1172="",F1172=""),"",MAX(0,((F1172-E1172-N(G1172))*1440-N(H1172)*10)/60))</f>
        <v/>
      </c>
      <c r="N1172" s="78" t="str">
        <f aca="false">IF($D1172="欠席",0,IF(OR(I1172="",J1172=""),"",MAX(0,((J1172-I1172-N(K1172))*1440-N(L1172)*10)/60)))</f>
        <v/>
      </c>
      <c r="O1172" s="73"/>
    </row>
    <row r="1173" customFormat="false" ht="15" hidden="false" customHeight="false" outlineLevel="0" collapsed="false">
      <c r="A1173" s="77"/>
      <c r="B1173" s="73"/>
      <c r="C1173" s="71" t="str">
        <f aca="false">IF(B1173="","",IFERROR(INDEX(マスタ!$F$2:$F$60,MATCH(B1173,マスタ!$E$2:$E$60,0))&amp;"",""))</f>
        <v/>
      </c>
      <c r="D1173" s="73"/>
      <c r="E1173" s="75"/>
      <c r="F1173" s="75"/>
      <c r="G1173" s="75"/>
      <c r="H1173" s="73"/>
      <c r="I1173" s="75"/>
      <c r="J1173" s="75"/>
      <c r="K1173" s="75"/>
      <c r="L1173" s="73"/>
      <c r="M1173" s="78" t="str">
        <f aca="false">IF(OR(E1173="",F1173=""),"",MAX(0,((F1173-E1173-N(G1173))*1440-N(H1173)*10)/60))</f>
        <v/>
      </c>
      <c r="N1173" s="78" t="str">
        <f aca="false">IF($D1173="欠席",0,IF(OR(I1173="",J1173=""),"",MAX(0,((J1173-I1173-N(K1173))*1440-N(L1173)*10)/60)))</f>
        <v/>
      </c>
      <c r="O1173" s="73"/>
    </row>
    <row r="1174" customFormat="false" ht="15" hidden="false" customHeight="false" outlineLevel="0" collapsed="false">
      <c r="A1174" s="77"/>
      <c r="B1174" s="73"/>
      <c r="C1174" s="71" t="str">
        <f aca="false">IF(B1174="","",IFERROR(INDEX(マスタ!$F$2:$F$60,MATCH(B1174,マスタ!$E$2:$E$60,0))&amp;"",""))</f>
        <v/>
      </c>
      <c r="D1174" s="73"/>
      <c r="E1174" s="75"/>
      <c r="F1174" s="75"/>
      <c r="G1174" s="75"/>
      <c r="H1174" s="73"/>
      <c r="I1174" s="75"/>
      <c r="J1174" s="75"/>
      <c r="K1174" s="75"/>
      <c r="L1174" s="73"/>
      <c r="M1174" s="78" t="str">
        <f aca="false">IF(OR(E1174="",F1174=""),"",MAX(0,((F1174-E1174-N(G1174))*1440-N(H1174)*10)/60))</f>
        <v/>
      </c>
      <c r="N1174" s="78" t="str">
        <f aca="false">IF($D1174="欠席",0,IF(OR(I1174="",J1174=""),"",MAX(0,((J1174-I1174-N(K1174))*1440-N(L1174)*10)/60)))</f>
        <v/>
      </c>
      <c r="O1174" s="73"/>
    </row>
    <row r="1175" customFormat="false" ht="15" hidden="false" customHeight="false" outlineLevel="0" collapsed="false">
      <c r="A1175" s="77"/>
      <c r="B1175" s="73"/>
      <c r="C1175" s="71" t="str">
        <f aca="false">IF(B1175="","",IFERROR(INDEX(マスタ!$F$2:$F$60,MATCH(B1175,マスタ!$E$2:$E$60,0))&amp;"",""))</f>
        <v/>
      </c>
      <c r="D1175" s="73"/>
      <c r="E1175" s="75"/>
      <c r="F1175" s="75"/>
      <c r="G1175" s="75"/>
      <c r="H1175" s="73"/>
      <c r="I1175" s="75"/>
      <c r="J1175" s="75"/>
      <c r="K1175" s="75"/>
      <c r="L1175" s="73"/>
      <c r="M1175" s="78" t="str">
        <f aca="false">IF(OR(E1175="",F1175=""),"",MAX(0,((F1175-E1175-N(G1175))*1440-N(H1175)*10)/60))</f>
        <v/>
      </c>
      <c r="N1175" s="78" t="str">
        <f aca="false">IF($D1175="欠席",0,IF(OR(I1175="",J1175=""),"",MAX(0,((J1175-I1175-N(K1175))*1440-N(L1175)*10)/60)))</f>
        <v/>
      </c>
      <c r="O1175" s="73"/>
    </row>
    <row r="1176" customFormat="false" ht="15" hidden="false" customHeight="false" outlineLevel="0" collapsed="false">
      <c r="A1176" s="77"/>
      <c r="B1176" s="73"/>
      <c r="C1176" s="71" t="str">
        <f aca="false">IF(B1176="","",IFERROR(INDEX(マスタ!$F$2:$F$60,MATCH(B1176,マスタ!$E$2:$E$60,0))&amp;"",""))</f>
        <v/>
      </c>
      <c r="D1176" s="73"/>
      <c r="E1176" s="75"/>
      <c r="F1176" s="75"/>
      <c r="G1176" s="75"/>
      <c r="H1176" s="73"/>
      <c r="I1176" s="75"/>
      <c r="J1176" s="75"/>
      <c r="K1176" s="75"/>
      <c r="L1176" s="73"/>
      <c r="M1176" s="78" t="str">
        <f aca="false">IF(OR(E1176="",F1176=""),"",MAX(0,((F1176-E1176-N(G1176))*1440-N(H1176)*10)/60))</f>
        <v/>
      </c>
      <c r="N1176" s="78" t="str">
        <f aca="false">IF($D1176="欠席",0,IF(OR(I1176="",J1176=""),"",MAX(0,((J1176-I1176-N(K1176))*1440-N(L1176)*10)/60)))</f>
        <v/>
      </c>
      <c r="O1176" s="73"/>
    </row>
    <row r="1177" customFormat="false" ht="15" hidden="false" customHeight="false" outlineLevel="0" collapsed="false">
      <c r="A1177" s="77"/>
      <c r="B1177" s="73"/>
      <c r="C1177" s="71" t="str">
        <f aca="false">IF(B1177="","",IFERROR(INDEX(マスタ!$F$2:$F$60,MATCH(B1177,マスタ!$E$2:$E$60,0))&amp;"",""))</f>
        <v/>
      </c>
      <c r="D1177" s="73"/>
      <c r="E1177" s="75"/>
      <c r="F1177" s="75"/>
      <c r="G1177" s="75"/>
      <c r="H1177" s="73"/>
      <c r="I1177" s="75"/>
      <c r="J1177" s="75"/>
      <c r="K1177" s="75"/>
      <c r="L1177" s="73"/>
      <c r="M1177" s="78" t="str">
        <f aca="false">IF(OR(E1177="",F1177=""),"",MAX(0,((F1177-E1177-N(G1177))*1440-N(H1177)*10)/60))</f>
        <v/>
      </c>
      <c r="N1177" s="78" t="str">
        <f aca="false">IF($D1177="欠席",0,IF(OR(I1177="",J1177=""),"",MAX(0,((J1177-I1177-N(K1177))*1440-N(L1177)*10)/60)))</f>
        <v/>
      </c>
      <c r="O1177" s="73"/>
    </row>
    <row r="1178" customFormat="false" ht="15" hidden="false" customHeight="false" outlineLevel="0" collapsed="false">
      <c r="A1178" s="77"/>
      <c r="B1178" s="73"/>
      <c r="C1178" s="71" t="str">
        <f aca="false">IF(B1178="","",IFERROR(INDEX(マスタ!$F$2:$F$60,MATCH(B1178,マスタ!$E$2:$E$60,0))&amp;"",""))</f>
        <v/>
      </c>
      <c r="D1178" s="73"/>
      <c r="E1178" s="75"/>
      <c r="F1178" s="75"/>
      <c r="G1178" s="75"/>
      <c r="H1178" s="73"/>
      <c r="I1178" s="75"/>
      <c r="J1178" s="75"/>
      <c r="K1178" s="75"/>
      <c r="L1178" s="73"/>
      <c r="M1178" s="78" t="str">
        <f aca="false">IF(OR(E1178="",F1178=""),"",MAX(0,((F1178-E1178-N(G1178))*1440-N(H1178)*10)/60))</f>
        <v/>
      </c>
      <c r="N1178" s="78" t="str">
        <f aca="false">IF($D1178="欠席",0,IF(OR(I1178="",J1178=""),"",MAX(0,((J1178-I1178-N(K1178))*1440-N(L1178)*10)/60)))</f>
        <v/>
      </c>
      <c r="O1178" s="73"/>
    </row>
    <row r="1179" customFormat="false" ht="15" hidden="false" customHeight="false" outlineLevel="0" collapsed="false">
      <c r="A1179" s="77"/>
      <c r="B1179" s="73"/>
      <c r="C1179" s="71" t="str">
        <f aca="false">IF(B1179="","",IFERROR(INDEX(マスタ!$F$2:$F$60,MATCH(B1179,マスタ!$E$2:$E$60,0))&amp;"",""))</f>
        <v/>
      </c>
      <c r="D1179" s="73"/>
      <c r="E1179" s="75"/>
      <c r="F1179" s="75"/>
      <c r="G1179" s="75"/>
      <c r="H1179" s="73"/>
      <c r="I1179" s="75"/>
      <c r="J1179" s="75"/>
      <c r="K1179" s="75"/>
      <c r="L1179" s="73"/>
      <c r="M1179" s="78" t="str">
        <f aca="false">IF(OR(E1179="",F1179=""),"",MAX(0,((F1179-E1179-N(G1179))*1440-N(H1179)*10)/60))</f>
        <v/>
      </c>
      <c r="N1179" s="78" t="str">
        <f aca="false">IF($D1179="欠席",0,IF(OR(I1179="",J1179=""),"",MAX(0,((J1179-I1179-N(K1179))*1440-N(L1179)*10)/60)))</f>
        <v/>
      </c>
      <c r="O1179" s="73"/>
    </row>
    <row r="1180" customFormat="false" ht="15" hidden="false" customHeight="false" outlineLevel="0" collapsed="false">
      <c r="A1180" s="77"/>
      <c r="B1180" s="73"/>
      <c r="C1180" s="71" t="str">
        <f aca="false">IF(B1180="","",IFERROR(INDEX(マスタ!$F$2:$F$60,MATCH(B1180,マスタ!$E$2:$E$60,0))&amp;"",""))</f>
        <v/>
      </c>
      <c r="D1180" s="73"/>
      <c r="E1180" s="75"/>
      <c r="F1180" s="75"/>
      <c r="G1180" s="75"/>
      <c r="H1180" s="73"/>
      <c r="I1180" s="75"/>
      <c r="J1180" s="75"/>
      <c r="K1180" s="75"/>
      <c r="L1180" s="73"/>
      <c r="M1180" s="78" t="str">
        <f aca="false">IF(OR(E1180="",F1180=""),"",MAX(0,((F1180-E1180-N(G1180))*1440-N(H1180)*10)/60))</f>
        <v/>
      </c>
      <c r="N1180" s="78" t="str">
        <f aca="false">IF($D1180="欠席",0,IF(OR(I1180="",J1180=""),"",MAX(0,((J1180-I1180-N(K1180))*1440-N(L1180)*10)/60)))</f>
        <v/>
      </c>
      <c r="O1180" s="73"/>
    </row>
    <row r="1181" customFormat="false" ht="15" hidden="false" customHeight="false" outlineLevel="0" collapsed="false">
      <c r="A1181" s="77"/>
      <c r="B1181" s="73"/>
      <c r="C1181" s="71" t="str">
        <f aca="false">IF(B1181="","",IFERROR(INDEX(マスタ!$F$2:$F$60,MATCH(B1181,マスタ!$E$2:$E$60,0))&amp;"",""))</f>
        <v/>
      </c>
      <c r="D1181" s="73"/>
      <c r="E1181" s="75"/>
      <c r="F1181" s="75"/>
      <c r="G1181" s="75"/>
      <c r="H1181" s="73"/>
      <c r="I1181" s="75"/>
      <c r="J1181" s="75"/>
      <c r="K1181" s="75"/>
      <c r="L1181" s="73"/>
      <c r="M1181" s="78" t="str">
        <f aca="false">IF(OR(E1181="",F1181=""),"",MAX(0,((F1181-E1181-N(G1181))*1440-N(H1181)*10)/60))</f>
        <v/>
      </c>
      <c r="N1181" s="78" t="str">
        <f aca="false">IF($D1181="欠席",0,IF(OR(I1181="",J1181=""),"",MAX(0,((J1181-I1181-N(K1181))*1440-N(L1181)*10)/60)))</f>
        <v/>
      </c>
      <c r="O1181" s="73"/>
    </row>
    <row r="1182" customFormat="false" ht="15" hidden="false" customHeight="false" outlineLevel="0" collapsed="false">
      <c r="A1182" s="77"/>
      <c r="B1182" s="73"/>
      <c r="C1182" s="71" t="str">
        <f aca="false">IF(B1182="","",IFERROR(INDEX(マスタ!$F$2:$F$60,MATCH(B1182,マスタ!$E$2:$E$60,0))&amp;"",""))</f>
        <v/>
      </c>
      <c r="D1182" s="73"/>
      <c r="E1182" s="75"/>
      <c r="F1182" s="75"/>
      <c r="G1182" s="75"/>
      <c r="H1182" s="73"/>
      <c r="I1182" s="75"/>
      <c r="J1182" s="75"/>
      <c r="K1182" s="75"/>
      <c r="L1182" s="73"/>
      <c r="M1182" s="78" t="str">
        <f aca="false">IF(OR(E1182="",F1182=""),"",MAX(0,((F1182-E1182-N(G1182))*1440-N(H1182)*10)/60))</f>
        <v/>
      </c>
      <c r="N1182" s="78" t="str">
        <f aca="false">IF($D1182="欠席",0,IF(OR(I1182="",J1182=""),"",MAX(0,((J1182-I1182-N(K1182))*1440-N(L1182)*10)/60)))</f>
        <v/>
      </c>
      <c r="O1182" s="73"/>
    </row>
    <row r="1183" customFormat="false" ht="15" hidden="false" customHeight="false" outlineLevel="0" collapsed="false">
      <c r="A1183" s="77"/>
      <c r="B1183" s="73"/>
      <c r="C1183" s="71" t="str">
        <f aca="false">IF(B1183="","",IFERROR(INDEX(マスタ!$F$2:$F$60,MATCH(B1183,マスタ!$E$2:$E$60,0))&amp;"",""))</f>
        <v/>
      </c>
      <c r="D1183" s="73"/>
      <c r="E1183" s="75"/>
      <c r="F1183" s="75"/>
      <c r="G1183" s="75"/>
      <c r="H1183" s="73"/>
      <c r="I1183" s="75"/>
      <c r="J1183" s="75"/>
      <c r="K1183" s="75"/>
      <c r="L1183" s="73"/>
      <c r="M1183" s="78" t="str">
        <f aca="false">IF(OR(E1183="",F1183=""),"",MAX(0,((F1183-E1183-N(G1183))*1440-N(H1183)*10)/60))</f>
        <v/>
      </c>
      <c r="N1183" s="78" t="str">
        <f aca="false">IF($D1183="欠席",0,IF(OR(I1183="",J1183=""),"",MAX(0,((J1183-I1183-N(K1183))*1440-N(L1183)*10)/60)))</f>
        <v/>
      </c>
      <c r="O1183" s="73"/>
    </row>
    <row r="1184" customFormat="false" ht="15" hidden="false" customHeight="false" outlineLevel="0" collapsed="false">
      <c r="A1184" s="77"/>
      <c r="B1184" s="73"/>
      <c r="C1184" s="71" t="str">
        <f aca="false">IF(B1184="","",IFERROR(INDEX(マスタ!$F$2:$F$60,MATCH(B1184,マスタ!$E$2:$E$60,0))&amp;"",""))</f>
        <v/>
      </c>
      <c r="D1184" s="73"/>
      <c r="E1184" s="75"/>
      <c r="F1184" s="75"/>
      <c r="G1184" s="75"/>
      <c r="H1184" s="73"/>
      <c r="I1184" s="75"/>
      <c r="J1184" s="75"/>
      <c r="K1184" s="75"/>
      <c r="L1184" s="73"/>
      <c r="M1184" s="78" t="str">
        <f aca="false">IF(OR(E1184="",F1184=""),"",MAX(0,((F1184-E1184-N(G1184))*1440-N(H1184)*10)/60))</f>
        <v/>
      </c>
      <c r="N1184" s="78" t="str">
        <f aca="false">IF($D1184="欠席",0,IF(OR(I1184="",J1184=""),"",MAX(0,((J1184-I1184-N(K1184))*1440-N(L1184)*10)/60)))</f>
        <v/>
      </c>
      <c r="O1184" s="73"/>
    </row>
    <row r="1185" customFormat="false" ht="15" hidden="false" customHeight="false" outlineLevel="0" collapsed="false">
      <c r="A1185" s="77"/>
      <c r="B1185" s="73"/>
      <c r="C1185" s="71" t="str">
        <f aca="false">IF(B1185="","",IFERROR(INDEX(マスタ!$F$2:$F$60,MATCH(B1185,マスタ!$E$2:$E$60,0))&amp;"",""))</f>
        <v/>
      </c>
      <c r="D1185" s="73"/>
      <c r="E1185" s="75"/>
      <c r="F1185" s="75"/>
      <c r="G1185" s="75"/>
      <c r="H1185" s="73"/>
      <c r="I1185" s="75"/>
      <c r="J1185" s="75"/>
      <c r="K1185" s="75"/>
      <c r="L1185" s="73"/>
      <c r="M1185" s="78" t="str">
        <f aca="false">IF(OR(E1185="",F1185=""),"",MAX(0,((F1185-E1185-N(G1185))*1440-N(H1185)*10)/60))</f>
        <v/>
      </c>
      <c r="N1185" s="78" t="str">
        <f aca="false">IF($D1185="欠席",0,IF(OR(I1185="",J1185=""),"",MAX(0,((J1185-I1185-N(K1185))*1440-N(L1185)*10)/60)))</f>
        <v/>
      </c>
      <c r="O1185" s="73"/>
    </row>
    <row r="1186" customFormat="false" ht="15" hidden="false" customHeight="false" outlineLevel="0" collapsed="false">
      <c r="A1186" s="77"/>
      <c r="B1186" s="73"/>
      <c r="C1186" s="71" t="str">
        <f aca="false">IF(B1186="","",IFERROR(INDEX(マスタ!$F$2:$F$60,MATCH(B1186,マスタ!$E$2:$E$60,0))&amp;"",""))</f>
        <v/>
      </c>
      <c r="D1186" s="73"/>
      <c r="E1186" s="75"/>
      <c r="F1186" s="75"/>
      <c r="G1186" s="75"/>
      <c r="H1186" s="73"/>
      <c r="I1186" s="75"/>
      <c r="J1186" s="75"/>
      <c r="K1186" s="75"/>
      <c r="L1186" s="73"/>
      <c r="M1186" s="78" t="str">
        <f aca="false">IF(OR(E1186="",F1186=""),"",MAX(0,((F1186-E1186-N(G1186))*1440-N(H1186)*10)/60))</f>
        <v/>
      </c>
      <c r="N1186" s="78" t="str">
        <f aca="false">IF($D1186="欠席",0,IF(OR(I1186="",J1186=""),"",MAX(0,((J1186-I1186-N(K1186))*1440-N(L1186)*10)/60)))</f>
        <v/>
      </c>
      <c r="O1186" s="73"/>
    </row>
    <row r="1187" customFormat="false" ht="15" hidden="false" customHeight="false" outlineLevel="0" collapsed="false">
      <c r="A1187" s="77"/>
      <c r="B1187" s="73"/>
      <c r="C1187" s="71" t="str">
        <f aca="false">IF(B1187="","",IFERROR(INDEX(マスタ!$F$2:$F$60,MATCH(B1187,マスタ!$E$2:$E$60,0))&amp;"",""))</f>
        <v/>
      </c>
      <c r="D1187" s="73"/>
      <c r="E1187" s="75"/>
      <c r="F1187" s="75"/>
      <c r="G1187" s="75"/>
      <c r="H1187" s="73"/>
      <c r="I1187" s="75"/>
      <c r="J1187" s="75"/>
      <c r="K1187" s="75"/>
      <c r="L1187" s="73"/>
      <c r="M1187" s="78" t="str">
        <f aca="false">IF(OR(E1187="",F1187=""),"",MAX(0,((F1187-E1187-N(G1187))*1440-N(H1187)*10)/60))</f>
        <v/>
      </c>
      <c r="N1187" s="78" t="str">
        <f aca="false">IF($D1187="欠席",0,IF(OR(I1187="",J1187=""),"",MAX(0,((J1187-I1187-N(K1187))*1440-N(L1187)*10)/60)))</f>
        <v/>
      </c>
      <c r="O1187" s="73"/>
    </row>
    <row r="1188" customFormat="false" ht="15" hidden="false" customHeight="false" outlineLevel="0" collapsed="false">
      <c r="A1188" s="77"/>
      <c r="B1188" s="73"/>
      <c r="C1188" s="71" t="str">
        <f aca="false">IF(B1188="","",IFERROR(INDEX(マスタ!$F$2:$F$60,MATCH(B1188,マスタ!$E$2:$E$60,0))&amp;"",""))</f>
        <v/>
      </c>
      <c r="D1188" s="73"/>
      <c r="E1188" s="75"/>
      <c r="F1188" s="75"/>
      <c r="G1188" s="75"/>
      <c r="H1188" s="73"/>
      <c r="I1188" s="75"/>
      <c r="J1188" s="75"/>
      <c r="K1188" s="75"/>
      <c r="L1188" s="73"/>
      <c r="M1188" s="78" t="str">
        <f aca="false">IF(OR(E1188="",F1188=""),"",MAX(0,((F1188-E1188-N(G1188))*1440-N(H1188)*10)/60))</f>
        <v/>
      </c>
      <c r="N1188" s="78" t="str">
        <f aca="false">IF($D1188="欠席",0,IF(OR(I1188="",J1188=""),"",MAX(0,((J1188-I1188-N(K1188))*1440-N(L1188)*10)/60)))</f>
        <v/>
      </c>
      <c r="O1188" s="73"/>
    </row>
    <row r="1189" customFormat="false" ht="15" hidden="false" customHeight="false" outlineLevel="0" collapsed="false">
      <c r="A1189" s="77"/>
      <c r="B1189" s="73"/>
      <c r="C1189" s="71" t="str">
        <f aca="false">IF(B1189="","",IFERROR(INDEX(マスタ!$F$2:$F$60,MATCH(B1189,マスタ!$E$2:$E$60,0))&amp;"",""))</f>
        <v/>
      </c>
      <c r="D1189" s="73"/>
      <c r="E1189" s="75"/>
      <c r="F1189" s="75"/>
      <c r="G1189" s="75"/>
      <c r="H1189" s="73"/>
      <c r="I1189" s="75"/>
      <c r="J1189" s="75"/>
      <c r="K1189" s="75"/>
      <c r="L1189" s="73"/>
      <c r="M1189" s="78" t="str">
        <f aca="false">IF(OR(E1189="",F1189=""),"",MAX(0,((F1189-E1189-N(G1189))*1440-N(H1189)*10)/60))</f>
        <v/>
      </c>
      <c r="N1189" s="78" t="str">
        <f aca="false">IF($D1189="欠席",0,IF(OR(I1189="",J1189=""),"",MAX(0,((J1189-I1189-N(K1189))*1440-N(L1189)*10)/60)))</f>
        <v/>
      </c>
      <c r="O1189" s="73"/>
    </row>
    <row r="1190" customFormat="false" ht="15" hidden="false" customHeight="false" outlineLevel="0" collapsed="false">
      <c r="A1190" s="77"/>
      <c r="B1190" s="73"/>
      <c r="C1190" s="71" t="str">
        <f aca="false">IF(B1190="","",IFERROR(INDEX(マスタ!$F$2:$F$60,MATCH(B1190,マスタ!$E$2:$E$60,0))&amp;"",""))</f>
        <v/>
      </c>
      <c r="D1190" s="73"/>
      <c r="E1190" s="75"/>
      <c r="F1190" s="75"/>
      <c r="G1190" s="75"/>
      <c r="H1190" s="73"/>
      <c r="I1190" s="75"/>
      <c r="J1190" s="75"/>
      <c r="K1190" s="75"/>
      <c r="L1190" s="73"/>
      <c r="M1190" s="78" t="str">
        <f aca="false">IF(OR(E1190="",F1190=""),"",MAX(0,((F1190-E1190-N(G1190))*1440-N(H1190)*10)/60))</f>
        <v/>
      </c>
      <c r="N1190" s="78" t="str">
        <f aca="false">IF($D1190="欠席",0,IF(OR(I1190="",J1190=""),"",MAX(0,((J1190-I1190-N(K1190))*1440-N(L1190)*10)/60)))</f>
        <v/>
      </c>
      <c r="O1190" s="73"/>
    </row>
    <row r="1191" customFormat="false" ht="15" hidden="false" customHeight="false" outlineLevel="0" collapsed="false">
      <c r="A1191" s="77"/>
      <c r="B1191" s="73"/>
      <c r="C1191" s="71" t="str">
        <f aca="false">IF(B1191="","",IFERROR(INDEX(マスタ!$F$2:$F$60,MATCH(B1191,マスタ!$E$2:$E$60,0))&amp;"",""))</f>
        <v/>
      </c>
      <c r="D1191" s="73"/>
      <c r="E1191" s="75"/>
      <c r="F1191" s="75"/>
      <c r="G1191" s="75"/>
      <c r="H1191" s="73"/>
      <c r="I1191" s="75"/>
      <c r="J1191" s="75"/>
      <c r="K1191" s="75"/>
      <c r="L1191" s="73"/>
      <c r="M1191" s="78" t="str">
        <f aca="false">IF(OR(E1191="",F1191=""),"",MAX(0,((F1191-E1191-N(G1191))*1440-N(H1191)*10)/60))</f>
        <v/>
      </c>
      <c r="N1191" s="78" t="str">
        <f aca="false">IF($D1191="欠席",0,IF(OR(I1191="",J1191=""),"",MAX(0,((J1191-I1191-N(K1191))*1440-N(L1191)*10)/60)))</f>
        <v/>
      </c>
      <c r="O1191" s="73"/>
    </row>
    <row r="1192" customFormat="false" ht="15" hidden="false" customHeight="false" outlineLevel="0" collapsed="false">
      <c r="A1192" s="77"/>
      <c r="B1192" s="73"/>
      <c r="C1192" s="71" t="str">
        <f aca="false">IF(B1192="","",IFERROR(INDEX(マスタ!$F$2:$F$60,MATCH(B1192,マスタ!$E$2:$E$60,0))&amp;"",""))</f>
        <v/>
      </c>
      <c r="D1192" s="73"/>
      <c r="E1192" s="75"/>
      <c r="F1192" s="75"/>
      <c r="G1192" s="75"/>
      <c r="H1192" s="73"/>
      <c r="I1192" s="75"/>
      <c r="J1192" s="75"/>
      <c r="K1192" s="75"/>
      <c r="L1192" s="73"/>
      <c r="M1192" s="78" t="str">
        <f aca="false">IF(OR(E1192="",F1192=""),"",MAX(0,((F1192-E1192-N(G1192))*1440-N(H1192)*10)/60))</f>
        <v/>
      </c>
      <c r="N1192" s="78" t="str">
        <f aca="false">IF($D1192="欠席",0,IF(OR(I1192="",J1192=""),"",MAX(0,((J1192-I1192-N(K1192))*1440-N(L1192)*10)/60)))</f>
        <v/>
      </c>
      <c r="O1192" s="73"/>
    </row>
    <row r="1193" customFormat="false" ht="15" hidden="false" customHeight="false" outlineLevel="0" collapsed="false">
      <c r="A1193" s="77"/>
      <c r="B1193" s="73"/>
      <c r="C1193" s="71" t="str">
        <f aca="false">IF(B1193="","",IFERROR(INDEX(マスタ!$F$2:$F$60,MATCH(B1193,マスタ!$E$2:$E$60,0))&amp;"",""))</f>
        <v/>
      </c>
      <c r="D1193" s="73"/>
      <c r="E1193" s="75"/>
      <c r="F1193" s="75"/>
      <c r="G1193" s="75"/>
      <c r="H1193" s="73"/>
      <c r="I1193" s="75"/>
      <c r="J1193" s="75"/>
      <c r="K1193" s="75"/>
      <c r="L1193" s="73"/>
      <c r="M1193" s="78" t="str">
        <f aca="false">IF(OR(E1193="",F1193=""),"",MAX(0,((F1193-E1193-N(G1193))*1440-N(H1193)*10)/60))</f>
        <v/>
      </c>
      <c r="N1193" s="78" t="str">
        <f aca="false">IF($D1193="欠席",0,IF(OR(I1193="",J1193=""),"",MAX(0,((J1193-I1193-N(K1193))*1440-N(L1193)*10)/60)))</f>
        <v/>
      </c>
      <c r="O1193" s="73"/>
    </row>
    <row r="1194" customFormat="false" ht="15" hidden="false" customHeight="false" outlineLevel="0" collapsed="false">
      <c r="A1194" s="77"/>
      <c r="B1194" s="73"/>
      <c r="C1194" s="71" t="str">
        <f aca="false">IF(B1194="","",IFERROR(INDEX(マスタ!$F$2:$F$60,MATCH(B1194,マスタ!$E$2:$E$60,0))&amp;"",""))</f>
        <v/>
      </c>
      <c r="D1194" s="73"/>
      <c r="E1194" s="75"/>
      <c r="F1194" s="75"/>
      <c r="G1194" s="75"/>
      <c r="H1194" s="73"/>
      <c r="I1194" s="75"/>
      <c r="J1194" s="75"/>
      <c r="K1194" s="75"/>
      <c r="L1194" s="73"/>
      <c r="M1194" s="78" t="str">
        <f aca="false">IF(OR(E1194="",F1194=""),"",MAX(0,((F1194-E1194-N(G1194))*1440-N(H1194)*10)/60))</f>
        <v/>
      </c>
      <c r="N1194" s="78" t="str">
        <f aca="false">IF($D1194="欠席",0,IF(OR(I1194="",J1194=""),"",MAX(0,((J1194-I1194-N(K1194))*1440-N(L1194)*10)/60)))</f>
        <v/>
      </c>
      <c r="O1194" s="73"/>
    </row>
    <row r="1195" customFormat="false" ht="15" hidden="false" customHeight="false" outlineLevel="0" collapsed="false">
      <c r="A1195" s="77"/>
      <c r="B1195" s="73"/>
      <c r="C1195" s="71" t="str">
        <f aca="false">IF(B1195="","",IFERROR(INDEX(マスタ!$F$2:$F$60,MATCH(B1195,マスタ!$E$2:$E$60,0))&amp;"",""))</f>
        <v/>
      </c>
      <c r="D1195" s="73"/>
      <c r="E1195" s="75"/>
      <c r="F1195" s="75"/>
      <c r="G1195" s="75"/>
      <c r="H1195" s="73"/>
      <c r="I1195" s="75"/>
      <c r="J1195" s="75"/>
      <c r="K1195" s="75"/>
      <c r="L1195" s="73"/>
      <c r="M1195" s="78" t="str">
        <f aca="false">IF(OR(E1195="",F1195=""),"",MAX(0,((F1195-E1195-N(G1195))*1440-N(H1195)*10)/60))</f>
        <v/>
      </c>
      <c r="N1195" s="78" t="str">
        <f aca="false">IF($D1195="欠席",0,IF(OR(I1195="",J1195=""),"",MAX(0,((J1195-I1195-N(K1195))*1440-N(L1195)*10)/60)))</f>
        <v/>
      </c>
      <c r="O1195" s="73"/>
    </row>
    <row r="1196" customFormat="false" ht="15" hidden="false" customHeight="false" outlineLevel="0" collapsed="false">
      <c r="A1196" s="77"/>
      <c r="B1196" s="73"/>
      <c r="C1196" s="71" t="str">
        <f aca="false">IF(B1196="","",IFERROR(INDEX(マスタ!$F$2:$F$60,MATCH(B1196,マスタ!$E$2:$E$60,0))&amp;"",""))</f>
        <v/>
      </c>
      <c r="D1196" s="73"/>
      <c r="E1196" s="75"/>
      <c r="F1196" s="75"/>
      <c r="G1196" s="75"/>
      <c r="H1196" s="73"/>
      <c r="I1196" s="75"/>
      <c r="J1196" s="75"/>
      <c r="K1196" s="75"/>
      <c r="L1196" s="73"/>
      <c r="M1196" s="78" t="str">
        <f aca="false">IF(OR(E1196="",F1196=""),"",MAX(0,((F1196-E1196-N(G1196))*1440-N(H1196)*10)/60))</f>
        <v/>
      </c>
      <c r="N1196" s="78" t="str">
        <f aca="false">IF($D1196="欠席",0,IF(OR(I1196="",J1196=""),"",MAX(0,((J1196-I1196-N(K1196))*1440-N(L1196)*10)/60)))</f>
        <v/>
      </c>
      <c r="O1196" s="73"/>
    </row>
    <row r="1197" customFormat="false" ht="15" hidden="false" customHeight="false" outlineLevel="0" collapsed="false">
      <c r="A1197" s="77"/>
      <c r="B1197" s="73"/>
      <c r="C1197" s="71" t="str">
        <f aca="false">IF(B1197="","",IFERROR(INDEX(マスタ!$F$2:$F$60,MATCH(B1197,マスタ!$E$2:$E$60,0))&amp;"",""))</f>
        <v/>
      </c>
      <c r="D1197" s="73"/>
      <c r="E1197" s="75"/>
      <c r="F1197" s="75"/>
      <c r="G1197" s="75"/>
      <c r="H1197" s="73"/>
      <c r="I1197" s="75"/>
      <c r="J1197" s="75"/>
      <c r="K1197" s="75"/>
      <c r="L1197" s="73"/>
      <c r="M1197" s="78" t="str">
        <f aca="false">IF(OR(E1197="",F1197=""),"",MAX(0,((F1197-E1197-N(G1197))*1440-N(H1197)*10)/60))</f>
        <v/>
      </c>
      <c r="N1197" s="78" t="str">
        <f aca="false">IF($D1197="欠席",0,IF(OR(I1197="",J1197=""),"",MAX(0,((J1197-I1197-N(K1197))*1440-N(L1197)*10)/60)))</f>
        <v/>
      </c>
      <c r="O1197" s="73"/>
    </row>
    <row r="1198" customFormat="false" ht="15" hidden="false" customHeight="false" outlineLevel="0" collapsed="false">
      <c r="A1198" s="77"/>
      <c r="B1198" s="73"/>
      <c r="C1198" s="71" t="str">
        <f aca="false">IF(B1198="","",IFERROR(INDEX(マスタ!$F$2:$F$60,MATCH(B1198,マスタ!$E$2:$E$60,0))&amp;"",""))</f>
        <v/>
      </c>
      <c r="D1198" s="73"/>
      <c r="E1198" s="75"/>
      <c r="F1198" s="75"/>
      <c r="G1198" s="75"/>
      <c r="H1198" s="73"/>
      <c r="I1198" s="75"/>
      <c r="J1198" s="75"/>
      <c r="K1198" s="75"/>
      <c r="L1198" s="73"/>
      <c r="M1198" s="78" t="str">
        <f aca="false">IF(OR(E1198="",F1198=""),"",MAX(0,((F1198-E1198-N(G1198))*1440-N(H1198)*10)/60))</f>
        <v/>
      </c>
      <c r="N1198" s="78" t="str">
        <f aca="false">IF($D1198="欠席",0,IF(OR(I1198="",J1198=""),"",MAX(0,((J1198-I1198-N(K1198))*1440-N(L1198)*10)/60)))</f>
        <v/>
      </c>
      <c r="O1198" s="73"/>
    </row>
    <row r="1199" customFormat="false" ht="15" hidden="false" customHeight="false" outlineLevel="0" collapsed="false">
      <c r="A1199" s="77"/>
      <c r="B1199" s="73"/>
      <c r="C1199" s="71" t="str">
        <f aca="false">IF(B1199="","",IFERROR(INDEX(マスタ!$F$2:$F$60,MATCH(B1199,マスタ!$E$2:$E$60,0))&amp;"",""))</f>
        <v/>
      </c>
      <c r="D1199" s="73"/>
      <c r="E1199" s="75"/>
      <c r="F1199" s="75"/>
      <c r="G1199" s="75"/>
      <c r="H1199" s="73"/>
      <c r="I1199" s="75"/>
      <c r="J1199" s="75"/>
      <c r="K1199" s="75"/>
      <c r="L1199" s="73"/>
      <c r="M1199" s="78" t="str">
        <f aca="false">IF(OR(E1199="",F1199=""),"",MAX(0,((F1199-E1199-N(G1199))*1440-N(H1199)*10)/60))</f>
        <v/>
      </c>
      <c r="N1199" s="78" t="str">
        <f aca="false">IF($D1199="欠席",0,IF(OR(I1199="",J1199=""),"",MAX(0,((J1199-I1199-N(K1199))*1440-N(L1199)*10)/60)))</f>
        <v/>
      </c>
      <c r="O1199" s="73"/>
    </row>
    <row r="1200" customFormat="false" ht="15" hidden="false" customHeight="false" outlineLevel="0" collapsed="false">
      <c r="A1200" s="77"/>
      <c r="B1200" s="73"/>
      <c r="C1200" s="71" t="str">
        <f aca="false">IF(B1200="","",IFERROR(INDEX(マスタ!$F$2:$F$60,MATCH(B1200,マスタ!$E$2:$E$60,0))&amp;"",""))</f>
        <v/>
      </c>
      <c r="D1200" s="73"/>
      <c r="E1200" s="75"/>
      <c r="F1200" s="75"/>
      <c r="G1200" s="75"/>
      <c r="H1200" s="73"/>
      <c r="I1200" s="75"/>
      <c r="J1200" s="75"/>
      <c r="K1200" s="75"/>
      <c r="L1200" s="73"/>
      <c r="M1200" s="78" t="str">
        <f aca="false">IF(OR(E1200="",F1200=""),"",MAX(0,((F1200-E1200-N(G1200))*1440-N(H1200)*10)/60))</f>
        <v/>
      </c>
      <c r="N1200" s="78" t="str">
        <f aca="false">IF($D1200="欠席",0,IF(OR(I1200="",J1200=""),"",MAX(0,((J1200-I1200-N(K1200))*1440-N(L1200)*10)/60)))</f>
        <v/>
      </c>
      <c r="O1200" s="73"/>
    </row>
    <row r="1201" customFormat="false" ht="15" hidden="false" customHeight="false" outlineLevel="0" collapsed="false">
      <c r="A1201" s="77"/>
      <c r="B1201" s="73"/>
      <c r="C1201" s="71" t="str">
        <f aca="false">IF(B1201="","",IFERROR(INDEX(マスタ!$F$2:$F$60,MATCH(B1201,マスタ!$E$2:$E$60,0))&amp;"",""))</f>
        <v/>
      </c>
      <c r="D1201" s="73"/>
      <c r="E1201" s="75"/>
      <c r="F1201" s="75"/>
      <c r="G1201" s="75"/>
      <c r="H1201" s="73"/>
      <c r="I1201" s="75"/>
      <c r="J1201" s="75"/>
      <c r="K1201" s="75"/>
      <c r="L1201" s="73"/>
      <c r="M1201" s="78" t="str">
        <f aca="false">IF(OR(E1201="",F1201=""),"",MAX(0,((F1201-E1201-N(G1201))*1440-N(H1201)*10)/60))</f>
        <v/>
      </c>
      <c r="N1201" s="78" t="str">
        <f aca="false">IF($D1201="欠席",0,IF(OR(I1201="",J1201=""),"",MAX(0,((J1201-I1201-N(K1201))*1440-N(L1201)*10)/60)))</f>
        <v/>
      </c>
      <c r="O1201" s="73"/>
    </row>
    <row r="1202" customFormat="false" ht="15" hidden="false" customHeight="false" outlineLevel="0" collapsed="false">
      <c r="A1202" s="77"/>
      <c r="B1202" s="73"/>
      <c r="C1202" s="71" t="str">
        <f aca="false">IF(B1202="","",IFERROR(INDEX(マスタ!$F$2:$F$60,MATCH(B1202,マスタ!$E$2:$E$60,0))&amp;"",""))</f>
        <v/>
      </c>
      <c r="D1202" s="73"/>
      <c r="E1202" s="75"/>
      <c r="F1202" s="75"/>
      <c r="G1202" s="75"/>
      <c r="H1202" s="73"/>
      <c r="I1202" s="75"/>
      <c r="J1202" s="75"/>
      <c r="K1202" s="75"/>
      <c r="L1202" s="73"/>
      <c r="M1202" s="78" t="str">
        <f aca="false">IF(OR(E1202="",F1202=""),"",MAX(0,((F1202-E1202-N(G1202))*1440-N(H1202)*10)/60))</f>
        <v/>
      </c>
      <c r="N1202" s="78" t="str">
        <f aca="false">IF($D1202="欠席",0,IF(OR(I1202="",J1202=""),"",MAX(0,((J1202-I1202-N(K1202))*1440-N(L1202)*10)/60)))</f>
        <v/>
      </c>
      <c r="O1202" s="73"/>
    </row>
    <row r="1203" customFormat="false" ht="15" hidden="false" customHeight="false" outlineLevel="0" collapsed="false">
      <c r="A1203" s="77"/>
      <c r="B1203" s="73"/>
      <c r="C1203" s="71" t="str">
        <f aca="false">IF(B1203="","",IFERROR(INDEX(マスタ!$F$2:$F$60,MATCH(B1203,マスタ!$E$2:$E$60,0))&amp;"",""))</f>
        <v/>
      </c>
      <c r="D1203" s="73"/>
      <c r="E1203" s="75"/>
      <c r="F1203" s="75"/>
      <c r="G1203" s="75"/>
      <c r="H1203" s="73"/>
      <c r="I1203" s="75"/>
      <c r="J1203" s="75"/>
      <c r="K1203" s="75"/>
      <c r="L1203" s="73"/>
      <c r="M1203" s="78" t="str">
        <f aca="false">IF(OR(E1203="",F1203=""),"",MAX(0,((F1203-E1203-N(G1203))*1440-N(H1203)*10)/60))</f>
        <v/>
      </c>
      <c r="N1203" s="78" t="str">
        <f aca="false">IF($D1203="欠席",0,IF(OR(I1203="",J1203=""),"",MAX(0,((J1203-I1203-N(K1203))*1440-N(L1203)*10)/60)))</f>
        <v/>
      </c>
      <c r="O1203" s="73"/>
    </row>
    <row r="1204" customFormat="false" ht="15" hidden="false" customHeight="false" outlineLevel="0" collapsed="false">
      <c r="A1204" s="77"/>
      <c r="B1204" s="73"/>
      <c r="C1204" s="71" t="str">
        <f aca="false">IF(B1204="","",IFERROR(INDEX(マスタ!$F$2:$F$60,MATCH(B1204,マスタ!$E$2:$E$60,0))&amp;"",""))</f>
        <v/>
      </c>
      <c r="D1204" s="73"/>
      <c r="E1204" s="75"/>
      <c r="F1204" s="75"/>
      <c r="G1204" s="75"/>
      <c r="H1204" s="73"/>
      <c r="I1204" s="75"/>
      <c r="J1204" s="75"/>
      <c r="K1204" s="75"/>
      <c r="L1204" s="73"/>
      <c r="M1204" s="78" t="str">
        <f aca="false">IF(OR(E1204="",F1204=""),"",MAX(0,((F1204-E1204-N(G1204))*1440-N(H1204)*10)/60))</f>
        <v/>
      </c>
      <c r="N1204" s="78" t="str">
        <f aca="false">IF($D1204="欠席",0,IF(OR(I1204="",J1204=""),"",MAX(0,((J1204-I1204-N(K1204))*1440-N(L1204)*10)/60)))</f>
        <v/>
      </c>
      <c r="O1204" s="73"/>
    </row>
    <row r="1205" customFormat="false" ht="15" hidden="false" customHeight="false" outlineLevel="0" collapsed="false">
      <c r="A1205" s="77"/>
      <c r="B1205" s="73"/>
      <c r="C1205" s="71" t="str">
        <f aca="false">IF(B1205="","",IFERROR(INDEX(マスタ!$F$2:$F$60,MATCH(B1205,マスタ!$E$2:$E$60,0))&amp;"",""))</f>
        <v/>
      </c>
      <c r="D1205" s="73"/>
      <c r="E1205" s="75"/>
      <c r="F1205" s="75"/>
      <c r="G1205" s="75"/>
      <c r="H1205" s="73"/>
      <c r="I1205" s="75"/>
      <c r="J1205" s="75"/>
      <c r="K1205" s="75"/>
      <c r="L1205" s="73"/>
      <c r="M1205" s="78" t="str">
        <f aca="false">IF(OR(E1205="",F1205=""),"",MAX(0,((F1205-E1205-N(G1205))*1440-N(H1205)*10)/60))</f>
        <v/>
      </c>
      <c r="N1205" s="78" t="str">
        <f aca="false">IF($D1205="欠席",0,IF(OR(I1205="",J1205=""),"",MAX(0,((J1205-I1205-N(K1205))*1440-N(L1205)*10)/60)))</f>
        <v/>
      </c>
      <c r="O1205" s="73"/>
    </row>
    <row r="1206" customFormat="false" ht="15" hidden="false" customHeight="false" outlineLevel="0" collapsed="false">
      <c r="A1206" s="77"/>
      <c r="B1206" s="73"/>
      <c r="C1206" s="71" t="str">
        <f aca="false">IF(B1206="","",IFERROR(INDEX(マスタ!$F$2:$F$60,MATCH(B1206,マスタ!$E$2:$E$60,0))&amp;"",""))</f>
        <v/>
      </c>
      <c r="D1206" s="73"/>
      <c r="E1206" s="75"/>
      <c r="F1206" s="75"/>
      <c r="G1206" s="75"/>
      <c r="H1206" s="73"/>
      <c r="I1206" s="75"/>
      <c r="J1206" s="75"/>
      <c r="K1206" s="75"/>
      <c r="L1206" s="73"/>
      <c r="M1206" s="78" t="str">
        <f aca="false">IF(OR(E1206="",F1206=""),"",MAX(0,((F1206-E1206-N(G1206))*1440-N(H1206)*10)/60))</f>
        <v/>
      </c>
      <c r="N1206" s="78" t="str">
        <f aca="false">IF($D1206="欠席",0,IF(OR(I1206="",J1206=""),"",MAX(0,((J1206-I1206-N(K1206))*1440-N(L1206)*10)/60)))</f>
        <v/>
      </c>
      <c r="O1206" s="73"/>
    </row>
    <row r="1207" customFormat="false" ht="15" hidden="false" customHeight="false" outlineLevel="0" collapsed="false">
      <c r="A1207" s="77"/>
      <c r="B1207" s="73"/>
      <c r="C1207" s="71" t="str">
        <f aca="false">IF(B1207="","",IFERROR(INDEX(マスタ!$F$2:$F$60,MATCH(B1207,マスタ!$E$2:$E$60,0))&amp;"",""))</f>
        <v/>
      </c>
      <c r="D1207" s="73"/>
      <c r="E1207" s="75"/>
      <c r="F1207" s="75"/>
      <c r="G1207" s="75"/>
      <c r="H1207" s="73"/>
      <c r="I1207" s="75"/>
      <c r="J1207" s="75"/>
      <c r="K1207" s="75"/>
      <c r="L1207" s="73"/>
      <c r="M1207" s="78" t="str">
        <f aca="false">IF(OR(E1207="",F1207=""),"",MAX(0,((F1207-E1207-N(G1207))*1440-N(H1207)*10)/60))</f>
        <v/>
      </c>
      <c r="N1207" s="78" t="str">
        <f aca="false">IF($D1207="欠席",0,IF(OR(I1207="",J1207=""),"",MAX(0,((J1207-I1207-N(K1207))*1440-N(L1207)*10)/60)))</f>
        <v/>
      </c>
      <c r="O1207" s="73"/>
    </row>
    <row r="1208" customFormat="false" ht="15" hidden="false" customHeight="false" outlineLevel="0" collapsed="false">
      <c r="A1208" s="77"/>
      <c r="B1208" s="73"/>
      <c r="C1208" s="71" t="str">
        <f aca="false">IF(B1208="","",IFERROR(INDEX(マスタ!$F$2:$F$60,MATCH(B1208,マスタ!$E$2:$E$60,0))&amp;"",""))</f>
        <v/>
      </c>
      <c r="D1208" s="73"/>
      <c r="E1208" s="75"/>
      <c r="F1208" s="75"/>
      <c r="G1208" s="75"/>
      <c r="H1208" s="73"/>
      <c r="I1208" s="75"/>
      <c r="J1208" s="75"/>
      <c r="K1208" s="75"/>
      <c r="L1208" s="73"/>
      <c r="M1208" s="78" t="str">
        <f aca="false">IF(OR(E1208="",F1208=""),"",MAX(0,((F1208-E1208-N(G1208))*1440-N(H1208)*10)/60))</f>
        <v/>
      </c>
      <c r="N1208" s="78" t="str">
        <f aca="false">IF($D1208="欠席",0,IF(OR(I1208="",J1208=""),"",MAX(0,((J1208-I1208-N(K1208))*1440-N(L1208)*10)/60)))</f>
        <v/>
      </c>
      <c r="O1208" s="73"/>
    </row>
    <row r="1209" customFormat="false" ht="15" hidden="false" customHeight="false" outlineLevel="0" collapsed="false">
      <c r="A1209" s="77"/>
      <c r="B1209" s="73"/>
      <c r="C1209" s="71" t="str">
        <f aca="false">IF(B1209="","",IFERROR(INDEX(マスタ!$F$2:$F$60,MATCH(B1209,マスタ!$E$2:$E$60,0))&amp;"",""))</f>
        <v/>
      </c>
      <c r="D1209" s="73"/>
      <c r="E1209" s="75"/>
      <c r="F1209" s="75"/>
      <c r="G1209" s="75"/>
      <c r="H1209" s="73"/>
      <c r="I1209" s="75"/>
      <c r="J1209" s="75"/>
      <c r="K1209" s="75"/>
      <c r="L1209" s="73"/>
      <c r="M1209" s="78" t="str">
        <f aca="false">IF(OR(E1209="",F1209=""),"",MAX(0,((F1209-E1209-N(G1209))*1440-N(H1209)*10)/60))</f>
        <v/>
      </c>
      <c r="N1209" s="78" t="str">
        <f aca="false">IF($D1209="欠席",0,IF(OR(I1209="",J1209=""),"",MAX(0,((J1209-I1209-N(K1209))*1440-N(L1209)*10)/60)))</f>
        <v/>
      </c>
      <c r="O1209" s="73"/>
    </row>
    <row r="1210" customFormat="false" ht="15" hidden="false" customHeight="false" outlineLevel="0" collapsed="false">
      <c r="A1210" s="77"/>
      <c r="B1210" s="73"/>
      <c r="C1210" s="71" t="str">
        <f aca="false">IF(B1210="","",IFERROR(INDEX(マスタ!$F$2:$F$60,MATCH(B1210,マスタ!$E$2:$E$60,0))&amp;"",""))</f>
        <v/>
      </c>
      <c r="D1210" s="73"/>
      <c r="E1210" s="75"/>
      <c r="F1210" s="75"/>
      <c r="G1210" s="75"/>
      <c r="H1210" s="73"/>
      <c r="I1210" s="75"/>
      <c r="J1210" s="75"/>
      <c r="K1210" s="75"/>
      <c r="L1210" s="73"/>
      <c r="M1210" s="78" t="str">
        <f aca="false">IF(OR(E1210="",F1210=""),"",MAX(0,((F1210-E1210-N(G1210))*1440-N(H1210)*10)/60))</f>
        <v/>
      </c>
      <c r="N1210" s="78" t="str">
        <f aca="false">IF($D1210="欠席",0,IF(OR(I1210="",J1210=""),"",MAX(0,((J1210-I1210-N(K1210))*1440-N(L1210)*10)/60)))</f>
        <v/>
      </c>
      <c r="O1210" s="73"/>
    </row>
    <row r="1211" customFormat="false" ht="15" hidden="false" customHeight="false" outlineLevel="0" collapsed="false">
      <c r="A1211" s="77"/>
      <c r="B1211" s="73"/>
      <c r="C1211" s="71" t="str">
        <f aca="false">IF(B1211="","",IFERROR(INDEX(マスタ!$F$2:$F$60,MATCH(B1211,マスタ!$E$2:$E$60,0))&amp;"",""))</f>
        <v/>
      </c>
      <c r="D1211" s="73"/>
      <c r="E1211" s="75"/>
      <c r="F1211" s="75"/>
      <c r="G1211" s="75"/>
      <c r="H1211" s="73"/>
      <c r="I1211" s="75"/>
      <c r="J1211" s="75"/>
      <c r="K1211" s="75"/>
      <c r="L1211" s="73"/>
      <c r="M1211" s="78" t="str">
        <f aca="false">IF(OR(E1211="",F1211=""),"",MAX(0,((F1211-E1211-N(G1211))*1440-N(H1211)*10)/60))</f>
        <v/>
      </c>
      <c r="N1211" s="78" t="str">
        <f aca="false">IF($D1211="欠席",0,IF(OR(I1211="",J1211=""),"",MAX(0,((J1211-I1211-N(K1211))*1440-N(L1211)*10)/60)))</f>
        <v/>
      </c>
      <c r="O1211" s="73"/>
    </row>
    <row r="1212" customFormat="false" ht="15" hidden="false" customHeight="false" outlineLevel="0" collapsed="false">
      <c r="A1212" s="77"/>
      <c r="B1212" s="73"/>
      <c r="C1212" s="71" t="str">
        <f aca="false">IF(B1212="","",IFERROR(INDEX(マスタ!$F$2:$F$60,MATCH(B1212,マスタ!$E$2:$E$60,0))&amp;"",""))</f>
        <v/>
      </c>
      <c r="D1212" s="73"/>
      <c r="E1212" s="75"/>
      <c r="F1212" s="75"/>
      <c r="G1212" s="75"/>
      <c r="H1212" s="73"/>
      <c r="I1212" s="75"/>
      <c r="J1212" s="75"/>
      <c r="K1212" s="75"/>
      <c r="L1212" s="73"/>
      <c r="M1212" s="78" t="str">
        <f aca="false">IF(OR(E1212="",F1212=""),"",MAX(0,((F1212-E1212-N(G1212))*1440-N(H1212)*10)/60))</f>
        <v/>
      </c>
      <c r="N1212" s="78" t="str">
        <f aca="false">IF($D1212="欠席",0,IF(OR(I1212="",J1212=""),"",MAX(0,((J1212-I1212-N(K1212))*1440-N(L1212)*10)/60)))</f>
        <v/>
      </c>
      <c r="O1212" s="73"/>
    </row>
    <row r="1213" customFormat="false" ht="15" hidden="false" customHeight="false" outlineLevel="0" collapsed="false">
      <c r="A1213" s="77"/>
      <c r="B1213" s="73"/>
      <c r="C1213" s="71" t="str">
        <f aca="false">IF(B1213="","",IFERROR(INDEX(マスタ!$F$2:$F$60,MATCH(B1213,マスタ!$E$2:$E$60,0))&amp;"",""))</f>
        <v/>
      </c>
      <c r="D1213" s="73"/>
      <c r="E1213" s="75"/>
      <c r="F1213" s="75"/>
      <c r="G1213" s="75"/>
      <c r="H1213" s="73"/>
      <c r="I1213" s="75"/>
      <c r="J1213" s="75"/>
      <c r="K1213" s="75"/>
      <c r="L1213" s="73"/>
      <c r="M1213" s="78" t="str">
        <f aca="false">IF(OR(E1213="",F1213=""),"",MAX(0,((F1213-E1213-N(G1213))*1440-N(H1213)*10)/60))</f>
        <v/>
      </c>
      <c r="N1213" s="78" t="str">
        <f aca="false">IF($D1213="欠席",0,IF(OR(I1213="",J1213=""),"",MAX(0,((J1213-I1213-N(K1213))*1440-N(L1213)*10)/60)))</f>
        <v/>
      </c>
      <c r="O1213" s="73"/>
    </row>
    <row r="1214" customFormat="false" ht="15" hidden="false" customHeight="false" outlineLevel="0" collapsed="false">
      <c r="A1214" s="77"/>
      <c r="B1214" s="73"/>
      <c r="C1214" s="71" t="str">
        <f aca="false">IF(B1214="","",IFERROR(INDEX(マスタ!$F$2:$F$60,MATCH(B1214,マスタ!$E$2:$E$60,0))&amp;"",""))</f>
        <v/>
      </c>
      <c r="D1214" s="73"/>
      <c r="E1214" s="75"/>
      <c r="F1214" s="75"/>
      <c r="G1214" s="75"/>
      <c r="H1214" s="73"/>
      <c r="I1214" s="75"/>
      <c r="J1214" s="75"/>
      <c r="K1214" s="75"/>
      <c r="L1214" s="73"/>
      <c r="M1214" s="78" t="str">
        <f aca="false">IF(OR(E1214="",F1214=""),"",MAX(0,((F1214-E1214-N(G1214))*1440-N(H1214)*10)/60))</f>
        <v/>
      </c>
      <c r="N1214" s="78" t="str">
        <f aca="false">IF($D1214="欠席",0,IF(OR(I1214="",J1214=""),"",MAX(0,((J1214-I1214-N(K1214))*1440-N(L1214)*10)/60)))</f>
        <v/>
      </c>
      <c r="O1214" s="73"/>
    </row>
    <row r="1215" customFormat="false" ht="15" hidden="false" customHeight="false" outlineLevel="0" collapsed="false">
      <c r="A1215" s="77"/>
      <c r="B1215" s="73"/>
      <c r="C1215" s="71" t="str">
        <f aca="false">IF(B1215="","",IFERROR(INDEX(マスタ!$F$2:$F$60,MATCH(B1215,マスタ!$E$2:$E$60,0))&amp;"",""))</f>
        <v/>
      </c>
      <c r="D1215" s="73"/>
      <c r="E1215" s="75"/>
      <c r="F1215" s="75"/>
      <c r="G1215" s="75"/>
      <c r="H1215" s="73"/>
      <c r="I1215" s="75"/>
      <c r="J1215" s="75"/>
      <c r="K1215" s="75"/>
      <c r="L1215" s="73"/>
      <c r="M1215" s="78" t="str">
        <f aca="false">IF(OR(E1215="",F1215=""),"",MAX(0,((F1215-E1215-N(G1215))*1440-N(H1215)*10)/60))</f>
        <v/>
      </c>
      <c r="N1215" s="78" t="str">
        <f aca="false">IF($D1215="欠席",0,IF(OR(I1215="",J1215=""),"",MAX(0,((J1215-I1215-N(K1215))*1440-N(L1215)*10)/60)))</f>
        <v/>
      </c>
      <c r="O1215" s="73"/>
    </row>
    <row r="1216" customFormat="false" ht="15" hidden="false" customHeight="false" outlineLevel="0" collapsed="false">
      <c r="A1216" s="77"/>
      <c r="B1216" s="73"/>
      <c r="C1216" s="71" t="str">
        <f aca="false">IF(B1216="","",IFERROR(INDEX(マスタ!$F$2:$F$60,MATCH(B1216,マスタ!$E$2:$E$60,0))&amp;"",""))</f>
        <v/>
      </c>
      <c r="D1216" s="73"/>
      <c r="E1216" s="75"/>
      <c r="F1216" s="75"/>
      <c r="G1216" s="75"/>
      <c r="H1216" s="73"/>
      <c r="I1216" s="75"/>
      <c r="J1216" s="75"/>
      <c r="K1216" s="75"/>
      <c r="L1216" s="73"/>
      <c r="M1216" s="78" t="str">
        <f aca="false">IF(OR(E1216="",F1216=""),"",MAX(0,((F1216-E1216-N(G1216))*1440-N(H1216)*10)/60))</f>
        <v/>
      </c>
      <c r="N1216" s="78" t="str">
        <f aca="false">IF($D1216="欠席",0,IF(OR(I1216="",J1216=""),"",MAX(0,((J1216-I1216-N(K1216))*1440-N(L1216)*10)/60)))</f>
        <v/>
      </c>
      <c r="O1216" s="73"/>
    </row>
    <row r="1217" customFormat="false" ht="15" hidden="false" customHeight="false" outlineLevel="0" collapsed="false">
      <c r="A1217" s="77"/>
      <c r="B1217" s="73"/>
      <c r="C1217" s="71" t="str">
        <f aca="false">IF(B1217="","",IFERROR(INDEX(マスタ!$F$2:$F$60,MATCH(B1217,マスタ!$E$2:$E$60,0))&amp;"",""))</f>
        <v/>
      </c>
      <c r="D1217" s="73"/>
      <c r="E1217" s="75"/>
      <c r="F1217" s="75"/>
      <c r="G1217" s="75"/>
      <c r="H1217" s="73"/>
      <c r="I1217" s="75"/>
      <c r="J1217" s="75"/>
      <c r="K1217" s="75"/>
      <c r="L1217" s="73"/>
      <c r="M1217" s="78" t="str">
        <f aca="false">IF(OR(E1217="",F1217=""),"",MAX(0,((F1217-E1217-N(G1217))*1440-N(H1217)*10)/60))</f>
        <v/>
      </c>
      <c r="N1217" s="78" t="str">
        <f aca="false">IF($D1217="欠席",0,IF(OR(I1217="",J1217=""),"",MAX(0,((J1217-I1217-N(K1217))*1440-N(L1217)*10)/60)))</f>
        <v/>
      </c>
      <c r="O1217" s="73"/>
    </row>
    <row r="1218" customFormat="false" ht="15" hidden="false" customHeight="false" outlineLevel="0" collapsed="false">
      <c r="A1218" s="77"/>
      <c r="B1218" s="73"/>
      <c r="C1218" s="71" t="str">
        <f aca="false">IF(B1218="","",IFERROR(INDEX(マスタ!$F$2:$F$60,MATCH(B1218,マスタ!$E$2:$E$60,0))&amp;"",""))</f>
        <v/>
      </c>
      <c r="D1218" s="73"/>
      <c r="E1218" s="75"/>
      <c r="F1218" s="75"/>
      <c r="G1218" s="75"/>
      <c r="H1218" s="73"/>
      <c r="I1218" s="75"/>
      <c r="J1218" s="75"/>
      <c r="K1218" s="75"/>
      <c r="L1218" s="73"/>
      <c r="M1218" s="78" t="str">
        <f aca="false">IF(OR(E1218="",F1218=""),"",MAX(0,((F1218-E1218-N(G1218))*1440-N(H1218)*10)/60))</f>
        <v/>
      </c>
      <c r="N1218" s="78" t="str">
        <f aca="false">IF($D1218="欠席",0,IF(OR(I1218="",J1218=""),"",MAX(0,((J1218-I1218-N(K1218))*1440-N(L1218)*10)/60)))</f>
        <v/>
      </c>
      <c r="O1218" s="73"/>
    </row>
    <row r="1219" customFormat="false" ht="15" hidden="false" customHeight="false" outlineLevel="0" collapsed="false">
      <c r="A1219" s="77"/>
      <c r="B1219" s="73"/>
      <c r="C1219" s="71" t="str">
        <f aca="false">IF(B1219="","",IFERROR(INDEX(マスタ!$F$2:$F$60,MATCH(B1219,マスタ!$E$2:$E$60,0))&amp;"",""))</f>
        <v/>
      </c>
      <c r="D1219" s="73"/>
      <c r="E1219" s="75"/>
      <c r="F1219" s="75"/>
      <c r="G1219" s="75"/>
      <c r="H1219" s="73"/>
      <c r="I1219" s="75"/>
      <c r="J1219" s="75"/>
      <c r="K1219" s="75"/>
      <c r="L1219" s="73"/>
      <c r="M1219" s="78" t="str">
        <f aca="false">IF(OR(E1219="",F1219=""),"",MAX(0,((F1219-E1219-N(G1219))*1440-N(H1219)*10)/60))</f>
        <v/>
      </c>
      <c r="N1219" s="78" t="str">
        <f aca="false">IF($D1219="欠席",0,IF(OR(I1219="",J1219=""),"",MAX(0,((J1219-I1219-N(K1219))*1440-N(L1219)*10)/60)))</f>
        <v/>
      </c>
      <c r="O1219" s="73"/>
    </row>
    <row r="1220" customFormat="false" ht="15" hidden="false" customHeight="false" outlineLevel="0" collapsed="false">
      <c r="A1220" s="77"/>
      <c r="B1220" s="73"/>
      <c r="C1220" s="71" t="str">
        <f aca="false">IF(B1220="","",IFERROR(INDEX(マスタ!$F$2:$F$60,MATCH(B1220,マスタ!$E$2:$E$60,0))&amp;"",""))</f>
        <v/>
      </c>
      <c r="D1220" s="73"/>
      <c r="E1220" s="75"/>
      <c r="F1220" s="75"/>
      <c r="G1220" s="75"/>
      <c r="H1220" s="73"/>
      <c r="I1220" s="75"/>
      <c r="J1220" s="75"/>
      <c r="K1220" s="75"/>
      <c r="L1220" s="73"/>
      <c r="M1220" s="78" t="str">
        <f aca="false">IF(OR(E1220="",F1220=""),"",MAX(0,((F1220-E1220-N(G1220))*1440-N(H1220)*10)/60))</f>
        <v/>
      </c>
      <c r="N1220" s="78" t="str">
        <f aca="false">IF($D1220="欠席",0,IF(OR(I1220="",J1220=""),"",MAX(0,((J1220-I1220-N(K1220))*1440-N(L1220)*10)/60)))</f>
        <v/>
      </c>
      <c r="O1220" s="73"/>
    </row>
    <row r="1221" customFormat="false" ht="15" hidden="false" customHeight="false" outlineLevel="0" collapsed="false">
      <c r="A1221" s="77"/>
      <c r="B1221" s="73"/>
      <c r="C1221" s="71" t="str">
        <f aca="false">IF(B1221="","",IFERROR(INDEX(マスタ!$F$2:$F$60,MATCH(B1221,マスタ!$E$2:$E$60,0))&amp;"",""))</f>
        <v/>
      </c>
      <c r="D1221" s="73"/>
      <c r="E1221" s="75"/>
      <c r="F1221" s="75"/>
      <c r="G1221" s="75"/>
      <c r="H1221" s="73"/>
      <c r="I1221" s="75"/>
      <c r="J1221" s="75"/>
      <c r="K1221" s="75"/>
      <c r="L1221" s="73"/>
      <c r="M1221" s="78" t="str">
        <f aca="false">IF(OR(E1221="",F1221=""),"",MAX(0,((F1221-E1221-N(G1221))*1440-N(H1221)*10)/60))</f>
        <v/>
      </c>
      <c r="N1221" s="78" t="str">
        <f aca="false">IF($D1221="欠席",0,IF(OR(I1221="",J1221=""),"",MAX(0,((J1221-I1221-N(K1221))*1440-N(L1221)*10)/60)))</f>
        <v/>
      </c>
      <c r="O1221" s="73"/>
    </row>
    <row r="1222" customFormat="false" ht="15" hidden="false" customHeight="false" outlineLevel="0" collapsed="false">
      <c r="A1222" s="77"/>
      <c r="B1222" s="73"/>
      <c r="C1222" s="71" t="str">
        <f aca="false">IF(B1222="","",IFERROR(INDEX(マスタ!$F$2:$F$60,MATCH(B1222,マスタ!$E$2:$E$60,0))&amp;"",""))</f>
        <v/>
      </c>
      <c r="D1222" s="73"/>
      <c r="E1222" s="75"/>
      <c r="F1222" s="75"/>
      <c r="G1222" s="75"/>
      <c r="H1222" s="73"/>
      <c r="I1222" s="75"/>
      <c r="J1222" s="75"/>
      <c r="K1222" s="75"/>
      <c r="L1222" s="73"/>
      <c r="M1222" s="78" t="str">
        <f aca="false">IF(OR(E1222="",F1222=""),"",MAX(0,((F1222-E1222-N(G1222))*1440-N(H1222)*10)/60))</f>
        <v/>
      </c>
      <c r="N1222" s="78" t="str">
        <f aca="false">IF($D1222="欠席",0,IF(OR(I1222="",J1222=""),"",MAX(0,((J1222-I1222-N(K1222))*1440-N(L1222)*10)/60)))</f>
        <v/>
      </c>
      <c r="O1222" s="73"/>
    </row>
    <row r="1223" customFormat="false" ht="15" hidden="false" customHeight="false" outlineLevel="0" collapsed="false">
      <c r="A1223" s="77"/>
      <c r="B1223" s="73"/>
      <c r="C1223" s="71" t="str">
        <f aca="false">IF(B1223="","",IFERROR(INDEX(マスタ!$F$2:$F$60,MATCH(B1223,マスタ!$E$2:$E$60,0))&amp;"",""))</f>
        <v/>
      </c>
      <c r="D1223" s="73"/>
      <c r="E1223" s="75"/>
      <c r="F1223" s="75"/>
      <c r="G1223" s="75"/>
      <c r="H1223" s="73"/>
      <c r="I1223" s="75"/>
      <c r="J1223" s="75"/>
      <c r="K1223" s="75"/>
      <c r="L1223" s="73"/>
      <c r="M1223" s="78" t="str">
        <f aca="false">IF(OR(E1223="",F1223=""),"",MAX(0,((F1223-E1223-N(G1223))*1440-N(H1223)*10)/60))</f>
        <v/>
      </c>
      <c r="N1223" s="78" t="str">
        <f aca="false">IF($D1223="欠席",0,IF(OR(I1223="",J1223=""),"",MAX(0,((J1223-I1223-N(K1223))*1440-N(L1223)*10)/60)))</f>
        <v/>
      </c>
      <c r="O1223" s="73"/>
    </row>
    <row r="1224" customFormat="false" ht="15" hidden="false" customHeight="false" outlineLevel="0" collapsed="false">
      <c r="A1224" s="77"/>
      <c r="B1224" s="73"/>
      <c r="C1224" s="71" t="str">
        <f aca="false">IF(B1224="","",IFERROR(INDEX(マスタ!$F$2:$F$60,MATCH(B1224,マスタ!$E$2:$E$60,0))&amp;"",""))</f>
        <v/>
      </c>
      <c r="D1224" s="73"/>
      <c r="E1224" s="75"/>
      <c r="F1224" s="75"/>
      <c r="G1224" s="75"/>
      <c r="H1224" s="73"/>
      <c r="I1224" s="75"/>
      <c r="J1224" s="75"/>
      <c r="K1224" s="75"/>
      <c r="L1224" s="73"/>
      <c r="M1224" s="78" t="str">
        <f aca="false">IF(OR(E1224="",F1224=""),"",MAX(0,((F1224-E1224-N(G1224))*1440-N(H1224)*10)/60))</f>
        <v/>
      </c>
      <c r="N1224" s="78" t="str">
        <f aca="false">IF($D1224="欠席",0,IF(OR(I1224="",J1224=""),"",MAX(0,((J1224-I1224-N(K1224))*1440-N(L1224)*10)/60)))</f>
        <v/>
      </c>
      <c r="O1224" s="73"/>
    </row>
    <row r="1225" customFormat="false" ht="15" hidden="false" customHeight="false" outlineLevel="0" collapsed="false">
      <c r="A1225" s="77"/>
      <c r="B1225" s="73"/>
      <c r="C1225" s="71" t="str">
        <f aca="false">IF(B1225="","",IFERROR(INDEX(マスタ!$F$2:$F$60,MATCH(B1225,マスタ!$E$2:$E$60,0))&amp;"",""))</f>
        <v/>
      </c>
      <c r="D1225" s="73"/>
      <c r="E1225" s="75"/>
      <c r="F1225" s="75"/>
      <c r="G1225" s="75"/>
      <c r="H1225" s="73"/>
      <c r="I1225" s="75"/>
      <c r="J1225" s="75"/>
      <c r="K1225" s="75"/>
      <c r="L1225" s="73"/>
      <c r="M1225" s="78" t="str">
        <f aca="false">IF(OR(E1225="",F1225=""),"",MAX(0,((F1225-E1225-N(G1225))*1440-N(H1225)*10)/60))</f>
        <v/>
      </c>
      <c r="N1225" s="78" t="str">
        <f aca="false">IF($D1225="欠席",0,IF(OR(I1225="",J1225=""),"",MAX(0,((J1225-I1225-N(K1225))*1440-N(L1225)*10)/60)))</f>
        <v/>
      </c>
      <c r="O1225" s="73"/>
    </row>
    <row r="1226" customFormat="false" ht="15" hidden="false" customHeight="false" outlineLevel="0" collapsed="false">
      <c r="A1226" s="77"/>
      <c r="B1226" s="73"/>
      <c r="C1226" s="71" t="str">
        <f aca="false">IF(B1226="","",IFERROR(INDEX(マスタ!$F$2:$F$60,MATCH(B1226,マスタ!$E$2:$E$60,0))&amp;"",""))</f>
        <v/>
      </c>
      <c r="D1226" s="73"/>
      <c r="E1226" s="75"/>
      <c r="F1226" s="75"/>
      <c r="G1226" s="75"/>
      <c r="H1226" s="73"/>
      <c r="I1226" s="75"/>
      <c r="J1226" s="75"/>
      <c r="K1226" s="75"/>
      <c r="L1226" s="73"/>
      <c r="M1226" s="78" t="str">
        <f aca="false">IF(OR(E1226="",F1226=""),"",MAX(0,((F1226-E1226-N(G1226))*1440-N(H1226)*10)/60))</f>
        <v/>
      </c>
      <c r="N1226" s="78" t="str">
        <f aca="false">IF($D1226="欠席",0,IF(OR(I1226="",J1226=""),"",MAX(0,((J1226-I1226-N(K1226))*1440-N(L1226)*10)/60)))</f>
        <v/>
      </c>
      <c r="O1226" s="73"/>
    </row>
    <row r="1227" customFormat="false" ht="15" hidden="false" customHeight="false" outlineLevel="0" collapsed="false">
      <c r="A1227" s="77"/>
      <c r="B1227" s="73"/>
      <c r="C1227" s="71" t="str">
        <f aca="false">IF(B1227="","",IFERROR(INDEX(マスタ!$F$2:$F$60,MATCH(B1227,マスタ!$E$2:$E$60,0))&amp;"",""))</f>
        <v/>
      </c>
      <c r="D1227" s="73"/>
      <c r="E1227" s="75"/>
      <c r="F1227" s="75"/>
      <c r="G1227" s="75"/>
      <c r="H1227" s="73"/>
      <c r="I1227" s="75"/>
      <c r="J1227" s="75"/>
      <c r="K1227" s="75"/>
      <c r="L1227" s="73"/>
      <c r="M1227" s="78" t="str">
        <f aca="false">IF(OR(E1227="",F1227=""),"",MAX(0,((F1227-E1227-N(G1227))*1440-N(H1227)*10)/60))</f>
        <v/>
      </c>
      <c r="N1227" s="78" t="str">
        <f aca="false">IF($D1227="欠席",0,IF(OR(I1227="",J1227=""),"",MAX(0,((J1227-I1227-N(K1227))*1440-N(L1227)*10)/60)))</f>
        <v/>
      </c>
      <c r="O1227" s="73"/>
    </row>
    <row r="1228" customFormat="false" ht="15" hidden="false" customHeight="false" outlineLevel="0" collapsed="false">
      <c r="A1228" s="77"/>
      <c r="B1228" s="73"/>
      <c r="C1228" s="71" t="str">
        <f aca="false">IF(B1228="","",IFERROR(INDEX(マスタ!$F$2:$F$60,MATCH(B1228,マスタ!$E$2:$E$60,0))&amp;"",""))</f>
        <v/>
      </c>
      <c r="D1228" s="73"/>
      <c r="E1228" s="75"/>
      <c r="F1228" s="75"/>
      <c r="G1228" s="75"/>
      <c r="H1228" s="73"/>
      <c r="I1228" s="75"/>
      <c r="J1228" s="75"/>
      <c r="K1228" s="75"/>
      <c r="L1228" s="73"/>
      <c r="M1228" s="78" t="str">
        <f aca="false">IF(OR(E1228="",F1228=""),"",MAX(0,((F1228-E1228-N(G1228))*1440-N(H1228)*10)/60))</f>
        <v/>
      </c>
      <c r="N1228" s="78" t="str">
        <f aca="false">IF($D1228="欠席",0,IF(OR(I1228="",J1228=""),"",MAX(0,((J1228-I1228-N(K1228))*1440-N(L1228)*10)/60)))</f>
        <v/>
      </c>
      <c r="O1228" s="73"/>
    </row>
    <row r="1229" customFormat="false" ht="15" hidden="false" customHeight="false" outlineLevel="0" collapsed="false">
      <c r="A1229" s="77"/>
      <c r="B1229" s="73"/>
      <c r="C1229" s="71" t="str">
        <f aca="false">IF(B1229="","",IFERROR(INDEX(マスタ!$F$2:$F$60,MATCH(B1229,マスタ!$E$2:$E$60,0))&amp;"",""))</f>
        <v/>
      </c>
      <c r="D1229" s="73"/>
      <c r="E1229" s="75"/>
      <c r="F1229" s="75"/>
      <c r="G1229" s="75"/>
      <c r="H1229" s="73"/>
      <c r="I1229" s="75"/>
      <c r="J1229" s="75"/>
      <c r="K1229" s="75"/>
      <c r="L1229" s="73"/>
      <c r="M1229" s="78" t="str">
        <f aca="false">IF(OR(E1229="",F1229=""),"",MAX(0,((F1229-E1229-N(G1229))*1440-N(H1229)*10)/60))</f>
        <v/>
      </c>
      <c r="N1229" s="78" t="str">
        <f aca="false">IF($D1229="欠席",0,IF(OR(I1229="",J1229=""),"",MAX(0,((J1229-I1229-N(K1229))*1440-N(L1229)*10)/60)))</f>
        <v/>
      </c>
      <c r="O1229" s="73"/>
    </row>
    <row r="1230" customFormat="false" ht="15" hidden="false" customHeight="false" outlineLevel="0" collapsed="false">
      <c r="A1230" s="77"/>
      <c r="B1230" s="73"/>
      <c r="C1230" s="71" t="str">
        <f aca="false">IF(B1230="","",IFERROR(INDEX(マスタ!$F$2:$F$60,MATCH(B1230,マスタ!$E$2:$E$60,0))&amp;"",""))</f>
        <v/>
      </c>
      <c r="D1230" s="73"/>
      <c r="E1230" s="75"/>
      <c r="F1230" s="75"/>
      <c r="G1230" s="75"/>
      <c r="H1230" s="73"/>
      <c r="I1230" s="75"/>
      <c r="J1230" s="75"/>
      <c r="K1230" s="75"/>
      <c r="L1230" s="73"/>
      <c r="M1230" s="78" t="str">
        <f aca="false">IF(OR(E1230="",F1230=""),"",MAX(0,((F1230-E1230-N(G1230))*1440-N(H1230)*10)/60))</f>
        <v/>
      </c>
      <c r="N1230" s="78" t="str">
        <f aca="false">IF($D1230="欠席",0,IF(OR(I1230="",J1230=""),"",MAX(0,((J1230-I1230-N(K1230))*1440-N(L1230)*10)/60)))</f>
        <v/>
      </c>
      <c r="O1230" s="73"/>
    </row>
    <row r="1231" customFormat="false" ht="15" hidden="false" customHeight="false" outlineLevel="0" collapsed="false">
      <c r="A1231" s="77"/>
      <c r="B1231" s="73"/>
      <c r="C1231" s="71" t="str">
        <f aca="false">IF(B1231="","",IFERROR(INDEX(マスタ!$F$2:$F$60,MATCH(B1231,マスタ!$E$2:$E$60,0))&amp;"",""))</f>
        <v/>
      </c>
      <c r="D1231" s="73"/>
      <c r="E1231" s="75"/>
      <c r="F1231" s="75"/>
      <c r="G1231" s="75"/>
      <c r="H1231" s="73"/>
      <c r="I1231" s="75"/>
      <c r="J1231" s="75"/>
      <c r="K1231" s="75"/>
      <c r="L1231" s="73"/>
      <c r="M1231" s="78" t="str">
        <f aca="false">IF(OR(E1231="",F1231=""),"",MAX(0,((F1231-E1231-N(G1231))*1440-N(H1231)*10)/60))</f>
        <v/>
      </c>
      <c r="N1231" s="78" t="str">
        <f aca="false">IF($D1231="欠席",0,IF(OR(I1231="",J1231=""),"",MAX(0,((J1231-I1231-N(K1231))*1440-N(L1231)*10)/60)))</f>
        <v/>
      </c>
      <c r="O1231" s="73"/>
    </row>
    <row r="1232" customFormat="false" ht="15" hidden="false" customHeight="false" outlineLevel="0" collapsed="false">
      <c r="A1232" s="77"/>
      <c r="B1232" s="73"/>
      <c r="C1232" s="71" t="str">
        <f aca="false">IF(B1232="","",IFERROR(INDEX(マスタ!$F$2:$F$60,MATCH(B1232,マスタ!$E$2:$E$60,0))&amp;"",""))</f>
        <v/>
      </c>
      <c r="D1232" s="73"/>
      <c r="E1232" s="75"/>
      <c r="F1232" s="75"/>
      <c r="G1232" s="75"/>
      <c r="H1232" s="73"/>
      <c r="I1232" s="75"/>
      <c r="J1232" s="75"/>
      <c r="K1232" s="75"/>
      <c r="L1232" s="73"/>
      <c r="M1232" s="78" t="str">
        <f aca="false">IF(OR(E1232="",F1232=""),"",MAX(0,((F1232-E1232-N(G1232))*1440-N(H1232)*10)/60))</f>
        <v/>
      </c>
      <c r="N1232" s="78" t="str">
        <f aca="false">IF($D1232="欠席",0,IF(OR(I1232="",J1232=""),"",MAX(0,((J1232-I1232-N(K1232))*1440-N(L1232)*10)/60)))</f>
        <v/>
      </c>
      <c r="O1232" s="73"/>
    </row>
    <row r="1233" customFormat="false" ht="15" hidden="false" customHeight="false" outlineLevel="0" collapsed="false">
      <c r="A1233" s="77"/>
      <c r="B1233" s="73"/>
      <c r="C1233" s="71" t="str">
        <f aca="false">IF(B1233="","",IFERROR(INDEX(マスタ!$F$2:$F$60,MATCH(B1233,マスタ!$E$2:$E$60,0))&amp;"",""))</f>
        <v/>
      </c>
      <c r="D1233" s="73"/>
      <c r="E1233" s="75"/>
      <c r="F1233" s="75"/>
      <c r="G1233" s="75"/>
      <c r="H1233" s="73"/>
      <c r="I1233" s="75"/>
      <c r="J1233" s="75"/>
      <c r="K1233" s="75"/>
      <c r="L1233" s="73"/>
      <c r="M1233" s="78" t="str">
        <f aca="false">IF(OR(E1233="",F1233=""),"",MAX(0,((F1233-E1233-N(G1233))*1440-N(H1233)*10)/60))</f>
        <v/>
      </c>
      <c r="N1233" s="78" t="str">
        <f aca="false">IF($D1233="欠席",0,IF(OR(I1233="",J1233=""),"",MAX(0,((J1233-I1233-N(K1233))*1440-N(L1233)*10)/60)))</f>
        <v/>
      </c>
      <c r="O1233" s="73"/>
    </row>
    <row r="1234" customFormat="false" ht="15" hidden="false" customHeight="false" outlineLevel="0" collapsed="false">
      <c r="A1234" s="77"/>
      <c r="B1234" s="73"/>
      <c r="C1234" s="71" t="str">
        <f aca="false">IF(B1234="","",IFERROR(INDEX(マスタ!$F$2:$F$60,MATCH(B1234,マスタ!$E$2:$E$60,0))&amp;"",""))</f>
        <v/>
      </c>
      <c r="D1234" s="73"/>
      <c r="E1234" s="75"/>
      <c r="F1234" s="75"/>
      <c r="G1234" s="75"/>
      <c r="H1234" s="73"/>
      <c r="I1234" s="75"/>
      <c r="J1234" s="75"/>
      <c r="K1234" s="75"/>
      <c r="L1234" s="73"/>
      <c r="M1234" s="78" t="str">
        <f aca="false">IF(OR(E1234="",F1234=""),"",MAX(0,((F1234-E1234-N(G1234))*1440-N(H1234)*10)/60))</f>
        <v/>
      </c>
      <c r="N1234" s="78" t="str">
        <f aca="false">IF($D1234="欠席",0,IF(OR(I1234="",J1234=""),"",MAX(0,((J1234-I1234-N(K1234))*1440-N(L1234)*10)/60)))</f>
        <v/>
      </c>
      <c r="O1234" s="73"/>
    </row>
    <row r="1235" customFormat="false" ht="15" hidden="false" customHeight="false" outlineLevel="0" collapsed="false">
      <c r="A1235" s="77"/>
      <c r="B1235" s="73"/>
      <c r="C1235" s="71" t="str">
        <f aca="false">IF(B1235="","",IFERROR(INDEX(マスタ!$F$2:$F$60,MATCH(B1235,マスタ!$E$2:$E$60,0))&amp;"",""))</f>
        <v/>
      </c>
      <c r="D1235" s="73"/>
      <c r="E1235" s="75"/>
      <c r="F1235" s="75"/>
      <c r="G1235" s="75"/>
      <c r="H1235" s="73"/>
      <c r="I1235" s="75"/>
      <c r="J1235" s="75"/>
      <c r="K1235" s="75"/>
      <c r="L1235" s="73"/>
      <c r="M1235" s="78" t="str">
        <f aca="false">IF(OR(E1235="",F1235=""),"",MAX(0,((F1235-E1235-N(G1235))*1440-N(H1235)*10)/60))</f>
        <v/>
      </c>
      <c r="N1235" s="78" t="str">
        <f aca="false">IF($D1235="欠席",0,IF(OR(I1235="",J1235=""),"",MAX(0,((J1235-I1235-N(K1235))*1440-N(L1235)*10)/60)))</f>
        <v/>
      </c>
      <c r="O1235" s="73"/>
    </row>
    <row r="1236" customFormat="false" ht="15" hidden="false" customHeight="false" outlineLevel="0" collapsed="false">
      <c r="A1236" s="77"/>
      <c r="B1236" s="73"/>
      <c r="C1236" s="71" t="str">
        <f aca="false">IF(B1236="","",IFERROR(INDEX(マスタ!$F$2:$F$60,MATCH(B1236,マスタ!$E$2:$E$60,0))&amp;"",""))</f>
        <v/>
      </c>
      <c r="D1236" s="73"/>
      <c r="E1236" s="75"/>
      <c r="F1236" s="75"/>
      <c r="G1236" s="75"/>
      <c r="H1236" s="73"/>
      <c r="I1236" s="75"/>
      <c r="J1236" s="75"/>
      <c r="K1236" s="75"/>
      <c r="L1236" s="73"/>
      <c r="M1236" s="78" t="str">
        <f aca="false">IF(OR(E1236="",F1236=""),"",MAX(0,((F1236-E1236-N(G1236))*1440-N(H1236)*10)/60))</f>
        <v/>
      </c>
      <c r="N1236" s="78" t="str">
        <f aca="false">IF($D1236="欠席",0,IF(OR(I1236="",J1236=""),"",MAX(0,((J1236-I1236-N(K1236))*1440-N(L1236)*10)/60)))</f>
        <v/>
      </c>
      <c r="O1236" s="73"/>
    </row>
    <row r="1237" customFormat="false" ht="15" hidden="false" customHeight="false" outlineLevel="0" collapsed="false">
      <c r="A1237" s="77"/>
      <c r="B1237" s="73"/>
      <c r="C1237" s="71" t="str">
        <f aca="false">IF(B1237="","",IFERROR(INDEX(マスタ!$F$2:$F$60,MATCH(B1237,マスタ!$E$2:$E$60,0))&amp;"",""))</f>
        <v/>
      </c>
      <c r="D1237" s="73"/>
      <c r="E1237" s="75"/>
      <c r="F1237" s="75"/>
      <c r="G1237" s="75"/>
      <c r="H1237" s="73"/>
      <c r="I1237" s="75"/>
      <c r="J1237" s="75"/>
      <c r="K1237" s="75"/>
      <c r="L1237" s="73"/>
      <c r="M1237" s="78" t="str">
        <f aca="false">IF(OR(E1237="",F1237=""),"",MAX(0,((F1237-E1237-N(G1237))*1440-N(H1237)*10)/60))</f>
        <v/>
      </c>
      <c r="N1237" s="78" t="str">
        <f aca="false">IF($D1237="欠席",0,IF(OR(I1237="",J1237=""),"",MAX(0,((J1237-I1237-N(K1237))*1440-N(L1237)*10)/60)))</f>
        <v/>
      </c>
      <c r="O1237" s="73"/>
    </row>
    <row r="1238" customFormat="false" ht="15" hidden="false" customHeight="false" outlineLevel="0" collapsed="false">
      <c r="A1238" s="77"/>
      <c r="B1238" s="73"/>
      <c r="C1238" s="71" t="str">
        <f aca="false">IF(B1238="","",IFERROR(INDEX(マスタ!$F$2:$F$60,MATCH(B1238,マスタ!$E$2:$E$60,0))&amp;"",""))</f>
        <v/>
      </c>
      <c r="D1238" s="73"/>
      <c r="E1238" s="75"/>
      <c r="F1238" s="75"/>
      <c r="G1238" s="75"/>
      <c r="H1238" s="73"/>
      <c r="I1238" s="75"/>
      <c r="J1238" s="75"/>
      <c r="K1238" s="75"/>
      <c r="L1238" s="73"/>
      <c r="M1238" s="78" t="str">
        <f aca="false">IF(OR(E1238="",F1238=""),"",MAX(0,((F1238-E1238-N(G1238))*1440-N(H1238)*10)/60))</f>
        <v/>
      </c>
      <c r="N1238" s="78" t="str">
        <f aca="false">IF($D1238="欠席",0,IF(OR(I1238="",J1238=""),"",MAX(0,((J1238-I1238-N(K1238))*1440-N(L1238)*10)/60)))</f>
        <v/>
      </c>
      <c r="O1238" s="73"/>
    </row>
    <row r="1239" customFormat="false" ht="15" hidden="false" customHeight="false" outlineLevel="0" collapsed="false">
      <c r="A1239" s="77"/>
      <c r="B1239" s="73"/>
      <c r="C1239" s="71" t="str">
        <f aca="false">IF(B1239="","",IFERROR(INDEX(マスタ!$F$2:$F$60,MATCH(B1239,マスタ!$E$2:$E$60,0))&amp;"",""))</f>
        <v/>
      </c>
      <c r="D1239" s="73"/>
      <c r="E1239" s="75"/>
      <c r="F1239" s="75"/>
      <c r="G1239" s="75"/>
      <c r="H1239" s="73"/>
      <c r="I1239" s="75"/>
      <c r="J1239" s="75"/>
      <c r="K1239" s="75"/>
      <c r="L1239" s="73"/>
      <c r="M1239" s="78" t="str">
        <f aca="false">IF(OR(E1239="",F1239=""),"",MAX(0,((F1239-E1239-N(G1239))*1440-N(H1239)*10)/60))</f>
        <v/>
      </c>
      <c r="N1239" s="78" t="str">
        <f aca="false">IF($D1239="欠席",0,IF(OR(I1239="",J1239=""),"",MAX(0,((J1239-I1239-N(K1239))*1440-N(L1239)*10)/60)))</f>
        <v/>
      </c>
      <c r="O1239" s="73"/>
    </row>
    <row r="1240" customFormat="false" ht="15" hidden="false" customHeight="false" outlineLevel="0" collapsed="false">
      <c r="A1240" s="77"/>
      <c r="B1240" s="73"/>
      <c r="C1240" s="71" t="str">
        <f aca="false">IF(B1240="","",IFERROR(INDEX(マスタ!$F$2:$F$60,MATCH(B1240,マスタ!$E$2:$E$60,0))&amp;"",""))</f>
        <v/>
      </c>
      <c r="D1240" s="73"/>
      <c r="E1240" s="75"/>
      <c r="F1240" s="75"/>
      <c r="G1240" s="75"/>
      <c r="H1240" s="73"/>
      <c r="I1240" s="75"/>
      <c r="J1240" s="75"/>
      <c r="K1240" s="75"/>
      <c r="L1240" s="73"/>
      <c r="M1240" s="78" t="str">
        <f aca="false">IF(OR(E1240="",F1240=""),"",MAX(0,((F1240-E1240-N(G1240))*1440-N(H1240)*10)/60))</f>
        <v/>
      </c>
      <c r="N1240" s="78" t="str">
        <f aca="false">IF($D1240="欠席",0,IF(OR(I1240="",J1240=""),"",MAX(0,((J1240-I1240-N(K1240))*1440-N(L1240)*10)/60)))</f>
        <v/>
      </c>
      <c r="O1240" s="73"/>
    </row>
    <row r="1241" customFormat="false" ht="15" hidden="false" customHeight="false" outlineLevel="0" collapsed="false">
      <c r="A1241" s="77"/>
      <c r="B1241" s="73"/>
      <c r="C1241" s="71" t="str">
        <f aca="false">IF(B1241="","",IFERROR(INDEX(マスタ!$F$2:$F$60,MATCH(B1241,マスタ!$E$2:$E$60,0))&amp;"",""))</f>
        <v/>
      </c>
      <c r="D1241" s="73"/>
      <c r="E1241" s="75"/>
      <c r="F1241" s="75"/>
      <c r="G1241" s="75"/>
      <c r="H1241" s="73"/>
      <c r="I1241" s="75"/>
      <c r="J1241" s="75"/>
      <c r="K1241" s="75"/>
      <c r="L1241" s="73"/>
      <c r="M1241" s="78" t="str">
        <f aca="false">IF(OR(E1241="",F1241=""),"",MAX(0,((F1241-E1241-N(G1241))*1440-N(H1241)*10)/60))</f>
        <v/>
      </c>
      <c r="N1241" s="78" t="str">
        <f aca="false">IF($D1241="欠席",0,IF(OR(I1241="",J1241=""),"",MAX(0,((J1241-I1241-N(K1241))*1440-N(L1241)*10)/60)))</f>
        <v/>
      </c>
      <c r="O1241" s="73"/>
    </row>
    <row r="1242" customFormat="false" ht="15" hidden="false" customHeight="false" outlineLevel="0" collapsed="false">
      <c r="A1242" s="77"/>
      <c r="B1242" s="73"/>
      <c r="C1242" s="71" t="str">
        <f aca="false">IF(B1242="","",IFERROR(INDEX(マスタ!$F$2:$F$60,MATCH(B1242,マスタ!$E$2:$E$60,0))&amp;"",""))</f>
        <v/>
      </c>
      <c r="D1242" s="73"/>
      <c r="E1242" s="75"/>
      <c r="F1242" s="75"/>
      <c r="G1242" s="75"/>
      <c r="H1242" s="73"/>
      <c r="I1242" s="75"/>
      <c r="J1242" s="75"/>
      <c r="K1242" s="75"/>
      <c r="L1242" s="73"/>
      <c r="M1242" s="78" t="str">
        <f aca="false">IF(OR(E1242="",F1242=""),"",MAX(0,((F1242-E1242-N(G1242))*1440-N(H1242)*10)/60))</f>
        <v/>
      </c>
      <c r="N1242" s="78" t="str">
        <f aca="false">IF($D1242="欠席",0,IF(OR(I1242="",J1242=""),"",MAX(0,((J1242-I1242-N(K1242))*1440-N(L1242)*10)/60)))</f>
        <v/>
      </c>
      <c r="O1242" s="73"/>
    </row>
    <row r="1243" customFormat="false" ht="15" hidden="false" customHeight="false" outlineLevel="0" collapsed="false">
      <c r="A1243" s="77"/>
      <c r="B1243" s="73"/>
      <c r="C1243" s="71" t="str">
        <f aca="false">IF(B1243="","",IFERROR(INDEX(マスタ!$F$2:$F$60,MATCH(B1243,マスタ!$E$2:$E$60,0))&amp;"",""))</f>
        <v/>
      </c>
      <c r="D1243" s="73"/>
      <c r="E1243" s="75"/>
      <c r="F1243" s="75"/>
      <c r="G1243" s="75"/>
      <c r="H1243" s="73"/>
      <c r="I1243" s="75"/>
      <c r="J1243" s="75"/>
      <c r="K1243" s="75"/>
      <c r="L1243" s="73"/>
      <c r="M1243" s="78" t="str">
        <f aca="false">IF(OR(E1243="",F1243=""),"",MAX(0,((F1243-E1243-N(G1243))*1440-N(H1243)*10)/60))</f>
        <v/>
      </c>
      <c r="N1243" s="78" t="str">
        <f aca="false">IF($D1243="欠席",0,IF(OR(I1243="",J1243=""),"",MAX(0,((J1243-I1243-N(K1243))*1440-N(L1243)*10)/60)))</f>
        <v/>
      </c>
      <c r="O1243" s="73"/>
    </row>
    <row r="1244" customFormat="false" ht="15" hidden="false" customHeight="false" outlineLevel="0" collapsed="false">
      <c r="A1244" s="77"/>
      <c r="B1244" s="73"/>
      <c r="C1244" s="71" t="str">
        <f aca="false">IF(B1244="","",IFERROR(INDEX(マスタ!$F$2:$F$60,MATCH(B1244,マスタ!$E$2:$E$60,0))&amp;"",""))</f>
        <v/>
      </c>
      <c r="D1244" s="73"/>
      <c r="E1244" s="75"/>
      <c r="F1244" s="75"/>
      <c r="G1244" s="75"/>
      <c r="H1244" s="73"/>
      <c r="I1244" s="75"/>
      <c r="J1244" s="75"/>
      <c r="K1244" s="75"/>
      <c r="L1244" s="73"/>
      <c r="M1244" s="78" t="str">
        <f aca="false">IF(OR(E1244="",F1244=""),"",MAX(0,((F1244-E1244-N(G1244))*1440-N(H1244)*10)/60))</f>
        <v/>
      </c>
      <c r="N1244" s="78" t="str">
        <f aca="false">IF($D1244="欠席",0,IF(OR(I1244="",J1244=""),"",MAX(0,((J1244-I1244-N(K1244))*1440-N(L1244)*10)/60)))</f>
        <v/>
      </c>
      <c r="O1244" s="73"/>
    </row>
    <row r="1245" customFormat="false" ht="15" hidden="false" customHeight="false" outlineLevel="0" collapsed="false">
      <c r="A1245" s="77"/>
      <c r="B1245" s="73"/>
      <c r="C1245" s="71" t="str">
        <f aca="false">IF(B1245="","",IFERROR(INDEX(マスタ!$F$2:$F$60,MATCH(B1245,マスタ!$E$2:$E$60,0))&amp;"",""))</f>
        <v/>
      </c>
      <c r="D1245" s="73"/>
      <c r="E1245" s="75"/>
      <c r="F1245" s="75"/>
      <c r="G1245" s="75"/>
      <c r="H1245" s="73"/>
      <c r="I1245" s="75"/>
      <c r="J1245" s="75"/>
      <c r="K1245" s="75"/>
      <c r="L1245" s="73"/>
      <c r="M1245" s="78" t="str">
        <f aca="false">IF(OR(E1245="",F1245=""),"",MAX(0,((F1245-E1245-N(G1245))*1440-N(H1245)*10)/60))</f>
        <v/>
      </c>
      <c r="N1245" s="78" t="str">
        <f aca="false">IF($D1245="欠席",0,IF(OR(I1245="",J1245=""),"",MAX(0,((J1245-I1245-N(K1245))*1440-N(L1245)*10)/60)))</f>
        <v/>
      </c>
      <c r="O1245" s="73"/>
    </row>
    <row r="1246" customFormat="false" ht="15" hidden="false" customHeight="false" outlineLevel="0" collapsed="false">
      <c r="A1246" s="77"/>
      <c r="B1246" s="73"/>
      <c r="C1246" s="71" t="str">
        <f aca="false">IF(B1246="","",IFERROR(INDEX(マスタ!$F$2:$F$60,MATCH(B1246,マスタ!$E$2:$E$60,0))&amp;"",""))</f>
        <v/>
      </c>
      <c r="D1246" s="73"/>
      <c r="E1246" s="75"/>
      <c r="F1246" s="75"/>
      <c r="G1246" s="75"/>
      <c r="H1246" s="73"/>
      <c r="I1246" s="75"/>
      <c r="J1246" s="75"/>
      <c r="K1246" s="75"/>
      <c r="L1246" s="73"/>
      <c r="M1246" s="78" t="str">
        <f aca="false">IF(OR(E1246="",F1246=""),"",MAX(0,((F1246-E1246-N(G1246))*1440-N(H1246)*10)/60))</f>
        <v/>
      </c>
      <c r="N1246" s="78" t="str">
        <f aca="false">IF($D1246="欠席",0,IF(OR(I1246="",J1246=""),"",MAX(0,((J1246-I1246-N(K1246))*1440-N(L1246)*10)/60)))</f>
        <v/>
      </c>
      <c r="O1246" s="73"/>
    </row>
    <row r="1247" customFormat="false" ht="15" hidden="false" customHeight="false" outlineLevel="0" collapsed="false">
      <c r="A1247" s="77"/>
      <c r="B1247" s="73"/>
      <c r="C1247" s="71" t="str">
        <f aca="false">IF(B1247="","",IFERROR(INDEX(マスタ!$F$2:$F$60,MATCH(B1247,マスタ!$E$2:$E$60,0))&amp;"",""))</f>
        <v/>
      </c>
      <c r="D1247" s="73"/>
      <c r="E1247" s="75"/>
      <c r="F1247" s="75"/>
      <c r="G1247" s="75"/>
      <c r="H1247" s="73"/>
      <c r="I1247" s="75"/>
      <c r="J1247" s="75"/>
      <c r="K1247" s="75"/>
      <c r="L1247" s="73"/>
      <c r="M1247" s="78" t="str">
        <f aca="false">IF(OR(E1247="",F1247=""),"",MAX(0,((F1247-E1247-N(G1247))*1440-N(H1247)*10)/60))</f>
        <v/>
      </c>
      <c r="N1247" s="78" t="str">
        <f aca="false">IF($D1247="欠席",0,IF(OR(I1247="",J1247=""),"",MAX(0,((J1247-I1247-N(K1247))*1440-N(L1247)*10)/60)))</f>
        <v/>
      </c>
      <c r="O1247" s="73"/>
    </row>
    <row r="1248" customFormat="false" ht="15" hidden="false" customHeight="false" outlineLevel="0" collapsed="false">
      <c r="A1248" s="77"/>
      <c r="B1248" s="73"/>
      <c r="C1248" s="71" t="str">
        <f aca="false">IF(B1248="","",IFERROR(INDEX(マスタ!$F$2:$F$60,MATCH(B1248,マスタ!$E$2:$E$60,0))&amp;"",""))</f>
        <v/>
      </c>
      <c r="D1248" s="73"/>
      <c r="E1248" s="75"/>
      <c r="F1248" s="75"/>
      <c r="G1248" s="75"/>
      <c r="H1248" s="73"/>
      <c r="I1248" s="75"/>
      <c r="J1248" s="75"/>
      <c r="K1248" s="75"/>
      <c r="L1248" s="73"/>
      <c r="M1248" s="78" t="str">
        <f aca="false">IF(OR(E1248="",F1248=""),"",MAX(0,((F1248-E1248-N(G1248))*1440-N(H1248)*10)/60))</f>
        <v/>
      </c>
      <c r="N1248" s="78" t="str">
        <f aca="false">IF($D1248="欠席",0,IF(OR(I1248="",J1248=""),"",MAX(0,((J1248-I1248-N(K1248))*1440-N(L1248)*10)/60)))</f>
        <v/>
      </c>
      <c r="O1248" s="73"/>
    </row>
    <row r="1249" customFormat="false" ht="15" hidden="false" customHeight="false" outlineLevel="0" collapsed="false">
      <c r="A1249" s="77"/>
      <c r="B1249" s="73"/>
      <c r="C1249" s="71" t="str">
        <f aca="false">IF(B1249="","",IFERROR(INDEX(マスタ!$F$2:$F$60,MATCH(B1249,マスタ!$E$2:$E$60,0))&amp;"",""))</f>
        <v/>
      </c>
      <c r="D1249" s="73"/>
      <c r="E1249" s="75"/>
      <c r="F1249" s="75"/>
      <c r="G1249" s="75"/>
      <c r="H1249" s="73"/>
      <c r="I1249" s="75"/>
      <c r="J1249" s="75"/>
      <c r="K1249" s="75"/>
      <c r="L1249" s="73"/>
      <c r="M1249" s="78" t="str">
        <f aca="false">IF(OR(E1249="",F1249=""),"",MAX(0,((F1249-E1249-N(G1249))*1440-N(H1249)*10)/60))</f>
        <v/>
      </c>
      <c r="N1249" s="78" t="str">
        <f aca="false">IF($D1249="欠席",0,IF(OR(I1249="",J1249=""),"",MAX(0,((J1249-I1249-N(K1249))*1440-N(L1249)*10)/60)))</f>
        <v/>
      </c>
      <c r="O1249" s="73"/>
    </row>
    <row r="1250" customFormat="false" ht="15" hidden="false" customHeight="false" outlineLevel="0" collapsed="false">
      <c r="A1250" s="77"/>
      <c r="B1250" s="73"/>
      <c r="C1250" s="71" t="str">
        <f aca="false">IF(B1250="","",IFERROR(INDEX(マスタ!$F$2:$F$60,MATCH(B1250,マスタ!$E$2:$E$60,0))&amp;"",""))</f>
        <v/>
      </c>
      <c r="D1250" s="73"/>
      <c r="E1250" s="75"/>
      <c r="F1250" s="75"/>
      <c r="G1250" s="75"/>
      <c r="H1250" s="73"/>
      <c r="I1250" s="75"/>
      <c r="J1250" s="75"/>
      <c r="K1250" s="75"/>
      <c r="L1250" s="73"/>
      <c r="M1250" s="78" t="str">
        <f aca="false">IF(OR(E1250="",F1250=""),"",MAX(0,((F1250-E1250-N(G1250))*1440-N(H1250)*10)/60))</f>
        <v/>
      </c>
      <c r="N1250" s="78" t="str">
        <f aca="false">IF($D1250="欠席",0,IF(OR(I1250="",J1250=""),"",MAX(0,((J1250-I1250-N(K1250))*1440-N(L1250)*10)/60)))</f>
        <v/>
      </c>
      <c r="O1250" s="73"/>
    </row>
    <row r="1251" customFormat="false" ht="15" hidden="false" customHeight="false" outlineLevel="0" collapsed="false">
      <c r="A1251" s="77"/>
      <c r="B1251" s="73"/>
      <c r="C1251" s="71" t="str">
        <f aca="false">IF(B1251="","",IFERROR(INDEX(マスタ!$F$2:$F$60,MATCH(B1251,マスタ!$E$2:$E$60,0))&amp;"",""))</f>
        <v/>
      </c>
      <c r="D1251" s="73"/>
      <c r="E1251" s="75"/>
      <c r="F1251" s="75"/>
      <c r="G1251" s="75"/>
      <c r="H1251" s="73"/>
      <c r="I1251" s="75"/>
      <c r="J1251" s="75"/>
      <c r="K1251" s="75"/>
      <c r="L1251" s="73"/>
      <c r="M1251" s="78" t="str">
        <f aca="false">IF(OR(E1251="",F1251=""),"",MAX(0,((F1251-E1251-N(G1251))*1440-N(H1251)*10)/60))</f>
        <v/>
      </c>
      <c r="N1251" s="78" t="str">
        <f aca="false">IF($D1251="欠席",0,IF(OR(I1251="",J1251=""),"",MAX(0,((J1251-I1251-N(K1251))*1440-N(L1251)*10)/60)))</f>
        <v/>
      </c>
      <c r="O1251" s="73"/>
    </row>
    <row r="1252" customFormat="false" ht="15" hidden="false" customHeight="false" outlineLevel="0" collapsed="false">
      <c r="A1252" s="77"/>
      <c r="B1252" s="73"/>
      <c r="C1252" s="71" t="str">
        <f aca="false">IF(B1252="","",IFERROR(INDEX(マスタ!$F$2:$F$60,MATCH(B1252,マスタ!$E$2:$E$60,0))&amp;"",""))</f>
        <v/>
      </c>
      <c r="D1252" s="73"/>
      <c r="E1252" s="75"/>
      <c r="F1252" s="75"/>
      <c r="G1252" s="75"/>
      <c r="H1252" s="73"/>
      <c r="I1252" s="75"/>
      <c r="J1252" s="75"/>
      <c r="K1252" s="75"/>
      <c r="L1252" s="73"/>
      <c r="M1252" s="78" t="str">
        <f aca="false">IF(OR(E1252="",F1252=""),"",MAX(0,((F1252-E1252-N(G1252))*1440-N(H1252)*10)/60))</f>
        <v/>
      </c>
      <c r="N1252" s="78" t="str">
        <f aca="false">IF($D1252="欠席",0,IF(OR(I1252="",J1252=""),"",MAX(0,((J1252-I1252-N(K1252))*1440-N(L1252)*10)/60)))</f>
        <v/>
      </c>
      <c r="O1252" s="73"/>
    </row>
    <row r="1253" customFormat="false" ht="15" hidden="false" customHeight="false" outlineLevel="0" collapsed="false">
      <c r="A1253" s="77"/>
      <c r="B1253" s="73"/>
      <c r="C1253" s="71" t="str">
        <f aca="false">IF(B1253="","",IFERROR(INDEX(マスタ!$F$2:$F$60,MATCH(B1253,マスタ!$E$2:$E$60,0))&amp;"",""))</f>
        <v/>
      </c>
      <c r="D1253" s="73"/>
      <c r="E1253" s="75"/>
      <c r="F1253" s="75"/>
      <c r="G1253" s="75"/>
      <c r="H1253" s="73"/>
      <c r="I1253" s="75"/>
      <c r="J1253" s="75"/>
      <c r="K1253" s="75"/>
      <c r="L1253" s="73"/>
      <c r="M1253" s="78" t="str">
        <f aca="false">IF(OR(E1253="",F1253=""),"",MAX(0,((F1253-E1253-N(G1253))*1440-N(H1253)*10)/60))</f>
        <v/>
      </c>
      <c r="N1253" s="78" t="str">
        <f aca="false">IF($D1253="欠席",0,IF(OR(I1253="",J1253=""),"",MAX(0,((J1253-I1253-N(K1253))*1440-N(L1253)*10)/60)))</f>
        <v/>
      </c>
      <c r="O1253" s="73"/>
    </row>
    <row r="1254" customFormat="false" ht="15" hidden="false" customHeight="false" outlineLevel="0" collapsed="false">
      <c r="A1254" s="77"/>
      <c r="B1254" s="73"/>
      <c r="C1254" s="71" t="str">
        <f aca="false">IF(B1254="","",IFERROR(INDEX(マスタ!$F$2:$F$60,MATCH(B1254,マスタ!$E$2:$E$60,0))&amp;"",""))</f>
        <v/>
      </c>
      <c r="D1254" s="73"/>
      <c r="E1254" s="75"/>
      <c r="F1254" s="75"/>
      <c r="G1254" s="75"/>
      <c r="H1254" s="73"/>
      <c r="I1254" s="75"/>
      <c r="J1254" s="75"/>
      <c r="K1254" s="75"/>
      <c r="L1254" s="73"/>
      <c r="M1254" s="78" t="str">
        <f aca="false">IF(OR(E1254="",F1254=""),"",MAX(0,((F1254-E1254-N(G1254))*1440-N(H1254)*10)/60))</f>
        <v/>
      </c>
      <c r="N1254" s="78" t="str">
        <f aca="false">IF($D1254="欠席",0,IF(OR(I1254="",J1254=""),"",MAX(0,((J1254-I1254-N(K1254))*1440-N(L1254)*10)/60)))</f>
        <v/>
      </c>
      <c r="O1254" s="73"/>
    </row>
    <row r="1255" customFormat="false" ht="15" hidden="false" customHeight="false" outlineLevel="0" collapsed="false">
      <c r="A1255" s="77"/>
      <c r="B1255" s="73"/>
      <c r="C1255" s="71" t="str">
        <f aca="false">IF(B1255="","",IFERROR(INDEX(マスタ!$F$2:$F$60,MATCH(B1255,マスタ!$E$2:$E$60,0))&amp;"",""))</f>
        <v/>
      </c>
      <c r="D1255" s="73"/>
      <c r="E1255" s="75"/>
      <c r="F1255" s="75"/>
      <c r="G1255" s="75"/>
      <c r="H1255" s="73"/>
      <c r="I1255" s="75"/>
      <c r="J1255" s="75"/>
      <c r="K1255" s="75"/>
      <c r="L1255" s="73"/>
      <c r="M1255" s="78" t="str">
        <f aca="false">IF(OR(E1255="",F1255=""),"",MAX(0,((F1255-E1255-N(G1255))*1440-N(H1255)*10)/60))</f>
        <v/>
      </c>
      <c r="N1255" s="78" t="str">
        <f aca="false">IF($D1255="欠席",0,IF(OR(I1255="",J1255=""),"",MAX(0,((J1255-I1255-N(K1255))*1440-N(L1255)*10)/60)))</f>
        <v/>
      </c>
      <c r="O1255" s="73"/>
    </row>
    <row r="1256" customFormat="false" ht="15" hidden="false" customHeight="false" outlineLevel="0" collapsed="false">
      <c r="A1256" s="77"/>
      <c r="B1256" s="73"/>
      <c r="C1256" s="71" t="str">
        <f aca="false">IF(B1256="","",IFERROR(INDEX(マスタ!$F$2:$F$60,MATCH(B1256,マスタ!$E$2:$E$60,0))&amp;"",""))</f>
        <v/>
      </c>
      <c r="D1256" s="73"/>
      <c r="E1256" s="75"/>
      <c r="F1256" s="75"/>
      <c r="G1256" s="75"/>
      <c r="H1256" s="73"/>
      <c r="I1256" s="75"/>
      <c r="J1256" s="75"/>
      <c r="K1256" s="75"/>
      <c r="L1256" s="73"/>
      <c r="M1256" s="78" t="str">
        <f aca="false">IF(OR(E1256="",F1256=""),"",MAX(0,((F1256-E1256-N(G1256))*1440-N(H1256)*10)/60))</f>
        <v/>
      </c>
      <c r="N1256" s="78" t="str">
        <f aca="false">IF($D1256="欠席",0,IF(OR(I1256="",J1256=""),"",MAX(0,((J1256-I1256-N(K1256))*1440-N(L1256)*10)/60)))</f>
        <v/>
      </c>
      <c r="O1256" s="73"/>
    </row>
    <row r="1257" customFormat="false" ht="15" hidden="false" customHeight="false" outlineLevel="0" collapsed="false">
      <c r="A1257" s="77"/>
      <c r="B1257" s="73"/>
      <c r="C1257" s="71" t="str">
        <f aca="false">IF(B1257="","",IFERROR(INDEX(マスタ!$F$2:$F$60,MATCH(B1257,マスタ!$E$2:$E$60,0))&amp;"",""))</f>
        <v/>
      </c>
      <c r="D1257" s="73"/>
      <c r="E1257" s="75"/>
      <c r="F1257" s="75"/>
      <c r="G1257" s="75"/>
      <c r="H1257" s="73"/>
      <c r="I1257" s="75"/>
      <c r="J1257" s="75"/>
      <c r="K1257" s="75"/>
      <c r="L1257" s="73"/>
      <c r="M1257" s="78" t="str">
        <f aca="false">IF(OR(E1257="",F1257=""),"",MAX(0,((F1257-E1257-N(G1257))*1440-N(H1257)*10)/60))</f>
        <v/>
      </c>
      <c r="N1257" s="78" t="str">
        <f aca="false">IF($D1257="欠席",0,IF(OR(I1257="",J1257=""),"",MAX(0,((J1257-I1257-N(K1257))*1440-N(L1257)*10)/60)))</f>
        <v/>
      </c>
      <c r="O1257" s="73"/>
    </row>
    <row r="1258" customFormat="false" ht="15" hidden="false" customHeight="false" outlineLevel="0" collapsed="false">
      <c r="A1258" s="77"/>
      <c r="B1258" s="73"/>
      <c r="C1258" s="71" t="str">
        <f aca="false">IF(B1258="","",IFERROR(INDEX(マスタ!$F$2:$F$60,MATCH(B1258,マスタ!$E$2:$E$60,0))&amp;"",""))</f>
        <v/>
      </c>
      <c r="D1258" s="73"/>
      <c r="E1258" s="75"/>
      <c r="F1258" s="75"/>
      <c r="G1258" s="75"/>
      <c r="H1258" s="73"/>
      <c r="I1258" s="75"/>
      <c r="J1258" s="75"/>
      <c r="K1258" s="75"/>
      <c r="L1258" s="73"/>
      <c r="M1258" s="78" t="str">
        <f aca="false">IF(OR(E1258="",F1258=""),"",MAX(0,((F1258-E1258-N(G1258))*1440-N(H1258)*10)/60))</f>
        <v/>
      </c>
      <c r="N1258" s="78" t="str">
        <f aca="false">IF($D1258="欠席",0,IF(OR(I1258="",J1258=""),"",MAX(0,((J1258-I1258-N(K1258))*1440-N(L1258)*10)/60)))</f>
        <v/>
      </c>
      <c r="O1258" s="73"/>
    </row>
    <row r="1259" customFormat="false" ht="15" hidden="false" customHeight="false" outlineLevel="0" collapsed="false">
      <c r="A1259" s="77"/>
      <c r="B1259" s="73"/>
      <c r="C1259" s="71" t="str">
        <f aca="false">IF(B1259="","",IFERROR(INDEX(マスタ!$F$2:$F$60,MATCH(B1259,マスタ!$E$2:$E$60,0))&amp;"",""))</f>
        <v/>
      </c>
      <c r="D1259" s="73"/>
      <c r="E1259" s="75"/>
      <c r="F1259" s="75"/>
      <c r="G1259" s="75"/>
      <c r="H1259" s="73"/>
      <c r="I1259" s="75"/>
      <c r="J1259" s="75"/>
      <c r="K1259" s="75"/>
      <c r="L1259" s="73"/>
      <c r="M1259" s="78" t="str">
        <f aca="false">IF(OR(E1259="",F1259=""),"",MAX(0,((F1259-E1259-N(G1259))*1440-N(H1259)*10)/60))</f>
        <v/>
      </c>
      <c r="N1259" s="78" t="str">
        <f aca="false">IF($D1259="欠席",0,IF(OR(I1259="",J1259=""),"",MAX(0,((J1259-I1259-N(K1259))*1440-N(L1259)*10)/60)))</f>
        <v/>
      </c>
      <c r="O1259" s="73"/>
    </row>
    <row r="1260" customFormat="false" ht="15" hidden="false" customHeight="false" outlineLevel="0" collapsed="false">
      <c r="A1260" s="77"/>
      <c r="B1260" s="73"/>
      <c r="C1260" s="71" t="str">
        <f aca="false">IF(B1260="","",IFERROR(INDEX(マスタ!$F$2:$F$60,MATCH(B1260,マスタ!$E$2:$E$60,0))&amp;"",""))</f>
        <v/>
      </c>
      <c r="D1260" s="73"/>
      <c r="E1260" s="75"/>
      <c r="F1260" s="75"/>
      <c r="G1260" s="75"/>
      <c r="H1260" s="73"/>
      <c r="I1260" s="75"/>
      <c r="J1260" s="75"/>
      <c r="K1260" s="75"/>
      <c r="L1260" s="73"/>
      <c r="M1260" s="78" t="str">
        <f aca="false">IF(OR(E1260="",F1260=""),"",MAX(0,((F1260-E1260-N(G1260))*1440-N(H1260)*10)/60))</f>
        <v/>
      </c>
      <c r="N1260" s="78" t="str">
        <f aca="false">IF($D1260="欠席",0,IF(OR(I1260="",J1260=""),"",MAX(0,((J1260-I1260-N(K1260))*1440-N(L1260)*10)/60)))</f>
        <v/>
      </c>
      <c r="O1260" s="73"/>
    </row>
    <row r="1261" customFormat="false" ht="15" hidden="false" customHeight="false" outlineLevel="0" collapsed="false">
      <c r="A1261" s="77"/>
      <c r="B1261" s="73"/>
      <c r="C1261" s="71" t="str">
        <f aca="false">IF(B1261="","",IFERROR(INDEX(マスタ!$F$2:$F$60,MATCH(B1261,マスタ!$E$2:$E$60,0))&amp;"",""))</f>
        <v/>
      </c>
      <c r="D1261" s="73"/>
      <c r="E1261" s="75"/>
      <c r="F1261" s="75"/>
      <c r="G1261" s="75"/>
      <c r="H1261" s="73"/>
      <c r="I1261" s="75"/>
      <c r="J1261" s="75"/>
      <c r="K1261" s="75"/>
      <c r="L1261" s="73"/>
      <c r="M1261" s="78" t="str">
        <f aca="false">IF(OR(E1261="",F1261=""),"",MAX(0,((F1261-E1261-N(G1261))*1440-N(H1261)*10)/60))</f>
        <v/>
      </c>
      <c r="N1261" s="78" t="str">
        <f aca="false">IF($D1261="欠席",0,IF(OR(I1261="",J1261=""),"",MAX(0,((J1261-I1261-N(K1261))*1440-N(L1261)*10)/60)))</f>
        <v/>
      </c>
      <c r="O1261" s="73"/>
    </row>
    <row r="1262" customFormat="false" ht="15" hidden="false" customHeight="false" outlineLevel="0" collapsed="false">
      <c r="A1262" s="77"/>
      <c r="B1262" s="73"/>
      <c r="C1262" s="71" t="str">
        <f aca="false">IF(B1262="","",IFERROR(INDEX(マスタ!$F$2:$F$60,MATCH(B1262,マスタ!$E$2:$E$60,0))&amp;"",""))</f>
        <v/>
      </c>
      <c r="D1262" s="73"/>
      <c r="E1262" s="75"/>
      <c r="F1262" s="75"/>
      <c r="G1262" s="75"/>
      <c r="H1262" s="73"/>
      <c r="I1262" s="75"/>
      <c r="J1262" s="75"/>
      <c r="K1262" s="75"/>
      <c r="L1262" s="73"/>
      <c r="M1262" s="78" t="str">
        <f aca="false">IF(OR(E1262="",F1262=""),"",MAX(0,((F1262-E1262-N(G1262))*1440-N(H1262)*10)/60))</f>
        <v/>
      </c>
      <c r="N1262" s="78" t="str">
        <f aca="false">IF($D1262="欠席",0,IF(OR(I1262="",J1262=""),"",MAX(0,((J1262-I1262-N(K1262))*1440-N(L1262)*10)/60)))</f>
        <v/>
      </c>
      <c r="O1262" s="73"/>
    </row>
    <row r="1263" customFormat="false" ht="15" hidden="false" customHeight="false" outlineLevel="0" collapsed="false">
      <c r="A1263" s="77"/>
      <c r="B1263" s="73"/>
      <c r="C1263" s="71" t="str">
        <f aca="false">IF(B1263="","",IFERROR(INDEX(マスタ!$F$2:$F$60,MATCH(B1263,マスタ!$E$2:$E$60,0))&amp;"",""))</f>
        <v/>
      </c>
      <c r="D1263" s="73"/>
      <c r="E1263" s="75"/>
      <c r="F1263" s="75"/>
      <c r="G1263" s="75"/>
      <c r="H1263" s="73"/>
      <c r="I1263" s="75"/>
      <c r="J1263" s="75"/>
      <c r="K1263" s="75"/>
      <c r="L1263" s="73"/>
      <c r="M1263" s="78" t="str">
        <f aca="false">IF(OR(E1263="",F1263=""),"",MAX(0,((F1263-E1263-N(G1263))*1440-N(H1263)*10)/60))</f>
        <v/>
      </c>
      <c r="N1263" s="78" t="str">
        <f aca="false">IF($D1263="欠席",0,IF(OR(I1263="",J1263=""),"",MAX(0,((J1263-I1263-N(K1263))*1440-N(L1263)*10)/60)))</f>
        <v/>
      </c>
      <c r="O1263" s="73"/>
    </row>
    <row r="1264" customFormat="false" ht="15" hidden="false" customHeight="false" outlineLevel="0" collapsed="false">
      <c r="A1264" s="77"/>
      <c r="B1264" s="73"/>
      <c r="C1264" s="71" t="str">
        <f aca="false">IF(B1264="","",IFERROR(INDEX(マスタ!$F$2:$F$60,MATCH(B1264,マスタ!$E$2:$E$60,0))&amp;"",""))</f>
        <v/>
      </c>
      <c r="D1264" s="73"/>
      <c r="E1264" s="75"/>
      <c r="F1264" s="75"/>
      <c r="G1264" s="75"/>
      <c r="H1264" s="73"/>
      <c r="I1264" s="75"/>
      <c r="J1264" s="75"/>
      <c r="K1264" s="75"/>
      <c r="L1264" s="73"/>
      <c r="M1264" s="78" t="str">
        <f aca="false">IF(OR(E1264="",F1264=""),"",MAX(0,((F1264-E1264-N(G1264))*1440-N(H1264)*10)/60))</f>
        <v/>
      </c>
      <c r="N1264" s="78" t="str">
        <f aca="false">IF($D1264="欠席",0,IF(OR(I1264="",J1264=""),"",MAX(0,((J1264-I1264-N(K1264))*1440-N(L1264)*10)/60)))</f>
        <v/>
      </c>
      <c r="O1264" s="73"/>
    </row>
    <row r="1265" customFormat="false" ht="15" hidden="false" customHeight="false" outlineLevel="0" collapsed="false">
      <c r="A1265" s="77"/>
      <c r="B1265" s="73"/>
      <c r="C1265" s="71" t="str">
        <f aca="false">IF(B1265="","",IFERROR(INDEX(マスタ!$F$2:$F$60,MATCH(B1265,マスタ!$E$2:$E$60,0))&amp;"",""))</f>
        <v/>
      </c>
      <c r="D1265" s="73"/>
      <c r="E1265" s="75"/>
      <c r="F1265" s="75"/>
      <c r="G1265" s="75"/>
      <c r="H1265" s="73"/>
      <c r="I1265" s="75"/>
      <c r="J1265" s="75"/>
      <c r="K1265" s="75"/>
      <c r="L1265" s="73"/>
      <c r="M1265" s="78" t="str">
        <f aca="false">IF(OR(E1265="",F1265=""),"",MAX(0,((F1265-E1265-N(G1265))*1440-N(H1265)*10)/60))</f>
        <v/>
      </c>
      <c r="N1265" s="78" t="str">
        <f aca="false">IF($D1265="欠席",0,IF(OR(I1265="",J1265=""),"",MAX(0,((J1265-I1265-N(K1265))*1440-N(L1265)*10)/60)))</f>
        <v/>
      </c>
      <c r="O1265" s="73"/>
    </row>
    <row r="1266" customFormat="false" ht="15" hidden="false" customHeight="false" outlineLevel="0" collapsed="false">
      <c r="A1266" s="77"/>
      <c r="B1266" s="73"/>
      <c r="C1266" s="71" t="str">
        <f aca="false">IF(B1266="","",IFERROR(INDEX(マスタ!$F$2:$F$60,MATCH(B1266,マスタ!$E$2:$E$60,0))&amp;"",""))</f>
        <v/>
      </c>
      <c r="D1266" s="73"/>
      <c r="E1266" s="75"/>
      <c r="F1266" s="75"/>
      <c r="G1266" s="75"/>
      <c r="H1266" s="73"/>
      <c r="I1266" s="75"/>
      <c r="J1266" s="75"/>
      <c r="K1266" s="75"/>
      <c r="L1266" s="73"/>
      <c r="M1266" s="78" t="str">
        <f aca="false">IF(OR(E1266="",F1266=""),"",MAX(0,((F1266-E1266-N(G1266))*1440-N(H1266)*10)/60))</f>
        <v/>
      </c>
      <c r="N1266" s="78" t="str">
        <f aca="false">IF($D1266="欠席",0,IF(OR(I1266="",J1266=""),"",MAX(0,((J1266-I1266-N(K1266))*1440-N(L1266)*10)/60)))</f>
        <v/>
      </c>
      <c r="O1266" s="73"/>
    </row>
    <row r="1267" customFormat="false" ht="15" hidden="false" customHeight="false" outlineLevel="0" collapsed="false">
      <c r="A1267" s="77"/>
      <c r="B1267" s="73"/>
      <c r="C1267" s="71" t="str">
        <f aca="false">IF(B1267="","",IFERROR(INDEX(マスタ!$F$2:$F$60,MATCH(B1267,マスタ!$E$2:$E$60,0))&amp;"",""))</f>
        <v/>
      </c>
      <c r="D1267" s="73"/>
      <c r="E1267" s="75"/>
      <c r="F1267" s="75"/>
      <c r="G1267" s="75"/>
      <c r="H1267" s="73"/>
      <c r="I1267" s="75"/>
      <c r="J1267" s="75"/>
      <c r="K1267" s="75"/>
      <c r="L1267" s="73"/>
      <c r="M1267" s="78" t="str">
        <f aca="false">IF(OR(E1267="",F1267=""),"",MAX(0,((F1267-E1267-N(G1267))*1440-N(H1267)*10)/60))</f>
        <v/>
      </c>
      <c r="N1267" s="78" t="str">
        <f aca="false">IF($D1267="欠席",0,IF(OR(I1267="",J1267=""),"",MAX(0,((J1267-I1267-N(K1267))*1440-N(L1267)*10)/60)))</f>
        <v/>
      </c>
      <c r="O1267" s="73"/>
    </row>
    <row r="1268" customFormat="false" ht="15" hidden="false" customHeight="false" outlineLevel="0" collapsed="false">
      <c r="A1268" s="77"/>
      <c r="B1268" s="73"/>
      <c r="C1268" s="71" t="str">
        <f aca="false">IF(B1268="","",IFERROR(INDEX(マスタ!$F$2:$F$60,MATCH(B1268,マスタ!$E$2:$E$60,0))&amp;"",""))</f>
        <v/>
      </c>
      <c r="D1268" s="73"/>
      <c r="E1268" s="75"/>
      <c r="F1268" s="75"/>
      <c r="G1268" s="75"/>
      <c r="H1268" s="73"/>
      <c r="I1268" s="75"/>
      <c r="J1268" s="75"/>
      <c r="K1268" s="75"/>
      <c r="L1268" s="73"/>
      <c r="M1268" s="78" t="str">
        <f aca="false">IF(OR(E1268="",F1268=""),"",MAX(0,((F1268-E1268-N(G1268))*1440-N(H1268)*10)/60))</f>
        <v/>
      </c>
      <c r="N1268" s="78" t="str">
        <f aca="false">IF($D1268="欠席",0,IF(OR(I1268="",J1268=""),"",MAX(0,((J1268-I1268-N(K1268))*1440-N(L1268)*10)/60)))</f>
        <v/>
      </c>
      <c r="O1268" s="73"/>
    </row>
    <row r="1269" customFormat="false" ht="15" hidden="false" customHeight="false" outlineLevel="0" collapsed="false">
      <c r="A1269" s="77"/>
      <c r="B1269" s="73"/>
      <c r="C1269" s="71" t="str">
        <f aca="false">IF(B1269="","",IFERROR(INDEX(マスタ!$F$2:$F$60,MATCH(B1269,マスタ!$E$2:$E$60,0))&amp;"",""))</f>
        <v/>
      </c>
      <c r="D1269" s="73"/>
      <c r="E1269" s="75"/>
      <c r="F1269" s="75"/>
      <c r="G1269" s="75"/>
      <c r="H1269" s="73"/>
      <c r="I1269" s="75"/>
      <c r="J1269" s="75"/>
      <c r="K1269" s="75"/>
      <c r="L1269" s="73"/>
      <c r="M1269" s="78" t="str">
        <f aca="false">IF(OR(E1269="",F1269=""),"",MAX(0,((F1269-E1269-N(G1269))*1440-N(H1269)*10)/60))</f>
        <v/>
      </c>
      <c r="N1269" s="78" t="str">
        <f aca="false">IF($D1269="欠席",0,IF(OR(I1269="",J1269=""),"",MAX(0,((J1269-I1269-N(K1269))*1440-N(L1269)*10)/60)))</f>
        <v/>
      </c>
      <c r="O1269" s="73"/>
    </row>
    <row r="1270" customFormat="false" ht="15" hidden="false" customHeight="false" outlineLevel="0" collapsed="false">
      <c r="A1270" s="77"/>
      <c r="B1270" s="73"/>
      <c r="C1270" s="71" t="str">
        <f aca="false">IF(B1270="","",IFERROR(INDEX(マスタ!$F$2:$F$60,MATCH(B1270,マスタ!$E$2:$E$60,0))&amp;"",""))</f>
        <v/>
      </c>
      <c r="D1270" s="73"/>
      <c r="E1270" s="75"/>
      <c r="F1270" s="75"/>
      <c r="G1270" s="75"/>
      <c r="H1270" s="73"/>
      <c r="I1270" s="75"/>
      <c r="J1270" s="75"/>
      <c r="K1270" s="75"/>
      <c r="L1270" s="73"/>
      <c r="M1270" s="78" t="str">
        <f aca="false">IF(OR(E1270="",F1270=""),"",MAX(0,((F1270-E1270-N(G1270))*1440-N(H1270)*10)/60))</f>
        <v/>
      </c>
      <c r="N1270" s="78" t="str">
        <f aca="false">IF($D1270="欠席",0,IF(OR(I1270="",J1270=""),"",MAX(0,((J1270-I1270-N(K1270))*1440-N(L1270)*10)/60)))</f>
        <v/>
      </c>
      <c r="O1270" s="73"/>
    </row>
    <row r="1271" customFormat="false" ht="15" hidden="false" customHeight="false" outlineLevel="0" collapsed="false">
      <c r="A1271" s="77"/>
      <c r="B1271" s="73"/>
      <c r="C1271" s="71" t="str">
        <f aca="false">IF(B1271="","",IFERROR(INDEX(マスタ!$F$2:$F$60,MATCH(B1271,マスタ!$E$2:$E$60,0))&amp;"",""))</f>
        <v/>
      </c>
      <c r="D1271" s="73"/>
      <c r="E1271" s="75"/>
      <c r="F1271" s="75"/>
      <c r="G1271" s="75"/>
      <c r="H1271" s="73"/>
      <c r="I1271" s="75"/>
      <c r="J1271" s="75"/>
      <c r="K1271" s="75"/>
      <c r="L1271" s="73"/>
      <c r="M1271" s="78" t="str">
        <f aca="false">IF(OR(E1271="",F1271=""),"",MAX(0,((F1271-E1271-N(G1271))*1440-N(H1271)*10)/60))</f>
        <v/>
      </c>
      <c r="N1271" s="78" t="str">
        <f aca="false">IF($D1271="欠席",0,IF(OR(I1271="",J1271=""),"",MAX(0,((J1271-I1271-N(K1271))*1440-N(L1271)*10)/60)))</f>
        <v/>
      </c>
      <c r="O1271" s="73"/>
    </row>
    <row r="1272" customFormat="false" ht="15" hidden="false" customHeight="false" outlineLevel="0" collapsed="false">
      <c r="A1272" s="77"/>
      <c r="B1272" s="73"/>
      <c r="C1272" s="71" t="str">
        <f aca="false">IF(B1272="","",IFERROR(INDEX(マスタ!$F$2:$F$60,MATCH(B1272,マスタ!$E$2:$E$60,0))&amp;"",""))</f>
        <v/>
      </c>
      <c r="D1272" s="73"/>
      <c r="E1272" s="75"/>
      <c r="F1272" s="75"/>
      <c r="G1272" s="75"/>
      <c r="H1272" s="73"/>
      <c r="I1272" s="75"/>
      <c r="J1272" s="75"/>
      <c r="K1272" s="75"/>
      <c r="L1272" s="73"/>
      <c r="M1272" s="78" t="str">
        <f aca="false">IF(OR(E1272="",F1272=""),"",MAX(0,((F1272-E1272-N(G1272))*1440-N(H1272)*10)/60))</f>
        <v/>
      </c>
      <c r="N1272" s="78" t="str">
        <f aca="false">IF($D1272="欠席",0,IF(OR(I1272="",J1272=""),"",MAX(0,((J1272-I1272-N(K1272))*1440-N(L1272)*10)/60)))</f>
        <v/>
      </c>
      <c r="O1272" s="73"/>
    </row>
    <row r="1273" customFormat="false" ht="15" hidden="false" customHeight="false" outlineLevel="0" collapsed="false">
      <c r="A1273" s="77"/>
      <c r="B1273" s="73"/>
      <c r="C1273" s="71" t="str">
        <f aca="false">IF(B1273="","",IFERROR(INDEX(マスタ!$F$2:$F$60,MATCH(B1273,マスタ!$E$2:$E$60,0))&amp;"",""))</f>
        <v/>
      </c>
      <c r="D1273" s="73"/>
      <c r="E1273" s="75"/>
      <c r="F1273" s="75"/>
      <c r="G1273" s="75"/>
      <c r="H1273" s="73"/>
      <c r="I1273" s="75"/>
      <c r="J1273" s="75"/>
      <c r="K1273" s="75"/>
      <c r="L1273" s="73"/>
      <c r="M1273" s="78" t="str">
        <f aca="false">IF(OR(E1273="",F1273=""),"",MAX(0,((F1273-E1273-N(G1273))*1440-N(H1273)*10)/60))</f>
        <v/>
      </c>
      <c r="N1273" s="78" t="str">
        <f aca="false">IF($D1273="欠席",0,IF(OR(I1273="",J1273=""),"",MAX(0,((J1273-I1273-N(K1273))*1440-N(L1273)*10)/60)))</f>
        <v/>
      </c>
      <c r="O1273" s="73"/>
    </row>
    <row r="1274" customFormat="false" ht="15" hidden="false" customHeight="false" outlineLevel="0" collapsed="false">
      <c r="A1274" s="77"/>
      <c r="B1274" s="73"/>
      <c r="C1274" s="71" t="str">
        <f aca="false">IF(B1274="","",IFERROR(INDEX(マスタ!$F$2:$F$60,MATCH(B1274,マスタ!$E$2:$E$60,0))&amp;"",""))</f>
        <v/>
      </c>
      <c r="D1274" s="73"/>
      <c r="E1274" s="75"/>
      <c r="F1274" s="75"/>
      <c r="G1274" s="75"/>
      <c r="H1274" s="73"/>
      <c r="I1274" s="75"/>
      <c r="J1274" s="75"/>
      <c r="K1274" s="75"/>
      <c r="L1274" s="73"/>
      <c r="M1274" s="78" t="str">
        <f aca="false">IF(OR(E1274="",F1274=""),"",MAX(0,((F1274-E1274-N(G1274))*1440-N(H1274)*10)/60))</f>
        <v/>
      </c>
      <c r="N1274" s="78" t="str">
        <f aca="false">IF($D1274="欠席",0,IF(OR(I1274="",J1274=""),"",MAX(0,((J1274-I1274-N(K1274))*1440-N(L1274)*10)/60)))</f>
        <v/>
      </c>
      <c r="O1274" s="73"/>
    </row>
    <row r="1275" customFormat="false" ht="15" hidden="false" customHeight="false" outlineLevel="0" collapsed="false">
      <c r="A1275" s="77"/>
      <c r="B1275" s="73"/>
      <c r="C1275" s="71" t="str">
        <f aca="false">IF(B1275="","",IFERROR(INDEX(マスタ!$F$2:$F$60,MATCH(B1275,マスタ!$E$2:$E$60,0))&amp;"",""))</f>
        <v/>
      </c>
      <c r="D1275" s="73"/>
      <c r="E1275" s="75"/>
      <c r="F1275" s="75"/>
      <c r="G1275" s="75"/>
      <c r="H1275" s="73"/>
      <c r="I1275" s="75"/>
      <c r="J1275" s="75"/>
      <c r="K1275" s="75"/>
      <c r="L1275" s="73"/>
      <c r="M1275" s="78" t="str">
        <f aca="false">IF(OR(E1275="",F1275=""),"",MAX(0,((F1275-E1275-N(G1275))*1440-N(H1275)*10)/60))</f>
        <v/>
      </c>
      <c r="N1275" s="78" t="str">
        <f aca="false">IF($D1275="欠席",0,IF(OR(I1275="",J1275=""),"",MAX(0,((J1275-I1275-N(K1275))*1440-N(L1275)*10)/60)))</f>
        <v/>
      </c>
      <c r="O1275" s="73"/>
    </row>
    <row r="1276" customFormat="false" ht="15" hidden="false" customHeight="false" outlineLevel="0" collapsed="false">
      <c r="A1276" s="77"/>
      <c r="B1276" s="73"/>
      <c r="C1276" s="71" t="str">
        <f aca="false">IF(B1276="","",IFERROR(INDEX(マスタ!$F$2:$F$60,MATCH(B1276,マスタ!$E$2:$E$60,0))&amp;"",""))</f>
        <v/>
      </c>
      <c r="D1276" s="73"/>
      <c r="E1276" s="75"/>
      <c r="F1276" s="75"/>
      <c r="G1276" s="75"/>
      <c r="H1276" s="73"/>
      <c r="I1276" s="75"/>
      <c r="J1276" s="75"/>
      <c r="K1276" s="75"/>
      <c r="L1276" s="73"/>
      <c r="M1276" s="78" t="str">
        <f aca="false">IF(OR(E1276="",F1276=""),"",MAX(0,((F1276-E1276-N(G1276))*1440-N(H1276)*10)/60))</f>
        <v/>
      </c>
      <c r="N1276" s="78" t="str">
        <f aca="false">IF($D1276="欠席",0,IF(OR(I1276="",J1276=""),"",MAX(0,((J1276-I1276-N(K1276))*1440-N(L1276)*10)/60)))</f>
        <v/>
      </c>
      <c r="O1276" s="73"/>
    </row>
    <row r="1277" customFormat="false" ht="15" hidden="false" customHeight="false" outlineLevel="0" collapsed="false">
      <c r="A1277" s="77"/>
      <c r="B1277" s="73"/>
      <c r="C1277" s="71" t="str">
        <f aca="false">IF(B1277="","",IFERROR(INDEX(マスタ!$F$2:$F$60,MATCH(B1277,マスタ!$E$2:$E$60,0))&amp;"",""))</f>
        <v/>
      </c>
      <c r="D1277" s="73"/>
      <c r="E1277" s="75"/>
      <c r="F1277" s="75"/>
      <c r="G1277" s="75"/>
      <c r="H1277" s="73"/>
      <c r="I1277" s="75"/>
      <c r="J1277" s="75"/>
      <c r="K1277" s="75"/>
      <c r="L1277" s="73"/>
      <c r="M1277" s="78" t="str">
        <f aca="false">IF(OR(E1277="",F1277=""),"",MAX(0,((F1277-E1277-N(G1277))*1440-N(H1277)*10)/60))</f>
        <v/>
      </c>
      <c r="N1277" s="78" t="str">
        <f aca="false">IF($D1277="欠席",0,IF(OR(I1277="",J1277=""),"",MAX(0,((J1277-I1277-N(K1277))*1440-N(L1277)*10)/60)))</f>
        <v/>
      </c>
      <c r="O1277" s="73"/>
    </row>
    <row r="1278" customFormat="false" ht="15" hidden="false" customHeight="false" outlineLevel="0" collapsed="false">
      <c r="A1278" s="77"/>
      <c r="B1278" s="73"/>
      <c r="C1278" s="71" t="str">
        <f aca="false">IF(B1278="","",IFERROR(INDEX(マスタ!$F$2:$F$60,MATCH(B1278,マスタ!$E$2:$E$60,0))&amp;"",""))</f>
        <v/>
      </c>
      <c r="D1278" s="73"/>
      <c r="E1278" s="75"/>
      <c r="F1278" s="75"/>
      <c r="G1278" s="75"/>
      <c r="H1278" s="73"/>
      <c r="I1278" s="75"/>
      <c r="J1278" s="75"/>
      <c r="K1278" s="75"/>
      <c r="L1278" s="73"/>
      <c r="M1278" s="78" t="str">
        <f aca="false">IF(OR(E1278="",F1278=""),"",MAX(0,((F1278-E1278-N(G1278))*1440-N(H1278)*10)/60))</f>
        <v/>
      </c>
      <c r="N1278" s="78" t="str">
        <f aca="false">IF($D1278="欠席",0,IF(OR(I1278="",J1278=""),"",MAX(0,((J1278-I1278-N(K1278))*1440-N(L1278)*10)/60)))</f>
        <v/>
      </c>
      <c r="O1278" s="73"/>
    </row>
    <row r="1279" customFormat="false" ht="15" hidden="false" customHeight="false" outlineLevel="0" collapsed="false">
      <c r="A1279" s="77"/>
      <c r="B1279" s="73"/>
      <c r="C1279" s="71" t="str">
        <f aca="false">IF(B1279="","",IFERROR(INDEX(マスタ!$F$2:$F$60,MATCH(B1279,マスタ!$E$2:$E$60,0))&amp;"",""))</f>
        <v/>
      </c>
      <c r="D1279" s="73"/>
      <c r="E1279" s="75"/>
      <c r="F1279" s="75"/>
      <c r="G1279" s="75"/>
      <c r="H1279" s="73"/>
      <c r="I1279" s="75"/>
      <c r="J1279" s="75"/>
      <c r="K1279" s="75"/>
      <c r="L1279" s="73"/>
      <c r="M1279" s="78" t="str">
        <f aca="false">IF(OR(E1279="",F1279=""),"",MAX(0,((F1279-E1279-N(G1279))*1440-N(H1279)*10)/60))</f>
        <v/>
      </c>
      <c r="N1279" s="78" t="str">
        <f aca="false">IF($D1279="欠席",0,IF(OR(I1279="",J1279=""),"",MAX(0,((J1279-I1279-N(K1279))*1440-N(L1279)*10)/60)))</f>
        <v/>
      </c>
      <c r="O1279" s="73"/>
    </row>
    <row r="1280" customFormat="false" ht="15" hidden="false" customHeight="false" outlineLevel="0" collapsed="false">
      <c r="A1280" s="77"/>
      <c r="B1280" s="73"/>
      <c r="C1280" s="71" t="str">
        <f aca="false">IF(B1280="","",IFERROR(INDEX(マスタ!$F$2:$F$60,MATCH(B1280,マスタ!$E$2:$E$60,0))&amp;"",""))</f>
        <v/>
      </c>
      <c r="D1280" s="73"/>
      <c r="E1280" s="75"/>
      <c r="F1280" s="75"/>
      <c r="G1280" s="75"/>
      <c r="H1280" s="73"/>
      <c r="I1280" s="75"/>
      <c r="J1280" s="75"/>
      <c r="K1280" s="75"/>
      <c r="L1280" s="73"/>
      <c r="M1280" s="78" t="str">
        <f aca="false">IF(OR(E1280="",F1280=""),"",MAX(0,((F1280-E1280-N(G1280))*1440-N(H1280)*10)/60))</f>
        <v/>
      </c>
      <c r="N1280" s="78" t="str">
        <f aca="false">IF($D1280="欠席",0,IF(OR(I1280="",J1280=""),"",MAX(0,((J1280-I1280-N(K1280))*1440-N(L1280)*10)/60)))</f>
        <v/>
      </c>
      <c r="O1280" s="73"/>
    </row>
    <row r="1281" customFormat="false" ht="15" hidden="false" customHeight="false" outlineLevel="0" collapsed="false">
      <c r="A1281" s="77"/>
      <c r="B1281" s="73"/>
      <c r="C1281" s="71" t="str">
        <f aca="false">IF(B1281="","",IFERROR(INDEX(マスタ!$F$2:$F$60,MATCH(B1281,マスタ!$E$2:$E$60,0))&amp;"",""))</f>
        <v/>
      </c>
      <c r="D1281" s="73"/>
      <c r="E1281" s="75"/>
      <c r="F1281" s="75"/>
      <c r="G1281" s="75"/>
      <c r="H1281" s="73"/>
      <c r="I1281" s="75"/>
      <c r="J1281" s="75"/>
      <c r="K1281" s="75"/>
      <c r="L1281" s="73"/>
      <c r="M1281" s="78" t="str">
        <f aca="false">IF(OR(E1281="",F1281=""),"",MAX(0,((F1281-E1281-N(G1281))*1440-N(H1281)*10)/60))</f>
        <v/>
      </c>
      <c r="N1281" s="78" t="str">
        <f aca="false">IF($D1281="欠席",0,IF(OR(I1281="",J1281=""),"",MAX(0,((J1281-I1281-N(K1281))*1440-N(L1281)*10)/60)))</f>
        <v/>
      </c>
      <c r="O1281" s="73"/>
    </row>
    <row r="1282" customFormat="false" ht="15" hidden="false" customHeight="false" outlineLevel="0" collapsed="false">
      <c r="A1282" s="77"/>
      <c r="B1282" s="73"/>
      <c r="C1282" s="71" t="str">
        <f aca="false">IF(B1282="","",IFERROR(INDEX(マスタ!$F$2:$F$60,MATCH(B1282,マスタ!$E$2:$E$60,0))&amp;"",""))</f>
        <v/>
      </c>
      <c r="D1282" s="73"/>
      <c r="E1282" s="75"/>
      <c r="F1282" s="75"/>
      <c r="G1282" s="75"/>
      <c r="H1282" s="73"/>
      <c r="I1282" s="75"/>
      <c r="J1282" s="75"/>
      <c r="K1282" s="75"/>
      <c r="L1282" s="73"/>
      <c r="M1282" s="78" t="str">
        <f aca="false">IF(OR(E1282="",F1282=""),"",MAX(0,((F1282-E1282-N(G1282))*1440-N(H1282)*10)/60))</f>
        <v/>
      </c>
      <c r="N1282" s="78" t="str">
        <f aca="false">IF($D1282="欠席",0,IF(OR(I1282="",J1282=""),"",MAX(0,((J1282-I1282-N(K1282))*1440-N(L1282)*10)/60)))</f>
        <v/>
      </c>
      <c r="O1282" s="73"/>
    </row>
    <row r="1283" customFormat="false" ht="15" hidden="false" customHeight="false" outlineLevel="0" collapsed="false">
      <c r="A1283" s="77"/>
      <c r="B1283" s="73"/>
      <c r="C1283" s="71" t="str">
        <f aca="false">IF(B1283="","",IFERROR(INDEX(マスタ!$F$2:$F$60,MATCH(B1283,マスタ!$E$2:$E$60,0))&amp;"",""))</f>
        <v/>
      </c>
      <c r="D1283" s="73"/>
      <c r="E1283" s="75"/>
      <c r="F1283" s="75"/>
      <c r="G1283" s="75"/>
      <c r="H1283" s="73"/>
      <c r="I1283" s="75"/>
      <c r="J1283" s="75"/>
      <c r="K1283" s="75"/>
      <c r="L1283" s="73"/>
      <c r="M1283" s="78" t="str">
        <f aca="false">IF(OR(E1283="",F1283=""),"",MAX(0,((F1283-E1283-N(G1283))*1440-N(H1283)*10)/60))</f>
        <v/>
      </c>
      <c r="N1283" s="78" t="str">
        <f aca="false">IF($D1283="欠席",0,IF(OR(I1283="",J1283=""),"",MAX(0,((J1283-I1283-N(K1283))*1440-N(L1283)*10)/60)))</f>
        <v/>
      </c>
      <c r="O1283" s="73"/>
    </row>
    <row r="1284" customFormat="false" ht="15" hidden="false" customHeight="false" outlineLevel="0" collapsed="false">
      <c r="A1284" s="77"/>
      <c r="B1284" s="73"/>
      <c r="C1284" s="71" t="str">
        <f aca="false">IF(B1284="","",IFERROR(INDEX(マスタ!$F$2:$F$60,MATCH(B1284,マスタ!$E$2:$E$60,0))&amp;"",""))</f>
        <v/>
      </c>
      <c r="D1284" s="73"/>
      <c r="E1284" s="75"/>
      <c r="F1284" s="75"/>
      <c r="G1284" s="75"/>
      <c r="H1284" s="73"/>
      <c r="I1284" s="75"/>
      <c r="J1284" s="75"/>
      <c r="K1284" s="75"/>
      <c r="L1284" s="73"/>
      <c r="M1284" s="78" t="str">
        <f aca="false">IF(OR(E1284="",F1284=""),"",MAX(0,((F1284-E1284-N(G1284))*1440-N(H1284)*10)/60))</f>
        <v/>
      </c>
      <c r="N1284" s="78" t="str">
        <f aca="false">IF($D1284="欠席",0,IF(OR(I1284="",J1284=""),"",MAX(0,((J1284-I1284-N(K1284))*1440-N(L1284)*10)/60)))</f>
        <v/>
      </c>
      <c r="O1284" s="73"/>
    </row>
    <row r="1285" customFormat="false" ht="15" hidden="false" customHeight="false" outlineLevel="0" collapsed="false">
      <c r="A1285" s="77"/>
      <c r="B1285" s="73"/>
      <c r="C1285" s="71" t="str">
        <f aca="false">IF(B1285="","",IFERROR(INDEX(マスタ!$F$2:$F$60,MATCH(B1285,マスタ!$E$2:$E$60,0))&amp;"",""))</f>
        <v/>
      </c>
      <c r="D1285" s="73"/>
      <c r="E1285" s="75"/>
      <c r="F1285" s="75"/>
      <c r="G1285" s="75"/>
      <c r="H1285" s="73"/>
      <c r="I1285" s="75"/>
      <c r="J1285" s="75"/>
      <c r="K1285" s="75"/>
      <c r="L1285" s="73"/>
      <c r="M1285" s="78" t="str">
        <f aca="false">IF(OR(E1285="",F1285=""),"",MAX(0,((F1285-E1285-N(G1285))*1440-N(H1285)*10)/60))</f>
        <v/>
      </c>
      <c r="N1285" s="78" t="str">
        <f aca="false">IF($D1285="欠席",0,IF(OR(I1285="",J1285=""),"",MAX(0,((J1285-I1285-N(K1285))*1440-N(L1285)*10)/60)))</f>
        <v/>
      </c>
      <c r="O1285" s="73"/>
    </row>
    <row r="1286" customFormat="false" ht="15" hidden="false" customHeight="false" outlineLevel="0" collapsed="false">
      <c r="A1286" s="77"/>
      <c r="B1286" s="73"/>
      <c r="C1286" s="71" t="str">
        <f aca="false">IF(B1286="","",IFERROR(INDEX(マスタ!$F$2:$F$60,MATCH(B1286,マスタ!$E$2:$E$60,0))&amp;"",""))</f>
        <v/>
      </c>
      <c r="D1286" s="73"/>
      <c r="E1286" s="75"/>
      <c r="F1286" s="75"/>
      <c r="G1286" s="75"/>
      <c r="H1286" s="73"/>
      <c r="I1286" s="75"/>
      <c r="J1286" s="75"/>
      <c r="K1286" s="75"/>
      <c r="L1286" s="73"/>
      <c r="M1286" s="78" t="str">
        <f aca="false">IF(OR(E1286="",F1286=""),"",MAX(0,((F1286-E1286-N(G1286))*1440-N(H1286)*10)/60))</f>
        <v/>
      </c>
      <c r="N1286" s="78" t="str">
        <f aca="false">IF($D1286="欠席",0,IF(OR(I1286="",J1286=""),"",MAX(0,((J1286-I1286-N(K1286))*1440-N(L1286)*10)/60)))</f>
        <v/>
      </c>
      <c r="O1286" s="73"/>
    </row>
    <row r="1287" customFormat="false" ht="15" hidden="false" customHeight="false" outlineLevel="0" collapsed="false">
      <c r="A1287" s="77"/>
      <c r="B1287" s="73"/>
      <c r="C1287" s="71" t="str">
        <f aca="false">IF(B1287="","",IFERROR(INDEX(マスタ!$F$2:$F$60,MATCH(B1287,マスタ!$E$2:$E$60,0))&amp;"",""))</f>
        <v/>
      </c>
      <c r="D1287" s="73"/>
      <c r="E1287" s="75"/>
      <c r="F1287" s="75"/>
      <c r="G1287" s="75"/>
      <c r="H1287" s="73"/>
      <c r="I1287" s="75"/>
      <c r="J1287" s="75"/>
      <c r="K1287" s="75"/>
      <c r="L1287" s="73"/>
      <c r="M1287" s="78" t="str">
        <f aca="false">IF(OR(E1287="",F1287=""),"",MAX(0,((F1287-E1287-N(G1287))*1440-N(H1287)*10)/60))</f>
        <v/>
      </c>
      <c r="N1287" s="78" t="str">
        <f aca="false">IF($D1287="欠席",0,IF(OR(I1287="",J1287=""),"",MAX(0,((J1287-I1287-N(K1287))*1440-N(L1287)*10)/60)))</f>
        <v/>
      </c>
      <c r="O1287" s="73"/>
    </row>
    <row r="1288" customFormat="false" ht="15" hidden="false" customHeight="false" outlineLevel="0" collapsed="false">
      <c r="A1288" s="77"/>
      <c r="B1288" s="73"/>
      <c r="C1288" s="71" t="str">
        <f aca="false">IF(B1288="","",IFERROR(INDEX(マスタ!$F$2:$F$60,MATCH(B1288,マスタ!$E$2:$E$60,0))&amp;"",""))</f>
        <v/>
      </c>
      <c r="D1288" s="73"/>
      <c r="E1288" s="75"/>
      <c r="F1288" s="75"/>
      <c r="G1288" s="75"/>
      <c r="H1288" s="73"/>
      <c r="I1288" s="75"/>
      <c r="J1288" s="75"/>
      <c r="K1288" s="75"/>
      <c r="L1288" s="73"/>
      <c r="M1288" s="78" t="str">
        <f aca="false">IF(OR(E1288="",F1288=""),"",MAX(0,((F1288-E1288-N(G1288))*1440-N(H1288)*10)/60))</f>
        <v/>
      </c>
      <c r="N1288" s="78" t="str">
        <f aca="false">IF($D1288="欠席",0,IF(OR(I1288="",J1288=""),"",MAX(0,((J1288-I1288-N(K1288))*1440-N(L1288)*10)/60)))</f>
        <v/>
      </c>
      <c r="O1288" s="73"/>
    </row>
    <row r="1289" customFormat="false" ht="15" hidden="false" customHeight="false" outlineLevel="0" collapsed="false">
      <c r="A1289" s="77"/>
      <c r="B1289" s="73"/>
      <c r="C1289" s="71" t="str">
        <f aca="false">IF(B1289="","",IFERROR(INDEX(マスタ!$F$2:$F$60,MATCH(B1289,マスタ!$E$2:$E$60,0))&amp;"",""))</f>
        <v/>
      </c>
      <c r="D1289" s="73"/>
      <c r="E1289" s="75"/>
      <c r="F1289" s="75"/>
      <c r="G1289" s="75"/>
      <c r="H1289" s="73"/>
      <c r="I1289" s="75"/>
      <c r="J1289" s="75"/>
      <c r="K1289" s="75"/>
      <c r="L1289" s="73"/>
      <c r="M1289" s="78" t="str">
        <f aca="false">IF(OR(E1289="",F1289=""),"",MAX(0,((F1289-E1289-N(G1289))*1440-N(H1289)*10)/60))</f>
        <v/>
      </c>
      <c r="N1289" s="78" t="str">
        <f aca="false">IF($D1289="欠席",0,IF(OR(I1289="",J1289=""),"",MAX(0,((J1289-I1289-N(K1289))*1440-N(L1289)*10)/60)))</f>
        <v/>
      </c>
      <c r="O1289" s="73"/>
    </row>
    <row r="1290" customFormat="false" ht="15" hidden="false" customHeight="false" outlineLevel="0" collapsed="false">
      <c r="A1290" s="77"/>
      <c r="B1290" s="73"/>
      <c r="C1290" s="71" t="str">
        <f aca="false">IF(B1290="","",IFERROR(INDEX(マスタ!$F$2:$F$60,MATCH(B1290,マスタ!$E$2:$E$60,0))&amp;"",""))</f>
        <v/>
      </c>
      <c r="D1290" s="73"/>
      <c r="E1290" s="75"/>
      <c r="F1290" s="75"/>
      <c r="G1290" s="75"/>
      <c r="H1290" s="73"/>
      <c r="I1290" s="75"/>
      <c r="J1290" s="75"/>
      <c r="K1290" s="75"/>
      <c r="L1290" s="73"/>
      <c r="M1290" s="78" t="str">
        <f aca="false">IF(OR(E1290="",F1290=""),"",MAX(0,((F1290-E1290-N(G1290))*1440-N(H1290)*10)/60))</f>
        <v/>
      </c>
      <c r="N1290" s="78" t="str">
        <f aca="false">IF($D1290="欠席",0,IF(OR(I1290="",J1290=""),"",MAX(0,((J1290-I1290-N(K1290))*1440-N(L1290)*10)/60)))</f>
        <v/>
      </c>
      <c r="O1290" s="73"/>
    </row>
    <row r="1291" customFormat="false" ht="15" hidden="false" customHeight="false" outlineLevel="0" collapsed="false">
      <c r="A1291" s="77"/>
      <c r="B1291" s="73"/>
      <c r="C1291" s="71" t="str">
        <f aca="false">IF(B1291="","",IFERROR(INDEX(マスタ!$F$2:$F$60,MATCH(B1291,マスタ!$E$2:$E$60,0))&amp;"",""))</f>
        <v/>
      </c>
      <c r="D1291" s="73"/>
      <c r="E1291" s="75"/>
      <c r="F1291" s="75"/>
      <c r="G1291" s="75"/>
      <c r="H1291" s="73"/>
      <c r="I1291" s="75"/>
      <c r="J1291" s="75"/>
      <c r="K1291" s="75"/>
      <c r="L1291" s="73"/>
      <c r="M1291" s="78" t="str">
        <f aca="false">IF(OR(E1291="",F1291=""),"",MAX(0,((F1291-E1291-N(G1291))*1440-N(H1291)*10)/60))</f>
        <v/>
      </c>
      <c r="N1291" s="78" t="str">
        <f aca="false">IF($D1291="欠席",0,IF(OR(I1291="",J1291=""),"",MAX(0,((J1291-I1291-N(K1291))*1440-N(L1291)*10)/60)))</f>
        <v/>
      </c>
      <c r="O1291" s="73"/>
    </row>
    <row r="1292" customFormat="false" ht="15" hidden="false" customHeight="false" outlineLevel="0" collapsed="false">
      <c r="A1292" s="77"/>
      <c r="B1292" s="73"/>
      <c r="C1292" s="71" t="str">
        <f aca="false">IF(B1292="","",IFERROR(INDEX(マスタ!$F$2:$F$60,MATCH(B1292,マスタ!$E$2:$E$60,0))&amp;"",""))</f>
        <v/>
      </c>
      <c r="D1292" s="73"/>
      <c r="E1292" s="75"/>
      <c r="F1292" s="75"/>
      <c r="G1292" s="75"/>
      <c r="H1292" s="73"/>
      <c r="I1292" s="75"/>
      <c r="J1292" s="75"/>
      <c r="K1292" s="75"/>
      <c r="L1292" s="73"/>
      <c r="M1292" s="78" t="str">
        <f aca="false">IF(OR(E1292="",F1292=""),"",MAX(0,((F1292-E1292-N(G1292))*1440-N(H1292)*10)/60))</f>
        <v/>
      </c>
      <c r="N1292" s="78" t="str">
        <f aca="false">IF($D1292="欠席",0,IF(OR(I1292="",J1292=""),"",MAX(0,((J1292-I1292-N(K1292))*1440-N(L1292)*10)/60)))</f>
        <v/>
      </c>
      <c r="O1292" s="73"/>
    </row>
    <row r="1293" customFormat="false" ht="15" hidden="false" customHeight="false" outlineLevel="0" collapsed="false">
      <c r="A1293" s="77"/>
      <c r="B1293" s="73"/>
      <c r="C1293" s="71" t="str">
        <f aca="false">IF(B1293="","",IFERROR(INDEX(マスタ!$F$2:$F$60,MATCH(B1293,マスタ!$E$2:$E$60,0))&amp;"",""))</f>
        <v/>
      </c>
      <c r="D1293" s="73"/>
      <c r="E1293" s="75"/>
      <c r="F1293" s="75"/>
      <c r="G1293" s="75"/>
      <c r="H1293" s="73"/>
      <c r="I1293" s="75"/>
      <c r="J1293" s="75"/>
      <c r="K1293" s="75"/>
      <c r="L1293" s="73"/>
      <c r="M1293" s="78" t="str">
        <f aca="false">IF(OR(E1293="",F1293=""),"",MAX(0,((F1293-E1293-N(G1293))*1440-N(H1293)*10)/60))</f>
        <v/>
      </c>
      <c r="N1293" s="78" t="str">
        <f aca="false">IF($D1293="欠席",0,IF(OR(I1293="",J1293=""),"",MAX(0,((J1293-I1293-N(K1293))*1440-N(L1293)*10)/60)))</f>
        <v/>
      </c>
      <c r="O1293" s="73"/>
    </row>
    <row r="1294" customFormat="false" ht="15" hidden="false" customHeight="false" outlineLevel="0" collapsed="false">
      <c r="A1294" s="77"/>
      <c r="B1294" s="73"/>
      <c r="C1294" s="71" t="str">
        <f aca="false">IF(B1294="","",IFERROR(INDEX(マスタ!$F$2:$F$60,MATCH(B1294,マスタ!$E$2:$E$60,0))&amp;"",""))</f>
        <v/>
      </c>
      <c r="D1294" s="73"/>
      <c r="E1294" s="75"/>
      <c r="F1294" s="75"/>
      <c r="G1294" s="75"/>
      <c r="H1294" s="73"/>
      <c r="I1294" s="75"/>
      <c r="J1294" s="75"/>
      <c r="K1294" s="75"/>
      <c r="L1294" s="73"/>
      <c r="M1294" s="78" t="str">
        <f aca="false">IF(OR(E1294="",F1294=""),"",MAX(0,((F1294-E1294-N(G1294))*1440-N(H1294)*10)/60))</f>
        <v/>
      </c>
      <c r="N1294" s="78" t="str">
        <f aca="false">IF($D1294="欠席",0,IF(OR(I1294="",J1294=""),"",MAX(0,((J1294-I1294-N(K1294))*1440-N(L1294)*10)/60)))</f>
        <v/>
      </c>
      <c r="O1294" s="73"/>
    </row>
    <row r="1295" customFormat="false" ht="15" hidden="false" customHeight="false" outlineLevel="0" collapsed="false">
      <c r="A1295" s="77"/>
      <c r="B1295" s="73"/>
      <c r="C1295" s="71" t="str">
        <f aca="false">IF(B1295="","",IFERROR(INDEX(マスタ!$F$2:$F$60,MATCH(B1295,マスタ!$E$2:$E$60,0))&amp;"",""))</f>
        <v/>
      </c>
      <c r="D1295" s="73"/>
      <c r="E1295" s="75"/>
      <c r="F1295" s="75"/>
      <c r="G1295" s="75"/>
      <c r="H1295" s="73"/>
      <c r="I1295" s="75"/>
      <c r="J1295" s="75"/>
      <c r="K1295" s="75"/>
      <c r="L1295" s="73"/>
      <c r="M1295" s="78" t="str">
        <f aca="false">IF(OR(E1295="",F1295=""),"",MAX(0,((F1295-E1295-N(G1295))*1440-N(H1295)*10)/60))</f>
        <v/>
      </c>
      <c r="N1295" s="78" t="str">
        <f aca="false">IF($D1295="欠席",0,IF(OR(I1295="",J1295=""),"",MAX(0,((J1295-I1295-N(K1295))*1440-N(L1295)*10)/60)))</f>
        <v/>
      </c>
      <c r="O1295" s="73"/>
    </row>
    <row r="1296" customFormat="false" ht="15" hidden="false" customHeight="false" outlineLevel="0" collapsed="false">
      <c r="A1296" s="77"/>
      <c r="B1296" s="73"/>
      <c r="C1296" s="71" t="str">
        <f aca="false">IF(B1296="","",IFERROR(INDEX(マスタ!$F$2:$F$60,MATCH(B1296,マスタ!$E$2:$E$60,0))&amp;"",""))</f>
        <v/>
      </c>
      <c r="D1296" s="73"/>
      <c r="E1296" s="75"/>
      <c r="F1296" s="75"/>
      <c r="G1296" s="75"/>
      <c r="H1296" s="73"/>
      <c r="I1296" s="75"/>
      <c r="J1296" s="75"/>
      <c r="K1296" s="75"/>
      <c r="L1296" s="73"/>
      <c r="M1296" s="78" t="str">
        <f aca="false">IF(OR(E1296="",F1296=""),"",MAX(0,((F1296-E1296-N(G1296))*1440-N(H1296)*10)/60))</f>
        <v/>
      </c>
      <c r="N1296" s="78" t="str">
        <f aca="false">IF($D1296="欠席",0,IF(OR(I1296="",J1296=""),"",MAX(0,((J1296-I1296-N(K1296))*1440-N(L1296)*10)/60)))</f>
        <v/>
      </c>
      <c r="O1296" s="73"/>
    </row>
    <row r="1297" customFormat="false" ht="15" hidden="false" customHeight="false" outlineLevel="0" collapsed="false">
      <c r="A1297" s="77"/>
      <c r="B1297" s="73"/>
      <c r="C1297" s="71" t="str">
        <f aca="false">IF(B1297="","",IFERROR(INDEX(マスタ!$F$2:$F$60,MATCH(B1297,マスタ!$E$2:$E$60,0))&amp;"",""))</f>
        <v/>
      </c>
      <c r="D1297" s="73"/>
      <c r="E1297" s="75"/>
      <c r="F1297" s="75"/>
      <c r="G1297" s="75"/>
      <c r="H1297" s="73"/>
      <c r="I1297" s="75"/>
      <c r="J1297" s="75"/>
      <c r="K1297" s="75"/>
      <c r="L1297" s="73"/>
      <c r="M1297" s="78" t="str">
        <f aca="false">IF(OR(E1297="",F1297=""),"",MAX(0,((F1297-E1297-N(G1297))*1440-N(H1297)*10)/60))</f>
        <v/>
      </c>
      <c r="N1297" s="78" t="str">
        <f aca="false">IF($D1297="欠席",0,IF(OR(I1297="",J1297=""),"",MAX(0,((J1297-I1297-N(K1297))*1440-N(L1297)*10)/60)))</f>
        <v/>
      </c>
      <c r="O1297" s="73"/>
    </row>
    <row r="1298" customFormat="false" ht="15" hidden="false" customHeight="false" outlineLevel="0" collapsed="false">
      <c r="A1298" s="77"/>
      <c r="B1298" s="73"/>
      <c r="C1298" s="71" t="str">
        <f aca="false">IF(B1298="","",IFERROR(INDEX(マスタ!$F$2:$F$60,MATCH(B1298,マスタ!$E$2:$E$60,0))&amp;"",""))</f>
        <v/>
      </c>
      <c r="D1298" s="73"/>
      <c r="E1298" s="75"/>
      <c r="F1298" s="75"/>
      <c r="G1298" s="75"/>
      <c r="H1298" s="73"/>
      <c r="I1298" s="75"/>
      <c r="J1298" s="75"/>
      <c r="K1298" s="75"/>
      <c r="L1298" s="73"/>
      <c r="M1298" s="78" t="str">
        <f aca="false">IF(OR(E1298="",F1298=""),"",MAX(0,((F1298-E1298-N(G1298))*1440-N(H1298)*10)/60))</f>
        <v/>
      </c>
      <c r="N1298" s="78" t="str">
        <f aca="false">IF($D1298="欠席",0,IF(OR(I1298="",J1298=""),"",MAX(0,((J1298-I1298-N(K1298))*1440-N(L1298)*10)/60)))</f>
        <v/>
      </c>
      <c r="O1298" s="73"/>
    </row>
    <row r="1299" customFormat="false" ht="15" hidden="false" customHeight="false" outlineLevel="0" collapsed="false">
      <c r="A1299" s="77"/>
      <c r="B1299" s="73"/>
      <c r="C1299" s="71" t="str">
        <f aca="false">IF(B1299="","",IFERROR(INDEX(マスタ!$F$2:$F$60,MATCH(B1299,マスタ!$E$2:$E$60,0))&amp;"",""))</f>
        <v/>
      </c>
      <c r="D1299" s="73"/>
      <c r="E1299" s="75"/>
      <c r="F1299" s="75"/>
      <c r="G1299" s="75"/>
      <c r="H1299" s="73"/>
      <c r="I1299" s="75"/>
      <c r="J1299" s="75"/>
      <c r="K1299" s="75"/>
      <c r="L1299" s="73"/>
      <c r="M1299" s="78" t="str">
        <f aca="false">IF(OR(E1299="",F1299=""),"",MAX(0,((F1299-E1299-N(G1299))*1440-N(H1299)*10)/60))</f>
        <v/>
      </c>
      <c r="N1299" s="78" t="str">
        <f aca="false">IF($D1299="欠席",0,IF(OR(I1299="",J1299=""),"",MAX(0,((J1299-I1299-N(K1299))*1440-N(L1299)*10)/60)))</f>
        <v/>
      </c>
      <c r="O1299" s="73"/>
    </row>
    <row r="1300" customFormat="false" ht="15" hidden="false" customHeight="false" outlineLevel="0" collapsed="false">
      <c r="A1300" s="77"/>
      <c r="B1300" s="73"/>
      <c r="C1300" s="71" t="str">
        <f aca="false">IF(B1300="","",IFERROR(INDEX(マスタ!$F$2:$F$60,MATCH(B1300,マスタ!$E$2:$E$60,0))&amp;"",""))</f>
        <v/>
      </c>
      <c r="D1300" s="73"/>
      <c r="E1300" s="75"/>
      <c r="F1300" s="75"/>
      <c r="G1300" s="75"/>
      <c r="H1300" s="73"/>
      <c r="I1300" s="75"/>
      <c r="J1300" s="75"/>
      <c r="K1300" s="75"/>
      <c r="L1300" s="73"/>
      <c r="M1300" s="78" t="str">
        <f aca="false">IF(OR(E1300="",F1300=""),"",MAX(0,((F1300-E1300-N(G1300))*1440-N(H1300)*10)/60))</f>
        <v/>
      </c>
      <c r="N1300" s="78" t="str">
        <f aca="false">IF($D1300="欠席",0,IF(OR(I1300="",J1300=""),"",MAX(0,((J1300-I1300-N(K1300))*1440-N(L1300)*10)/60)))</f>
        <v/>
      </c>
      <c r="O1300" s="73"/>
    </row>
    <row r="1301" customFormat="false" ht="15" hidden="false" customHeight="false" outlineLevel="0" collapsed="false">
      <c r="A1301" s="77"/>
      <c r="B1301" s="73"/>
      <c r="C1301" s="71" t="str">
        <f aca="false">IF(B1301="","",IFERROR(INDEX(マスタ!$F$2:$F$60,MATCH(B1301,マスタ!$E$2:$E$60,0))&amp;"",""))</f>
        <v/>
      </c>
      <c r="D1301" s="73"/>
      <c r="E1301" s="75"/>
      <c r="F1301" s="75"/>
      <c r="G1301" s="75"/>
      <c r="H1301" s="73"/>
      <c r="I1301" s="75"/>
      <c r="J1301" s="75"/>
      <c r="K1301" s="75"/>
      <c r="L1301" s="73"/>
      <c r="M1301" s="78" t="str">
        <f aca="false">IF(OR(E1301="",F1301=""),"",MAX(0,((F1301-E1301-N(G1301))*1440-N(H1301)*10)/60))</f>
        <v/>
      </c>
      <c r="N1301" s="78" t="str">
        <f aca="false">IF($D1301="欠席",0,IF(OR(I1301="",J1301=""),"",MAX(0,((J1301-I1301-N(K1301))*1440-N(L1301)*10)/60)))</f>
        <v/>
      </c>
      <c r="O1301" s="73"/>
    </row>
    <row r="1302" customFormat="false" ht="15" hidden="false" customHeight="false" outlineLevel="0" collapsed="false">
      <c r="A1302" s="77"/>
      <c r="B1302" s="73"/>
      <c r="C1302" s="71" t="str">
        <f aca="false">IF(B1302="","",IFERROR(INDEX(マスタ!$F$2:$F$60,MATCH(B1302,マスタ!$E$2:$E$60,0))&amp;"",""))</f>
        <v/>
      </c>
      <c r="D1302" s="73"/>
      <c r="E1302" s="75"/>
      <c r="F1302" s="75"/>
      <c r="G1302" s="75"/>
      <c r="H1302" s="73"/>
      <c r="I1302" s="75"/>
      <c r="J1302" s="75"/>
      <c r="K1302" s="75"/>
      <c r="L1302" s="73"/>
      <c r="M1302" s="78" t="str">
        <f aca="false">IF(OR(E1302="",F1302=""),"",MAX(0,((F1302-E1302-N(G1302))*1440-N(H1302)*10)/60))</f>
        <v/>
      </c>
      <c r="N1302" s="78" t="str">
        <f aca="false">IF($D1302="欠席",0,IF(OR(I1302="",J1302=""),"",MAX(0,((J1302-I1302-N(K1302))*1440-N(L1302)*10)/60)))</f>
        <v/>
      </c>
      <c r="O1302" s="73"/>
    </row>
    <row r="1303" customFormat="false" ht="15" hidden="false" customHeight="false" outlineLevel="0" collapsed="false">
      <c r="A1303" s="77"/>
      <c r="B1303" s="73"/>
      <c r="C1303" s="71" t="str">
        <f aca="false">IF(B1303="","",IFERROR(INDEX(マスタ!$F$2:$F$60,MATCH(B1303,マスタ!$E$2:$E$60,0))&amp;"",""))</f>
        <v/>
      </c>
      <c r="D1303" s="73"/>
      <c r="E1303" s="75"/>
      <c r="F1303" s="75"/>
      <c r="G1303" s="75"/>
      <c r="H1303" s="73"/>
      <c r="I1303" s="75"/>
      <c r="J1303" s="75"/>
      <c r="K1303" s="75"/>
      <c r="L1303" s="73"/>
      <c r="M1303" s="78" t="str">
        <f aca="false">IF(OR(E1303="",F1303=""),"",MAX(0,((F1303-E1303-N(G1303))*1440-N(H1303)*10)/60))</f>
        <v/>
      </c>
      <c r="N1303" s="78" t="str">
        <f aca="false">IF($D1303="欠席",0,IF(OR(I1303="",J1303=""),"",MAX(0,((J1303-I1303-N(K1303))*1440-N(L1303)*10)/60)))</f>
        <v/>
      </c>
      <c r="O1303" s="73"/>
    </row>
    <row r="1304" customFormat="false" ht="15" hidden="false" customHeight="false" outlineLevel="0" collapsed="false">
      <c r="A1304" s="77"/>
      <c r="B1304" s="73"/>
      <c r="C1304" s="71" t="str">
        <f aca="false">IF(B1304="","",IFERROR(INDEX(マスタ!$F$2:$F$60,MATCH(B1304,マスタ!$E$2:$E$60,0))&amp;"",""))</f>
        <v/>
      </c>
      <c r="D1304" s="73"/>
      <c r="E1304" s="75"/>
      <c r="F1304" s="75"/>
      <c r="G1304" s="75"/>
      <c r="H1304" s="73"/>
      <c r="I1304" s="75"/>
      <c r="J1304" s="75"/>
      <c r="K1304" s="75"/>
      <c r="L1304" s="73"/>
      <c r="M1304" s="78" t="str">
        <f aca="false">IF(OR(E1304="",F1304=""),"",MAX(0,((F1304-E1304-N(G1304))*1440-N(H1304)*10)/60))</f>
        <v/>
      </c>
      <c r="N1304" s="78" t="str">
        <f aca="false">IF($D1304="欠席",0,IF(OR(I1304="",J1304=""),"",MAX(0,((J1304-I1304-N(K1304))*1440-N(L1304)*10)/60)))</f>
        <v/>
      </c>
      <c r="O1304" s="73"/>
    </row>
    <row r="1305" customFormat="false" ht="15" hidden="false" customHeight="false" outlineLevel="0" collapsed="false">
      <c r="A1305" s="77"/>
      <c r="B1305" s="73"/>
      <c r="C1305" s="71" t="str">
        <f aca="false">IF(B1305="","",IFERROR(INDEX(マスタ!$F$2:$F$60,MATCH(B1305,マスタ!$E$2:$E$60,0))&amp;"",""))</f>
        <v/>
      </c>
      <c r="D1305" s="73"/>
      <c r="E1305" s="75"/>
      <c r="F1305" s="75"/>
      <c r="G1305" s="75"/>
      <c r="H1305" s="73"/>
      <c r="I1305" s="75"/>
      <c r="J1305" s="75"/>
      <c r="K1305" s="75"/>
      <c r="L1305" s="73"/>
      <c r="M1305" s="78" t="str">
        <f aca="false">IF(OR(E1305="",F1305=""),"",MAX(0,((F1305-E1305-N(G1305))*1440-N(H1305)*10)/60))</f>
        <v/>
      </c>
      <c r="N1305" s="78" t="str">
        <f aca="false">IF($D1305="欠席",0,IF(OR(I1305="",J1305=""),"",MAX(0,((J1305-I1305-N(K1305))*1440-N(L1305)*10)/60)))</f>
        <v/>
      </c>
      <c r="O1305" s="73"/>
    </row>
    <row r="1306" customFormat="false" ht="15" hidden="false" customHeight="false" outlineLevel="0" collapsed="false">
      <c r="A1306" s="77"/>
      <c r="B1306" s="73"/>
      <c r="C1306" s="71" t="str">
        <f aca="false">IF(B1306="","",IFERROR(INDEX(マスタ!$F$2:$F$60,MATCH(B1306,マスタ!$E$2:$E$60,0))&amp;"",""))</f>
        <v/>
      </c>
      <c r="D1306" s="73"/>
      <c r="E1306" s="75"/>
      <c r="F1306" s="75"/>
      <c r="G1306" s="75"/>
      <c r="H1306" s="73"/>
      <c r="I1306" s="75"/>
      <c r="J1306" s="75"/>
      <c r="K1306" s="75"/>
      <c r="L1306" s="73"/>
      <c r="M1306" s="78" t="str">
        <f aca="false">IF(OR(E1306="",F1306=""),"",MAX(0,((F1306-E1306-N(G1306))*1440-N(H1306)*10)/60))</f>
        <v/>
      </c>
      <c r="N1306" s="78" t="str">
        <f aca="false">IF($D1306="欠席",0,IF(OR(I1306="",J1306=""),"",MAX(0,((J1306-I1306-N(K1306))*1440-N(L1306)*10)/60)))</f>
        <v/>
      </c>
      <c r="O1306" s="73"/>
    </row>
    <row r="1307" customFormat="false" ht="15" hidden="false" customHeight="false" outlineLevel="0" collapsed="false">
      <c r="A1307" s="77"/>
      <c r="B1307" s="73"/>
      <c r="C1307" s="71" t="str">
        <f aca="false">IF(B1307="","",IFERROR(INDEX(マスタ!$F$2:$F$60,MATCH(B1307,マスタ!$E$2:$E$60,0))&amp;"",""))</f>
        <v/>
      </c>
      <c r="D1307" s="73"/>
      <c r="E1307" s="75"/>
      <c r="F1307" s="75"/>
      <c r="G1307" s="75"/>
      <c r="H1307" s="73"/>
      <c r="I1307" s="75"/>
      <c r="J1307" s="75"/>
      <c r="K1307" s="75"/>
      <c r="L1307" s="73"/>
      <c r="M1307" s="78" t="str">
        <f aca="false">IF(OR(E1307="",F1307=""),"",MAX(0,((F1307-E1307-N(G1307))*1440-N(H1307)*10)/60))</f>
        <v/>
      </c>
      <c r="N1307" s="78" t="str">
        <f aca="false">IF($D1307="欠席",0,IF(OR(I1307="",J1307=""),"",MAX(0,((J1307-I1307-N(K1307))*1440-N(L1307)*10)/60)))</f>
        <v/>
      </c>
      <c r="O1307" s="73"/>
    </row>
    <row r="1308" customFormat="false" ht="15" hidden="false" customHeight="false" outlineLevel="0" collapsed="false">
      <c r="A1308" s="77"/>
      <c r="B1308" s="73"/>
      <c r="C1308" s="71" t="str">
        <f aca="false">IF(B1308="","",IFERROR(INDEX(マスタ!$F$2:$F$60,MATCH(B1308,マスタ!$E$2:$E$60,0))&amp;"",""))</f>
        <v/>
      </c>
      <c r="D1308" s="73"/>
      <c r="E1308" s="75"/>
      <c r="F1308" s="75"/>
      <c r="G1308" s="75"/>
      <c r="H1308" s="73"/>
      <c r="I1308" s="75"/>
      <c r="J1308" s="75"/>
      <c r="K1308" s="75"/>
      <c r="L1308" s="73"/>
      <c r="M1308" s="78" t="str">
        <f aca="false">IF(OR(E1308="",F1308=""),"",MAX(0,((F1308-E1308-N(G1308))*1440-N(H1308)*10)/60))</f>
        <v/>
      </c>
      <c r="N1308" s="78" t="str">
        <f aca="false">IF($D1308="欠席",0,IF(OR(I1308="",J1308=""),"",MAX(0,((J1308-I1308-N(K1308))*1440-N(L1308)*10)/60)))</f>
        <v/>
      </c>
      <c r="O1308" s="73"/>
    </row>
    <row r="1309" customFormat="false" ht="15" hidden="false" customHeight="false" outlineLevel="0" collapsed="false">
      <c r="A1309" s="77"/>
      <c r="B1309" s="73"/>
      <c r="C1309" s="71" t="str">
        <f aca="false">IF(B1309="","",IFERROR(INDEX(マスタ!$F$2:$F$60,MATCH(B1309,マスタ!$E$2:$E$60,0))&amp;"",""))</f>
        <v/>
      </c>
      <c r="D1309" s="73"/>
      <c r="E1309" s="75"/>
      <c r="F1309" s="75"/>
      <c r="G1309" s="75"/>
      <c r="H1309" s="73"/>
      <c r="I1309" s="75"/>
      <c r="J1309" s="75"/>
      <c r="K1309" s="75"/>
      <c r="L1309" s="73"/>
      <c r="M1309" s="78" t="str">
        <f aca="false">IF(OR(E1309="",F1309=""),"",MAX(0,((F1309-E1309-N(G1309))*1440-N(H1309)*10)/60))</f>
        <v/>
      </c>
      <c r="N1309" s="78" t="str">
        <f aca="false">IF($D1309="欠席",0,IF(OR(I1309="",J1309=""),"",MAX(0,((J1309-I1309-N(K1309))*1440-N(L1309)*10)/60)))</f>
        <v/>
      </c>
      <c r="O1309" s="73"/>
    </row>
    <row r="1310" customFormat="false" ht="15" hidden="false" customHeight="false" outlineLevel="0" collapsed="false">
      <c r="A1310" s="77"/>
      <c r="B1310" s="73"/>
      <c r="C1310" s="71" t="str">
        <f aca="false">IF(B1310="","",IFERROR(INDEX(マスタ!$F$2:$F$60,MATCH(B1310,マスタ!$E$2:$E$60,0))&amp;"",""))</f>
        <v/>
      </c>
      <c r="D1310" s="73"/>
      <c r="E1310" s="75"/>
      <c r="F1310" s="75"/>
      <c r="G1310" s="75"/>
      <c r="H1310" s="73"/>
      <c r="I1310" s="75"/>
      <c r="J1310" s="75"/>
      <c r="K1310" s="75"/>
      <c r="L1310" s="73"/>
      <c r="M1310" s="78" t="str">
        <f aca="false">IF(OR(E1310="",F1310=""),"",MAX(0,((F1310-E1310-N(G1310))*1440-N(H1310)*10)/60))</f>
        <v/>
      </c>
      <c r="N1310" s="78" t="str">
        <f aca="false">IF($D1310="欠席",0,IF(OR(I1310="",J1310=""),"",MAX(0,((J1310-I1310-N(K1310))*1440-N(L1310)*10)/60)))</f>
        <v/>
      </c>
      <c r="O1310" s="73"/>
    </row>
    <row r="1311" customFormat="false" ht="15" hidden="false" customHeight="false" outlineLevel="0" collapsed="false">
      <c r="A1311" s="77"/>
      <c r="B1311" s="73"/>
      <c r="C1311" s="71" t="str">
        <f aca="false">IF(B1311="","",IFERROR(INDEX(マスタ!$F$2:$F$60,MATCH(B1311,マスタ!$E$2:$E$60,0))&amp;"",""))</f>
        <v/>
      </c>
      <c r="D1311" s="73"/>
      <c r="E1311" s="75"/>
      <c r="F1311" s="75"/>
      <c r="G1311" s="75"/>
      <c r="H1311" s="73"/>
      <c r="I1311" s="75"/>
      <c r="J1311" s="75"/>
      <c r="K1311" s="75"/>
      <c r="L1311" s="73"/>
      <c r="M1311" s="78" t="str">
        <f aca="false">IF(OR(E1311="",F1311=""),"",MAX(0,((F1311-E1311-N(G1311))*1440-N(H1311)*10)/60))</f>
        <v/>
      </c>
      <c r="N1311" s="78" t="str">
        <f aca="false">IF($D1311="欠席",0,IF(OR(I1311="",J1311=""),"",MAX(0,((J1311-I1311-N(K1311))*1440-N(L1311)*10)/60)))</f>
        <v/>
      </c>
      <c r="O1311" s="73"/>
    </row>
    <row r="1312" customFormat="false" ht="15" hidden="false" customHeight="false" outlineLevel="0" collapsed="false">
      <c r="A1312" s="77"/>
      <c r="B1312" s="73"/>
      <c r="C1312" s="71" t="str">
        <f aca="false">IF(B1312="","",IFERROR(INDEX(マスタ!$F$2:$F$60,MATCH(B1312,マスタ!$E$2:$E$60,0))&amp;"",""))</f>
        <v/>
      </c>
      <c r="D1312" s="73"/>
      <c r="E1312" s="75"/>
      <c r="F1312" s="75"/>
      <c r="G1312" s="75"/>
      <c r="H1312" s="73"/>
      <c r="I1312" s="75"/>
      <c r="J1312" s="75"/>
      <c r="K1312" s="75"/>
      <c r="L1312" s="73"/>
      <c r="M1312" s="78" t="str">
        <f aca="false">IF(OR(E1312="",F1312=""),"",MAX(0,((F1312-E1312-N(G1312))*1440-N(H1312)*10)/60))</f>
        <v/>
      </c>
      <c r="N1312" s="78" t="str">
        <f aca="false">IF($D1312="欠席",0,IF(OR(I1312="",J1312=""),"",MAX(0,((J1312-I1312-N(K1312))*1440-N(L1312)*10)/60)))</f>
        <v/>
      </c>
      <c r="O1312" s="73"/>
    </row>
    <row r="1313" customFormat="false" ht="15" hidden="false" customHeight="false" outlineLevel="0" collapsed="false">
      <c r="A1313" s="77"/>
      <c r="B1313" s="73"/>
      <c r="C1313" s="71" t="str">
        <f aca="false">IF(B1313="","",IFERROR(INDEX(マスタ!$F$2:$F$60,MATCH(B1313,マスタ!$E$2:$E$60,0))&amp;"",""))</f>
        <v/>
      </c>
      <c r="D1313" s="73"/>
      <c r="E1313" s="75"/>
      <c r="F1313" s="75"/>
      <c r="G1313" s="75"/>
      <c r="H1313" s="73"/>
      <c r="I1313" s="75"/>
      <c r="J1313" s="75"/>
      <c r="K1313" s="75"/>
      <c r="L1313" s="73"/>
      <c r="M1313" s="78" t="str">
        <f aca="false">IF(OR(E1313="",F1313=""),"",MAX(0,((F1313-E1313-N(G1313))*1440-N(H1313)*10)/60))</f>
        <v/>
      </c>
      <c r="N1313" s="78" t="str">
        <f aca="false">IF($D1313="欠席",0,IF(OR(I1313="",J1313=""),"",MAX(0,((J1313-I1313-N(K1313))*1440-N(L1313)*10)/60)))</f>
        <v/>
      </c>
      <c r="O1313" s="73"/>
    </row>
    <row r="1314" customFormat="false" ht="15" hidden="false" customHeight="false" outlineLevel="0" collapsed="false">
      <c r="A1314" s="77"/>
      <c r="B1314" s="73"/>
      <c r="C1314" s="71" t="str">
        <f aca="false">IF(B1314="","",IFERROR(INDEX(マスタ!$F$2:$F$60,MATCH(B1314,マスタ!$E$2:$E$60,0))&amp;"",""))</f>
        <v/>
      </c>
      <c r="D1314" s="73"/>
      <c r="E1314" s="75"/>
      <c r="F1314" s="75"/>
      <c r="G1314" s="75"/>
      <c r="H1314" s="73"/>
      <c r="I1314" s="75"/>
      <c r="J1314" s="75"/>
      <c r="K1314" s="75"/>
      <c r="L1314" s="73"/>
      <c r="M1314" s="78" t="str">
        <f aca="false">IF(OR(E1314="",F1314=""),"",MAX(0,((F1314-E1314-N(G1314))*1440-N(H1314)*10)/60))</f>
        <v/>
      </c>
      <c r="N1314" s="78" t="str">
        <f aca="false">IF($D1314="欠席",0,IF(OR(I1314="",J1314=""),"",MAX(0,((J1314-I1314-N(K1314))*1440-N(L1314)*10)/60)))</f>
        <v/>
      </c>
      <c r="O1314" s="73"/>
    </row>
    <row r="1315" customFormat="false" ht="15" hidden="false" customHeight="false" outlineLevel="0" collapsed="false">
      <c r="A1315" s="77"/>
      <c r="B1315" s="73"/>
      <c r="C1315" s="71" t="str">
        <f aca="false">IF(B1315="","",IFERROR(INDEX(マスタ!$F$2:$F$60,MATCH(B1315,マスタ!$E$2:$E$60,0))&amp;"",""))</f>
        <v/>
      </c>
      <c r="D1315" s="73"/>
      <c r="E1315" s="75"/>
      <c r="F1315" s="75"/>
      <c r="G1315" s="75"/>
      <c r="H1315" s="73"/>
      <c r="I1315" s="75"/>
      <c r="J1315" s="75"/>
      <c r="K1315" s="75"/>
      <c r="L1315" s="73"/>
      <c r="M1315" s="78" t="str">
        <f aca="false">IF(OR(E1315="",F1315=""),"",MAX(0,((F1315-E1315-N(G1315))*1440-N(H1315)*10)/60))</f>
        <v/>
      </c>
      <c r="N1315" s="78" t="str">
        <f aca="false">IF($D1315="欠席",0,IF(OR(I1315="",J1315=""),"",MAX(0,((J1315-I1315-N(K1315))*1440-N(L1315)*10)/60)))</f>
        <v/>
      </c>
      <c r="O1315" s="73"/>
    </row>
    <row r="1316" customFormat="false" ht="15" hidden="false" customHeight="false" outlineLevel="0" collapsed="false">
      <c r="A1316" s="77"/>
      <c r="B1316" s="73"/>
      <c r="C1316" s="71" t="str">
        <f aca="false">IF(B1316="","",IFERROR(INDEX(マスタ!$F$2:$F$60,MATCH(B1316,マスタ!$E$2:$E$60,0))&amp;"",""))</f>
        <v/>
      </c>
      <c r="D1316" s="73"/>
      <c r="E1316" s="75"/>
      <c r="F1316" s="75"/>
      <c r="G1316" s="75"/>
      <c r="H1316" s="73"/>
      <c r="I1316" s="75"/>
      <c r="J1316" s="75"/>
      <c r="K1316" s="75"/>
      <c r="L1316" s="73"/>
      <c r="M1316" s="78" t="str">
        <f aca="false">IF(OR(E1316="",F1316=""),"",MAX(0,((F1316-E1316-N(G1316))*1440-N(H1316)*10)/60))</f>
        <v/>
      </c>
      <c r="N1316" s="78" t="str">
        <f aca="false">IF($D1316="欠席",0,IF(OR(I1316="",J1316=""),"",MAX(0,((J1316-I1316-N(K1316))*1440-N(L1316)*10)/60)))</f>
        <v/>
      </c>
      <c r="O1316" s="73"/>
    </row>
    <row r="1317" customFormat="false" ht="15" hidden="false" customHeight="false" outlineLevel="0" collapsed="false">
      <c r="A1317" s="77"/>
      <c r="B1317" s="73"/>
      <c r="C1317" s="71" t="str">
        <f aca="false">IF(B1317="","",IFERROR(INDEX(マスタ!$F$2:$F$60,MATCH(B1317,マスタ!$E$2:$E$60,0))&amp;"",""))</f>
        <v/>
      </c>
      <c r="D1317" s="73"/>
      <c r="E1317" s="75"/>
      <c r="F1317" s="75"/>
      <c r="G1317" s="75"/>
      <c r="H1317" s="73"/>
      <c r="I1317" s="75"/>
      <c r="J1317" s="75"/>
      <c r="K1317" s="75"/>
      <c r="L1317" s="73"/>
      <c r="M1317" s="78" t="str">
        <f aca="false">IF(OR(E1317="",F1317=""),"",MAX(0,((F1317-E1317-N(G1317))*1440-N(H1317)*10)/60))</f>
        <v/>
      </c>
      <c r="N1317" s="78" t="str">
        <f aca="false">IF($D1317="欠席",0,IF(OR(I1317="",J1317=""),"",MAX(0,((J1317-I1317-N(K1317))*1440-N(L1317)*10)/60)))</f>
        <v/>
      </c>
      <c r="O1317" s="73"/>
    </row>
    <row r="1318" customFormat="false" ht="15" hidden="false" customHeight="false" outlineLevel="0" collapsed="false">
      <c r="A1318" s="77"/>
      <c r="B1318" s="73"/>
      <c r="C1318" s="71" t="str">
        <f aca="false">IF(B1318="","",IFERROR(INDEX(マスタ!$F$2:$F$60,MATCH(B1318,マスタ!$E$2:$E$60,0))&amp;"",""))</f>
        <v/>
      </c>
      <c r="D1318" s="73"/>
      <c r="E1318" s="75"/>
      <c r="F1318" s="75"/>
      <c r="G1318" s="75"/>
      <c r="H1318" s="73"/>
      <c r="I1318" s="75"/>
      <c r="J1318" s="75"/>
      <c r="K1318" s="75"/>
      <c r="L1318" s="73"/>
      <c r="M1318" s="78" t="str">
        <f aca="false">IF(OR(E1318="",F1318=""),"",MAX(0,((F1318-E1318-N(G1318))*1440-N(H1318)*10)/60))</f>
        <v/>
      </c>
      <c r="N1318" s="78" t="str">
        <f aca="false">IF($D1318="欠席",0,IF(OR(I1318="",J1318=""),"",MAX(0,((J1318-I1318-N(K1318))*1440-N(L1318)*10)/60)))</f>
        <v/>
      </c>
      <c r="O1318" s="73"/>
    </row>
    <row r="1319" customFormat="false" ht="15" hidden="false" customHeight="false" outlineLevel="0" collapsed="false">
      <c r="A1319" s="77"/>
      <c r="B1319" s="73"/>
      <c r="C1319" s="71" t="str">
        <f aca="false">IF(B1319="","",IFERROR(INDEX(マスタ!$F$2:$F$60,MATCH(B1319,マスタ!$E$2:$E$60,0))&amp;"",""))</f>
        <v/>
      </c>
      <c r="D1319" s="73"/>
      <c r="E1319" s="75"/>
      <c r="F1319" s="75"/>
      <c r="G1319" s="75"/>
      <c r="H1319" s="73"/>
      <c r="I1319" s="75"/>
      <c r="J1319" s="75"/>
      <c r="K1319" s="75"/>
      <c r="L1319" s="73"/>
      <c r="M1319" s="78" t="str">
        <f aca="false">IF(OR(E1319="",F1319=""),"",MAX(0,((F1319-E1319-N(G1319))*1440-N(H1319)*10)/60))</f>
        <v/>
      </c>
      <c r="N1319" s="78" t="str">
        <f aca="false">IF($D1319="欠席",0,IF(OR(I1319="",J1319=""),"",MAX(0,((J1319-I1319-N(K1319))*1440-N(L1319)*10)/60)))</f>
        <v/>
      </c>
      <c r="O1319" s="73"/>
    </row>
    <row r="1320" customFormat="false" ht="15" hidden="false" customHeight="false" outlineLevel="0" collapsed="false">
      <c r="A1320" s="77"/>
      <c r="B1320" s="73"/>
      <c r="C1320" s="71" t="str">
        <f aca="false">IF(B1320="","",IFERROR(INDEX(マスタ!$F$2:$F$60,MATCH(B1320,マスタ!$E$2:$E$60,0))&amp;"",""))</f>
        <v/>
      </c>
      <c r="D1320" s="73"/>
      <c r="E1320" s="75"/>
      <c r="F1320" s="75"/>
      <c r="G1320" s="75"/>
      <c r="H1320" s="73"/>
      <c r="I1320" s="75"/>
      <c r="J1320" s="75"/>
      <c r="K1320" s="75"/>
      <c r="L1320" s="73"/>
      <c r="M1320" s="78" t="str">
        <f aca="false">IF(OR(E1320="",F1320=""),"",MAX(0,((F1320-E1320-N(G1320))*1440-N(H1320)*10)/60))</f>
        <v/>
      </c>
      <c r="N1320" s="78" t="str">
        <f aca="false">IF($D1320="欠席",0,IF(OR(I1320="",J1320=""),"",MAX(0,((J1320-I1320-N(K1320))*1440-N(L1320)*10)/60)))</f>
        <v/>
      </c>
      <c r="O1320" s="73"/>
    </row>
    <row r="1321" customFormat="false" ht="15" hidden="false" customHeight="false" outlineLevel="0" collapsed="false">
      <c r="A1321" s="77"/>
      <c r="B1321" s="73"/>
      <c r="C1321" s="71" t="str">
        <f aca="false">IF(B1321="","",IFERROR(INDEX(マスタ!$F$2:$F$60,MATCH(B1321,マスタ!$E$2:$E$60,0))&amp;"",""))</f>
        <v/>
      </c>
      <c r="D1321" s="73"/>
      <c r="E1321" s="75"/>
      <c r="F1321" s="75"/>
      <c r="G1321" s="75"/>
      <c r="H1321" s="73"/>
      <c r="I1321" s="75"/>
      <c r="J1321" s="75"/>
      <c r="K1321" s="75"/>
      <c r="L1321" s="73"/>
      <c r="M1321" s="78" t="str">
        <f aca="false">IF(OR(E1321="",F1321=""),"",MAX(0,((F1321-E1321-N(G1321))*1440-N(H1321)*10)/60))</f>
        <v/>
      </c>
      <c r="N1321" s="78" t="str">
        <f aca="false">IF($D1321="欠席",0,IF(OR(I1321="",J1321=""),"",MAX(0,((J1321-I1321-N(K1321))*1440-N(L1321)*10)/60)))</f>
        <v/>
      </c>
      <c r="O1321" s="73"/>
    </row>
    <row r="1322" customFormat="false" ht="15" hidden="false" customHeight="false" outlineLevel="0" collapsed="false">
      <c r="A1322" s="77"/>
      <c r="B1322" s="73"/>
      <c r="C1322" s="71" t="str">
        <f aca="false">IF(B1322="","",IFERROR(INDEX(マスタ!$F$2:$F$60,MATCH(B1322,マスタ!$E$2:$E$60,0))&amp;"",""))</f>
        <v/>
      </c>
      <c r="D1322" s="73"/>
      <c r="E1322" s="75"/>
      <c r="F1322" s="75"/>
      <c r="G1322" s="75"/>
      <c r="H1322" s="73"/>
      <c r="I1322" s="75"/>
      <c r="J1322" s="75"/>
      <c r="K1322" s="75"/>
      <c r="L1322" s="73"/>
      <c r="M1322" s="78" t="str">
        <f aca="false">IF(OR(E1322="",F1322=""),"",MAX(0,((F1322-E1322-N(G1322))*1440-N(H1322)*10)/60))</f>
        <v/>
      </c>
      <c r="N1322" s="78" t="str">
        <f aca="false">IF($D1322="欠席",0,IF(OR(I1322="",J1322=""),"",MAX(0,((J1322-I1322-N(K1322))*1440-N(L1322)*10)/60)))</f>
        <v/>
      </c>
      <c r="O1322" s="73"/>
    </row>
    <row r="1323" customFormat="false" ht="15" hidden="false" customHeight="false" outlineLevel="0" collapsed="false">
      <c r="A1323" s="77"/>
      <c r="B1323" s="73"/>
      <c r="C1323" s="71" t="str">
        <f aca="false">IF(B1323="","",IFERROR(INDEX(マスタ!$F$2:$F$60,MATCH(B1323,マスタ!$E$2:$E$60,0))&amp;"",""))</f>
        <v/>
      </c>
      <c r="D1323" s="73"/>
      <c r="E1323" s="75"/>
      <c r="F1323" s="75"/>
      <c r="G1323" s="75"/>
      <c r="H1323" s="73"/>
      <c r="I1323" s="75"/>
      <c r="J1323" s="75"/>
      <c r="K1323" s="75"/>
      <c r="L1323" s="73"/>
      <c r="M1323" s="78" t="str">
        <f aca="false">IF(OR(E1323="",F1323=""),"",MAX(0,((F1323-E1323-N(G1323))*1440-N(H1323)*10)/60))</f>
        <v/>
      </c>
      <c r="N1323" s="78" t="str">
        <f aca="false">IF($D1323="欠席",0,IF(OR(I1323="",J1323=""),"",MAX(0,((J1323-I1323-N(K1323))*1440-N(L1323)*10)/60)))</f>
        <v/>
      </c>
      <c r="O1323" s="73"/>
    </row>
    <row r="1324" customFormat="false" ht="15" hidden="false" customHeight="false" outlineLevel="0" collapsed="false">
      <c r="A1324" s="77"/>
      <c r="B1324" s="73"/>
      <c r="C1324" s="71" t="str">
        <f aca="false">IF(B1324="","",IFERROR(INDEX(マスタ!$F$2:$F$60,MATCH(B1324,マスタ!$E$2:$E$60,0))&amp;"",""))</f>
        <v/>
      </c>
      <c r="D1324" s="73"/>
      <c r="E1324" s="75"/>
      <c r="F1324" s="75"/>
      <c r="G1324" s="75"/>
      <c r="H1324" s="73"/>
      <c r="I1324" s="75"/>
      <c r="J1324" s="75"/>
      <c r="K1324" s="75"/>
      <c r="L1324" s="73"/>
      <c r="M1324" s="78" t="str">
        <f aca="false">IF(OR(E1324="",F1324=""),"",MAX(0,((F1324-E1324-N(G1324))*1440-N(H1324)*10)/60))</f>
        <v/>
      </c>
      <c r="N1324" s="78" t="str">
        <f aca="false">IF($D1324="欠席",0,IF(OR(I1324="",J1324=""),"",MAX(0,((J1324-I1324-N(K1324))*1440-N(L1324)*10)/60)))</f>
        <v/>
      </c>
      <c r="O1324" s="73"/>
    </row>
    <row r="1325" customFormat="false" ht="15" hidden="false" customHeight="false" outlineLevel="0" collapsed="false">
      <c r="A1325" s="77"/>
      <c r="B1325" s="73"/>
      <c r="C1325" s="71" t="str">
        <f aca="false">IF(B1325="","",IFERROR(INDEX(マスタ!$F$2:$F$60,MATCH(B1325,マスタ!$E$2:$E$60,0))&amp;"",""))</f>
        <v/>
      </c>
      <c r="D1325" s="73"/>
      <c r="E1325" s="75"/>
      <c r="F1325" s="75"/>
      <c r="G1325" s="75"/>
      <c r="H1325" s="73"/>
      <c r="I1325" s="75"/>
      <c r="J1325" s="75"/>
      <c r="K1325" s="75"/>
      <c r="L1325" s="73"/>
      <c r="M1325" s="78" t="str">
        <f aca="false">IF(OR(E1325="",F1325=""),"",MAX(0,((F1325-E1325-N(G1325))*1440-N(H1325)*10)/60))</f>
        <v/>
      </c>
      <c r="N1325" s="78" t="str">
        <f aca="false">IF($D1325="欠席",0,IF(OR(I1325="",J1325=""),"",MAX(0,((J1325-I1325-N(K1325))*1440-N(L1325)*10)/60)))</f>
        <v/>
      </c>
      <c r="O1325" s="73"/>
    </row>
    <row r="1326" customFormat="false" ht="15" hidden="false" customHeight="false" outlineLevel="0" collapsed="false">
      <c r="A1326" s="77"/>
      <c r="B1326" s="73"/>
      <c r="C1326" s="71" t="str">
        <f aca="false">IF(B1326="","",IFERROR(INDEX(マスタ!$F$2:$F$60,MATCH(B1326,マスタ!$E$2:$E$60,0))&amp;"",""))</f>
        <v/>
      </c>
      <c r="D1326" s="73"/>
      <c r="E1326" s="75"/>
      <c r="F1326" s="75"/>
      <c r="G1326" s="75"/>
      <c r="H1326" s="73"/>
      <c r="I1326" s="75"/>
      <c r="J1326" s="75"/>
      <c r="K1326" s="75"/>
      <c r="L1326" s="73"/>
      <c r="M1326" s="78" t="str">
        <f aca="false">IF(OR(E1326="",F1326=""),"",MAX(0,((F1326-E1326-N(G1326))*1440-N(H1326)*10)/60))</f>
        <v/>
      </c>
      <c r="N1326" s="78" t="str">
        <f aca="false">IF($D1326="欠席",0,IF(OR(I1326="",J1326=""),"",MAX(0,((J1326-I1326-N(K1326))*1440-N(L1326)*10)/60)))</f>
        <v/>
      </c>
      <c r="O1326" s="73"/>
    </row>
    <row r="1327" customFormat="false" ht="15" hidden="false" customHeight="false" outlineLevel="0" collapsed="false">
      <c r="A1327" s="77"/>
      <c r="B1327" s="73"/>
      <c r="C1327" s="71" t="str">
        <f aca="false">IF(B1327="","",IFERROR(INDEX(マスタ!$F$2:$F$60,MATCH(B1327,マスタ!$E$2:$E$60,0))&amp;"",""))</f>
        <v/>
      </c>
      <c r="D1327" s="73"/>
      <c r="E1327" s="75"/>
      <c r="F1327" s="75"/>
      <c r="G1327" s="75"/>
      <c r="H1327" s="73"/>
      <c r="I1327" s="75"/>
      <c r="J1327" s="75"/>
      <c r="K1327" s="75"/>
      <c r="L1327" s="73"/>
      <c r="M1327" s="78" t="str">
        <f aca="false">IF(OR(E1327="",F1327=""),"",MAX(0,((F1327-E1327-N(G1327))*1440-N(H1327)*10)/60))</f>
        <v/>
      </c>
      <c r="N1327" s="78" t="str">
        <f aca="false">IF($D1327="欠席",0,IF(OR(I1327="",J1327=""),"",MAX(0,((J1327-I1327-N(K1327))*1440-N(L1327)*10)/60)))</f>
        <v/>
      </c>
      <c r="O1327" s="73"/>
    </row>
    <row r="1328" customFormat="false" ht="15" hidden="false" customHeight="false" outlineLevel="0" collapsed="false">
      <c r="A1328" s="77"/>
      <c r="B1328" s="73"/>
      <c r="C1328" s="71" t="str">
        <f aca="false">IF(B1328="","",IFERROR(INDEX(マスタ!$F$2:$F$60,MATCH(B1328,マスタ!$E$2:$E$60,0))&amp;"",""))</f>
        <v/>
      </c>
      <c r="D1328" s="73"/>
      <c r="E1328" s="75"/>
      <c r="F1328" s="75"/>
      <c r="G1328" s="75"/>
      <c r="H1328" s="73"/>
      <c r="I1328" s="75"/>
      <c r="J1328" s="75"/>
      <c r="K1328" s="75"/>
      <c r="L1328" s="73"/>
      <c r="M1328" s="78" t="str">
        <f aca="false">IF(OR(E1328="",F1328=""),"",MAX(0,((F1328-E1328-N(G1328))*1440-N(H1328)*10)/60))</f>
        <v/>
      </c>
      <c r="N1328" s="78" t="str">
        <f aca="false">IF($D1328="欠席",0,IF(OR(I1328="",J1328=""),"",MAX(0,((J1328-I1328-N(K1328))*1440-N(L1328)*10)/60)))</f>
        <v/>
      </c>
      <c r="O1328" s="73"/>
    </row>
    <row r="1329" customFormat="false" ht="15" hidden="false" customHeight="false" outlineLevel="0" collapsed="false">
      <c r="A1329" s="77"/>
      <c r="B1329" s="73"/>
      <c r="C1329" s="71" t="str">
        <f aca="false">IF(B1329="","",IFERROR(INDEX(マスタ!$F$2:$F$60,MATCH(B1329,マスタ!$E$2:$E$60,0))&amp;"",""))</f>
        <v/>
      </c>
      <c r="D1329" s="73"/>
      <c r="E1329" s="75"/>
      <c r="F1329" s="75"/>
      <c r="G1329" s="75"/>
      <c r="H1329" s="73"/>
      <c r="I1329" s="75"/>
      <c r="J1329" s="75"/>
      <c r="K1329" s="75"/>
      <c r="L1329" s="73"/>
      <c r="M1329" s="78" t="str">
        <f aca="false">IF(OR(E1329="",F1329=""),"",MAX(0,((F1329-E1329-N(G1329))*1440-N(H1329)*10)/60))</f>
        <v/>
      </c>
      <c r="N1329" s="78" t="str">
        <f aca="false">IF($D1329="欠席",0,IF(OR(I1329="",J1329=""),"",MAX(0,((J1329-I1329-N(K1329))*1440-N(L1329)*10)/60)))</f>
        <v/>
      </c>
      <c r="O1329" s="73"/>
    </row>
    <row r="1330" customFormat="false" ht="15" hidden="false" customHeight="false" outlineLevel="0" collapsed="false">
      <c r="A1330" s="77"/>
      <c r="B1330" s="73"/>
      <c r="C1330" s="71" t="str">
        <f aca="false">IF(B1330="","",IFERROR(INDEX(マスタ!$F$2:$F$60,MATCH(B1330,マスタ!$E$2:$E$60,0))&amp;"",""))</f>
        <v/>
      </c>
      <c r="D1330" s="73"/>
      <c r="E1330" s="75"/>
      <c r="F1330" s="75"/>
      <c r="G1330" s="75"/>
      <c r="H1330" s="73"/>
      <c r="I1330" s="75"/>
      <c r="J1330" s="75"/>
      <c r="K1330" s="75"/>
      <c r="L1330" s="73"/>
      <c r="M1330" s="78" t="str">
        <f aca="false">IF(OR(E1330="",F1330=""),"",MAX(0,((F1330-E1330-N(G1330))*1440-N(H1330)*10)/60))</f>
        <v/>
      </c>
      <c r="N1330" s="78" t="str">
        <f aca="false">IF($D1330="欠席",0,IF(OR(I1330="",J1330=""),"",MAX(0,((J1330-I1330-N(K1330))*1440-N(L1330)*10)/60)))</f>
        <v/>
      </c>
      <c r="O1330" s="73"/>
    </row>
    <row r="1331" customFormat="false" ht="15" hidden="false" customHeight="false" outlineLevel="0" collapsed="false">
      <c r="A1331" s="77"/>
      <c r="B1331" s="73"/>
      <c r="C1331" s="71" t="str">
        <f aca="false">IF(B1331="","",IFERROR(INDEX(マスタ!$F$2:$F$60,MATCH(B1331,マスタ!$E$2:$E$60,0))&amp;"",""))</f>
        <v/>
      </c>
      <c r="D1331" s="73"/>
      <c r="E1331" s="75"/>
      <c r="F1331" s="75"/>
      <c r="G1331" s="75"/>
      <c r="H1331" s="73"/>
      <c r="I1331" s="75"/>
      <c r="J1331" s="75"/>
      <c r="K1331" s="75"/>
      <c r="L1331" s="73"/>
      <c r="M1331" s="78" t="str">
        <f aca="false">IF(OR(E1331="",F1331=""),"",MAX(0,((F1331-E1331-N(G1331))*1440-N(H1331)*10)/60))</f>
        <v/>
      </c>
      <c r="N1331" s="78" t="str">
        <f aca="false">IF($D1331="欠席",0,IF(OR(I1331="",J1331=""),"",MAX(0,((J1331-I1331-N(K1331))*1440-N(L1331)*10)/60)))</f>
        <v/>
      </c>
      <c r="O1331" s="73"/>
    </row>
    <row r="1332" customFormat="false" ht="15" hidden="false" customHeight="false" outlineLevel="0" collapsed="false">
      <c r="A1332" s="77"/>
      <c r="B1332" s="73"/>
      <c r="C1332" s="71" t="str">
        <f aca="false">IF(B1332="","",IFERROR(INDEX(マスタ!$F$2:$F$60,MATCH(B1332,マスタ!$E$2:$E$60,0))&amp;"",""))</f>
        <v/>
      </c>
      <c r="D1332" s="73"/>
      <c r="E1332" s="75"/>
      <c r="F1332" s="75"/>
      <c r="G1332" s="75"/>
      <c r="H1332" s="73"/>
      <c r="I1332" s="75"/>
      <c r="J1332" s="75"/>
      <c r="K1332" s="75"/>
      <c r="L1332" s="73"/>
      <c r="M1332" s="78" t="str">
        <f aca="false">IF(OR(E1332="",F1332=""),"",MAX(0,((F1332-E1332-N(G1332))*1440-N(H1332)*10)/60))</f>
        <v/>
      </c>
      <c r="N1332" s="78" t="str">
        <f aca="false">IF($D1332="欠席",0,IF(OR(I1332="",J1332=""),"",MAX(0,((J1332-I1332-N(K1332))*1440-N(L1332)*10)/60)))</f>
        <v/>
      </c>
      <c r="O1332" s="73"/>
    </row>
    <row r="1333" customFormat="false" ht="15" hidden="false" customHeight="false" outlineLevel="0" collapsed="false">
      <c r="A1333" s="77"/>
      <c r="B1333" s="73"/>
      <c r="C1333" s="71" t="str">
        <f aca="false">IF(B1333="","",IFERROR(INDEX(マスタ!$F$2:$F$60,MATCH(B1333,マスタ!$E$2:$E$60,0))&amp;"",""))</f>
        <v/>
      </c>
      <c r="D1333" s="73"/>
      <c r="E1333" s="75"/>
      <c r="F1333" s="75"/>
      <c r="G1333" s="75"/>
      <c r="H1333" s="73"/>
      <c r="I1333" s="75"/>
      <c r="J1333" s="75"/>
      <c r="K1333" s="75"/>
      <c r="L1333" s="73"/>
      <c r="M1333" s="78" t="str">
        <f aca="false">IF(OR(E1333="",F1333=""),"",MAX(0,((F1333-E1333-N(G1333))*1440-N(H1333)*10)/60))</f>
        <v/>
      </c>
      <c r="N1333" s="78" t="str">
        <f aca="false">IF($D1333="欠席",0,IF(OR(I1333="",J1333=""),"",MAX(0,((J1333-I1333-N(K1333))*1440-N(L1333)*10)/60)))</f>
        <v/>
      </c>
      <c r="O1333" s="73"/>
    </row>
    <row r="1334" customFormat="false" ht="15" hidden="false" customHeight="false" outlineLevel="0" collapsed="false">
      <c r="A1334" s="77"/>
      <c r="B1334" s="73"/>
      <c r="C1334" s="71" t="str">
        <f aca="false">IF(B1334="","",IFERROR(INDEX(マスタ!$F$2:$F$60,MATCH(B1334,マスタ!$E$2:$E$60,0))&amp;"",""))</f>
        <v/>
      </c>
      <c r="D1334" s="73"/>
      <c r="E1334" s="75"/>
      <c r="F1334" s="75"/>
      <c r="G1334" s="75"/>
      <c r="H1334" s="73"/>
      <c r="I1334" s="75"/>
      <c r="J1334" s="75"/>
      <c r="K1334" s="75"/>
      <c r="L1334" s="73"/>
      <c r="M1334" s="78" t="str">
        <f aca="false">IF(OR(E1334="",F1334=""),"",MAX(0,((F1334-E1334-N(G1334))*1440-N(H1334)*10)/60))</f>
        <v/>
      </c>
      <c r="N1334" s="78" t="str">
        <f aca="false">IF($D1334="欠席",0,IF(OR(I1334="",J1334=""),"",MAX(0,((J1334-I1334-N(K1334))*1440-N(L1334)*10)/60)))</f>
        <v/>
      </c>
      <c r="O1334" s="73"/>
    </row>
    <row r="1335" customFormat="false" ht="15" hidden="false" customHeight="false" outlineLevel="0" collapsed="false">
      <c r="A1335" s="77"/>
      <c r="B1335" s="73"/>
      <c r="C1335" s="71" t="str">
        <f aca="false">IF(B1335="","",IFERROR(INDEX(マスタ!$F$2:$F$60,MATCH(B1335,マスタ!$E$2:$E$60,0))&amp;"",""))</f>
        <v/>
      </c>
      <c r="D1335" s="73"/>
      <c r="E1335" s="75"/>
      <c r="F1335" s="75"/>
      <c r="G1335" s="75"/>
      <c r="H1335" s="73"/>
      <c r="I1335" s="75"/>
      <c r="J1335" s="75"/>
      <c r="K1335" s="75"/>
      <c r="L1335" s="73"/>
      <c r="M1335" s="78" t="str">
        <f aca="false">IF(OR(E1335="",F1335=""),"",MAX(0,((F1335-E1335-N(G1335))*1440-N(H1335)*10)/60))</f>
        <v/>
      </c>
      <c r="N1335" s="78" t="str">
        <f aca="false">IF($D1335="欠席",0,IF(OR(I1335="",J1335=""),"",MAX(0,((J1335-I1335-N(K1335))*1440-N(L1335)*10)/60)))</f>
        <v/>
      </c>
      <c r="O1335" s="73"/>
    </row>
    <row r="1336" customFormat="false" ht="15" hidden="false" customHeight="false" outlineLevel="0" collapsed="false">
      <c r="A1336" s="77"/>
      <c r="B1336" s="73"/>
      <c r="C1336" s="71" t="str">
        <f aca="false">IF(B1336="","",IFERROR(INDEX(マスタ!$F$2:$F$60,MATCH(B1336,マスタ!$E$2:$E$60,0))&amp;"",""))</f>
        <v/>
      </c>
      <c r="D1336" s="73"/>
      <c r="E1336" s="75"/>
      <c r="F1336" s="75"/>
      <c r="G1336" s="75"/>
      <c r="H1336" s="73"/>
      <c r="I1336" s="75"/>
      <c r="J1336" s="75"/>
      <c r="K1336" s="75"/>
      <c r="L1336" s="73"/>
      <c r="M1336" s="78" t="str">
        <f aca="false">IF(OR(E1336="",F1336=""),"",MAX(0,((F1336-E1336-N(G1336))*1440-N(H1336)*10)/60))</f>
        <v/>
      </c>
      <c r="N1336" s="78" t="str">
        <f aca="false">IF($D1336="欠席",0,IF(OR(I1336="",J1336=""),"",MAX(0,((J1336-I1336-N(K1336))*1440-N(L1336)*10)/60)))</f>
        <v/>
      </c>
      <c r="O1336" s="73"/>
    </row>
    <row r="1337" customFormat="false" ht="15" hidden="false" customHeight="false" outlineLevel="0" collapsed="false">
      <c r="A1337" s="77"/>
      <c r="B1337" s="73"/>
      <c r="C1337" s="71" t="str">
        <f aca="false">IF(B1337="","",IFERROR(INDEX(マスタ!$F$2:$F$60,MATCH(B1337,マスタ!$E$2:$E$60,0))&amp;"",""))</f>
        <v/>
      </c>
      <c r="D1337" s="73"/>
      <c r="E1337" s="75"/>
      <c r="F1337" s="75"/>
      <c r="G1337" s="75"/>
      <c r="H1337" s="73"/>
      <c r="I1337" s="75"/>
      <c r="J1337" s="75"/>
      <c r="K1337" s="75"/>
      <c r="L1337" s="73"/>
      <c r="M1337" s="78" t="str">
        <f aca="false">IF(OR(E1337="",F1337=""),"",MAX(0,((F1337-E1337-N(G1337))*1440-N(H1337)*10)/60))</f>
        <v/>
      </c>
      <c r="N1337" s="78" t="str">
        <f aca="false">IF($D1337="欠席",0,IF(OR(I1337="",J1337=""),"",MAX(0,((J1337-I1337-N(K1337))*1440-N(L1337)*10)/60)))</f>
        <v/>
      </c>
      <c r="O1337" s="73"/>
    </row>
    <row r="1338" customFormat="false" ht="15" hidden="false" customHeight="false" outlineLevel="0" collapsed="false">
      <c r="A1338" s="77"/>
      <c r="B1338" s="73"/>
      <c r="C1338" s="71" t="str">
        <f aca="false">IF(B1338="","",IFERROR(INDEX(マスタ!$F$2:$F$60,MATCH(B1338,マスタ!$E$2:$E$60,0))&amp;"",""))</f>
        <v/>
      </c>
      <c r="D1338" s="73"/>
      <c r="E1338" s="75"/>
      <c r="F1338" s="75"/>
      <c r="G1338" s="75"/>
      <c r="H1338" s="73"/>
      <c r="I1338" s="75"/>
      <c r="J1338" s="75"/>
      <c r="K1338" s="75"/>
      <c r="L1338" s="73"/>
      <c r="M1338" s="78" t="str">
        <f aca="false">IF(OR(E1338="",F1338=""),"",MAX(0,((F1338-E1338-N(G1338))*1440-N(H1338)*10)/60))</f>
        <v/>
      </c>
      <c r="N1338" s="78" t="str">
        <f aca="false">IF($D1338="欠席",0,IF(OR(I1338="",J1338=""),"",MAX(0,((J1338-I1338-N(K1338))*1440-N(L1338)*10)/60)))</f>
        <v/>
      </c>
      <c r="O1338" s="73"/>
    </row>
    <row r="1339" customFormat="false" ht="15" hidden="false" customHeight="false" outlineLevel="0" collapsed="false">
      <c r="A1339" s="77"/>
      <c r="B1339" s="73"/>
      <c r="C1339" s="71" t="str">
        <f aca="false">IF(B1339="","",IFERROR(INDEX(マスタ!$F$2:$F$60,MATCH(B1339,マスタ!$E$2:$E$60,0))&amp;"",""))</f>
        <v/>
      </c>
      <c r="D1339" s="73"/>
      <c r="E1339" s="75"/>
      <c r="F1339" s="75"/>
      <c r="G1339" s="75"/>
      <c r="H1339" s="73"/>
      <c r="I1339" s="75"/>
      <c r="J1339" s="75"/>
      <c r="K1339" s="75"/>
      <c r="L1339" s="73"/>
      <c r="M1339" s="78" t="str">
        <f aca="false">IF(OR(E1339="",F1339=""),"",MAX(0,((F1339-E1339-N(G1339))*1440-N(H1339)*10)/60))</f>
        <v/>
      </c>
      <c r="N1339" s="78" t="str">
        <f aca="false">IF($D1339="欠席",0,IF(OR(I1339="",J1339=""),"",MAX(0,((J1339-I1339-N(K1339))*1440-N(L1339)*10)/60)))</f>
        <v/>
      </c>
      <c r="O1339" s="73"/>
    </row>
    <row r="1340" customFormat="false" ht="15" hidden="false" customHeight="false" outlineLevel="0" collapsed="false">
      <c r="A1340" s="77"/>
      <c r="B1340" s="73"/>
      <c r="C1340" s="71" t="str">
        <f aca="false">IF(B1340="","",IFERROR(INDEX(マスタ!$F$2:$F$60,MATCH(B1340,マスタ!$E$2:$E$60,0))&amp;"",""))</f>
        <v/>
      </c>
      <c r="D1340" s="73"/>
      <c r="E1340" s="75"/>
      <c r="F1340" s="75"/>
      <c r="G1340" s="75"/>
      <c r="H1340" s="73"/>
      <c r="I1340" s="75"/>
      <c r="J1340" s="75"/>
      <c r="K1340" s="75"/>
      <c r="L1340" s="73"/>
      <c r="M1340" s="78" t="str">
        <f aca="false">IF(OR(E1340="",F1340=""),"",MAX(0,((F1340-E1340-N(G1340))*1440-N(H1340)*10)/60))</f>
        <v/>
      </c>
      <c r="N1340" s="78" t="str">
        <f aca="false">IF($D1340="欠席",0,IF(OR(I1340="",J1340=""),"",MAX(0,((J1340-I1340-N(K1340))*1440-N(L1340)*10)/60)))</f>
        <v/>
      </c>
      <c r="O1340" s="73"/>
    </row>
    <row r="1341" customFormat="false" ht="15" hidden="false" customHeight="false" outlineLevel="0" collapsed="false">
      <c r="A1341" s="77"/>
      <c r="B1341" s="73"/>
      <c r="C1341" s="71" t="str">
        <f aca="false">IF(B1341="","",IFERROR(INDEX(マスタ!$F$2:$F$60,MATCH(B1341,マスタ!$E$2:$E$60,0))&amp;"",""))</f>
        <v/>
      </c>
      <c r="D1341" s="73"/>
      <c r="E1341" s="75"/>
      <c r="F1341" s="75"/>
      <c r="G1341" s="75"/>
      <c r="H1341" s="73"/>
      <c r="I1341" s="75"/>
      <c r="J1341" s="75"/>
      <c r="K1341" s="75"/>
      <c r="L1341" s="73"/>
      <c r="M1341" s="78" t="str">
        <f aca="false">IF(OR(E1341="",F1341=""),"",MAX(0,((F1341-E1341-N(G1341))*1440-N(H1341)*10)/60))</f>
        <v/>
      </c>
      <c r="N1341" s="78" t="str">
        <f aca="false">IF($D1341="欠席",0,IF(OR(I1341="",J1341=""),"",MAX(0,((J1341-I1341-N(K1341))*1440-N(L1341)*10)/60)))</f>
        <v/>
      </c>
      <c r="O1341" s="73"/>
    </row>
    <row r="1342" customFormat="false" ht="15" hidden="false" customHeight="false" outlineLevel="0" collapsed="false">
      <c r="A1342" s="77"/>
      <c r="B1342" s="73"/>
      <c r="C1342" s="71" t="str">
        <f aca="false">IF(B1342="","",IFERROR(INDEX(マスタ!$F$2:$F$60,MATCH(B1342,マスタ!$E$2:$E$60,0))&amp;"",""))</f>
        <v/>
      </c>
      <c r="D1342" s="73"/>
      <c r="E1342" s="75"/>
      <c r="F1342" s="75"/>
      <c r="G1342" s="75"/>
      <c r="H1342" s="73"/>
      <c r="I1342" s="75"/>
      <c r="J1342" s="75"/>
      <c r="K1342" s="75"/>
      <c r="L1342" s="73"/>
      <c r="M1342" s="78" t="str">
        <f aca="false">IF(OR(E1342="",F1342=""),"",MAX(0,((F1342-E1342-N(G1342))*1440-N(H1342)*10)/60))</f>
        <v/>
      </c>
      <c r="N1342" s="78" t="str">
        <f aca="false">IF($D1342="欠席",0,IF(OR(I1342="",J1342=""),"",MAX(0,((J1342-I1342-N(K1342))*1440-N(L1342)*10)/60)))</f>
        <v/>
      </c>
      <c r="O1342" s="73"/>
    </row>
    <row r="1343" customFormat="false" ht="15" hidden="false" customHeight="false" outlineLevel="0" collapsed="false">
      <c r="A1343" s="77"/>
      <c r="B1343" s="73"/>
      <c r="C1343" s="71" t="str">
        <f aca="false">IF(B1343="","",IFERROR(INDEX(マスタ!$F$2:$F$60,MATCH(B1343,マスタ!$E$2:$E$60,0))&amp;"",""))</f>
        <v/>
      </c>
      <c r="D1343" s="73"/>
      <c r="E1343" s="75"/>
      <c r="F1343" s="75"/>
      <c r="G1343" s="75"/>
      <c r="H1343" s="73"/>
      <c r="I1343" s="75"/>
      <c r="J1343" s="75"/>
      <c r="K1343" s="75"/>
      <c r="L1343" s="73"/>
      <c r="M1343" s="78" t="str">
        <f aca="false">IF(OR(E1343="",F1343=""),"",MAX(0,((F1343-E1343-N(G1343))*1440-N(H1343)*10)/60))</f>
        <v/>
      </c>
      <c r="N1343" s="78" t="str">
        <f aca="false">IF($D1343="欠席",0,IF(OR(I1343="",J1343=""),"",MAX(0,((J1343-I1343-N(K1343))*1440-N(L1343)*10)/60)))</f>
        <v/>
      </c>
      <c r="O1343" s="73"/>
    </row>
    <row r="1344" customFormat="false" ht="15" hidden="false" customHeight="false" outlineLevel="0" collapsed="false">
      <c r="A1344" s="77"/>
      <c r="B1344" s="73"/>
      <c r="C1344" s="71" t="str">
        <f aca="false">IF(B1344="","",IFERROR(INDEX(マスタ!$F$2:$F$60,MATCH(B1344,マスタ!$E$2:$E$60,0))&amp;"",""))</f>
        <v/>
      </c>
      <c r="D1344" s="73"/>
      <c r="E1344" s="75"/>
      <c r="F1344" s="75"/>
      <c r="G1344" s="75"/>
      <c r="H1344" s="73"/>
      <c r="I1344" s="75"/>
      <c r="J1344" s="75"/>
      <c r="K1344" s="75"/>
      <c r="L1344" s="73"/>
      <c r="M1344" s="78" t="str">
        <f aca="false">IF(OR(E1344="",F1344=""),"",MAX(0,((F1344-E1344-N(G1344))*1440-N(H1344)*10)/60))</f>
        <v/>
      </c>
      <c r="N1344" s="78" t="str">
        <f aca="false">IF($D1344="欠席",0,IF(OR(I1344="",J1344=""),"",MAX(0,((J1344-I1344-N(K1344))*1440-N(L1344)*10)/60)))</f>
        <v/>
      </c>
      <c r="O1344" s="73"/>
    </row>
    <row r="1345" customFormat="false" ht="15" hidden="false" customHeight="false" outlineLevel="0" collapsed="false">
      <c r="A1345" s="77"/>
      <c r="B1345" s="73"/>
      <c r="C1345" s="71" t="str">
        <f aca="false">IF(B1345="","",IFERROR(INDEX(マスタ!$F$2:$F$60,MATCH(B1345,マスタ!$E$2:$E$60,0))&amp;"",""))</f>
        <v/>
      </c>
      <c r="D1345" s="73"/>
      <c r="E1345" s="75"/>
      <c r="F1345" s="75"/>
      <c r="G1345" s="75"/>
      <c r="H1345" s="73"/>
      <c r="I1345" s="75"/>
      <c r="J1345" s="75"/>
      <c r="K1345" s="75"/>
      <c r="L1345" s="73"/>
      <c r="M1345" s="78" t="str">
        <f aca="false">IF(OR(E1345="",F1345=""),"",MAX(0,((F1345-E1345-N(G1345))*1440-N(H1345)*10)/60))</f>
        <v/>
      </c>
      <c r="N1345" s="78" t="str">
        <f aca="false">IF($D1345="欠席",0,IF(OR(I1345="",J1345=""),"",MAX(0,((J1345-I1345-N(K1345))*1440-N(L1345)*10)/60)))</f>
        <v/>
      </c>
      <c r="O1345" s="73"/>
    </row>
    <row r="1346" customFormat="false" ht="15" hidden="false" customHeight="false" outlineLevel="0" collapsed="false">
      <c r="A1346" s="77"/>
      <c r="B1346" s="73"/>
      <c r="C1346" s="71" t="str">
        <f aca="false">IF(B1346="","",IFERROR(INDEX(マスタ!$F$2:$F$60,MATCH(B1346,マスタ!$E$2:$E$60,0))&amp;"",""))</f>
        <v/>
      </c>
      <c r="D1346" s="73"/>
      <c r="E1346" s="75"/>
      <c r="F1346" s="75"/>
      <c r="G1346" s="75"/>
      <c r="H1346" s="73"/>
      <c r="I1346" s="75"/>
      <c r="J1346" s="75"/>
      <c r="K1346" s="75"/>
      <c r="L1346" s="73"/>
      <c r="M1346" s="78" t="str">
        <f aca="false">IF(OR(E1346="",F1346=""),"",MAX(0,((F1346-E1346-N(G1346))*1440-N(H1346)*10)/60))</f>
        <v/>
      </c>
      <c r="N1346" s="78" t="str">
        <f aca="false">IF($D1346="欠席",0,IF(OR(I1346="",J1346=""),"",MAX(0,((J1346-I1346-N(K1346))*1440-N(L1346)*10)/60)))</f>
        <v/>
      </c>
      <c r="O1346" s="73"/>
    </row>
    <row r="1347" customFormat="false" ht="15" hidden="false" customHeight="false" outlineLevel="0" collapsed="false">
      <c r="A1347" s="77"/>
      <c r="B1347" s="73"/>
      <c r="C1347" s="71" t="str">
        <f aca="false">IF(B1347="","",IFERROR(INDEX(マスタ!$F$2:$F$60,MATCH(B1347,マスタ!$E$2:$E$60,0))&amp;"",""))</f>
        <v/>
      </c>
      <c r="D1347" s="73"/>
      <c r="E1347" s="75"/>
      <c r="F1347" s="75"/>
      <c r="G1347" s="75"/>
      <c r="H1347" s="73"/>
      <c r="I1347" s="75"/>
      <c r="J1347" s="75"/>
      <c r="K1347" s="75"/>
      <c r="L1347" s="73"/>
      <c r="M1347" s="78" t="str">
        <f aca="false">IF(OR(E1347="",F1347=""),"",MAX(0,((F1347-E1347-N(G1347))*1440-N(H1347)*10)/60))</f>
        <v/>
      </c>
      <c r="N1347" s="78" t="str">
        <f aca="false">IF($D1347="欠席",0,IF(OR(I1347="",J1347=""),"",MAX(0,((J1347-I1347-N(K1347))*1440-N(L1347)*10)/60)))</f>
        <v/>
      </c>
      <c r="O1347" s="73"/>
    </row>
    <row r="1348" customFormat="false" ht="15" hidden="false" customHeight="false" outlineLevel="0" collapsed="false">
      <c r="A1348" s="77"/>
      <c r="B1348" s="73"/>
      <c r="C1348" s="71" t="str">
        <f aca="false">IF(B1348="","",IFERROR(INDEX(マスタ!$F$2:$F$60,MATCH(B1348,マスタ!$E$2:$E$60,0))&amp;"",""))</f>
        <v/>
      </c>
      <c r="D1348" s="73"/>
      <c r="E1348" s="75"/>
      <c r="F1348" s="75"/>
      <c r="G1348" s="75"/>
      <c r="H1348" s="73"/>
      <c r="I1348" s="75"/>
      <c r="J1348" s="75"/>
      <c r="K1348" s="75"/>
      <c r="L1348" s="73"/>
      <c r="M1348" s="78" t="str">
        <f aca="false">IF(OR(E1348="",F1348=""),"",MAX(0,((F1348-E1348-N(G1348))*1440-N(H1348)*10)/60))</f>
        <v/>
      </c>
      <c r="N1348" s="78" t="str">
        <f aca="false">IF($D1348="欠席",0,IF(OR(I1348="",J1348=""),"",MAX(0,((J1348-I1348-N(K1348))*1440-N(L1348)*10)/60)))</f>
        <v/>
      </c>
      <c r="O1348" s="73"/>
    </row>
    <row r="1349" customFormat="false" ht="15" hidden="false" customHeight="false" outlineLevel="0" collapsed="false">
      <c r="A1349" s="77"/>
      <c r="B1349" s="73"/>
      <c r="C1349" s="71" t="str">
        <f aca="false">IF(B1349="","",IFERROR(INDEX(マスタ!$F$2:$F$60,MATCH(B1349,マスタ!$E$2:$E$60,0))&amp;"",""))</f>
        <v/>
      </c>
      <c r="D1349" s="73"/>
      <c r="E1349" s="75"/>
      <c r="F1349" s="75"/>
      <c r="G1349" s="75"/>
      <c r="H1349" s="73"/>
      <c r="I1349" s="75"/>
      <c r="J1349" s="75"/>
      <c r="K1349" s="75"/>
      <c r="L1349" s="73"/>
      <c r="M1349" s="78" t="str">
        <f aca="false">IF(OR(E1349="",F1349=""),"",MAX(0,((F1349-E1349-N(G1349))*1440-N(H1349)*10)/60))</f>
        <v/>
      </c>
      <c r="N1349" s="78" t="str">
        <f aca="false">IF($D1349="欠席",0,IF(OR(I1349="",J1349=""),"",MAX(0,((J1349-I1349-N(K1349))*1440-N(L1349)*10)/60)))</f>
        <v/>
      </c>
      <c r="O1349" s="73"/>
    </row>
    <row r="1350" customFormat="false" ht="15" hidden="false" customHeight="false" outlineLevel="0" collapsed="false">
      <c r="A1350" s="77"/>
      <c r="B1350" s="73"/>
      <c r="C1350" s="71" t="str">
        <f aca="false">IF(B1350="","",IFERROR(INDEX(マスタ!$F$2:$F$60,MATCH(B1350,マスタ!$E$2:$E$60,0))&amp;"",""))</f>
        <v/>
      </c>
      <c r="D1350" s="73"/>
      <c r="E1350" s="75"/>
      <c r="F1350" s="75"/>
      <c r="G1350" s="75"/>
      <c r="H1350" s="73"/>
      <c r="I1350" s="75"/>
      <c r="J1350" s="75"/>
      <c r="K1350" s="75"/>
      <c r="L1350" s="73"/>
      <c r="M1350" s="78" t="str">
        <f aca="false">IF(OR(E1350="",F1350=""),"",MAX(0,((F1350-E1350-N(G1350))*1440-N(H1350)*10)/60))</f>
        <v/>
      </c>
      <c r="N1350" s="78" t="str">
        <f aca="false">IF($D1350="欠席",0,IF(OR(I1350="",J1350=""),"",MAX(0,((J1350-I1350-N(K1350))*1440-N(L1350)*10)/60)))</f>
        <v/>
      </c>
      <c r="O1350" s="73"/>
    </row>
    <row r="1351" customFormat="false" ht="15" hidden="false" customHeight="false" outlineLevel="0" collapsed="false">
      <c r="A1351" s="77"/>
      <c r="B1351" s="73"/>
      <c r="C1351" s="71" t="str">
        <f aca="false">IF(B1351="","",IFERROR(INDEX(マスタ!$F$2:$F$60,MATCH(B1351,マスタ!$E$2:$E$60,0))&amp;"",""))</f>
        <v/>
      </c>
      <c r="D1351" s="73"/>
      <c r="E1351" s="75"/>
      <c r="F1351" s="75"/>
      <c r="G1351" s="75"/>
      <c r="H1351" s="73"/>
      <c r="I1351" s="75"/>
      <c r="J1351" s="75"/>
      <c r="K1351" s="75"/>
      <c r="L1351" s="73"/>
      <c r="M1351" s="78" t="str">
        <f aca="false">IF(OR(E1351="",F1351=""),"",MAX(0,((F1351-E1351-N(G1351))*1440-N(H1351)*10)/60))</f>
        <v/>
      </c>
      <c r="N1351" s="78" t="str">
        <f aca="false">IF($D1351="欠席",0,IF(OR(I1351="",J1351=""),"",MAX(0,((J1351-I1351-N(K1351))*1440-N(L1351)*10)/60)))</f>
        <v/>
      </c>
      <c r="O1351" s="73"/>
    </row>
    <row r="1352" customFormat="false" ht="15" hidden="false" customHeight="false" outlineLevel="0" collapsed="false">
      <c r="A1352" s="77"/>
      <c r="B1352" s="73"/>
      <c r="C1352" s="71" t="str">
        <f aca="false">IF(B1352="","",IFERROR(INDEX(マスタ!$F$2:$F$60,MATCH(B1352,マスタ!$E$2:$E$60,0))&amp;"",""))</f>
        <v/>
      </c>
      <c r="D1352" s="73"/>
      <c r="E1352" s="75"/>
      <c r="F1352" s="75"/>
      <c r="G1352" s="75"/>
      <c r="H1352" s="73"/>
      <c r="I1352" s="75"/>
      <c r="J1352" s="75"/>
      <c r="K1352" s="75"/>
      <c r="L1352" s="73"/>
      <c r="M1352" s="78" t="str">
        <f aca="false">IF(OR(E1352="",F1352=""),"",MAX(0,((F1352-E1352-N(G1352))*1440-N(H1352)*10)/60))</f>
        <v/>
      </c>
      <c r="N1352" s="78" t="str">
        <f aca="false">IF($D1352="欠席",0,IF(OR(I1352="",J1352=""),"",MAX(0,((J1352-I1352-N(K1352))*1440-N(L1352)*10)/60)))</f>
        <v/>
      </c>
      <c r="O1352" s="73"/>
    </row>
    <row r="1353" customFormat="false" ht="15" hidden="false" customHeight="false" outlineLevel="0" collapsed="false">
      <c r="A1353" s="77"/>
      <c r="B1353" s="73"/>
      <c r="C1353" s="71" t="str">
        <f aca="false">IF(B1353="","",IFERROR(INDEX(マスタ!$F$2:$F$60,MATCH(B1353,マスタ!$E$2:$E$60,0))&amp;"",""))</f>
        <v/>
      </c>
      <c r="D1353" s="73"/>
      <c r="E1353" s="75"/>
      <c r="F1353" s="75"/>
      <c r="G1353" s="75"/>
      <c r="H1353" s="73"/>
      <c r="I1353" s="75"/>
      <c r="J1353" s="75"/>
      <c r="K1353" s="75"/>
      <c r="L1353" s="73"/>
      <c r="M1353" s="78" t="str">
        <f aca="false">IF(OR(E1353="",F1353=""),"",MAX(0,((F1353-E1353-N(G1353))*1440-N(H1353)*10)/60))</f>
        <v/>
      </c>
      <c r="N1353" s="78" t="str">
        <f aca="false">IF($D1353="欠席",0,IF(OR(I1353="",J1353=""),"",MAX(0,((J1353-I1353-N(K1353))*1440-N(L1353)*10)/60)))</f>
        <v/>
      </c>
      <c r="O1353" s="73"/>
    </row>
    <row r="1354" customFormat="false" ht="15" hidden="false" customHeight="false" outlineLevel="0" collapsed="false">
      <c r="A1354" s="77"/>
      <c r="B1354" s="73"/>
      <c r="C1354" s="71" t="str">
        <f aca="false">IF(B1354="","",IFERROR(INDEX(マスタ!$F$2:$F$60,MATCH(B1354,マスタ!$E$2:$E$60,0))&amp;"",""))</f>
        <v/>
      </c>
      <c r="D1354" s="73"/>
      <c r="E1354" s="75"/>
      <c r="F1354" s="75"/>
      <c r="G1354" s="75"/>
      <c r="H1354" s="73"/>
      <c r="I1354" s="75"/>
      <c r="J1354" s="75"/>
      <c r="K1354" s="75"/>
      <c r="L1354" s="73"/>
      <c r="M1354" s="78" t="str">
        <f aca="false">IF(OR(E1354="",F1354=""),"",MAX(0,((F1354-E1354-N(G1354))*1440-N(H1354)*10)/60))</f>
        <v/>
      </c>
      <c r="N1354" s="78" t="str">
        <f aca="false">IF($D1354="欠席",0,IF(OR(I1354="",J1354=""),"",MAX(0,((J1354-I1354-N(K1354))*1440-N(L1354)*10)/60)))</f>
        <v/>
      </c>
      <c r="O1354" s="73"/>
    </row>
    <row r="1355" customFormat="false" ht="15" hidden="false" customHeight="false" outlineLevel="0" collapsed="false">
      <c r="A1355" s="77"/>
      <c r="B1355" s="73"/>
      <c r="C1355" s="71" t="str">
        <f aca="false">IF(B1355="","",IFERROR(INDEX(マスタ!$F$2:$F$60,MATCH(B1355,マスタ!$E$2:$E$60,0))&amp;"",""))</f>
        <v/>
      </c>
      <c r="D1355" s="73"/>
      <c r="E1355" s="75"/>
      <c r="F1355" s="75"/>
      <c r="G1355" s="75"/>
      <c r="H1355" s="73"/>
      <c r="I1355" s="75"/>
      <c r="J1355" s="75"/>
      <c r="K1355" s="75"/>
      <c r="L1355" s="73"/>
      <c r="M1355" s="78" t="str">
        <f aca="false">IF(OR(E1355="",F1355=""),"",MAX(0,((F1355-E1355-N(G1355))*1440-N(H1355)*10)/60))</f>
        <v/>
      </c>
      <c r="N1355" s="78" t="str">
        <f aca="false">IF($D1355="欠席",0,IF(OR(I1355="",J1355=""),"",MAX(0,((J1355-I1355-N(K1355))*1440-N(L1355)*10)/60)))</f>
        <v/>
      </c>
      <c r="O1355" s="73"/>
    </row>
    <row r="1356" customFormat="false" ht="15" hidden="false" customHeight="false" outlineLevel="0" collapsed="false">
      <c r="A1356" s="77"/>
      <c r="B1356" s="73"/>
      <c r="C1356" s="71" t="str">
        <f aca="false">IF(B1356="","",IFERROR(INDEX(マスタ!$F$2:$F$60,MATCH(B1356,マスタ!$E$2:$E$60,0))&amp;"",""))</f>
        <v/>
      </c>
      <c r="D1356" s="73"/>
      <c r="E1356" s="75"/>
      <c r="F1356" s="75"/>
      <c r="G1356" s="75"/>
      <c r="H1356" s="73"/>
      <c r="I1356" s="75"/>
      <c r="J1356" s="75"/>
      <c r="K1356" s="75"/>
      <c r="L1356" s="73"/>
      <c r="M1356" s="78" t="str">
        <f aca="false">IF(OR(E1356="",F1356=""),"",MAX(0,((F1356-E1356-N(G1356))*1440-N(H1356)*10)/60))</f>
        <v/>
      </c>
      <c r="N1356" s="78" t="str">
        <f aca="false">IF($D1356="欠席",0,IF(OR(I1356="",J1356=""),"",MAX(0,((J1356-I1356-N(K1356))*1440-N(L1356)*10)/60)))</f>
        <v/>
      </c>
      <c r="O1356" s="73"/>
    </row>
    <row r="1357" customFormat="false" ht="15" hidden="false" customHeight="false" outlineLevel="0" collapsed="false">
      <c r="A1357" s="77"/>
      <c r="B1357" s="73"/>
      <c r="C1357" s="71" t="str">
        <f aca="false">IF(B1357="","",IFERROR(INDEX(マスタ!$F$2:$F$60,MATCH(B1357,マスタ!$E$2:$E$60,0))&amp;"",""))</f>
        <v/>
      </c>
      <c r="D1357" s="73"/>
      <c r="E1357" s="75"/>
      <c r="F1357" s="75"/>
      <c r="G1357" s="75"/>
      <c r="H1357" s="73"/>
      <c r="I1357" s="75"/>
      <c r="J1357" s="75"/>
      <c r="K1357" s="75"/>
      <c r="L1357" s="73"/>
      <c r="M1357" s="78" t="str">
        <f aca="false">IF(OR(E1357="",F1357=""),"",MAX(0,((F1357-E1357-N(G1357))*1440-N(H1357)*10)/60))</f>
        <v/>
      </c>
      <c r="N1357" s="78" t="str">
        <f aca="false">IF($D1357="欠席",0,IF(OR(I1357="",J1357=""),"",MAX(0,((J1357-I1357-N(K1357))*1440-N(L1357)*10)/60)))</f>
        <v/>
      </c>
      <c r="O1357" s="73"/>
    </row>
    <row r="1358" customFormat="false" ht="15" hidden="false" customHeight="false" outlineLevel="0" collapsed="false">
      <c r="A1358" s="77"/>
      <c r="B1358" s="73"/>
      <c r="C1358" s="71" t="str">
        <f aca="false">IF(B1358="","",IFERROR(INDEX(マスタ!$F$2:$F$60,MATCH(B1358,マスタ!$E$2:$E$60,0))&amp;"",""))</f>
        <v/>
      </c>
      <c r="D1358" s="73"/>
      <c r="E1358" s="75"/>
      <c r="F1358" s="75"/>
      <c r="G1358" s="75"/>
      <c r="H1358" s="73"/>
      <c r="I1358" s="75"/>
      <c r="J1358" s="75"/>
      <c r="K1358" s="75"/>
      <c r="L1358" s="73"/>
      <c r="M1358" s="78" t="str">
        <f aca="false">IF(OR(E1358="",F1358=""),"",MAX(0,((F1358-E1358-N(G1358))*1440-N(H1358)*10)/60))</f>
        <v/>
      </c>
      <c r="N1358" s="78" t="str">
        <f aca="false">IF($D1358="欠席",0,IF(OR(I1358="",J1358=""),"",MAX(0,((J1358-I1358-N(K1358))*1440-N(L1358)*10)/60)))</f>
        <v/>
      </c>
      <c r="O1358" s="73"/>
    </row>
    <row r="1359" customFormat="false" ht="15" hidden="false" customHeight="false" outlineLevel="0" collapsed="false">
      <c r="A1359" s="77"/>
      <c r="B1359" s="73"/>
      <c r="C1359" s="71" t="str">
        <f aca="false">IF(B1359="","",IFERROR(INDEX(マスタ!$F$2:$F$60,MATCH(B1359,マスタ!$E$2:$E$60,0))&amp;"",""))</f>
        <v/>
      </c>
      <c r="D1359" s="73"/>
      <c r="E1359" s="75"/>
      <c r="F1359" s="75"/>
      <c r="G1359" s="75"/>
      <c r="H1359" s="73"/>
      <c r="I1359" s="75"/>
      <c r="J1359" s="75"/>
      <c r="K1359" s="75"/>
      <c r="L1359" s="73"/>
      <c r="M1359" s="78" t="str">
        <f aca="false">IF(OR(E1359="",F1359=""),"",MAX(0,((F1359-E1359-N(G1359))*1440-N(H1359)*10)/60))</f>
        <v/>
      </c>
      <c r="N1359" s="78" t="str">
        <f aca="false">IF($D1359="欠席",0,IF(OR(I1359="",J1359=""),"",MAX(0,((J1359-I1359-N(K1359))*1440-N(L1359)*10)/60)))</f>
        <v/>
      </c>
      <c r="O1359" s="73"/>
    </row>
    <row r="1360" customFormat="false" ht="15" hidden="false" customHeight="false" outlineLevel="0" collapsed="false">
      <c r="A1360" s="77"/>
      <c r="B1360" s="73"/>
      <c r="C1360" s="71" t="str">
        <f aca="false">IF(B1360="","",IFERROR(INDEX(マスタ!$F$2:$F$60,MATCH(B1360,マスタ!$E$2:$E$60,0))&amp;"",""))</f>
        <v/>
      </c>
      <c r="D1360" s="73"/>
      <c r="E1360" s="75"/>
      <c r="F1360" s="75"/>
      <c r="G1360" s="75"/>
      <c r="H1360" s="73"/>
      <c r="I1360" s="75"/>
      <c r="J1360" s="75"/>
      <c r="K1360" s="75"/>
      <c r="L1360" s="73"/>
      <c r="M1360" s="78" t="str">
        <f aca="false">IF(OR(E1360="",F1360=""),"",MAX(0,((F1360-E1360-N(G1360))*1440-N(H1360)*10)/60))</f>
        <v/>
      </c>
      <c r="N1360" s="78" t="str">
        <f aca="false">IF($D1360="欠席",0,IF(OR(I1360="",J1360=""),"",MAX(0,((J1360-I1360-N(K1360))*1440-N(L1360)*10)/60)))</f>
        <v/>
      </c>
      <c r="O1360" s="73"/>
    </row>
    <row r="1361" customFormat="false" ht="15" hidden="false" customHeight="false" outlineLevel="0" collapsed="false">
      <c r="A1361" s="77"/>
      <c r="B1361" s="73"/>
      <c r="C1361" s="71" t="str">
        <f aca="false">IF(B1361="","",IFERROR(INDEX(マスタ!$F$2:$F$60,MATCH(B1361,マスタ!$E$2:$E$60,0))&amp;"",""))</f>
        <v/>
      </c>
      <c r="D1361" s="73"/>
      <c r="E1361" s="75"/>
      <c r="F1361" s="75"/>
      <c r="G1361" s="75"/>
      <c r="H1361" s="73"/>
      <c r="I1361" s="75"/>
      <c r="J1361" s="75"/>
      <c r="K1361" s="75"/>
      <c r="L1361" s="73"/>
      <c r="M1361" s="78" t="str">
        <f aca="false">IF(OR(E1361="",F1361=""),"",MAX(0,((F1361-E1361-N(G1361))*1440-N(H1361)*10)/60))</f>
        <v/>
      </c>
      <c r="N1361" s="78" t="str">
        <f aca="false">IF($D1361="欠席",0,IF(OR(I1361="",J1361=""),"",MAX(0,((J1361-I1361-N(K1361))*1440-N(L1361)*10)/60)))</f>
        <v/>
      </c>
      <c r="O1361" s="73"/>
    </row>
    <row r="1362" customFormat="false" ht="15" hidden="false" customHeight="false" outlineLevel="0" collapsed="false">
      <c r="A1362" s="77"/>
      <c r="B1362" s="73"/>
      <c r="C1362" s="71" t="str">
        <f aca="false">IF(B1362="","",IFERROR(INDEX(マスタ!$F$2:$F$60,MATCH(B1362,マスタ!$E$2:$E$60,0))&amp;"",""))</f>
        <v/>
      </c>
      <c r="D1362" s="73"/>
      <c r="E1362" s="75"/>
      <c r="F1362" s="75"/>
      <c r="G1362" s="75"/>
      <c r="H1362" s="73"/>
      <c r="I1362" s="75"/>
      <c r="J1362" s="75"/>
      <c r="K1362" s="75"/>
      <c r="L1362" s="73"/>
      <c r="M1362" s="78" t="str">
        <f aca="false">IF(OR(E1362="",F1362=""),"",MAX(0,((F1362-E1362-N(G1362))*1440-N(H1362)*10)/60))</f>
        <v/>
      </c>
      <c r="N1362" s="78" t="str">
        <f aca="false">IF($D1362="欠席",0,IF(OR(I1362="",J1362=""),"",MAX(0,((J1362-I1362-N(K1362))*1440-N(L1362)*10)/60)))</f>
        <v/>
      </c>
      <c r="O1362" s="73"/>
    </row>
    <row r="1363" customFormat="false" ht="15" hidden="false" customHeight="false" outlineLevel="0" collapsed="false">
      <c r="A1363" s="77"/>
      <c r="B1363" s="73"/>
      <c r="C1363" s="71" t="str">
        <f aca="false">IF(B1363="","",IFERROR(INDEX(マスタ!$F$2:$F$60,MATCH(B1363,マスタ!$E$2:$E$60,0))&amp;"",""))</f>
        <v/>
      </c>
      <c r="D1363" s="73"/>
      <c r="E1363" s="75"/>
      <c r="F1363" s="75"/>
      <c r="G1363" s="75"/>
      <c r="H1363" s="73"/>
      <c r="I1363" s="75"/>
      <c r="J1363" s="75"/>
      <c r="K1363" s="75"/>
      <c r="L1363" s="73"/>
      <c r="M1363" s="78" t="str">
        <f aca="false">IF(OR(E1363="",F1363=""),"",MAX(0,((F1363-E1363-N(G1363))*1440-N(H1363)*10)/60))</f>
        <v/>
      </c>
      <c r="N1363" s="78" t="str">
        <f aca="false">IF($D1363="欠席",0,IF(OR(I1363="",J1363=""),"",MAX(0,((J1363-I1363-N(K1363))*1440-N(L1363)*10)/60)))</f>
        <v/>
      </c>
      <c r="O1363" s="73"/>
    </row>
    <row r="1364" customFormat="false" ht="15" hidden="false" customHeight="false" outlineLevel="0" collapsed="false">
      <c r="A1364" s="77"/>
      <c r="B1364" s="73"/>
      <c r="C1364" s="71" t="str">
        <f aca="false">IF(B1364="","",IFERROR(INDEX(マスタ!$F$2:$F$60,MATCH(B1364,マスタ!$E$2:$E$60,0))&amp;"",""))</f>
        <v/>
      </c>
      <c r="D1364" s="73"/>
      <c r="E1364" s="75"/>
      <c r="F1364" s="75"/>
      <c r="G1364" s="75"/>
      <c r="H1364" s="73"/>
      <c r="I1364" s="75"/>
      <c r="J1364" s="75"/>
      <c r="K1364" s="75"/>
      <c r="L1364" s="73"/>
      <c r="M1364" s="78" t="str">
        <f aca="false">IF(OR(E1364="",F1364=""),"",MAX(0,((F1364-E1364-N(G1364))*1440-N(H1364)*10)/60))</f>
        <v/>
      </c>
      <c r="N1364" s="78" t="str">
        <f aca="false">IF($D1364="欠席",0,IF(OR(I1364="",J1364=""),"",MAX(0,((J1364-I1364-N(K1364))*1440-N(L1364)*10)/60)))</f>
        <v/>
      </c>
      <c r="O1364" s="73"/>
    </row>
    <row r="1365" customFormat="false" ht="15" hidden="false" customHeight="false" outlineLevel="0" collapsed="false">
      <c r="A1365" s="77"/>
      <c r="B1365" s="73"/>
      <c r="C1365" s="71" t="str">
        <f aca="false">IF(B1365="","",IFERROR(INDEX(マスタ!$F$2:$F$60,MATCH(B1365,マスタ!$E$2:$E$60,0))&amp;"",""))</f>
        <v/>
      </c>
      <c r="D1365" s="73"/>
      <c r="E1365" s="75"/>
      <c r="F1365" s="75"/>
      <c r="G1365" s="75"/>
      <c r="H1365" s="73"/>
      <c r="I1365" s="75"/>
      <c r="J1365" s="75"/>
      <c r="K1365" s="75"/>
      <c r="L1365" s="73"/>
      <c r="M1365" s="78" t="str">
        <f aca="false">IF(OR(E1365="",F1365=""),"",MAX(0,((F1365-E1365-N(G1365))*1440-N(H1365)*10)/60))</f>
        <v/>
      </c>
      <c r="N1365" s="78" t="str">
        <f aca="false">IF($D1365="欠席",0,IF(OR(I1365="",J1365=""),"",MAX(0,((J1365-I1365-N(K1365))*1440-N(L1365)*10)/60)))</f>
        <v/>
      </c>
      <c r="O1365" s="73"/>
    </row>
    <row r="1366" customFormat="false" ht="15" hidden="false" customHeight="false" outlineLevel="0" collapsed="false">
      <c r="A1366" s="77"/>
      <c r="B1366" s="73"/>
      <c r="C1366" s="71" t="str">
        <f aca="false">IF(B1366="","",IFERROR(INDEX(マスタ!$F$2:$F$60,MATCH(B1366,マスタ!$E$2:$E$60,0))&amp;"",""))</f>
        <v/>
      </c>
      <c r="D1366" s="73"/>
      <c r="E1366" s="75"/>
      <c r="F1366" s="75"/>
      <c r="G1366" s="75"/>
      <c r="H1366" s="73"/>
      <c r="I1366" s="75"/>
      <c r="J1366" s="75"/>
      <c r="K1366" s="75"/>
      <c r="L1366" s="73"/>
      <c r="M1366" s="78" t="str">
        <f aca="false">IF(OR(E1366="",F1366=""),"",MAX(0,((F1366-E1366-N(G1366))*1440-N(H1366)*10)/60))</f>
        <v/>
      </c>
      <c r="N1366" s="78" t="str">
        <f aca="false">IF($D1366="欠席",0,IF(OR(I1366="",J1366=""),"",MAX(0,((J1366-I1366-N(K1366))*1440-N(L1366)*10)/60)))</f>
        <v/>
      </c>
      <c r="O1366" s="73"/>
    </row>
    <row r="1367" customFormat="false" ht="15" hidden="false" customHeight="false" outlineLevel="0" collapsed="false">
      <c r="A1367" s="77"/>
      <c r="B1367" s="73"/>
      <c r="C1367" s="71" t="str">
        <f aca="false">IF(B1367="","",IFERROR(INDEX(マスタ!$F$2:$F$60,MATCH(B1367,マスタ!$E$2:$E$60,0))&amp;"",""))</f>
        <v/>
      </c>
      <c r="D1367" s="73"/>
      <c r="E1367" s="75"/>
      <c r="F1367" s="75"/>
      <c r="G1367" s="75"/>
      <c r="H1367" s="73"/>
      <c r="I1367" s="75"/>
      <c r="J1367" s="75"/>
      <c r="K1367" s="75"/>
      <c r="L1367" s="73"/>
      <c r="M1367" s="78" t="str">
        <f aca="false">IF(OR(E1367="",F1367=""),"",MAX(0,((F1367-E1367-N(G1367))*1440-N(H1367)*10)/60))</f>
        <v/>
      </c>
      <c r="N1367" s="78" t="str">
        <f aca="false">IF($D1367="欠席",0,IF(OR(I1367="",J1367=""),"",MAX(0,((J1367-I1367-N(K1367))*1440-N(L1367)*10)/60)))</f>
        <v/>
      </c>
      <c r="O1367" s="73"/>
    </row>
    <row r="1368" customFormat="false" ht="15" hidden="false" customHeight="false" outlineLevel="0" collapsed="false">
      <c r="A1368" s="77"/>
      <c r="B1368" s="73"/>
      <c r="C1368" s="71" t="str">
        <f aca="false">IF(B1368="","",IFERROR(INDEX(マスタ!$F$2:$F$60,MATCH(B1368,マスタ!$E$2:$E$60,0))&amp;"",""))</f>
        <v/>
      </c>
      <c r="D1368" s="73"/>
      <c r="E1368" s="75"/>
      <c r="F1368" s="75"/>
      <c r="G1368" s="75"/>
      <c r="H1368" s="73"/>
      <c r="I1368" s="75"/>
      <c r="J1368" s="75"/>
      <c r="K1368" s="75"/>
      <c r="L1368" s="73"/>
      <c r="M1368" s="78" t="str">
        <f aca="false">IF(OR(E1368="",F1368=""),"",MAX(0,((F1368-E1368-N(G1368))*1440-N(H1368)*10)/60))</f>
        <v/>
      </c>
      <c r="N1368" s="78" t="str">
        <f aca="false">IF($D1368="欠席",0,IF(OR(I1368="",J1368=""),"",MAX(0,((J1368-I1368-N(K1368))*1440-N(L1368)*10)/60)))</f>
        <v/>
      </c>
      <c r="O1368" s="73"/>
    </row>
    <row r="1369" customFormat="false" ht="15" hidden="false" customHeight="false" outlineLevel="0" collapsed="false">
      <c r="A1369" s="77"/>
      <c r="B1369" s="73"/>
      <c r="C1369" s="71" t="str">
        <f aca="false">IF(B1369="","",IFERROR(INDEX(マスタ!$F$2:$F$60,MATCH(B1369,マスタ!$E$2:$E$60,0))&amp;"",""))</f>
        <v/>
      </c>
      <c r="D1369" s="73"/>
      <c r="E1369" s="75"/>
      <c r="F1369" s="75"/>
      <c r="G1369" s="75"/>
      <c r="H1369" s="73"/>
      <c r="I1369" s="75"/>
      <c r="J1369" s="75"/>
      <c r="K1369" s="75"/>
      <c r="L1369" s="73"/>
      <c r="M1369" s="78" t="str">
        <f aca="false">IF(OR(E1369="",F1369=""),"",MAX(0,((F1369-E1369-N(G1369))*1440-N(H1369)*10)/60))</f>
        <v/>
      </c>
      <c r="N1369" s="78" t="str">
        <f aca="false">IF($D1369="欠席",0,IF(OR(I1369="",J1369=""),"",MAX(0,((J1369-I1369-N(K1369))*1440-N(L1369)*10)/60)))</f>
        <v/>
      </c>
      <c r="O1369" s="73"/>
    </row>
    <row r="1370" customFormat="false" ht="15" hidden="false" customHeight="false" outlineLevel="0" collapsed="false">
      <c r="A1370" s="77"/>
      <c r="B1370" s="73"/>
      <c r="C1370" s="71" t="str">
        <f aca="false">IF(B1370="","",IFERROR(INDEX(マスタ!$F$2:$F$60,MATCH(B1370,マスタ!$E$2:$E$60,0))&amp;"",""))</f>
        <v/>
      </c>
      <c r="D1370" s="73"/>
      <c r="E1370" s="75"/>
      <c r="F1370" s="75"/>
      <c r="G1370" s="75"/>
      <c r="H1370" s="73"/>
      <c r="I1370" s="75"/>
      <c r="J1370" s="75"/>
      <c r="K1370" s="75"/>
      <c r="L1370" s="73"/>
      <c r="M1370" s="78" t="str">
        <f aca="false">IF(OR(E1370="",F1370=""),"",MAX(0,((F1370-E1370-N(G1370))*1440-N(H1370)*10)/60))</f>
        <v/>
      </c>
      <c r="N1370" s="78" t="str">
        <f aca="false">IF($D1370="欠席",0,IF(OR(I1370="",J1370=""),"",MAX(0,((J1370-I1370-N(K1370))*1440-N(L1370)*10)/60)))</f>
        <v/>
      </c>
      <c r="O1370" s="73"/>
    </row>
    <row r="1371" customFormat="false" ht="15" hidden="false" customHeight="false" outlineLevel="0" collapsed="false">
      <c r="A1371" s="77"/>
      <c r="B1371" s="73"/>
      <c r="C1371" s="71" t="str">
        <f aca="false">IF(B1371="","",IFERROR(INDEX(マスタ!$F$2:$F$60,MATCH(B1371,マスタ!$E$2:$E$60,0))&amp;"",""))</f>
        <v/>
      </c>
      <c r="D1371" s="73"/>
      <c r="E1371" s="75"/>
      <c r="F1371" s="75"/>
      <c r="G1371" s="75"/>
      <c r="H1371" s="73"/>
      <c r="I1371" s="75"/>
      <c r="J1371" s="75"/>
      <c r="K1371" s="75"/>
      <c r="L1371" s="73"/>
      <c r="M1371" s="78" t="str">
        <f aca="false">IF(OR(E1371="",F1371=""),"",MAX(0,((F1371-E1371-N(G1371))*1440-N(H1371)*10)/60))</f>
        <v/>
      </c>
      <c r="N1371" s="78" t="str">
        <f aca="false">IF($D1371="欠席",0,IF(OR(I1371="",J1371=""),"",MAX(0,((J1371-I1371-N(K1371))*1440-N(L1371)*10)/60)))</f>
        <v/>
      </c>
      <c r="O1371" s="73"/>
    </row>
    <row r="1372" customFormat="false" ht="15" hidden="false" customHeight="false" outlineLevel="0" collapsed="false">
      <c r="A1372" s="77"/>
      <c r="B1372" s="73"/>
      <c r="C1372" s="71" t="str">
        <f aca="false">IF(B1372="","",IFERROR(INDEX(マスタ!$F$2:$F$60,MATCH(B1372,マスタ!$E$2:$E$60,0))&amp;"",""))</f>
        <v/>
      </c>
      <c r="D1372" s="73"/>
      <c r="E1372" s="75"/>
      <c r="F1372" s="75"/>
      <c r="G1372" s="75"/>
      <c r="H1372" s="73"/>
      <c r="I1372" s="75"/>
      <c r="J1372" s="75"/>
      <c r="K1372" s="75"/>
      <c r="L1372" s="73"/>
      <c r="M1372" s="78" t="str">
        <f aca="false">IF(OR(E1372="",F1372=""),"",MAX(0,((F1372-E1372-N(G1372))*1440-N(H1372)*10)/60))</f>
        <v/>
      </c>
      <c r="N1372" s="78" t="str">
        <f aca="false">IF($D1372="欠席",0,IF(OR(I1372="",J1372=""),"",MAX(0,((J1372-I1372-N(K1372))*1440-N(L1372)*10)/60)))</f>
        <v/>
      </c>
      <c r="O1372" s="73"/>
    </row>
    <row r="1373" customFormat="false" ht="15" hidden="false" customHeight="false" outlineLevel="0" collapsed="false">
      <c r="A1373" s="77"/>
      <c r="B1373" s="73"/>
      <c r="C1373" s="71" t="str">
        <f aca="false">IF(B1373="","",IFERROR(INDEX(マスタ!$F$2:$F$60,MATCH(B1373,マスタ!$E$2:$E$60,0))&amp;"",""))</f>
        <v/>
      </c>
      <c r="D1373" s="73"/>
      <c r="E1373" s="75"/>
      <c r="F1373" s="75"/>
      <c r="G1373" s="75"/>
      <c r="H1373" s="73"/>
      <c r="I1373" s="75"/>
      <c r="J1373" s="75"/>
      <c r="K1373" s="75"/>
      <c r="L1373" s="73"/>
      <c r="M1373" s="78" t="str">
        <f aca="false">IF(OR(E1373="",F1373=""),"",MAX(0,((F1373-E1373-N(G1373))*1440-N(H1373)*10)/60))</f>
        <v/>
      </c>
      <c r="N1373" s="78" t="str">
        <f aca="false">IF($D1373="欠席",0,IF(OR(I1373="",J1373=""),"",MAX(0,((J1373-I1373-N(K1373))*1440-N(L1373)*10)/60)))</f>
        <v/>
      </c>
      <c r="O1373" s="73"/>
    </row>
    <row r="1374" customFormat="false" ht="15" hidden="false" customHeight="false" outlineLevel="0" collapsed="false">
      <c r="A1374" s="77"/>
      <c r="B1374" s="73"/>
      <c r="C1374" s="71" t="str">
        <f aca="false">IF(B1374="","",IFERROR(INDEX(マスタ!$F$2:$F$60,MATCH(B1374,マスタ!$E$2:$E$60,0))&amp;"",""))</f>
        <v/>
      </c>
      <c r="D1374" s="73"/>
      <c r="E1374" s="75"/>
      <c r="F1374" s="75"/>
      <c r="G1374" s="75"/>
      <c r="H1374" s="73"/>
      <c r="I1374" s="75"/>
      <c r="J1374" s="75"/>
      <c r="K1374" s="75"/>
      <c r="L1374" s="73"/>
      <c r="M1374" s="78" t="str">
        <f aca="false">IF(OR(E1374="",F1374=""),"",MAX(0,((F1374-E1374-N(G1374))*1440-N(H1374)*10)/60))</f>
        <v/>
      </c>
      <c r="N1374" s="78" t="str">
        <f aca="false">IF($D1374="欠席",0,IF(OR(I1374="",J1374=""),"",MAX(0,((J1374-I1374-N(K1374))*1440-N(L1374)*10)/60)))</f>
        <v/>
      </c>
      <c r="O1374" s="73"/>
    </row>
    <row r="1375" customFormat="false" ht="15" hidden="false" customHeight="false" outlineLevel="0" collapsed="false">
      <c r="A1375" s="77"/>
      <c r="B1375" s="73"/>
      <c r="C1375" s="71" t="str">
        <f aca="false">IF(B1375="","",IFERROR(INDEX(マスタ!$F$2:$F$60,MATCH(B1375,マスタ!$E$2:$E$60,0))&amp;"",""))</f>
        <v/>
      </c>
      <c r="D1375" s="73"/>
      <c r="E1375" s="75"/>
      <c r="F1375" s="75"/>
      <c r="G1375" s="75"/>
      <c r="H1375" s="73"/>
      <c r="I1375" s="75"/>
      <c r="J1375" s="75"/>
      <c r="K1375" s="75"/>
      <c r="L1375" s="73"/>
      <c r="M1375" s="78" t="str">
        <f aca="false">IF(OR(E1375="",F1375=""),"",MAX(0,((F1375-E1375-N(G1375))*1440-N(H1375)*10)/60))</f>
        <v/>
      </c>
      <c r="N1375" s="78" t="str">
        <f aca="false">IF($D1375="欠席",0,IF(OR(I1375="",J1375=""),"",MAX(0,((J1375-I1375-N(K1375))*1440-N(L1375)*10)/60)))</f>
        <v/>
      </c>
      <c r="O1375" s="73"/>
    </row>
    <row r="1376" customFormat="false" ht="15" hidden="false" customHeight="false" outlineLevel="0" collapsed="false">
      <c r="A1376" s="77"/>
      <c r="B1376" s="73"/>
      <c r="C1376" s="71" t="str">
        <f aca="false">IF(B1376="","",IFERROR(INDEX(マスタ!$F$2:$F$60,MATCH(B1376,マスタ!$E$2:$E$60,0))&amp;"",""))</f>
        <v/>
      </c>
      <c r="D1376" s="73"/>
      <c r="E1376" s="75"/>
      <c r="F1376" s="75"/>
      <c r="G1376" s="75"/>
      <c r="H1376" s="73"/>
      <c r="I1376" s="75"/>
      <c r="J1376" s="75"/>
      <c r="K1376" s="75"/>
      <c r="L1376" s="73"/>
      <c r="M1376" s="78" t="str">
        <f aca="false">IF(OR(E1376="",F1376=""),"",MAX(0,((F1376-E1376-N(G1376))*1440-N(H1376)*10)/60))</f>
        <v/>
      </c>
      <c r="N1376" s="78" t="str">
        <f aca="false">IF($D1376="欠席",0,IF(OR(I1376="",J1376=""),"",MAX(0,((J1376-I1376-N(K1376))*1440-N(L1376)*10)/60)))</f>
        <v/>
      </c>
      <c r="O1376" s="73"/>
    </row>
    <row r="1377" customFormat="false" ht="15" hidden="false" customHeight="false" outlineLevel="0" collapsed="false">
      <c r="A1377" s="77"/>
      <c r="B1377" s="73"/>
      <c r="C1377" s="71" t="str">
        <f aca="false">IF(B1377="","",IFERROR(INDEX(マスタ!$F$2:$F$60,MATCH(B1377,マスタ!$E$2:$E$60,0))&amp;"",""))</f>
        <v/>
      </c>
      <c r="D1377" s="73"/>
      <c r="E1377" s="75"/>
      <c r="F1377" s="75"/>
      <c r="G1377" s="75"/>
      <c r="H1377" s="73"/>
      <c r="I1377" s="75"/>
      <c r="J1377" s="75"/>
      <c r="K1377" s="75"/>
      <c r="L1377" s="73"/>
      <c r="M1377" s="78" t="str">
        <f aca="false">IF(OR(E1377="",F1377=""),"",MAX(0,((F1377-E1377-N(G1377))*1440-N(H1377)*10)/60))</f>
        <v/>
      </c>
      <c r="N1377" s="78" t="str">
        <f aca="false">IF($D1377="欠席",0,IF(OR(I1377="",J1377=""),"",MAX(0,((J1377-I1377-N(K1377))*1440-N(L1377)*10)/60)))</f>
        <v/>
      </c>
      <c r="O1377" s="73"/>
    </row>
    <row r="1378" customFormat="false" ht="15" hidden="false" customHeight="false" outlineLevel="0" collapsed="false">
      <c r="A1378" s="77"/>
      <c r="B1378" s="73"/>
      <c r="C1378" s="71" t="str">
        <f aca="false">IF(B1378="","",IFERROR(INDEX(マスタ!$F$2:$F$60,MATCH(B1378,マスタ!$E$2:$E$60,0))&amp;"",""))</f>
        <v/>
      </c>
      <c r="D1378" s="73"/>
      <c r="E1378" s="75"/>
      <c r="F1378" s="75"/>
      <c r="G1378" s="75"/>
      <c r="H1378" s="73"/>
      <c r="I1378" s="75"/>
      <c r="J1378" s="75"/>
      <c r="K1378" s="75"/>
      <c r="L1378" s="73"/>
      <c r="M1378" s="78" t="str">
        <f aca="false">IF(OR(E1378="",F1378=""),"",MAX(0,((F1378-E1378-N(G1378))*1440-N(H1378)*10)/60))</f>
        <v/>
      </c>
      <c r="N1378" s="78" t="str">
        <f aca="false">IF($D1378="欠席",0,IF(OR(I1378="",J1378=""),"",MAX(0,((J1378-I1378-N(K1378))*1440-N(L1378)*10)/60)))</f>
        <v/>
      </c>
      <c r="O1378" s="73"/>
    </row>
    <row r="1379" customFormat="false" ht="15" hidden="false" customHeight="false" outlineLevel="0" collapsed="false">
      <c r="A1379" s="77"/>
      <c r="B1379" s="73"/>
      <c r="C1379" s="71" t="str">
        <f aca="false">IF(B1379="","",IFERROR(INDEX(マスタ!$F$2:$F$60,MATCH(B1379,マスタ!$E$2:$E$60,0))&amp;"",""))</f>
        <v/>
      </c>
      <c r="D1379" s="73"/>
      <c r="E1379" s="75"/>
      <c r="F1379" s="75"/>
      <c r="G1379" s="75"/>
      <c r="H1379" s="73"/>
      <c r="I1379" s="75"/>
      <c r="J1379" s="75"/>
      <c r="K1379" s="75"/>
      <c r="L1379" s="73"/>
      <c r="M1379" s="78" t="str">
        <f aca="false">IF(OR(E1379="",F1379=""),"",MAX(0,((F1379-E1379-N(G1379))*1440-N(H1379)*10)/60))</f>
        <v/>
      </c>
      <c r="N1379" s="78" t="str">
        <f aca="false">IF($D1379="欠席",0,IF(OR(I1379="",J1379=""),"",MAX(0,((J1379-I1379-N(K1379))*1440-N(L1379)*10)/60)))</f>
        <v/>
      </c>
      <c r="O1379" s="73"/>
    </row>
    <row r="1380" customFormat="false" ht="15" hidden="false" customHeight="false" outlineLevel="0" collapsed="false">
      <c r="A1380" s="77"/>
      <c r="B1380" s="73"/>
      <c r="C1380" s="71" t="str">
        <f aca="false">IF(B1380="","",IFERROR(INDEX(マスタ!$F$2:$F$60,MATCH(B1380,マスタ!$E$2:$E$60,0))&amp;"",""))</f>
        <v/>
      </c>
      <c r="D1380" s="73"/>
      <c r="E1380" s="75"/>
      <c r="F1380" s="75"/>
      <c r="G1380" s="75"/>
      <c r="H1380" s="73"/>
      <c r="I1380" s="75"/>
      <c r="J1380" s="75"/>
      <c r="K1380" s="75"/>
      <c r="L1380" s="73"/>
      <c r="M1380" s="78" t="str">
        <f aca="false">IF(OR(E1380="",F1380=""),"",MAX(0,((F1380-E1380-N(G1380))*1440-N(H1380)*10)/60))</f>
        <v/>
      </c>
      <c r="N1380" s="78" t="str">
        <f aca="false">IF($D1380="欠席",0,IF(OR(I1380="",J1380=""),"",MAX(0,((J1380-I1380-N(K1380))*1440-N(L1380)*10)/60)))</f>
        <v/>
      </c>
      <c r="O1380" s="73"/>
    </row>
    <row r="1381" customFormat="false" ht="15" hidden="false" customHeight="false" outlineLevel="0" collapsed="false">
      <c r="A1381" s="77"/>
      <c r="B1381" s="73"/>
      <c r="C1381" s="71" t="str">
        <f aca="false">IF(B1381="","",IFERROR(INDEX(マスタ!$F$2:$F$60,MATCH(B1381,マスタ!$E$2:$E$60,0))&amp;"",""))</f>
        <v/>
      </c>
      <c r="D1381" s="73"/>
      <c r="E1381" s="75"/>
      <c r="F1381" s="75"/>
      <c r="G1381" s="75"/>
      <c r="H1381" s="73"/>
      <c r="I1381" s="75"/>
      <c r="J1381" s="75"/>
      <c r="K1381" s="75"/>
      <c r="L1381" s="73"/>
      <c r="M1381" s="78" t="str">
        <f aca="false">IF(OR(E1381="",F1381=""),"",MAX(0,((F1381-E1381-N(G1381))*1440-N(H1381)*10)/60))</f>
        <v/>
      </c>
      <c r="N1381" s="78" t="str">
        <f aca="false">IF($D1381="欠席",0,IF(OR(I1381="",J1381=""),"",MAX(0,((J1381-I1381-N(K1381))*1440-N(L1381)*10)/60)))</f>
        <v/>
      </c>
      <c r="O1381" s="73"/>
    </row>
    <row r="1382" customFormat="false" ht="15" hidden="false" customHeight="false" outlineLevel="0" collapsed="false">
      <c r="A1382" s="77"/>
      <c r="B1382" s="73"/>
      <c r="C1382" s="71" t="str">
        <f aca="false">IF(B1382="","",IFERROR(INDEX(マスタ!$F$2:$F$60,MATCH(B1382,マスタ!$E$2:$E$60,0))&amp;"",""))</f>
        <v/>
      </c>
      <c r="D1382" s="73"/>
      <c r="E1382" s="75"/>
      <c r="F1382" s="75"/>
      <c r="G1382" s="75"/>
      <c r="H1382" s="73"/>
      <c r="I1382" s="75"/>
      <c r="J1382" s="75"/>
      <c r="K1382" s="75"/>
      <c r="L1382" s="73"/>
      <c r="M1382" s="78" t="str">
        <f aca="false">IF(OR(E1382="",F1382=""),"",MAX(0,((F1382-E1382-N(G1382))*1440-N(H1382)*10)/60))</f>
        <v/>
      </c>
      <c r="N1382" s="78" t="str">
        <f aca="false">IF($D1382="欠席",0,IF(OR(I1382="",J1382=""),"",MAX(0,((J1382-I1382-N(K1382))*1440-N(L1382)*10)/60)))</f>
        <v/>
      </c>
      <c r="O1382" s="73"/>
    </row>
    <row r="1383" customFormat="false" ht="15" hidden="false" customHeight="false" outlineLevel="0" collapsed="false">
      <c r="A1383" s="77"/>
      <c r="B1383" s="73"/>
      <c r="C1383" s="71" t="str">
        <f aca="false">IF(B1383="","",IFERROR(INDEX(マスタ!$F$2:$F$60,MATCH(B1383,マスタ!$E$2:$E$60,0))&amp;"",""))</f>
        <v/>
      </c>
      <c r="D1383" s="73"/>
      <c r="E1383" s="75"/>
      <c r="F1383" s="75"/>
      <c r="G1383" s="75"/>
      <c r="H1383" s="73"/>
      <c r="I1383" s="75"/>
      <c r="J1383" s="75"/>
      <c r="K1383" s="75"/>
      <c r="L1383" s="73"/>
      <c r="M1383" s="78" t="str">
        <f aca="false">IF(OR(E1383="",F1383=""),"",MAX(0,((F1383-E1383-N(G1383))*1440-N(H1383)*10)/60))</f>
        <v/>
      </c>
      <c r="N1383" s="78" t="str">
        <f aca="false">IF($D1383="欠席",0,IF(OR(I1383="",J1383=""),"",MAX(0,((J1383-I1383-N(K1383))*1440-N(L1383)*10)/60)))</f>
        <v/>
      </c>
      <c r="O1383" s="73"/>
    </row>
    <row r="1384" customFormat="false" ht="15" hidden="false" customHeight="false" outlineLevel="0" collapsed="false">
      <c r="A1384" s="77"/>
      <c r="B1384" s="73"/>
      <c r="C1384" s="71" t="str">
        <f aca="false">IF(B1384="","",IFERROR(INDEX(マスタ!$F$2:$F$60,MATCH(B1384,マスタ!$E$2:$E$60,0))&amp;"",""))</f>
        <v/>
      </c>
      <c r="D1384" s="73"/>
      <c r="E1384" s="75"/>
      <c r="F1384" s="75"/>
      <c r="G1384" s="75"/>
      <c r="H1384" s="73"/>
      <c r="I1384" s="75"/>
      <c r="J1384" s="75"/>
      <c r="K1384" s="75"/>
      <c r="L1384" s="73"/>
      <c r="M1384" s="78" t="str">
        <f aca="false">IF(OR(E1384="",F1384=""),"",MAX(0,((F1384-E1384-N(G1384))*1440-N(H1384)*10)/60))</f>
        <v/>
      </c>
      <c r="N1384" s="78" t="str">
        <f aca="false">IF($D1384="欠席",0,IF(OR(I1384="",J1384=""),"",MAX(0,((J1384-I1384-N(K1384))*1440-N(L1384)*10)/60)))</f>
        <v/>
      </c>
      <c r="O1384" s="73"/>
    </row>
    <row r="1385" customFormat="false" ht="15" hidden="false" customHeight="false" outlineLevel="0" collapsed="false">
      <c r="A1385" s="77"/>
      <c r="B1385" s="73"/>
      <c r="C1385" s="71" t="str">
        <f aca="false">IF(B1385="","",IFERROR(INDEX(マスタ!$F$2:$F$60,MATCH(B1385,マスタ!$E$2:$E$60,0))&amp;"",""))</f>
        <v/>
      </c>
      <c r="D1385" s="73"/>
      <c r="E1385" s="75"/>
      <c r="F1385" s="75"/>
      <c r="G1385" s="75"/>
      <c r="H1385" s="73"/>
      <c r="I1385" s="75"/>
      <c r="J1385" s="75"/>
      <c r="K1385" s="75"/>
      <c r="L1385" s="73"/>
      <c r="M1385" s="78" t="str">
        <f aca="false">IF(OR(E1385="",F1385=""),"",MAX(0,((F1385-E1385-N(G1385))*1440-N(H1385)*10)/60))</f>
        <v/>
      </c>
      <c r="N1385" s="78" t="str">
        <f aca="false">IF($D1385="欠席",0,IF(OR(I1385="",J1385=""),"",MAX(0,((J1385-I1385-N(K1385))*1440-N(L1385)*10)/60)))</f>
        <v/>
      </c>
      <c r="O1385" s="73"/>
    </row>
    <row r="1386" customFormat="false" ht="15" hidden="false" customHeight="false" outlineLevel="0" collapsed="false">
      <c r="A1386" s="77"/>
      <c r="B1386" s="73"/>
      <c r="C1386" s="71" t="str">
        <f aca="false">IF(B1386="","",IFERROR(INDEX(マスタ!$F$2:$F$60,MATCH(B1386,マスタ!$E$2:$E$60,0))&amp;"",""))</f>
        <v/>
      </c>
      <c r="D1386" s="73"/>
      <c r="E1386" s="75"/>
      <c r="F1386" s="75"/>
      <c r="G1386" s="75"/>
      <c r="H1386" s="73"/>
      <c r="I1386" s="75"/>
      <c r="J1386" s="75"/>
      <c r="K1386" s="75"/>
      <c r="L1386" s="73"/>
      <c r="M1386" s="78" t="str">
        <f aca="false">IF(OR(E1386="",F1386=""),"",MAX(0,((F1386-E1386-N(G1386))*1440-N(H1386)*10)/60))</f>
        <v/>
      </c>
      <c r="N1386" s="78" t="str">
        <f aca="false">IF($D1386="欠席",0,IF(OR(I1386="",J1386=""),"",MAX(0,((J1386-I1386-N(K1386))*1440-N(L1386)*10)/60)))</f>
        <v/>
      </c>
      <c r="O1386" s="73"/>
    </row>
    <row r="1387" customFormat="false" ht="15" hidden="false" customHeight="false" outlineLevel="0" collapsed="false">
      <c r="A1387" s="77"/>
      <c r="B1387" s="73"/>
      <c r="C1387" s="71" t="str">
        <f aca="false">IF(B1387="","",IFERROR(INDEX(マスタ!$F$2:$F$60,MATCH(B1387,マスタ!$E$2:$E$60,0))&amp;"",""))</f>
        <v/>
      </c>
      <c r="D1387" s="73"/>
      <c r="E1387" s="75"/>
      <c r="F1387" s="75"/>
      <c r="G1387" s="75"/>
      <c r="H1387" s="73"/>
      <c r="I1387" s="75"/>
      <c r="J1387" s="75"/>
      <c r="K1387" s="75"/>
      <c r="L1387" s="73"/>
      <c r="M1387" s="78" t="str">
        <f aca="false">IF(OR(E1387="",F1387=""),"",MAX(0,((F1387-E1387-N(G1387))*1440-N(H1387)*10)/60))</f>
        <v/>
      </c>
      <c r="N1387" s="78" t="str">
        <f aca="false">IF($D1387="欠席",0,IF(OR(I1387="",J1387=""),"",MAX(0,((J1387-I1387-N(K1387))*1440-N(L1387)*10)/60)))</f>
        <v/>
      </c>
      <c r="O1387" s="73"/>
    </row>
    <row r="1388" customFormat="false" ht="15" hidden="false" customHeight="false" outlineLevel="0" collapsed="false">
      <c r="A1388" s="77"/>
      <c r="B1388" s="73"/>
      <c r="C1388" s="71" t="str">
        <f aca="false">IF(B1388="","",IFERROR(INDEX(マスタ!$F$2:$F$60,MATCH(B1388,マスタ!$E$2:$E$60,0))&amp;"",""))</f>
        <v/>
      </c>
      <c r="D1388" s="73"/>
      <c r="E1388" s="75"/>
      <c r="F1388" s="75"/>
      <c r="G1388" s="75"/>
      <c r="H1388" s="73"/>
      <c r="I1388" s="75"/>
      <c r="J1388" s="75"/>
      <c r="K1388" s="75"/>
      <c r="L1388" s="73"/>
      <c r="M1388" s="78" t="str">
        <f aca="false">IF(OR(E1388="",F1388=""),"",MAX(0,((F1388-E1388-N(G1388))*1440-N(H1388)*10)/60))</f>
        <v/>
      </c>
      <c r="N1388" s="78" t="str">
        <f aca="false">IF($D1388="欠席",0,IF(OR(I1388="",J1388=""),"",MAX(0,((J1388-I1388-N(K1388))*1440-N(L1388)*10)/60)))</f>
        <v/>
      </c>
      <c r="O1388" s="73"/>
    </row>
    <row r="1389" customFormat="false" ht="15" hidden="false" customHeight="false" outlineLevel="0" collapsed="false">
      <c r="A1389" s="77"/>
      <c r="B1389" s="73"/>
      <c r="C1389" s="71" t="str">
        <f aca="false">IF(B1389="","",IFERROR(INDEX(マスタ!$F$2:$F$60,MATCH(B1389,マスタ!$E$2:$E$60,0))&amp;"",""))</f>
        <v/>
      </c>
      <c r="D1389" s="73"/>
      <c r="E1389" s="75"/>
      <c r="F1389" s="75"/>
      <c r="G1389" s="75"/>
      <c r="H1389" s="73"/>
      <c r="I1389" s="75"/>
      <c r="J1389" s="75"/>
      <c r="K1389" s="75"/>
      <c r="L1389" s="73"/>
      <c r="M1389" s="78" t="str">
        <f aca="false">IF(OR(E1389="",F1389=""),"",MAX(0,((F1389-E1389-N(G1389))*1440-N(H1389)*10)/60))</f>
        <v/>
      </c>
      <c r="N1389" s="78" t="str">
        <f aca="false">IF($D1389="欠席",0,IF(OR(I1389="",J1389=""),"",MAX(0,((J1389-I1389-N(K1389))*1440-N(L1389)*10)/60)))</f>
        <v/>
      </c>
      <c r="O1389" s="73"/>
    </row>
    <row r="1390" customFormat="false" ht="15" hidden="false" customHeight="false" outlineLevel="0" collapsed="false">
      <c r="A1390" s="77"/>
      <c r="B1390" s="73"/>
      <c r="C1390" s="71" t="str">
        <f aca="false">IF(B1390="","",IFERROR(INDEX(マスタ!$F$2:$F$60,MATCH(B1390,マスタ!$E$2:$E$60,0))&amp;"",""))</f>
        <v/>
      </c>
      <c r="D1390" s="73"/>
      <c r="E1390" s="75"/>
      <c r="F1390" s="75"/>
      <c r="G1390" s="75"/>
      <c r="H1390" s="73"/>
      <c r="I1390" s="75"/>
      <c r="J1390" s="75"/>
      <c r="K1390" s="75"/>
      <c r="L1390" s="73"/>
      <c r="M1390" s="78" t="str">
        <f aca="false">IF(OR(E1390="",F1390=""),"",MAX(0,((F1390-E1390-N(G1390))*1440-N(H1390)*10)/60))</f>
        <v/>
      </c>
      <c r="N1390" s="78" t="str">
        <f aca="false">IF($D1390="欠席",0,IF(OR(I1390="",J1390=""),"",MAX(0,((J1390-I1390-N(K1390))*1440-N(L1390)*10)/60)))</f>
        <v/>
      </c>
      <c r="O1390" s="73"/>
    </row>
    <row r="1391" customFormat="false" ht="15" hidden="false" customHeight="false" outlineLevel="0" collapsed="false">
      <c r="A1391" s="77"/>
      <c r="B1391" s="73"/>
      <c r="C1391" s="71" t="str">
        <f aca="false">IF(B1391="","",IFERROR(INDEX(マスタ!$F$2:$F$60,MATCH(B1391,マスタ!$E$2:$E$60,0))&amp;"",""))</f>
        <v/>
      </c>
      <c r="D1391" s="73"/>
      <c r="E1391" s="75"/>
      <c r="F1391" s="75"/>
      <c r="G1391" s="75"/>
      <c r="H1391" s="73"/>
      <c r="I1391" s="75"/>
      <c r="J1391" s="75"/>
      <c r="K1391" s="75"/>
      <c r="L1391" s="73"/>
      <c r="M1391" s="78" t="str">
        <f aca="false">IF(OR(E1391="",F1391=""),"",MAX(0,((F1391-E1391-N(G1391))*1440-N(H1391)*10)/60))</f>
        <v/>
      </c>
      <c r="N1391" s="78" t="str">
        <f aca="false">IF($D1391="欠席",0,IF(OR(I1391="",J1391=""),"",MAX(0,((J1391-I1391-N(K1391))*1440-N(L1391)*10)/60)))</f>
        <v/>
      </c>
      <c r="O1391" s="73"/>
    </row>
    <row r="1392" customFormat="false" ht="15" hidden="false" customHeight="false" outlineLevel="0" collapsed="false">
      <c r="A1392" s="77"/>
      <c r="B1392" s="73"/>
      <c r="C1392" s="71" t="str">
        <f aca="false">IF(B1392="","",IFERROR(INDEX(マスタ!$F$2:$F$60,MATCH(B1392,マスタ!$E$2:$E$60,0))&amp;"",""))</f>
        <v/>
      </c>
      <c r="D1392" s="73"/>
      <c r="E1392" s="75"/>
      <c r="F1392" s="75"/>
      <c r="G1392" s="75"/>
      <c r="H1392" s="73"/>
      <c r="I1392" s="75"/>
      <c r="J1392" s="75"/>
      <c r="K1392" s="75"/>
      <c r="L1392" s="73"/>
      <c r="M1392" s="78" t="str">
        <f aca="false">IF(OR(E1392="",F1392=""),"",MAX(0,((F1392-E1392-N(G1392))*1440-N(H1392)*10)/60))</f>
        <v/>
      </c>
      <c r="N1392" s="78" t="str">
        <f aca="false">IF($D1392="欠席",0,IF(OR(I1392="",J1392=""),"",MAX(0,((J1392-I1392-N(K1392))*1440-N(L1392)*10)/60)))</f>
        <v/>
      </c>
      <c r="O1392" s="73"/>
    </row>
    <row r="1393" customFormat="false" ht="15" hidden="false" customHeight="false" outlineLevel="0" collapsed="false">
      <c r="A1393" s="77"/>
      <c r="B1393" s="73"/>
      <c r="C1393" s="71" t="str">
        <f aca="false">IF(B1393="","",IFERROR(INDEX(マスタ!$F$2:$F$60,MATCH(B1393,マスタ!$E$2:$E$60,0))&amp;"",""))</f>
        <v/>
      </c>
      <c r="D1393" s="73"/>
      <c r="E1393" s="75"/>
      <c r="F1393" s="75"/>
      <c r="G1393" s="75"/>
      <c r="H1393" s="73"/>
      <c r="I1393" s="75"/>
      <c r="J1393" s="75"/>
      <c r="K1393" s="75"/>
      <c r="L1393" s="73"/>
      <c r="M1393" s="78" t="str">
        <f aca="false">IF(OR(E1393="",F1393=""),"",MAX(0,((F1393-E1393-N(G1393))*1440-N(H1393)*10)/60))</f>
        <v/>
      </c>
      <c r="N1393" s="78" t="str">
        <f aca="false">IF($D1393="欠席",0,IF(OR(I1393="",J1393=""),"",MAX(0,((J1393-I1393-N(K1393))*1440-N(L1393)*10)/60)))</f>
        <v/>
      </c>
      <c r="O1393" s="73"/>
    </row>
    <row r="1394" customFormat="false" ht="15" hidden="false" customHeight="false" outlineLevel="0" collapsed="false">
      <c r="A1394" s="77"/>
      <c r="B1394" s="73"/>
      <c r="C1394" s="71" t="str">
        <f aca="false">IF(B1394="","",IFERROR(INDEX(マスタ!$F$2:$F$60,MATCH(B1394,マスタ!$E$2:$E$60,0))&amp;"",""))</f>
        <v/>
      </c>
      <c r="D1394" s="73"/>
      <c r="E1394" s="75"/>
      <c r="F1394" s="75"/>
      <c r="G1394" s="75"/>
      <c r="H1394" s="73"/>
      <c r="I1394" s="75"/>
      <c r="J1394" s="75"/>
      <c r="K1394" s="75"/>
      <c r="L1394" s="73"/>
      <c r="M1394" s="78" t="str">
        <f aca="false">IF(OR(E1394="",F1394=""),"",MAX(0,((F1394-E1394-N(G1394))*1440-N(H1394)*10)/60))</f>
        <v/>
      </c>
      <c r="N1394" s="78" t="str">
        <f aca="false">IF($D1394="欠席",0,IF(OR(I1394="",J1394=""),"",MAX(0,((J1394-I1394-N(K1394))*1440-N(L1394)*10)/60)))</f>
        <v/>
      </c>
      <c r="O1394" s="73"/>
    </row>
    <row r="1395" customFormat="false" ht="15" hidden="false" customHeight="false" outlineLevel="0" collapsed="false">
      <c r="A1395" s="77"/>
      <c r="B1395" s="73"/>
      <c r="C1395" s="71" t="str">
        <f aca="false">IF(B1395="","",IFERROR(INDEX(マスタ!$F$2:$F$60,MATCH(B1395,マスタ!$E$2:$E$60,0))&amp;"",""))</f>
        <v/>
      </c>
      <c r="D1395" s="73"/>
      <c r="E1395" s="75"/>
      <c r="F1395" s="75"/>
      <c r="G1395" s="75"/>
      <c r="H1395" s="73"/>
      <c r="I1395" s="75"/>
      <c r="J1395" s="75"/>
      <c r="K1395" s="75"/>
      <c r="L1395" s="73"/>
      <c r="M1395" s="78" t="str">
        <f aca="false">IF(OR(E1395="",F1395=""),"",MAX(0,((F1395-E1395-N(G1395))*1440-N(H1395)*10)/60))</f>
        <v/>
      </c>
      <c r="N1395" s="78" t="str">
        <f aca="false">IF($D1395="欠席",0,IF(OR(I1395="",J1395=""),"",MAX(0,((J1395-I1395-N(K1395))*1440-N(L1395)*10)/60)))</f>
        <v/>
      </c>
      <c r="O1395" s="73"/>
    </row>
    <row r="1396" customFormat="false" ht="15" hidden="false" customHeight="false" outlineLevel="0" collapsed="false">
      <c r="A1396" s="77"/>
      <c r="B1396" s="73"/>
      <c r="C1396" s="71" t="str">
        <f aca="false">IF(B1396="","",IFERROR(INDEX(マスタ!$F$2:$F$60,MATCH(B1396,マスタ!$E$2:$E$60,0))&amp;"",""))</f>
        <v/>
      </c>
      <c r="D1396" s="73"/>
      <c r="E1396" s="75"/>
      <c r="F1396" s="75"/>
      <c r="G1396" s="75"/>
      <c r="H1396" s="73"/>
      <c r="I1396" s="75"/>
      <c r="J1396" s="75"/>
      <c r="K1396" s="75"/>
      <c r="L1396" s="73"/>
      <c r="M1396" s="78" t="str">
        <f aca="false">IF(OR(E1396="",F1396=""),"",MAX(0,((F1396-E1396-N(G1396))*1440-N(H1396)*10)/60))</f>
        <v/>
      </c>
      <c r="N1396" s="78" t="str">
        <f aca="false">IF($D1396="欠席",0,IF(OR(I1396="",J1396=""),"",MAX(0,((J1396-I1396-N(K1396))*1440-N(L1396)*10)/60)))</f>
        <v/>
      </c>
      <c r="O1396" s="73"/>
    </row>
    <row r="1397" customFormat="false" ht="15" hidden="false" customHeight="false" outlineLevel="0" collapsed="false">
      <c r="A1397" s="77"/>
      <c r="B1397" s="73"/>
      <c r="C1397" s="71" t="str">
        <f aca="false">IF(B1397="","",IFERROR(INDEX(マスタ!$F$2:$F$60,MATCH(B1397,マスタ!$E$2:$E$60,0))&amp;"",""))</f>
        <v/>
      </c>
      <c r="D1397" s="73"/>
      <c r="E1397" s="75"/>
      <c r="F1397" s="75"/>
      <c r="G1397" s="75"/>
      <c r="H1397" s="73"/>
      <c r="I1397" s="75"/>
      <c r="J1397" s="75"/>
      <c r="K1397" s="75"/>
      <c r="L1397" s="73"/>
      <c r="M1397" s="78" t="str">
        <f aca="false">IF(OR(E1397="",F1397=""),"",MAX(0,((F1397-E1397-N(G1397))*1440-N(H1397)*10)/60))</f>
        <v/>
      </c>
      <c r="N1397" s="78" t="str">
        <f aca="false">IF($D1397="欠席",0,IF(OR(I1397="",J1397=""),"",MAX(0,((J1397-I1397-N(K1397))*1440-N(L1397)*10)/60)))</f>
        <v/>
      </c>
      <c r="O1397" s="73"/>
    </row>
    <row r="1398" customFormat="false" ht="15" hidden="false" customHeight="false" outlineLevel="0" collapsed="false">
      <c r="A1398" s="77"/>
      <c r="B1398" s="73"/>
      <c r="C1398" s="71" t="str">
        <f aca="false">IF(B1398="","",IFERROR(INDEX(マスタ!$F$2:$F$60,MATCH(B1398,マスタ!$E$2:$E$60,0))&amp;"",""))</f>
        <v/>
      </c>
      <c r="D1398" s="73"/>
      <c r="E1398" s="75"/>
      <c r="F1398" s="75"/>
      <c r="G1398" s="75"/>
      <c r="H1398" s="73"/>
      <c r="I1398" s="75"/>
      <c r="J1398" s="75"/>
      <c r="K1398" s="75"/>
      <c r="L1398" s="73"/>
      <c r="M1398" s="78" t="str">
        <f aca="false">IF(OR(E1398="",F1398=""),"",MAX(0,((F1398-E1398-N(G1398))*1440-N(H1398)*10)/60))</f>
        <v/>
      </c>
      <c r="N1398" s="78" t="str">
        <f aca="false">IF($D1398="欠席",0,IF(OR(I1398="",J1398=""),"",MAX(0,((J1398-I1398-N(K1398))*1440-N(L1398)*10)/60)))</f>
        <v/>
      </c>
      <c r="O1398" s="73"/>
    </row>
    <row r="1399" customFormat="false" ht="15" hidden="false" customHeight="false" outlineLevel="0" collapsed="false">
      <c r="A1399" s="77"/>
      <c r="B1399" s="73"/>
      <c r="C1399" s="71" t="str">
        <f aca="false">IF(B1399="","",IFERROR(INDEX(マスタ!$F$2:$F$60,MATCH(B1399,マスタ!$E$2:$E$60,0))&amp;"",""))</f>
        <v/>
      </c>
      <c r="D1399" s="73"/>
      <c r="E1399" s="75"/>
      <c r="F1399" s="75"/>
      <c r="G1399" s="75"/>
      <c r="H1399" s="73"/>
      <c r="I1399" s="75"/>
      <c r="J1399" s="75"/>
      <c r="K1399" s="75"/>
      <c r="L1399" s="73"/>
      <c r="M1399" s="78" t="str">
        <f aca="false">IF(OR(E1399="",F1399=""),"",MAX(0,((F1399-E1399-N(G1399))*1440-N(H1399)*10)/60))</f>
        <v/>
      </c>
      <c r="N1399" s="78" t="str">
        <f aca="false">IF($D1399="欠席",0,IF(OR(I1399="",J1399=""),"",MAX(0,((J1399-I1399-N(K1399))*1440-N(L1399)*10)/60)))</f>
        <v/>
      </c>
      <c r="O1399" s="73"/>
    </row>
    <row r="1400" customFormat="false" ht="15" hidden="false" customHeight="false" outlineLevel="0" collapsed="false">
      <c r="A1400" s="77"/>
      <c r="B1400" s="73"/>
      <c r="C1400" s="71" t="str">
        <f aca="false">IF(B1400="","",IFERROR(INDEX(マスタ!$F$2:$F$60,MATCH(B1400,マスタ!$E$2:$E$60,0))&amp;"",""))</f>
        <v/>
      </c>
      <c r="D1400" s="73"/>
      <c r="E1400" s="75"/>
      <c r="F1400" s="75"/>
      <c r="G1400" s="75"/>
      <c r="H1400" s="73"/>
      <c r="I1400" s="75"/>
      <c r="J1400" s="75"/>
      <c r="K1400" s="75"/>
      <c r="L1400" s="73"/>
      <c r="M1400" s="78" t="str">
        <f aca="false">IF(OR(E1400="",F1400=""),"",MAX(0,((F1400-E1400-N(G1400))*1440-N(H1400)*10)/60))</f>
        <v/>
      </c>
      <c r="N1400" s="78" t="str">
        <f aca="false">IF($D1400="欠席",0,IF(OR(I1400="",J1400=""),"",MAX(0,((J1400-I1400-N(K1400))*1440-N(L1400)*10)/60)))</f>
        <v/>
      </c>
      <c r="O1400" s="73"/>
    </row>
    <row r="1401" customFormat="false" ht="15" hidden="false" customHeight="false" outlineLevel="0" collapsed="false">
      <c r="A1401" s="77"/>
      <c r="B1401" s="73"/>
      <c r="C1401" s="71" t="str">
        <f aca="false">IF(B1401="","",IFERROR(INDEX(マスタ!$F$2:$F$60,MATCH(B1401,マスタ!$E$2:$E$60,0))&amp;"",""))</f>
        <v/>
      </c>
      <c r="D1401" s="73"/>
      <c r="E1401" s="75"/>
      <c r="F1401" s="75"/>
      <c r="G1401" s="75"/>
      <c r="H1401" s="73"/>
      <c r="I1401" s="75"/>
      <c r="J1401" s="75"/>
      <c r="K1401" s="75"/>
      <c r="L1401" s="73"/>
      <c r="M1401" s="78" t="str">
        <f aca="false">IF(OR(E1401="",F1401=""),"",MAX(0,((F1401-E1401-N(G1401))*1440-N(H1401)*10)/60))</f>
        <v/>
      </c>
      <c r="N1401" s="78" t="str">
        <f aca="false">IF($D1401="欠席",0,IF(OR(I1401="",J1401=""),"",MAX(0,((J1401-I1401-N(K1401))*1440-N(L1401)*10)/60)))</f>
        <v/>
      </c>
      <c r="O1401" s="73"/>
    </row>
    <row r="1402" customFormat="false" ht="15" hidden="false" customHeight="false" outlineLevel="0" collapsed="false">
      <c r="A1402" s="77"/>
      <c r="B1402" s="73"/>
      <c r="C1402" s="71" t="str">
        <f aca="false">IF(B1402="","",IFERROR(INDEX(マスタ!$F$2:$F$60,MATCH(B1402,マスタ!$E$2:$E$60,0))&amp;"",""))</f>
        <v/>
      </c>
      <c r="D1402" s="73"/>
      <c r="E1402" s="75"/>
      <c r="F1402" s="75"/>
      <c r="G1402" s="75"/>
      <c r="H1402" s="73"/>
      <c r="I1402" s="75"/>
      <c r="J1402" s="75"/>
      <c r="K1402" s="75"/>
      <c r="L1402" s="73"/>
      <c r="M1402" s="78" t="str">
        <f aca="false">IF(OR(E1402="",F1402=""),"",MAX(0,((F1402-E1402-N(G1402))*1440-N(H1402)*10)/60))</f>
        <v/>
      </c>
      <c r="N1402" s="78" t="str">
        <f aca="false">IF($D1402="欠席",0,IF(OR(I1402="",J1402=""),"",MAX(0,((J1402-I1402-N(K1402))*1440-N(L1402)*10)/60)))</f>
        <v/>
      </c>
      <c r="O1402" s="73"/>
    </row>
    <row r="1403" customFormat="false" ht="15" hidden="false" customHeight="false" outlineLevel="0" collapsed="false">
      <c r="A1403" s="77"/>
      <c r="B1403" s="73"/>
      <c r="C1403" s="71" t="str">
        <f aca="false">IF(B1403="","",IFERROR(INDEX(マスタ!$F$2:$F$60,MATCH(B1403,マスタ!$E$2:$E$60,0))&amp;"",""))</f>
        <v/>
      </c>
      <c r="D1403" s="73"/>
      <c r="E1403" s="75"/>
      <c r="F1403" s="75"/>
      <c r="G1403" s="75"/>
      <c r="H1403" s="73"/>
      <c r="I1403" s="75"/>
      <c r="J1403" s="75"/>
      <c r="K1403" s="75"/>
      <c r="L1403" s="73"/>
      <c r="M1403" s="78" t="str">
        <f aca="false">IF(OR(E1403="",F1403=""),"",MAX(0,((F1403-E1403-N(G1403))*1440-N(H1403)*10)/60))</f>
        <v/>
      </c>
      <c r="N1403" s="78" t="str">
        <f aca="false">IF($D1403="欠席",0,IF(OR(I1403="",J1403=""),"",MAX(0,((J1403-I1403-N(K1403))*1440-N(L1403)*10)/60)))</f>
        <v/>
      </c>
      <c r="O1403" s="73"/>
    </row>
    <row r="1404" customFormat="false" ht="15" hidden="false" customHeight="false" outlineLevel="0" collapsed="false">
      <c r="A1404" s="77"/>
      <c r="B1404" s="73"/>
      <c r="C1404" s="71" t="str">
        <f aca="false">IF(B1404="","",IFERROR(INDEX(マスタ!$F$2:$F$60,MATCH(B1404,マスタ!$E$2:$E$60,0))&amp;"",""))</f>
        <v/>
      </c>
      <c r="D1404" s="73"/>
      <c r="E1404" s="75"/>
      <c r="F1404" s="75"/>
      <c r="G1404" s="75"/>
      <c r="H1404" s="73"/>
      <c r="I1404" s="75"/>
      <c r="J1404" s="75"/>
      <c r="K1404" s="75"/>
      <c r="L1404" s="73"/>
      <c r="M1404" s="78" t="str">
        <f aca="false">IF(OR(E1404="",F1404=""),"",MAX(0,((F1404-E1404-N(G1404))*1440-N(H1404)*10)/60))</f>
        <v/>
      </c>
      <c r="N1404" s="78" t="str">
        <f aca="false">IF($D1404="欠席",0,IF(OR(I1404="",J1404=""),"",MAX(0,((J1404-I1404-N(K1404))*1440-N(L1404)*10)/60)))</f>
        <v/>
      </c>
      <c r="O1404" s="73"/>
    </row>
    <row r="1405" customFormat="false" ht="15" hidden="false" customHeight="false" outlineLevel="0" collapsed="false">
      <c r="A1405" s="77"/>
      <c r="B1405" s="73"/>
      <c r="C1405" s="71" t="str">
        <f aca="false">IF(B1405="","",IFERROR(INDEX(マスタ!$F$2:$F$60,MATCH(B1405,マスタ!$E$2:$E$60,0))&amp;"",""))</f>
        <v/>
      </c>
      <c r="D1405" s="73"/>
      <c r="E1405" s="75"/>
      <c r="F1405" s="75"/>
      <c r="G1405" s="75"/>
      <c r="H1405" s="73"/>
      <c r="I1405" s="75"/>
      <c r="J1405" s="75"/>
      <c r="K1405" s="75"/>
      <c r="L1405" s="73"/>
      <c r="M1405" s="78" t="str">
        <f aca="false">IF(OR(E1405="",F1405=""),"",MAX(0,((F1405-E1405-N(G1405))*1440-N(H1405)*10)/60))</f>
        <v/>
      </c>
      <c r="N1405" s="78" t="str">
        <f aca="false">IF($D1405="欠席",0,IF(OR(I1405="",J1405=""),"",MAX(0,((J1405-I1405-N(K1405))*1440-N(L1405)*10)/60)))</f>
        <v/>
      </c>
      <c r="O1405" s="73"/>
    </row>
    <row r="1406" customFormat="false" ht="15" hidden="false" customHeight="false" outlineLevel="0" collapsed="false">
      <c r="A1406" s="77"/>
      <c r="B1406" s="73"/>
      <c r="C1406" s="71" t="str">
        <f aca="false">IF(B1406="","",IFERROR(INDEX(マスタ!$F$2:$F$60,MATCH(B1406,マスタ!$E$2:$E$60,0))&amp;"",""))</f>
        <v/>
      </c>
      <c r="D1406" s="73"/>
      <c r="E1406" s="75"/>
      <c r="F1406" s="75"/>
      <c r="G1406" s="75"/>
      <c r="H1406" s="73"/>
      <c r="I1406" s="75"/>
      <c r="J1406" s="75"/>
      <c r="K1406" s="75"/>
      <c r="L1406" s="73"/>
      <c r="M1406" s="78" t="str">
        <f aca="false">IF(OR(E1406="",F1406=""),"",MAX(0,((F1406-E1406-N(G1406))*1440-N(H1406)*10)/60))</f>
        <v/>
      </c>
      <c r="N1406" s="78" t="str">
        <f aca="false">IF($D1406="欠席",0,IF(OR(I1406="",J1406=""),"",MAX(0,((J1406-I1406-N(K1406))*1440-N(L1406)*10)/60)))</f>
        <v/>
      </c>
      <c r="O1406" s="73"/>
    </row>
    <row r="1407" customFormat="false" ht="15" hidden="false" customHeight="false" outlineLevel="0" collapsed="false">
      <c r="A1407" s="77"/>
      <c r="B1407" s="73"/>
      <c r="C1407" s="71" t="str">
        <f aca="false">IF(B1407="","",IFERROR(INDEX(マスタ!$F$2:$F$60,MATCH(B1407,マスタ!$E$2:$E$60,0))&amp;"",""))</f>
        <v/>
      </c>
      <c r="D1407" s="73"/>
      <c r="E1407" s="75"/>
      <c r="F1407" s="75"/>
      <c r="G1407" s="75"/>
      <c r="H1407" s="73"/>
      <c r="I1407" s="75"/>
      <c r="J1407" s="75"/>
      <c r="K1407" s="75"/>
      <c r="L1407" s="73"/>
      <c r="M1407" s="78" t="str">
        <f aca="false">IF(OR(E1407="",F1407=""),"",MAX(0,((F1407-E1407-N(G1407))*1440-N(H1407)*10)/60))</f>
        <v/>
      </c>
      <c r="N1407" s="78" t="str">
        <f aca="false">IF($D1407="欠席",0,IF(OR(I1407="",J1407=""),"",MAX(0,((J1407-I1407-N(K1407))*1440-N(L1407)*10)/60)))</f>
        <v/>
      </c>
      <c r="O1407" s="73"/>
    </row>
    <row r="1408" customFormat="false" ht="15" hidden="false" customHeight="false" outlineLevel="0" collapsed="false">
      <c r="A1408" s="77"/>
      <c r="B1408" s="73"/>
      <c r="C1408" s="71" t="str">
        <f aca="false">IF(B1408="","",IFERROR(INDEX(マスタ!$F$2:$F$60,MATCH(B1408,マスタ!$E$2:$E$60,0))&amp;"",""))</f>
        <v/>
      </c>
      <c r="D1408" s="73"/>
      <c r="E1408" s="75"/>
      <c r="F1408" s="75"/>
      <c r="G1408" s="75"/>
      <c r="H1408" s="73"/>
      <c r="I1408" s="75"/>
      <c r="J1408" s="75"/>
      <c r="K1408" s="75"/>
      <c r="L1408" s="73"/>
      <c r="M1408" s="78" t="str">
        <f aca="false">IF(OR(E1408="",F1408=""),"",MAX(0,((F1408-E1408-N(G1408))*1440-N(H1408)*10)/60))</f>
        <v/>
      </c>
      <c r="N1408" s="78" t="str">
        <f aca="false">IF($D1408="欠席",0,IF(OR(I1408="",J1408=""),"",MAX(0,((J1408-I1408-N(K1408))*1440-N(L1408)*10)/60)))</f>
        <v/>
      </c>
      <c r="O1408" s="73"/>
    </row>
    <row r="1409" customFormat="false" ht="15" hidden="false" customHeight="false" outlineLevel="0" collapsed="false">
      <c r="A1409" s="77"/>
      <c r="B1409" s="73"/>
      <c r="C1409" s="71" t="str">
        <f aca="false">IF(B1409="","",IFERROR(INDEX(マスタ!$F$2:$F$60,MATCH(B1409,マスタ!$E$2:$E$60,0))&amp;"",""))</f>
        <v/>
      </c>
      <c r="D1409" s="73"/>
      <c r="E1409" s="75"/>
      <c r="F1409" s="75"/>
      <c r="G1409" s="75"/>
      <c r="H1409" s="73"/>
      <c r="I1409" s="75"/>
      <c r="J1409" s="75"/>
      <c r="K1409" s="75"/>
      <c r="L1409" s="73"/>
      <c r="M1409" s="78" t="str">
        <f aca="false">IF(OR(E1409="",F1409=""),"",MAX(0,((F1409-E1409-N(G1409))*1440-N(H1409)*10)/60))</f>
        <v/>
      </c>
      <c r="N1409" s="78" t="str">
        <f aca="false">IF($D1409="欠席",0,IF(OR(I1409="",J1409=""),"",MAX(0,((J1409-I1409-N(K1409))*1440-N(L1409)*10)/60)))</f>
        <v/>
      </c>
      <c r="O1409" s="73"/>
    </row>
    <row r="1410" customFormat="false" ht="15" hidden="false" customHeight="false" outlineLevel="0" collapsed="false">
      <c r="A1410" s="77"/>
      <c r="B1410" s="73"/>
      <c r="C1410" s="71" t="str">
        <f aca="false">IF(B1410="","",IFERROR(INDEX(マスタ!$F$2:$F$60,MATCH(B1410,マスタ!$E$2:$E$60,0))&amp;"",""))</f>
        <v/>
      </c>
      <c r="D1410" s="73"/>
      <c r="E1410" s="75"/>
      <c r="F1410" s="75"/>
      <c r="G1410" s="75"/>
      <c r="H1410" s="73"/>
      <c r="I1410" s="75"/>
      <c r="J1410" s="75"/>
      <c r="K1410" s="75"/>
      <c r="L1410" s="73"/>
      <c r="M1410" s="78" t="str">
        <f aca="false">IF(OR(E1410="",F1410=""),"",MAX(0,((F1410-E1410-N(G1410))*1440-N(H1410)*10)/60))</f>
        <v/>
      </c>
      <c r="N1410" s="78" t="str">
        <f aca="false">IF($D1410="欠席",0,IF(OR(I1410="",J1410=""),"",MAX(0,((J1410-I1410-N(K1410))*1440-N(L1410)*10)/60)))</f>
        <v/>
      </c>
      <c r="O1410" s="73"/>
    </row>
    <row r="1411" customFormat="false" ht="15" hidden="false" customHeight="false" outlineLevel="0" collapsed="false">
      <c r="A1411" s="77"/>
      <c r="B1411" s="73"/>
      <c r="C1411" s="71" t="str">
        <f aca="false">IF(B1411="","",IFERROR(INDEX(マスタ!$F$2:$F$60,MATCH(B1411,マスタ!$E$2:$E$60,0))&amp;"",""))</f>
        <v/>
      </c>
      <c r="D1411" s="73"/>
      <c r="E1411" s="75"/>
      <c r="F1411" s="75"/>
      <c r="G1411" s="75"/>
      <c r="H1411" s="73"/>
      <c r="I1411" s="75"/>
      <c r="J1411" s="75"/>
      <c r="K1411" s="75"/>
      <c r="L1411" s="73"/>
      <c r="M1411" s="78" t="str">
        <f aca="false">IF(OR(E1411="",F1411=""),"",MAX(0,((F1411-E1411-N(G1411))*1440-N(H1411)*10)/60))</f>
        <v/>
      </c>
      <c r="N1411" s="78" t="str">
        <f aca="false">IF($D1411="欠席",0,IF(OR(I1411="",J1411=""),"",MAX(0,((J1411-I1411-N(K1411))*1440-N(L1411)*10)/60)))</f>
        <v/>
      </c>
      <c r="O1411" s="73"/>
    </row>
    <row r="1412" customFormat="false" ht="15" hidden="false" customHeight="false" outlineLevel="0" collapsed="false">
      <c r="A1412" s="77"/>
      <c r="B1412" s="73"/>
      <c r="C1412" s="71" t="str">
        <f aca="false">IF(B1412="","",IFERROR(INDEX(マスタ!$F$2:$F$60,MATCH(B1412,マスタ!$E$2:$E$60,0))&amp;"",""))</f>
        <v/>
      </c>
      <c r="D1412" s="73"/>
      <c r="E1412" s="75"/>
      <c r="F1412" s="75"/>
      <c r="G1412" s="75"/>
      <c r="H1412" s="73"/>
      <c r="I1412" s="75"/>
      <c r="J1412" s="75"/>
      <c r="K1412" s="75"/>
      <c r="L1412" s="73"/>
      <c r="M1412" s="78" t="str">
        <f aca="false">IF(OR(E1412="",F1412=""),"",MAX(0,((F1412-E1412-N(G1412))*1440-N(H1412)*10)/60))</f>
        <v/>
      </c>
      <c r="N1412" s="78" t="str">
        <f aca="false">IF($D1412="欠席",0,IF(OR(I1412="",J1412=""),"",MAX(0,((J1412-I1412-N(K1412))*1440-N(L1412)*10)/60)))</f>
        <v/>
      </c>
      <c r="O1412" s="73"/>
    </row>
    <row r="1413" customFormat="false" ht="15" hidden="false" customHeight="false" outlineLevel="0" collapsed="false">
      <c r="A1413" s="77"/>
      <c r="B1413" s="73"/>
      <c r="C1413" s="71" t="str">
        <f aca="false">IF(B1413="","",IFERROR(INDEX(マスタ!$F$2:$F$60,MATCH(B1413,マスタ!$E$2:$E$60,0))&amp;"",""))</f>
        <v/>
      </c>
      <c r="D1413" s="73"/>
      <c r="E1413" s="75"/>
      <c r="F1413" s="75"/>
      <c r="G1413" s="75"/>
      <c r="H1413" s="73"/>
      <c r="I1413" s="75"/>
      <c r="J1413" s="75"/>
      <c r="K1413" s="75"/>
      <c r="L1413" s="73"/>
      <c r="M1413" s="78" t="str">
        <f aca="false">IF(OR(E1413="",F1413=""),"",MAX(0,((F1413-E1413-N(G1413))*1440-N(H1413)*10)/60))</f>
        <v/>
      </c>
      <c r="N1413" s="78" t="str">
        <f aca="false">IF($D1413="欠席",0,IF(OR(I1413="",J1413=""),"",MAX(0,((J1413-I1413-N(K1413))*1440-N(L1413)*10)/60)))</f>
        <v/>
      </c>
      <c r="O1413" s="73"/>
    </row>
    <row r="1414" customFormat="false" ht="15" hidden="false" customHeight="false" outlineLevel="0" collapsed="false">
      <c r="A1414" s="77"/>
      <c r="B1414" s="73"/>
      <c r="C1414" s="71" t="str">
        <f aca="false">IF(B1414="","",IFERROR(INDEX(マスタ!$F$2:$F$60,MATCH(B1414,マスタ!$E$2:$E$60,0))&amp;"",""))</f>
        <v/>
      </c>
      <c r="D1414" s="73"/>
      <c r="E1414" s="75"/>
      <c r="F1414" s="75"/>
      <c r="G1414" s="75"/>
      <c r="H1414" s="73"/>
      <c r="I1414" s="75"/>
      <c r="J1414" s="75"/>
      <c r="K1414" s="75"/>
      <c r="L1414" s="73"/>
      <c r="M1414" s="78" t="str">
        <f aca="false">IF(OR(E1414="",F1414=""),"",MAX(0,((F1414-E1414-N(G1414))*1440-N(H1414)*10)/60))</f>
        <v/>
      </c>
      <c r="N1414" s="78" t="str">
        <f aca="false">IF($D1414="欠席",0,IF(OR(I1414="",J1414=""),"",MAX(0,((J1414-I1414-N(K1414))*1440-N(L1414)*10)/60)))</f>
        <v/>
      </c>
      <c r="O1414" s="73"/>
    </row>
    <row r="1415" customFormat="false" ht="15" hidden="false" customHeight="false" outlineLevel="0" collapsed="false">
      <c r="A1415" s="77"/>
      <c r="B1415" s="73"/>
      <c r="C1415" s="71" t="str">
        <f aca="false">IF(B1415="","",IFERROR(INDEX(マスタ!$F$2:$F$60,MATCH(B1415,マスタ!$E$2:$E$60,0))&amp;"",""))</f>
        <v/>
      </c>
      <c r="D1415" s="73"/>
      <c r="E1415" s="75"/>
      <c r="F1415" s="75"/>
      <c r="G1415" s="75"/>
      <c r="H1415" s="73"/>
      <c r="I1415" s="75"/>
      <c r="J1415" s="75"/>
      <c r="K1415" s="75"/>
      <c r="L1415" s="73"/>
      <c r="M1415" s="78" t="str">
        <f aca="false">IF(OR(E1415="",F1415=""),"",MAX(0,((F1415-E1415-N(G1415))*1440-N(H1415)*10)/60))</f>
        <v/>
      </c>
      <c r="N1415" s="78" t="str">
        <f aca="false">IF($D1415="欠席",0,IF(OR(I1415="",J1415=""),"",MAX(0,((J1415-I1415-N(K1415))*1440-N(L1415)*10)/60)))</f>
        <v/>
      </c>
      <c r="O1415" s="73"/>
    </row>
    <row r="1416" customFormat="false" ht="15" hidden="false" customHeight="false" outlineLevel="0" collapsed="false">
      <c r="A1416" s="77"/>
      <c r="B1416" s="73"/>
      <c r="C1416" s="71" t="str">
        <f aca="false">IF(B1416="","",IFERROR(INDEX(マスタ!$F$2:$F$60,MATCH(B1416,マスタ!$E$2:$E$60,0))&amp;"",""))</f>
        <v/>
      </c>
      <c r="D1416" s="73"/>
      <c r="E1416" s="75"/>
      <c r="F1416" s="75"/>
      <c r="G1416" s="75"/>
      <c r="H1416" s="73"/>
      <c r="I1416" s="75"/>
      <c r="J1416" s="75"/>
      <c r="K1416" s="75"/>
      <c r="L1416" s="73"/>
      <c r="M1416" s="78" t="str">
        <f aca="false">IF(OR(E1416="",F1416=""),"",MAX(0,((F1416-E1416-N(G1416))*1440-N(H1416)*10)/60))</f>
        <v/>
      </c>
      <c r="N1416" s="78" t="str">
        <f aca="false">IF($D1416="欠席",0,IF(OR(I1416="",J1416=""),"",MAX(0,((J1416-I1416-N(K1416))*1440-N(L1416)*10)/60)))</f>
        <v/>
      </c>
      <c r="O1416" s="73"/>
    </row>
    <row r="1417" customFormat="false" ht="15" hidden="false" customHeight="false" outlineLevel="0" collapsed="false">
      <c r="A1417" s="77"/>
      <c r="B1417" s="73"/>
      <c r="C1417" s="71" t="str">
        <f aca="false">IF(B1417="","",IFERROR(INDEX(マスタ!$F$2:$F$60,MATCH(B1417,マスタ!$E$2:$E$60,0))&amp;"",""))</f>
        <v/>
      </c>
      <c r="D1417" s="73"/>
      <c r="E1417" s="75"/>
      <c r="F1417" s="75"/>
      <c r="G1417" s="75"/>
      <c r="H1417" s="73"/>
      <c r="I1417" s="75"/>
      <c r="J1417" s="75"/>
      <c r="K1417" s="75"/>
      <c r="L1417" s="73"/>
      <c r="M1417" s="78" t="str">
        <f aca="false">IF(OR(E1417="",F1417=""),"",MAX(0,((F1417-E1417-N(G1417))*1440-N(H1417)*10)/60))</f>
        <v/>
      </c>
      <c r="N1417" s="78" t="str">
        <f aca="false">IF($D1417="欠席",0,IF(OR(I1417="",J1417=""),"",MAX(0,((J1417-I1417-N(K1417))*1440-N(L1417)*10)/60)))</f>
        <v/>
      </c>
      <c r="O1417" s="73"/>
    </row>
    <row r="1418" customFormat="false" ht="15" hidden="false" customHeight="false" outlineLevel="0" collapsed="false">
      <c r="A1418" s="77"/>
      <c r="B1418" s="73"/>
      <c r="C1418" s="71" t="str">
        <f aca="false">IF(B1418="","",IFERROR(INDEX(マスタ!$F$2:$F$60,MATCH(B1418,マスタ!$E$2:$E$60,0))&amp;"",""))</f>
        <v/>
      </c>
      <c r="D1418" s="73"/>
      <c r="E1418" s="75"/>
      <c r="F1418" s="75"/>
      <c r="G1418" s="75"/>
      <c r="H1418" s="73"/>
      <c r="I1418" s="75"/>
      <c r="J1418" s="75"/>
      <c r="K1418" s="75"/>
      <c r="L1418" s="73"/>
      <c r="M1418" s="78" t="str">
        <f aca="false">IF(OR(E1418="",F1418=""),"",MAX(0,((F1418-E1418-N(G1418))*1440-N(H1418)*10)/60))</f>
        <v/>
      </c>
      <c r="N1418" s="78" t="str">
        <f aca="false">IF($D1418="欠席",0,IF(OR(I1418="",J1418=""),"",MAX(0,((J1418-I1418-N(K1418))*1440-N(L1418)*10)/60)))</f>
        <v/>
      </c>
      <c r="O1418" s="73"/>
    </row>
    <row r="1419" customFormat="false" ht="15" hidden="false" customHeight="false" outlineLevel="0" collapsed="false">
      <c r="A1419" s="77"/>
      <c r="B1419" s="73"/>
      <c r="C1419" s="71" t="str">
        <f aca="false">IF(B1419="","",IFERROR(INDEX(マスタ!$F$2:$F$60,MATCH(B1419,マスタ!$E$2:$E$60,0))&amp;"",""))</f>
        <v/>
      </c>
      <c r="D1419" s="73"/>
      <c r="E1419" s="75"/>
      <c r="F1419" s="75"/>
      <c r="G1419" s="75"/>
      <c r="H1419" s="73"/>
      <c r="I1419" s="75"/>
      <c r="J1419" s="75"/>
      <c r="K1419" s="75"/>
      <c r="L1419" s="73"/>
      <c r="M1419" s="78" t="str">
        <f aca="false">IF(OR(E1419="",F1419=""),"",MAX(0,((F1419-E1419-N(G1419))*1440-N(H1419)*10)/60))</f>
        <v/>
      </c>
      <c r="N1419" s="78" t="str">
        <f aca="false">IF($D1419="欠席",0,IF(OR(I1419="",J1419=""),"",MAX(0,((J1419-I1419-N(K1419))*1440-N(L1419)*10)/60)))</f>
        <v/>
      </c>
      <c r="O1419" s="73"/>
    </row>
    <row r="1420" customFormat="false" ht="15" hidden="false" customHeight="false" outlineLevel="0" collapsed="false">
      <c r="A1420" s="77"/>
      <c r="B1420" s="73"/>
      <c r="C1420" s="71" t="str">
        <f aca="false">IF(B1420="","",IFERROR(INDEX(マスタ!$F$2:$F$60,MATCH(B1420,マスタ!$E$2:$E$60,0))&amp;"",""))</f>
        <v/>
      </c>
      <c r="D1420" s="73"/>
      <c r="E1420" s="75"/>
      <c r="F1420" s="75"/>
      <c r="G1420" s="75"/>
      <c r="H1420" s="73"/>
      <c r="I1420" s="75"/>
      <c r="J1420" s="75"/>
      <c r="K1420" s="75"/>
      <c r="L1420" s="73"/>
      <c r="M1420" s="78" t="str">
        <f aca="false">IF(OR(E1420="",F1420=""),"",MAX(0,((F1420-E1420-N(G1420))*1440-N(H1420)*10)/60))</f>
        <v/>
      </c>
      <c r="N1420" s="78" t="str">
        <f aca="false">IF($D1420="欠席",0,IF(OR(I1420="",J1420=""),"",MAX(0,((J1420-I1420-N(K1420))*1440-N(L1420)*10)/60)))</f>
        <v/>
      </c>
      <c r="O1420" s="73"/>
    </row>
    <row r="1421" customFormat="false" ht="15" hidden="false" customHeight="false" outlineLevel="0" collapsed="false">
      <c r="A1421" s="77"/>
      <c r="B1421" s="73"/>
      <c r="C1421" s="71" t="str">
        <f aca="false">IF(B1421="","",IFERROR(INDEX(マスタ!$F$2:$F$60,MATCH(B1421,マスタ!$E$2:$E$60,0))&amp;"",""))</f>
        <v/>
      </c>
      <c r="D1421" s="73"/>
      <c r="E1421" s="75"/>
      <c r="F1421" s="75"/>
      <c r="G1421" s="75"/>
      <c r="H1421" s="73"/>
      <c r="I1421" s="75"/>
      <c r="J1421" s="75"/>
      <c r="K1421" s="75"/>
      <c r="L1421" s="73"/>
      <c r="M1421" s="78" t="str">
        <f aca="false">IF(OR(E1421="",F1421=""),"",MAX(0,((F1421-E1421-N(G1421))*1440-N(H1421)*10)/60))</f>
        <v/>
      </c>
      <c r="N1421" s="78" t="str">
        <f aca="false">IF($D1421="欠席",0,IF(OR(I1421="",J1421=""),"",MAX(0,((J1421-I1421-N(K1421))*1440-N(L1421)*10)/60)))</f>
        <v/>
      </c>
      <c r="O1421" s="73"/>
    </row>
    <row r="1422" customFormat="false" ht="15" hidden="false" customHeight="false" outlineLevel="0" collapsed="false">
      <c r="A1422" s="77"/>
      <c r="B1422" s="73"/>
      <c r="C1422" s="71" t="str">
        <f aca="false">IF(B1422="","",IFERROR(INDEX(マスタ!$F$2:$F$60,MATCH(B1422,マスタ!$E$2:$E$60,0))&amp;"",""))</f>
        <v/>
      </c>
      <c r="D1422" s="73"/>
      <c r="E1422" s="75"/>
      <c r="F1422" s="75"/>
      <c r="G1422" s="75"/>
      <c r="H1422" s="73"/>
      <c r="I1422" s="75"/>
      <c r="J1422" s="75"/>
      <c r="K1422" s="75"/>
      <c r="L1422" s="73"/>
      <c r="M1422" s="78" t="str">
        <f aca="false">IF(OR(E1422="",F1422=""),"",MAX(0,((F1422-E1422-N(G1422))*1440-N(H1422)*10)/60))</f>
        <v/>
      </c>
      <c r="N1422" s="78" t="str">
        <f aca="false">IF($D1422="欠席",0,IF(OR(I1422="",J1422=""),"",MAX(0,((J1422-I1422-N(K1422))*1440-N(L1422)*10)/60)))</f>
        <v/>
      </c>
      <c r="O1422" s="73"/>
    </row>
    <row r="1423" customFormat="false" ht="15" hidden="false" customHeight="false" outlineLevel="0" collapsed="false">
      <c r="A1423" s="77"/>
      <c r="B1423" s="73"/>
      <c r="C1423" s="71" t="str">
        <f aca="false">IF(B1423="","",IFERROR(INDEX(マスタ!$F$2:$F$60,MATCH(B1423,マスタ!$E$2:$E$60,0))&amp;"",""))</f>
        <v/>
      </c>
      <c r="D1423" s="73"/>
      <c r="E1423" s="75"/>
      <c r="F1423" s="75"/>
      <c r="G1423" s="75"/>
      <c r="H1423" s="73"/>
      <c r="I1423" s="75"/>
      <c r="J1423" s="75"/>
      <c r="K1423" s="75"/>
      <c r="L1423" s="73"/>
      <c r="M1423" s="78" t="str">
        <f aca="false">IF(OR(E1423="",F1423=""),"",MAX(0,((F1423-E1423-N(G1423))*1440-N(H1423)*10)/60))</f>
        <v/>
      </c>
      <c r="N1423" s="78" t="str">
        <f aca="false">IF($D1423="欠席",0,IF(OR(I1423="",J1423=""),"",MAX(0,((J1423-I1423-N(K1423))*1440-N(L1423)*10)/60)))</f>
        <v/>
      </c>
      <c r="O1423" s="73"/>
    </row>
    <row r="1424" customFormat="false" ht="15" hidden="false" customHeight="false" outlineLevel="0" collapsed="false">
      <c r="A1424" s="77"/>
      <c r="B1424" s="73"/>
      <c r="C1424" s="71" t="str">
        <f aca="false">IF(B1424="","",IFERROR(INDEX(マスタ!$F$2:$F$60,MATCH(B1424,マスタ!$E$2:$E$60,0))&amp;"",""))</f>
        <v/>
      </c>
      <c r="D1424" s="73"/>
      <c r="E1424" s="75"/>
      <c r="F1424" s="75"/>
      <c r="G1424" s="75"/>
      <c r="H1424" s="73"/>
      <c r="I1424" s="75"/>
      <c r="J1424" s="75"/>
      <c r="K1424" s="75"/>
      <c r="L1424" s="73"/>
      <c r="M1424" s="78" t="str">
        <f aca="false">IF(OR(E1424="",F1424=""),"",MAX(0,((F1424-E1424-N(G1424))*1440-N(H1424)*10)/60))</f>
        <v/>
      </c>
      <c r="N1424" s="78" t="str">
        <f aca="false">IF($D1424="欠席",0,IF(OR(I1424="",J1424=""),"",MAX(0,((J1424-I1424-N(K1424))*1440-N(L1424)*10)/60)))</f>
        <v/>
      </c>
      <c r="O1424" s="73"/>
    </row>
    <row r="1425" customFormat="false" ht="15" hidden="false" customHeight="false" outlineLevel="0" collapsed="false">
      <c r="A1425" s="77"/>
      <c r="B1425" s="73"/>
      <c r="C1425" s="71" t="str">
        <f aca="false">IF(B1425="","",IFERROR(INDEX(マスタ!$F$2:$F$60,MATCH(B1425,マスタ!$E$2:$E$60,0))&amp;"",""))</f>
        <v/>
      </c>
      <c r="D1425" s="73"/>
      <c r="E1425" s="75"/>
      <c r="F1425" s="75"/>
      <c r="G1425" s="75"/>
      <c r="H1425" s="73"/>
      <c r="I1425" s="75"/>
      <c r="J1425" s="75"/>
      <c r="K1425" s="75"/>
      <c r="L1425" s="73"/>
      <c r="M1425" s="78" t="str">
        <f aca="false">IF(OR(E1425="",F1425=""),"",MAX(0,((F1425-E1425-N(G1425))*1440-N(H1425)*10)/60))</f>
        <v/>
      </c>
      <c r="N1425" s="78" t="str">
        <f aca="false">IF($D1425="欠席",0,IF(OR(I1425="",J1425=""),"",MAX(0,((J1425-I1425-N(K1425))*1440-N(L1425)*10)/60)))</f>
        <v/>
      </c>
      <c r="O1425" s="73"/>
    </row>
    <row r="1426" customFormat="false" ht="15" hidden="false" customHeight="false" outlineLevel="0" collapsed="false">
      <c r="A1426" s="77"/>
      <c r="B1426" s="73"/>
      <c r="C1426" s="71" t="str">
        <f aca="false">IF(B1426="","",IFERROR(INDEX(マスタ!$F$2:$F$60,MATCH(B1426,マスタ!$E$2:$E$60,0))&amp;"",""))</f>
        <v/>
      </c>
      <c r="D1426" s="73"/>
      <c r="E1426" s="75"/>
      <c r="F1426" s="75"/>
      <c r="G1426" s="75"/>
      <c r="H1426" s="73"/>
      <c r="I1426" s="75"/>
      <c r="J1426" s="75"/>
      <c r="K1426" s="75"/>
      <c r="L1426" s="73"/>
      <c r="M1426" s="78" t="str">
        <f aca="false">IF(OR(E1426="",F1426=""),"",MAX(0,((F1426-E1426-N(G1426))*1440-N(H1426)*10)/60))</f>
        <v/>
      </c>
      <c r="N1426" s="78" t="str">
        <f aca="false">IF($D1426="欠席",0,IF(OR(I1426="",J1426=""),"",MAX(0,((J1426-I1426-N(K1426))*1440-N(L1426)*10)/60)))</f>
        <v/>
      </c>
      <c r="O1426" s="73"/>
    </row>
    <row r="1427" customFormat="false" ht="15" hidden="false" customHeight="false" outlineLevel="0" collapsed="false">
      <c r="A1427" s="77"/>
      <c r="B1427" s="73"/>
      <c r="C1427" s="71" t="str">
        <f aca="false">IF(B1427="","",IFERROR(INDEX(マスタ!$F$2:$F$60,MATCH(B1427,マスタ!$E$2:$E$60,0))&amp;"",""))</f>
        <v/>
      </c>
      <c r="D1427" s="73"/>
      <c r="E1427" s="75"/>
      <c r="F1427" s="75"/>
      <c r="G1427" s="75"/>
      <c r="H1427" s="73"/>
      <c r="I1427" s="75"/>
      <c r="J1427" s="75"/>
      <c r="K1427" s="75"/>
      <c r="L1427" s="73"/>
      <c r="M1427" s="78" t="str">
        <f aca="false">IF(OR(E1427="",F1427=""),"",MAX(0,((F1427-E1427-N(G1427))*1440-N(H1427)*10)/60))</f>
        <v/>
      </c>
      <c r="N1427" s="78" t="str">
        <f aca="false">IF($D1427="欠席",0,IF(OR(I1427="",J1427=""),"",MAX(0,((J1427-I1427-N(K1427))*1440-N(L1427)*10)/60)))</f>
        <v/>
      </c>
      <c r="O1427" s="73"/>
    </row>
    <row r="1428" customFormat="false" ht="15" hidden="false" customHeight="false" outlineLevel="0" collapsed="false">
      <c r="A1428" s="77"/>
      <c r="B1428" s="73"/>
      <c r="C1428" s="71" t="str">
        <f aca="false">IF(B1428="","",IFERROR(INDEX(マスタ!$F$2:$F$60,MATCH(B1428,マスタ!$E$2:$E$60,0))&amp;"",""))</f>
        <v/>
      </c>
      <c r="D1428" s="73"/>
      <c r="E1428" s="75"/>
      <c r="F1428" s="75"/>
      <c r="G1428" s="75"/>
      <c r="H1428" s="73"/>
      <c r="I1428" s="75"/>
      <c r="J1428" s="75"/>
      <c r="K1428" s="75"/>
      <c r="L1428" s="73"/>
      <c r="M1428" s="78" t="str">
        <f aca="false">IF(OR(E1428="",F1428=""),"",MAX(0,((F1428-E1428-N(G1428))*1440-N(H1428)*10)/60))</f>
        <v/>
      </c>
      <c r="N1428" s="78" t="str">
        <f aca="false">IF($D1428="欠席",0,IF(OR(I1428="",J1428=""),"",MAX(0,((J1428-I1428-N(K1428))*1440-N(L1428)*10)/60)))</f>
        <v/>
      </c>
      <c r="O1428" s="73"/>
    </row>
    <row r="1429" customFormat="false" ht="15" hidden="false" customHeight="false" outlineLevel="0" collapsed="false">
      <c r="A1429" s="77"/>
      <c r="B1429" s="73"/>
      <c r="C1429" s="71" t="str">
        <f aca="false">IF(B1429="","",IFERROR(INDEX(マスタ!$F$2:$F$60,MATCH(B1429,マスタ!$E$2:$E$60,0))&amp;"",""))</f>
        <v/>
      </c>
      <c r="D1429" s="73"/>
      <c r="E1429" s="75"/>
      <c r="F1429" s="75"/>
      <c r="G1429" s="75"/>
      <c r="H1429" s="73"/>
      <c r="I1429" s="75"/>
      <c r="J1429" s="75"/>
      <c r="K1429" s="75"/>
      <c r="L1429" s="73"/>
      <c r="M1429" s="78" t="str">
        <f aca="false">IF(OR(E1429="",F1429=""),"",MAX(0,((F1429-E1429-N(G1429))*1440-N(H1429)*10)/60))</f>
        <v/>
      </c>
      <c r="N1429" s="78" t="str">
        <f aca="false">IF($D1429="欠席",0,IF(OR(I1429="",J1429=""),"",MAX(0,((J1429-I1429-N(K1429))*1440-N(L1429)*10)/60)))</f>
        <v/>
      </c>
      <c r="O1429" s="73"/>
    </row>
    <row r="1430" customFormat="false" ht="15" hidden="false" customHeight="false" outlineLevel="0" collapsed="false">
      <c r="A1430" s="77"/>
      <c r="B1430" s="73"/>
      <c r="C1430" s="71" t="str">
        <f aca="false">IF(B1430="","",IFERROR(INDEX(マスタ!$F$2:$F$60,MATCH(B1430,マスタ!$E$2:$E$60,0))&amp;"",""))</f>
        <v/>
      </c>
      <c r="D1430" s="73"/>
      <c r="E1430" s="75"/>
      <c r="F1430" s="75"/>
      <c r="G1430" s="75"/>
      <c r="H1430" s="73"/>
      <c r="I1430" s="75"/>
      <c r="J1430" s="75"/>
      <c r="K1430" s="75"/>
      <c r="L1430" s="73"/>
      <c r="M1430" s="78" t="str">
        <f aca="false">IF(OR(E1430="",F1430=""),"",MAX(0,((F1430-E1430-N(G1430))*1440-N(H1430)*10)/60))</f>
        <v/>
      </c>
      <c r="N1430" s="78" t="str">
        <f aca="false">IF($D1430="欠席",0,IF(OR(I1430="",J1430=""),"",MAX(0,((J1430-I1430-N(K1430))*1440-N(L1430)*10)/60)))</f>
        <v/>
      </c>
      <c r="O1430" s="73"/>
    </row>
    <row r="1431" customFormat="false" ht="15" hidden="false" customHeight="false" outlineLevel="0" collapsed="false">
      <c r="A1431" s="77"/>
      <c r="B1431" s="73"/>
      <c r="C1431" s="71" t="str">
        <f aca="false">IF(B1431="","",IFERROR(INDEX(マスタ!$F$2:$F$60,MATCH(B1431,マスタ!$E$2:$E$60,0))&amp;"",""))</f>
        <v/>
      </c>
      <c r="D1431" s="73"/>
      <c r="E1431" s="75"/>
      <c r="F1431" s="75"/>
      <c r="G1431" s="75"/>
      <c r="H1431" s="73"/>
      <c r="I1431" s="75"/>
      <c r="J1431" s="75"/>
      <c r="K1431" s="75"/>
      <c r="L1431" s="73"/>
      <c r="M1431" s="78" t="str">
        <f aca="false">IF(OR(E1431="",F1431=""),"",MAX(0,((F1431-E1431-N(G1431))*1440-N(H1431)*10)/60))</f>
        <v/>
      </c>
      <c r="N1431" s="78" t="str">
        <f aca="false">IF($D1431="欠席",0,IF(OR(I1431="",J1431=""),"",MAX(0,((J1431-I1431-N(K1431))*1440-N(L1431)*10)/60)))</f>
        <v/>
      </c>
      <c r="O1431" s="73"/>
    </row>
    <row r="1432" customFormat="false" ht="15" hidden="false" customHeight="false" outlineLevel="0" collapsed="false">
      <c r="A1432" s="77"/>
      <c r="B1432" s="73"/>
      <c r="C1432" s="71" t="str">
        <f aca="false">IF(B1432="","",IFERROR(INDEX(マスタ!$F$2:$F$60,MATCH(B1432,マスタ!$E$2:$E$60,0))&amp;"",""))</f>
        <v/>
      </c>
      <c r="D1432" s="73"/>
      <c r="E1432" s="75"/>
      <c r="F1432" s="75"/>
      <c r="G1432" s="75"/>
      <c r="H1432" s="73"/>
      <c r="I1432" s="75"/>
      <c r="J1432" s="75"/>
      <c r="K1432" s="75"/>
      <c r="L1432" s="73"/>
      <c r="M1432" s="78" t="str">
        <f aca="false">IF(OR(E1432="",F1432=""),"",MAX(0,((F1432-E1432-N(G1432))*1440-N(H1432)*10)/60))</f>
        <v/>
      </c>
      <c r="N1432" s="78" t="str">
        <f aca="false">IF($D1432="欠席",0,IF(OR(I1432="",J1432=""),"",MAX(0,((J1432-I1432-N(K1432))*1440-N(L1432)*10)/60)))</f>
        <v/>
      </c>
      <c r="O1432" s="73"/>
    </row>
    <row r="1433" customFormat="false" ht="15" hidden="false" customHeight="false" outlineLevel="0" collapsed="false">
      <c r="A1433" s="77"/>
      <c r="B1433" s="73"/>
      <c r="C1433" s="71" t="str">
        <f aca="false">IF(B1433="","",IFERROR(INDEX(マスタ!$F$2:$F$60,MATCH(B1433,マスタ!$E$2:$E$60,0))&amp;"",""))</f>
        <v/>
      </c>
      <c r="D1433" s="73"/>
      <c r="E1433" s="75"/>
      <c r="F1433" s="75"/>
      <c r="G1433" s="75"/>
      <c r="H1433" s="73"/>
      <c r="I1433" s="75"/>
      <c r="J1433" s="75"/>
      <c r="K1433" s="75"/>
      <c r="L1433" s="73"/>
      <c r="M1433" s="78" t="str">
        <f aca="false">IF(OR(E1433="",F1433=""),"",MAX(0,((F1433-E1433-N(G1433))*1440-N(H1433)*10)/60))</f>
        <v/>
      </c>
      <c r="N1433" s="78" t="str">
        <f aca="false">IF($D1433="欠席",0,IF(OR(I1433="",J1433=""),"",MAX(0,((J1433-I1433-N(K1433))*1440-N(L1433)*10)/60)))</f>
        <v/>
      </c>
      <c r="O1433" s="73"/>
    </row>
    <row r="1434" customFormat="false" ht="15" hidden="false" customHeight="false" outlineLevel="0" collapsed="false">
      <c r="A1434" s="77"/>
      <c r="B1434" s="73"/>
      <c r="C1434" s="71" t="str">
        <f aca="false">IF(B1434="","",IFERROR(INDEX(マスタ!$F$2:$F$60,MATCH(B1434,マスタ!$E$2:$E$60,0))&amp;"",""))</f>
        <v/>
      </c>
      <c r="D1434" s="73"/>
      <c r="E1434" s="75"/>
      <c r="F1434" s="75"/>
      <c r="G1434" s="75"/>
      <c r="H1434" s="73"/>
      <c r="I1434" s="75"/>
      <c r="J1434" s="75"/>
      <c r="K1434" s="75"/>
      <c r="L1434" s="73"/>
      <c r="M1434" s="78" t="str">
        <f aca="false">IF(OR(E1434="",F1434=""),"",MAX(0,((F1434-E1434-N(G1434))*1440-N(H1434)*10)/60))</f>
        <v/>
      </c>
      <c r="N1434" s="78" t="str">
        <f aca="false">IF($D1434="欠席",0,IF(OR(I1434="",J1434=""),"",MAX(0,((J1434-I1434-N(K1434))*1440-N(L1434)*10)/60)))</f>
        <v/>
      </c>
      <c r="O1434" s="73"/>
    </row>
    <row r="1435" customFormat="false" ht="15" hidden="false" customHeight="false" outlineLevel="0" collapsed="false">
      <c r="A1435" s="77"/>
      <c r="B1435" s="73"/>
      <c r="C1435" s="71" t="str">
        <f aca="false">IF(B1435="","",IFERROR(INDEX(マスタ!$F$2:$F$60,MATCH(B1435,マスタ!$E$2:$E$60,0))&amp;"",""))</f>
        <v/>
      </c>
      <c r="D1435" s="73"/>
      <c r="E1435" s="75"/>
      <c r="F1435" s="75"/>
      <c r="G1435" s="75"/>
      <c r="H1435" s="73"/>
      <c r="I1435" s="75"/>
      <c r="J1435" s="75"/>
      <c r="K1435" s="75"/>
      <c r="L1435" s="73"/>
      <c r="M1435" s="78" t="str">
        <f aca="false">IF(OR(E1435="",F1435=""),"",MAX(0,((F1435-E1435-N(G1435))*1440-N(H1435)*10)/60))</f>
        <v/>
      </c>
      <c r="N1435" s="78" t="str">
        <f aca="false">IF($D1435="欠席",0,IF(OR(I1435="",J1435=""),"",MAX(0,((J1435-I1435-N(K1435))*1440-N(L1435)*10)/60)))</f>
        <v/>
      </c>
      <c r="O1435" s="73"/>
    </row>
    <row r="1436" customFormat="false" ht="15" hidden="false" customHeight="false" outlineLevel="0" collapsed="false">
      <c r="A1436" s="77"/>
      <c r="B1436" s="73"/>
      <c r="C1436" s="71" t="str">
        <f aca="false">IF(B1436="","",IFERROR(INDEX(マスタ!$F$2:$F$60,MATCH(B1436,マスタ!$E$2:$E$60,0))&amp;"",""))</f>
        <v/>
      </c>
      <c r="D1436" s="73"/>
      <c r="E1436" s="75"/>
      <c r="F1436" s="75"/>
      <c r="G1436" s="75"/>
      <c r="H1436" s="73"/>
      <c r="I1436" s="75"/>
      <c r="J1436" s="75"/>
      <c r="K1436" s="75"/>
      <c r="L1436" s="73"/>
      <c r="M1436" s="78" t="str">
        <f aca="false">IF(OR(E1436="",F1436=""),"",MAX(0,((F1436-E1436-N(G1436))*1440-N(H1436)*10)/60))</f>
        <v/>
      </c>
      <c r="N1436" s="78" t="str">
        <f aca="false">IF($D1436="欠席",0,IF(OR(I1436="",J1436=""),"",MAX(0,((J1436-I1436-N(K1436))*1440-N(L1436)*10)/60)))</f>
        <v/>
      </c>
      <c r="O1436" s="73"/>
    </row>
    <row r="1437" customFormat="false" ht="15" hidden="false" customHeight="false" outlineLevel="0" collapsed="false">
      <c r="A1437" s="77"/>
      <c r="B1437" s="73"/>
      <c r="C1437" s="71" t="str">
        <f aca="false">IF(B1437="","",IFERROR(INDEX(マスタ!$F$2:$F$60,MATCH(B1437,マスタ!$E$2:$E$60,0))&amp;"",""))</f>
        <v/>
      </c>
      <c r="D1437" s="73"/>
      <c r="E1437" s="75"/>
      <c r="F1437" s="75"/>
      <c r="G1437" s="75"/>
      <c r="H1437" s="73"/>
      <c r="I1437" s="75"/>
      <c r="J1437" s="75"/>
      <c r="K1437" s="75"/>
      <c r="L1437" s="73"/>
      <c r="M1437" s="78" t="str">
        <f aca="false">IF(OR(E1437="",F1437=""),"",MAX(0,((F1437-E1437-N(G1437))*1440-N(H1437)*10)/60))</f>
        <v/>
      </c>
      <c r="N1437" s="78" t="str">
        <f aca="false">IF($D1437="欠席",0,IF(OR(I1437="",J1437=""),"",MAX(0,((J1437-I1437-N(K1437))*1440-N(L1437)*10)/60)))</f>
        <v/>
      </c>
      <c r="O1437" s="73"/>
    </row>
    <row r="1438" customFormat="false" ht="15" hidden="false" customHeight="false" outlineLevel="0" collapsed="false">
      <c r="A1438" s="77"/>
      <c r="B1438" s="73"/>
      <c r="C1438" s="71" t="str">
        <f aca="false">IF(B1438="","",IFERROR(INDEX(マスタ!$F$2:$F$60,MATCH(B1438,マスタ!$E$2:$E$60,0))&amp;"",""))</f>
        <v/>
      </c>
      <c r="D1438" s="73"/>
      <c r="E1438" s="75"/>
      <c r="F1438" s="75"/>
      <c r="G1438" s="75"/>
      <c r="H1438" s="73"/>
      <c r="I1438" s="75"/>
      <c r="J1438" s="75"/>
      <c r="K1438" s="75"/>
      <c r="L1438" s="73"/>
      <c r="M1438" s="78" t="str">
        <f aca="false">IF(OR(E1438="",F1438=""),"",MAX(0,((F1438-E1438-N(G1438))*1440-N(H1438)*10)/60))</f>
        <v/>
      </c>
      <c r="N1438" s="78" t="str">
        <f aca="false">IF($D1438="欠席",0,IF(OR(I1438="",J1438=""),"",MAX(0,((J1438-I1438-N(K1438))*1440-N(L1438)*10)/60)))</f>
        <v/>
      </c>
      <c r="O1438" s="73"/>
    </row>
    <row r="1439" customFormat="false" ht="15" hidden="false" customHeight="false" outlineLevel="0" collapsed="false">
      <c r="A1439" s="77"/>
      <c r="B1439" s="73"/>
      <c r="C1439" s="71" t="str">
        <f aca="false">IF(B1439="","",IFERROR(INDEX(マスタ!$F$2:$F$60,MATCH(B1439,マスタ!$E$2:$E$60,0))&amp;"",""))</f>
        <v/>
      </c>
      <c r="D1439" s="73"/>
      <c r="E1439" s="75"/>
      <c r="F1439" s="75"/>
      <c r="G1439" s="75"/>
      <c r="H1439" s="73"/>
      <c r="I1439" s="75"/>
      <c r="J1439" s="75"/>
      <c r="K1439" s="75"/>
      <c r="L1439" s="73"/>
      <c r="M1439" s="78" t="str">
        <f aca="false">IF(OR(E1439="",F1439=""),"",MAX(0,((F1439-E1439-N(G1439))*1440-N(H1439)*10)/60))</f>
        <v/>
      </c>
      <c r="N1439" s="78" t="str">
        <f aca="false">IF($D1439="欠席",0,IF(OR(I1439="",J1439=""),"",MAX(0,((J1439-I1439-N(K1439))*1440-N(L1439)*10)/60)))</f>
        <v/>
      </c>
      <c r="O1439" s="73"/>
    </row>
    <row r="1440" customFormat="false" ht="15" hidden="false" customHeight="false" outlineLevel="0" collapsed="false">
      <c r="A1440" s="77"/>
      <c r="B1440" s="73"/>
      <c r="C1440" s="71" t="str">
        <f aca="false">IF(B1440="","",IFERROR(INDEX(マスタ!$F$2:$F$60,MATCH(B1440,マスタ!$E$2:$E$60,0))&amp;"",""))</f>
        <v/>
      </c>
      <c r="D1440" s="73"/>
      <c r="E1440" s="75"/>
      <c r="F1440" s="75"/>
      <c r="G1440" s="75"/>
      <c r="H1440" s="73"/>
      <c r="I1440" s="75"/>
      <c r="J1440" s="75"/>
      <c r="K1440" s="75"/>
      <c r="L1440" s="73"/>
      <c r="M1440" s="78" t="str">
        <f aca="false">IF(OR(E1440="",F1440=""),"",MAX(0,((F1440-E1440-N(G1440))*1440-N(H1440)*10)/60))</f>
        <v/>
      </c>
      <c r="N1440" s="78" t="str">
        <f aca="false">IF($D1440="欠席",0,IF(OR(I1440="",J1440=""),"",MAX(0,((J1440-I1440-N(K1440))*1440-N(L1440)*10)/60)))</f>
        <v/>
      </c>
      <c r="O1440" s="73"/>
    </row>
    <row r="1441" customFormat="false" ht="15" hidden="false" customHeight="false" outlineLevel="0" collapsed="false">
      <c r="A1441" s="77"/>
      <c r="B1441" s="73"/>
      <c r="C1441" s="71" t="str">
        <f aca="false">IF(B1441="","",IFERROR(INDEX(マスタ!$F$2:$F$60,MATCH(B1441,マスタ!$E$2:$E$60,0))&amp;"",""))</f>
        <v/>
      </c>
      <c r="D1441" s="73"/>
      <c r="E1441" s="75"/>
      <c r="F1441" s="75"/>
      <c r="G1441" s="75"/>
      <c r="H1441" s="73"/>
      <c r="I1441" s="75"/>
      <c r="J1441" s="75"/>
      <c r="K1441" s="75"/>
      <c r="L1441" s="73"/>
      <c r="M1441" s="78" t="str">
        <f aca="false">IF(OR(E1441="",F1441=""),"",MAX(0,((F1441-E1441-N(G1441))*1440-N(H1441)*10)/60))</f>
        <v/>
      </c>
      <c r="N1441" s="78" t="str">
        <f aca="false">IF($D1441="欠席",0,IF(OR(I1441="",J1441=""),"",MAX(0,((J1441-I1441-N(K1441))*1440-N(L1441)*10)/60)))</f>
        <v/>
      </c>
      <c r="O1441" s="73"/>
    </row>
    <row r="1442" customFormat="false" ht="15" hidden="false" customHeight="false" outlineLevel="0" collapsed="false">
      <c r="A1442" s="77"/>
      <c r="B1442" s="73"/>
      <c r="C1442" s="71" t="str">
        <f aca="false">IF(B1442="","",IFERROR(INDEX(マスタ!$F$2:$F$60,MATCH(B1442,マスタ!$E$2:$E$60,0))&amp;"",""))</f>
        <v/>
      </c>
      <c r="D1442" s="73"/>
      <c r="E1442" s="75"/>
      <c r="F1442" s="75"/>
      <c r="G1442" s="75"/>
      <c r="H1442" s="73"/>
      <c r="I1442" s="75"/>
      <c r="J1442" s="75"/>
      <c r="K1442" s="75"/>
      <c r="L1442" s="73"/>
      <c r="M1442" s="78" t="str">
        <f aca="false">IF(OR(E1442="",F1442=""),"",MAX(0,((F1442-E1442-N(G1442))*1440-N(H1442)*10)/60))</f>
        <v/>
      </c>
      <c r="N1442" s="78" t="str">
        <f aca="false">IF($D1442="欠席",0,IF(OR(I1442="",J1442=""),"",MAX(0,((J1442-I1442-N(K1442))*1440-N(L1442)*10)/60)))</f>
        <v/>
      </c>
      <c r="O1442" s="73"/>
    </row>
    <row r="1443" customFormat="false" ht="15" hidden="false" customHeight="false" outlineLevel="0" collapsed="false">
      <c r="A1443" s="77"/>
      <c r="B1443" s="73"/>
      <c r="C1443" s="71" t="str">
        <f aca="false">IF(B1443="","",IFERROR(INDEX(マスタ!$F$2:$F$60,MATCH(B1443,マスタ!$E$2:$E$60,0))&amp;"",""))</f>
        <v/>
      </c>
      <c r="D1443" s="73"/>
      <c r="E1443" s="75"/>
      <c r="F1443" s="75"/>
      <c r="G1443" s="75"/>
      <c r="H1443" s="73"/>
      <c r="I1443" s="75"/>
      <c r="J1443" s="75"/>
      <c r="K1443" s="75"/>
      <c r="L1443" s="73"/>
      <c r="M1443" s="78" t="str">
        <f aca="false">IF(OR(E1443="",F1443=""),"",MAX(0,((F1443-E1443-N(G1443))*1440-N(H1443)*10)/60))</f>
        <v/>
      </c>
      <c r="N1443" s="78" t="str">
        <f aca="false">IF($D1443="欠席",0,IF(OR(I1443="",J1443=""),"",MAX(0,((J1443-I1443-N(K1443))*1440-N(L1443)*10)/60)))</f>
        <v/>
      </c>
      <c r="O1443" s="73"/>
    </row>
    <row r="1444" customFormat="false" ht="15" hidden="false" customHeight="false" outlineLevel="0" collapsed="false">
      <c r="A1444" s="77"/>
      <c r="B1444" s="73"/>
      <c r="C1444" s="71" t="str">
        <f aca="false">IF(B1444="","",IFERROR(INDEX(マスタ!$F$2:$F$60,MATCH(B1444,マスタ!$E$2:$E$60,0))&amp;"",""))</f>
        <v/>
      </c>
      <c r="D1444" s="73"/>
      <c r="E1444" s="75"/>
      <c r="F1444" s="75"/>
      <c r="G1444" s="75"/>
      <c r="H1444" s="73"/>
      <c r="I1444" s="75"/>
      <c r="J1444" s="75"/>
      <c r="K1444" s="75"/>
      <c r="L1444" s="73"/>
      <c r="M1444" s="78" t="str">
        <f aca="false">IF(OR(E1444="",F1444=""),"",MAX(0,((F1444-E1444-N(G1444))*1440-N(H1444)*10)/60))</f>
        <v/>
      </c>
      <c r="N1444" s="78" t="str">
        <f aca="false">IF($D1444="欠席",0,IF(OR(I1444="",J1444=""),"",MAX(0,((J1444-I1444-N(K1444))*1440-N(L1444)*10)/60)))</f>
        <v/>
      </c>
      <c r="O1444" s="73"/>
    </row>
    <row r="1445" customFormat="false" ht="15" hidden="false" customHeight="false" outlineLevel="0" collapsed="false">
      <c r="A1445" s="77"/>
      <c r="B1445" s="73"/>
      <c r="C1445" s="71" t="str">
        <f aca="false">IF(B1445="","",IFERROR(INDEX(マスタ!$F$2:$F$60,MATCH(B1445,マスタ!$E$2:$E$60,0))&amp;"",""))</f>
        <v/>
      </c>
      <c r="D1445" s="73"/>
      <c r="E1445" s="75"/>
      <c r="F1445" s="75"/>
      <c r="G1445" s="75"/>
      <c r="H1445" s="73"/>
      <c r="I1445" s="75"/>
      <c r="J1445" s="75"/>
      <c r="K1445" s="75"/>
      <c r="L1445" s="73"/>
      <c r="M1445" s="78" t="str">
        <f aca="false">IF(OR(E1445="",F1445=""),"",MAX(0,((F1445-E1445-N(G1445))*1440-N(H1445)*10)/60))</f>
        <v/>
      </c>
      <c r="N1445" s="78" t="str">
        <f aca="false">IF($D1445="欠席",0,IF(OR(I1445="",J1445=""),"",MAX(0,((J1445-I1445-N(K1445))*1440-N(L1445)*10)/60)))</f>
        <v/>
      </c>
      <c r="O1445" s="73"/>
    </row>
    <row r="1446" customFormat="false" ht="15" hidden="false" customHeight="false" outlineLevel="0" collapsed="false">
      <c r="A1446" s="77"/>
      <c r="B1446" s="73"/>
      <c r="C1446" s="71" t="str">
        <f aca="false">IF(B1446="","",IFERROR(INDEX(マスタ!$F$2:$F$60,MATCH(B1446,マスタ!$E$2:$E$60,0))&amp;"",""))</f>
        <v/>
      </c>
      <c r="D1446" s="73"/>
      <c r="E1446" s="75"/>
      <c r="F1446" s="75"/>
      <c r="G1446" s="75"/>
      <c r="H1446" s="73"/>
      <c r="I1446" s="75"/>
      <c r="J1446" s="75"/>
      <c r="K1446" s="75"/>
      <c r="L1446" s="73"/>
      <c r="M1446" s="78" t="str">
        <f aca="false">IF(OR(E1446="",F1446=""),"",MAX(0,((F1446-E1446-N(G1446))*1440-N(H1446)*10)/60))</f>
        <v/>
      </c>
      <c r="N1446" s="78" t="str">
        <f aca="false">IF($D1446="欠席",0,IF(OR(I1446="",J1446=""),"",MAX(0,((J1446-I1446-N(K1446))*1440-N(L1446)*10)/60)))</f>
        <v/>
      </c>
      <c r="O1446" s="73"/>
    </row>
    <row r="1447" customFormat="false" ht="15" hidden="false" customHeight="false" outlineLevel="0" collapsed="false">
      <c r="A1447" s="77"/>
      <c r="B1447" s="73"/>
      <c r="C1447" s="71" t="str">
        <f aca="false">IF(B1447="","",IFERROR(INDEX(マスタ!$F$2:$F$60,MATCH(B1447,マスタ!$E$2:$E$60,0))&amp;"",""))</f>
        <v/>
      </c>
      <c r="D1447" s="73"/>
      <c r="E1447" s="75"/>
      <c r="F1447" s="75"/>
      <c r="G1447" s="75"/>
      <c r="H1447" s="73"/>
      <c r="I1447" s="75"/>
      <c r="J1447" s="75"/>
      <c r="K1447" s="75"/>
      <c r="L1447" s="73"/>
      <c r="M1447" s="78" t="str">
        <f aca="false">IF(OR(E1447="",F1447=""),"",MAX(0,((F1447-E1447-N(G1447))*1440-N(H1447)*10)/60))</f>
        <v/>
      </c>
      <c r="N1447" s="78" t="str">
        <f aca="false">IF($D1447="欠席",0,IF(OR(I1447="",J1447=""),"",MAX(0,((J1447-I1447-N(K1447))*1440-N(L1447)*10)/60)))</f>
        <v/>
      </c>
      <c r="O1447" s="73"/>
    </row>
    <row r="1448" customFormat="false" ht="15" hidden="false" customHeight="false" outlineLevel="0" collapsed="false">
      <c r="A1448" s="77"/>
      <c r="B1448" s="73"/>
      <c r="C1448" s="71" t="str">
        <f aca="false">IF(B1448="","",IFERROR(INDEX(マスタ!$F$2:$F$60,MATCH(B1448,マスタ!$E$2:$E$60,0))&amp;"",""))</f>
        <v/>
      </c>
      <c r="D1448" s="73"/>
      <c r="E1448" s="75"/>
      <c r="F1448" s="75"/>
      <c r="G1448" s="75"/>
      <c r="H1448" s="73"/>
      <c r="I1448" s="75"/>
      <c r="J1448" s="75"/>
      <c r="K1448" s="75"/>
      <c r="L1448" s="73"/>
      <c r="M1448" s="78" t="str">
        <f aca="false">IF(OR(E1448="",F1448=""),"",MAX(0,((F1448-E1448-N(G1448))*1440-N(H1448)*10)/60))</f>
        <v/>
      </c>
      <c r="N1448" s="78" t="str">
        <f aca="false">IF($D1448="欠席",0,IF(OR(I1448="",J1448=""),"",MAX(0,((J1448-I1448-N(K1448))*1440-N(L1448)*10)/60)))</f>
        <v/>
      </c>
      <c r="O1448" s="73"/>
    </row>
    <row r="1449" customFormat="false" ht="15" hidden="false" customHeight="false" outlineLevel="0" collapsed="false">
      <c r="A1449" s="77"/>
      <c r="B1449" s="73"/>
      <c r="C1449" s="71" t="str">
        <f aca="false">IF(B1449="","",IFERROR(INDEX(マスタ!$F$2:$F$60,MATCH(B1449,マスタ!$E$2:$E$60,0))&amp;"",""))</f>
        <v/>
      </c>
      <c r="D1449" s="73"/>
      <c r="E1449" s="75"/>
      <c r="F1449" s="75"/>
      <c r="G1449" s="75"/>
      <c r="H1449" s="73"/>
      <c r="I1449" s="75"/>
      <c r="J1449" s="75"/>
      <c r="K1449" s="75"/>
      <c r="L1449" s="73"/>
      <c r="M1449" s="78" t="str">
        <f aca="false">IF(OR(E1449="",F1449=""),"",MAX(0,((F1449-E1449-N(G1449))*1440-N(H1449)*10)/60))</f>
        <v/>
      </c>
      <c r="N1449" s="78" t="str">
        <f aca="false">IF($D1449="欠席",0,IF(OR(I1449="",J1449=""),"",MAX(0,((J1449-I1449-N(K1449))*1440-N(L1449)*10)/60)))</f>
        <v/>
      </c>
      <c r="O1449" s="73"/>
    </row>
    <row r="1450" customFormat="false" ht="15" hidden="false" customHeight="false" outlineLevel="0" collapsed="false">
      <c r="A1450" s="77"/>
      <c r="B1450" s="73"/>
      <c r="C1450" s="71" t="str">
        <f aca="false">IF(B1450="","",IFERROR(INDEX(マスタ!$F$2:$F$60,MATCH(B1450,マスタ!$E$2:$E$60,0))&amp;"",""))</f>
        <v/>
      </c>
      <c r="D1450" s="73"/>
      <c r="E1450" s="75"/>
      <c r="F1450" s="75"/>
      <c r="G1450" s="75"/>
      <c r="H1450" s="73"/>
      <c r="I1450" s="75"/>
      <c r="J1450" s="75"/>
      <c r="K1450" s="75"/>
      <c r="L1450" s="73"/>
      <c r="M1450" s="78" t="str">
        <f aca="false">IF(OR(E1450="",F1450=""),"",MAX(0,((F1450-E1450-N(G1450))*1440-N(H1450)*10)/60))</f>
        <v/>
      </c>
      <c r="N1450" s="78" t="str">
        <f aca="false">IF($D1450="欠席",0,IF(OR(I1450="",J1450=""),"",MAX(0,((J1450-I1450-N(K1450))*1440-N(L1450)*10)/60)))</f>
        <v/>
      </c>
      <c r="O1450" s="73"/>
    </row>
    <row r="1451" customFormat="false" ht="15" hidden="false" customHeight="false" outlineLevel="0" collapsed="false">
      <c r="A1451" s="77"/>
      <c r="B1451" s="73"/>
      <c r="C1451" s="71" t="str">
        <f aca="false">IF(B1451="","",IFERROR(INDEX(マスタ!$F$2:$F$60,MATCH(B1451,マスタ!$E$2:$E$60,0))&amp;"",""))</f>
        <v/>
      </c>
      <c r="D1451" s="73"/>
      <c r="E1451" s="75"/>
      <c r="F1451" s="75"/>
      <c r="G1451" s="75"/>
      <c r="H1451" s="73"/>
      <c r="I1451" s="75"/>
      <c r="J1451" s="75"/>
      <c r="K1451" s="75"/>
      <c r="L1451" s="73"/>
      <c r="M1451" s="78" t="str">
        <f aca="false">IF(OR(E1451="",F1451=""),"",MAX(0,((F1451-E1451-N(G1451))*1440-N(H1451)*10)/60))</f>
        <v/>
      </c>
      <c r="N1451" s="78" t="str">
        <f aca="false">IF($D1451="欠席",0,IF(OR(I1451="",J1451=""),"",MAX(0,((J1451-I1451-N(K1451))*1440-N(L1451)*10)/60)))</f>
        <v/>
      </c>
      <c r="O1451" s="73"/>
    </row>
    <row r="1452" customFormat="false" ht="15" hidden="false" customHeight="false" outlineLevel="0" collapsed="false">
      <c r="A1452" s="77"/>
      <c r="B1452" s="73"/>
      <c r="C1452" s="71" t="str">
        <f aca="false">IF(B1452="","",IFERROR(INDEX(マスタ!$F$2:$F$60,MATCH(B1452,マスタ!$E$2:$E$60,0))&amp;"",""))</f>
        <v/>
      </c>
      <c r="D1452" s="73"/>
      <c r="E1452" s="75"/>
      <c r="F1452" s="75"/>
      <c r="G1452" s="75"/>
      <c r="H1452" s="73"/>
      <c r="I1452" s="75"/>
      <c r="J1452" s="75"/>
      <c r="K1452" s="75"/>
      <c r="L1452" s="73"/>
      <c r="M1452" s="78" t="str">
        <f aca="false">IF(OR(E1452="",F1452=""),"",MAX(0,((F1452-E1452-N(G1452))*1440-N(H1452)*10)/60))</f>
        <v/>
      </c>
      <c r="N1452" s="78" t="str">
        <f aca="false">IF($D1452="欠席",0,IF(OR(I1452="",J1452=""),"",MAX(0,((J1452-I1452-N(K1452))*1440-N(L1452)*10)/60)))</f>
        <v/>
      </c>
      <c r="O1452" s="73"/>
    </row>
    <row r="1453" customFormat="false" ht="15" hidden="false" customHeight="false" outlineLevel="0" collapsed="false">
      <c r="A1453" s="77"/>
      <c r="B1453" s="73"/>
      <c r="C1453" s="71" t="str">
        <f aca="false">IF(B1453="","",IFERROR(INDEX(マスタ!$F$2:$F$60,MATCH(B1453,マスタ!$E$2:$E$60,0))&amp;"",""))</f>
        <v/>
      </c>
      <c r="D1453" s="73"/>
      <c r="E1453" s="75"/>
      <c r="F1453" s="75"/>
      <c r="G1453" s="75"/>
      <c r="H1453" s="73"/>
      <c r="I1453" s="75"/>
      <c r="J1453" s="75"/>
      <c r="K1453" s="75"/>
      <c r="L1453" s="73"/>
      <c r="M1453" s="78" t="str">
        <f aca="false">IF(OR(E1453="",F1453=""),"",MAX(0,((F1453-E1453-N(G1453))*1440-N(H1453)*10)/60))</f>
        <v/>
      </c>
      <c r="N1453" s="78" t="str">
        <f aca="false">IF($D1453="欠席",0,IF(OR(I1453="",J1453=""),"",MAX(0,((J1453-I1453-N(K1453))*1440-N(L1453)*10)/60)))</f>
        <v/>
      </c>
      <c r="O1453" s="73"/>
    </row>
    <row r="1454" customFormat="false" ht="15" hidden="false" customHeight="false" outlineLevel="0" collapsed="false">
      <c r="A1454" s="77"/>
      <c r="B1454" s="73"/>
      <c r="C1454" s="71" t="str">
        <f aca="false">IF(B1454="","",IFERROR(INDEX(マスタ!$F$2:$F$60,MATCH(B1454,マスタ!$E$2:$E$60,0))&amp;"",""))</f>
        <v/>
      </c>
      <c r="D1454" s="73"/>
      <c r="E1454" s="75"/>
      <c r="F1454" s="75"/>
      <c r="G1454" s="75"/>
      <c r="H1454" s="73"/>
      <c r="I1454" s="75"/>
      <c r="J1454" s="75"/>
      <c r="K1454" s="75"/>
      <c r="L1454" s="73"/>
      <c r="M1454" s="78" t="str">
        <f aca="false">IF(OR(E1454="",F1454=""),"",MAX(0,((F1454-E1454-N(G1454))*1440-N(H1454)*10)/60))</f>
        <v/>
      </c>
      <c r="N1454" s="78" t="str">
        <f aca="false">IF($D1454="欠席",0,IF(OR(I1454="",J1454=""),"",MAX(0,((J1454-I1454-N(K1454))*1440-N(L1454)*10)/60)))</f>
        <v/>
      </c>
      <c r="O1454" s="73"/>
    </row>
    <row r="1455" customFormat="false" ht="15" hidden="false" customHeight="false" outlineLevel="0" collapsed="false">
      <c r="A1455" s="77"/>
      <c r="B1455" s="73"/>
      <c r="C1455" s="71" t="str">
        <f aca="false">IF(B1455="","",IFERROR(INDEX(マスタ!$F$2:$F$60,MATCH(B1455,マスタ!$E$2:$E$60,0))&amp;"",""))</f>
        <v/>
      </c>
      <c r="D1455" s="73"/>
      <c r="E1455" s="75"/>
      <c r="F1455" s="75"/>
      <c r="G1455" s="75"/>
      <c r="H1455" s="73"/>
      <c r="I1455" s="75"/>
      <c r="J1455" s="75"/>
      <c r="K1455" s="75"/>
      <c r="L1455" s="73"/>
      <c r="M1455" s="78" t="str">
        <f aca="false">IF(OR(E1455="",F1455=""),"",MAX(0,((F1455-E1455-N(G1455))*1440-N(H1455)*10)/60))</f>
        <v/>
      </c>
      <c r="N1455" s="78" t="str">
        <f aca="false">IF($D1455="欠席",0,IF(OR(I1455="",J1455=""),"",MAX(0,((J1455-I1455-N(K1455))*1440-N(L1455)*10)/60)))</f>
        <v/>
      </c>
      <c r="O1455" s="73"/>
    </row>
    <row r="1456" customFormat="false" ht="15" hidden="false" customHeight="false" outlineLevel="0" collapsed="false">
      <c r="A1456" s="77"/>
      <c r="B1456" s="73"/>
      <c r="C1456" s="71" t="str">
        <f aca="false">IF(B1456="","",IFERROR(INDEX(マスタ!$F$2:$F$60,MATCH(B1456,マスタ!$E$2:$E$60,0))&amp;"",""))</f>
        <v/>
      </c>
      <c r="D1456" s="73"/>
      <c r="E1456" s="75"/>
      <c r="F1456" s="75"/>
      <c r="G1456" s="75"/>
      <c r="H1456" s="73"/>
      <c r="I1456" s="75"/>
      <c r="J1456" s="75"/>
      <c r="K1456" s="75"/>
      <c r="L1456" s="73"/>
      <c r="M1456" s="78" t="str">
        <f aca="false">IF(OR(E1456="",F1456=""),"",MAX(0,((F1456-E1456-N(G1456))*1440-N(H1456)*10)/60))</f>
        <v/>
      </c>
      <c r="N1456" s="78" t="str">
        <f aca="false">IF($D1456="欠席",0,IF(OR(I1456="",J1456=""),"",MAX(0,((J1456-I1456-N(K1456))*1440-N(L1456)*10)/60)))</f>
        <v/>
      </c>
      <c r="O1456" s="73"/>
    </row>
    <row r="1457" customFormat="false" ht="15" hidden="false" customHeight="false" outlineLevel="0" collapsed="false">
      <c r="A1457" s="77"/>
      <c r="B1457" s="73"/>
      <c r="C1457" s="71" t="str">
        <f aca="false">IF(B1457="","",IFERROR(INDEX(マスタ!$F$2:$F$60,MATCH(B1457,マスタ!$E$2:$E$60,0))&amp;"",""))</f>
        <v/>
      </c>
      <c r="D1457" s="73"/>
      <c r="E1457" s="75"/>
      <c r="F1457" s="75"/>
      <c r="G1457" s="75"/>
      <c r="H1457" s="73"/>
      <c r="I1457" s="75"/>
      <c r="J1457" s="75"/>
      <c r="K1457" s="75"/>
      <c r="L1457" s="73"/>
      <c r="M1457" s="78" t="str">
        <f aca="false">IF(OR(E1457="",F1457=""),"",MAX(0,((F1457-E1457-N(G1457))*1440-N(H1457)*10)/60))</f>
        <v/>
      </c>
      <c r="N1457" s="78" t="str">
        <f aca="false">IF($D1457="欠席",0,IF(OR(I1457="",J1457=""),"",MAX(0,((J1457-I1457-N(K1457))*1440-N(L1457)*10)/60)))</f>
        <v/>
      </c>
      <c r="O1457" s="73"/>
    </row>
    <row r="1458" customFormat="false" ht="15" hidden="false" customHeight="false" outlineLevel="0" collapsed="false">
      <c r="A1458" s="77"/>
      <c r="B1458" s="73"/>
      <c r="C1458" s="71" t="str">
        <f aca="false">IF(B1458="","",IFERROR(INDEX(マスタ!$F$2:$F$60,MATCH(B1458,マスタ!$E$2:$E$60,0))&amp;"",""))</f>
        <v/>
      </c>
      <c r="D1458" s="73"/>
      <c r="E1458" s="75"/>
      <c r="F1458" s="75"/>
      <c r="G1458" s="75"/>
      <c r="H1458" s="73"/>
      <c r="I1458" s="75"/>
      <c r="J1458" s="75"/>
      <c r="K1458" s="75"/>
      <c r="L1458" s="73"/>
      <c r="M1458" s="78" t="str">
        <f aca="false">IF(OR(E1458="",F1458=""),"",MAX(0,((F1458-E1458-N(G1458))*1440-N(H1458)*10)/60))</f>
        <v/>
      </c>
      <c r="N1458" s="78" t="str">
        <f aca="false">IF($D1458="欠席",0,IF(OR(I1458="",J1458=""),"",MAX(0,((J1458-I1458-N(K1458))*1440-N(L1458)*10)/60)))</f>
        <v/>
      </c>
      <c r="O1458" s="73"/>
    </row>
    <row r="1459" customFormat="false" ht="15" hidden="false" customHeight="false" outlineLevel="0" collapsed="false">
      <c r="A1459" s="77"/>
      <c r="B1459" s="73"/>
      <c r="C1459" s="71" t="str">
        <f aca="false">IF(B1459="","",IFERROR(INDEX(マスタ!$F$2:$F$60,MATCH(B1459,マスタ!$E$2:$E$60,0))&amp;"",""))</f>
        <v/>
      </c>
      <c r="D1459" s="73"/>
      <c r="E1459" s="75"/>
      <c r="F1459" s="75"/>
      <c r="G1459" s="75"/>
      <c r="H1459" s="73"/>
      <c r="I1459" s="75"/>
      <c r="J1459" s="75"/>
      <c r="K1459" s="75"/>
      <c r="L1459" s="73"/>
      <c r="M1459" s="78" t="str">
        <f aca="false">IF(OR(E1459="",F1459=""),"",MAX(0,((F1459-E1459-N(G1459))*1440-N(H1459)*10)/60))</f>
        <v/>
      </c>
      <c r="N1459" s="78" t="str">
        <f aca="false">IF($D1459="欠席",0,IF(OR(I1459="",J1459=""),"",MAX(0,((J1459-I1459-N(K1459))*1440-N(L1459)*10)/60)))</f>
        <v/>
      </c>
      <c r="O1459" s="73"/>
    </row>
    <row r="1460" customFormat="false" ht="15" hidden="false" customHeight="false" outlineLevel="0" collapsed="false">
      <c r="A1460" s="77"/>
      <c r="B1460" s="73"/>
      <c r="C1460" s="71" t="str">
        <f aca="false">IF(B1460="","",IFERROR(INDEX(マスタ!$F$2:$F$60,MATCH(B1460,マスタ!$E$2:$E$60,0))&amp;"",""))</f>
        <v/>
      </c>
      <c r="D1460" s="73"/>
      <c r="E1460" s="75"/>
      <c r="F1460" s="75"/>
      <c r="G1460" s="75"/>
      <c r="H1460" s="73"/>
      <c r="I1460" s="75"/>
      <c r="J1460" s="75"/>
      <c r="K1460" s="75"/>
      <c r="L1460" s="73"/>
      <c r="M1460" s="78" t="str">
        <f aca="false">IF(OR(E1460="",F1460=""),"",MAX(0,((F1460-E1460-N(G1460))*1440-N(H1460)*10)/60))</f>
        <v/>
      </c>
      <c r="N1460" s="78" t="str">
        <f aca="false">IF($D1460="欠席",0,IF(OR(I1460="",J1460=""),"",MAX(0,((J1460-I1460-N(K1460))*1440-N(L1460)*10)/60)))</f>
        <v/>
      </c>
      <c r="O1460" s="73"/>
    </row>
    <row r="1461" customFormat="false" ht="15" hidden="false" customHeight="false" outlineLevel="0" collapsed="false">
      <c r="A1461" s="77"/>
      <c r="B1461" s="73"/>
      <c r="C1461" s="71" t="str">
        <f aca="false">IF(B1461="","",IFERROR(INDEX(マスタ!$F$2:$F$60,MATCH(B1461,マスタ!$E$2:$E$60,0))&amp;"",""))</f>
        <v/>
      </c>
      <c r="D1461" s="73"/>
      <c r="E1461" s="75"/>
      <c r="F1461" s="75"/>
      <c r="G1461" s="75"/>
      <c r="H1461" s="73"/>
      <c r="I1461" s="75"/>
      <c r="J1461" s="75"/>
      <c r="K1461" s="75"/>
      <c r="L1461" s="73"/>
      <c r="M1461" s="78" t="str">
        <f aca="false">IF(OR(E1461="",F1461=""),"",MAX(0,((F1461-E1461-N(G1461))*1440-N(H1461)*10)/60))</f>
        <v/>
      </c>
      <c r="N1461" s="78" t="str">
        <f aca="false">IF($D1461="欠席",0,IF(OR(I1461="",J1461=""),"",MAX(0,((J1461-I1461-N(K1461))*1440-N(L1461)*10)/60)))</f>
        <v/>
      </c>
      <c r="O1461" s="73"/>
    </row>
    <row r="1462" customFormat="false" ht="15" hidden="false" customHeight="false" outlineLevel="0" collapsed="false">
      <c r="A1462" s="77"/>
      <c r="B1462" s="73"/>
      <c r="C1462" s="71" t="str">
        <f aca="false">IF(B1462="","",IFERROR(INDEX(マスタ!$F$2:$F$60,MATCH(B1462,マスタ!$E$2:$E$60,0))&amp;"",""))</f>
        <v/>
      </c>
      <c r="D1462" s="73"/>
      <c r="E1462" s="75"/>
      <c r="F1462" s="75"/>
      <c r="G1462" s="75"/>
      <c r="H1462" s="73"/>
      <c r="I1462" s="75"/>
      <c r="J1462" s="75"/>
      <c r="K1462" s="75"/>
      <c r="L1462" s="73"/>
      <c r="M1462" s="78" t="str">
        <f aca="false">IF(OR(E1462="",F1462=""),"",MAX(0,((F1462-E1462-N(G1462))*1440-N(H1462)*10)/60))</f>
        <v/>
      </c>
      <c r="N1462" s="78" t="str">
        <f aca="false">IF($D1462="欠席",0,IF(OR(I1462="",J1462=""),"",MAX(0,((J1462-I1462-N(K1462))*1440-N(L1462)*10)/60)))</f>
        <v/>
      </c>
      <c r="O1462" s="73"/>
    </row>
    <row r="1463" customFormat="false" ht="15" hidden="false" customHeight="false" outlineLevel="0" collapsed="false">
      <c r="A1463" s="77"/>
      <c r="B1463" s="73"/>
      <c r="C1463" s="71" t="str">
        <f aca="false">IF(B1463="","",IFERROR(INDEX(マスタ!$F$2:$F$60,MATCH(B1463,マスタ!$E$2:$E$60,0))&amp;"",""))</f>
        <v/>
      </c>
      <c r="D1463" s="73"/>
      <c r="E1463" s="75"/>
      <c r="F1463" s="75"/>
      <c r="G1463" s="75"/>
      <c r="H1463" s="73"/>
      <c r="I1463" s="75"/>
      <c r="J1463" s="75"/>
      <c r="K1463" s="75"/>
      <c r="L1463" s="73"/>
      <c r="M1463" s="78" t="str">
        <f aca="false">IF(OR(E1463="",F1463=""),"",MAX(0,((F1463-E1463-N(G1463))*1440-N(H1463)*10)/60))</f>
        <v/>
      </c>
      <c r="N1463" s="78" t="str">
        <f aca="false">IF($D1463="欠席",0,IF(OR(I1463="",J1463=""),"",MAX(0,((J1463-I1463-N(K1463))*1440-N(L1463)*10)/60)))</f>
        <v/>
      </c>
      <c r="O1463" s="73"/>
    </row>
    <row r="1464" customFormat="false" ht="15" hidden="false" customHeight="false" outlineLevel="0" collapsed="false">
      <c r="A1464" s="77"/>
      <c r="B1464" s="73"/>
      <c r="C1464" s="71" t="str">
        <f aca="false">IF(B1464="","",IFERROR(INDEX(マスタ!$F$2:$F$60,MATCH(B1464,マスタ!$E$2:$E$60,0))&amp;"",""))</f>
        <v/>
      </c>
      <c r="D1464" s="73"/>
      <c r="E1464" s="75"/>
      <c r="F1464" s="75"/>
      <c r="G1464" s="75"/>
      <c r="H1464" s="73"/>
      <c r="I1464" s="75"/>
      <c r="J1464" s="75"/>
      <c r="K1464" s="75"/>
      <c r="L1464" s="73"/>
      <c r="M1464" s="78" t="str">
        <f aca="false">IF(OR(E1464="",F1464=""),"",MAX(0,((F1464-E1464-N(G1464))*1440-N(H1464)*10)/60))</f>
        <v/>
      </c>
      <c r="N1464" s="78" t="str">
        <f aca="false">IF($D1464="欠席",0,IF(OR(I1464="",J1464=""),"",MAX(0,((J1464-I1464-N(K1464))*1440-N(L1464)*10)/60)))</f>
        <v/>
      </c>
      <c r="O1464" s="73"/>
    </row>
    <row r="1465" customFormat="false" ht="15" hidden="false" customHeight="false" outlineLevel="0" collapsed="false">
      <c r="A1465" s="77"/>
      <c r="B1465" s="73"/>
      <c r="C1465" s="71" t="str">
        <f aca="false">IF(B1465="","",IFERROR(INDEX(マスタ!$F$2:$F$60,MATCH(B1465,マスタ!$E$2:$E$60,0))&amp;"",""))</f>
        <v/>
      </c>
      <c r="D1465" s="73"/>
      <c r="E1465" s="75"/>
      <c r="F1465" s="75"/>
      <c r="G1465" s="75"/>
      <c r="H1465" s="73"/>
      <c r="I1465" s="75"/>
      <c r="J1465" s="75"/>
      <c r="K1465" s="75"/>
      <c r="L1465" s="73"/>
      <c r="M1465" s="78" t="str">
        <f aca="false">IF(OR(E1465="",F1465=""),"",MAX(0,((F1465-E1465-N(G1465))*1440-N(H1465)*10)/60))</f>
        <v/>
      </c>
      <c r="N1465" s="78" t="str">
        <f aca="false">IF($D1465="欠席",0,IF(OR(I1465="",J1465=""),"",MAX(0,((J1465-I1465-N(K1465))*1440-N(L1465)*10)/60)))</f>
        <v/>
      </c>
      <c r="O1465" s="73"/>
    </row>
    <row r="1466" customFormat="false" ht="15" hidden="false" customHeight="false" outlineLevel="0" collapsed="false">
      <c r="A1466" s="77"/>
      <c r="B1466" s="73"/>
      <c r="C1466" s="71" t="str">
        <f aca="false">IF(B1466="","",IFERROR(INDEX(マスタ!$F$2:$F$60,MATCH(B1466,マスタ!$E$2:$E$60,0))&amp;"",""))</f>
        <v/>
      </c>
      <c r="D1466" s="73"/>
      <c r="E1466" s="75"/>
      <c r="F1466" s="75"/>
      <c r="G1466" s="75"/>
      <c r="H1466" s="73"/>
      <c r="I1466" s="75"/>
      <c r="J1466" s="75"/>
      <c r="K1466" s="75"/>
      <c r="L1466" s="73"/>
      <c r="M1466" s="78" t="str">
        <f aca="false">IF(OR(E1466="",F1466=""),"",MAX(0,((F1466-E1466-N(G1466))*1440-N(H1466)*10)/60))</f>
        <v/>
      </c>
      <c r="N1466" s="78" t="str">
        <f aca="false">IF($D1466="欠席",0,IF(OR(I1466="",J1466=""),"",MAX(0,((J1466-I1466-N(K1466))*1440-N(L1466)*10)/60)))</f>
        <v/>
      </c>
      <c r="O1466" s="73"/>
    </row>
    <row r="1467" customFormat="false" ht="15" hidden="false" customHeight="false" outlineLevel="0" collapsed="false">
      <c r="A1467" s="77"/>
      <c r="B1467" s="73"/>
      <c r="C1467" s="71" t="str">
        <f aca="false">IF(B1467="","",IFERROR(INDEX(マスタ!$F$2:$F$60,MATCH(B1467,マスタ!$E$2:$E$60,0))&amp;"",""))</f>
        <v/>
      </c>
      <c r="D1467" s="73"/>
      <c r="E1467" s="75"/>
      <c r="F1467" s="75"/>
      <c r="G1467" s="75"/>
      <c r="H1467" s="73"/>
      <c r="I1467" s="75"/>
      <c r="J1467" s="75"/>
      <c r="K1467" s="75"/>
      <c r="L1467" s="73"/>
      <c r="M1467" s="78" t="str">
        <f aca="false">IF(OR(E1467="",F1467=""),"",MAX(0,((F1467-E1467-N(G1467))*1440-N(H1467)*10)/60))</f>
        <v/>
      </c>
      <c r="N1467" s="78" t="str">
        <f aca="false">IF($D1467="欠席",0,IF(OR(I1467="",J1467=""),"",MAX(0,((J1467-I1467-N(K1467))*1440-N(L1467)*10)/60)))</f>
        <v/>
      </c>
      <c r="O1467" s="73"/>
    </row>
    <row r="1468" customFormat="false" ht="15" hidden="false" customHeight="false" outlineLevel="0" collapsed="false">
      <c r="A1468" s="77"/>
      <c r="B1468" s="73"/>
      <c r="C1468" s="71" t="str">
        <f aca="false">IF(B1468="","",IFERROR(INDEX(マスタ!$F$2:$F$60,MATCH(B1468,マスタ!$E$2:$E$60,0))&amp;"",""))</f>
        <v/>
      </c>
      <c r="D1468" s="73"/>
      <c r="E1468" s="75"/>
      <c r="F1468" s="75"/>
      <c r="G1468" s="75"/>
      <c r="H1468" s="73"/>
      <c r="I1468" s="75"/>
      <c r="J1468" s="75"/>
      <c r="K1468" s="75"/>
      <c r="L1468" s="73"/>
      <c r="M1468" s="78" t="str">
        <f aca="false">IF(OR(E1468="",F1468=""),"",MAX(0,((F1468-E1468-N(G1468))*1440-N(H1468)*10)/60))</f>
        <v/>
      </c>
      <c r="N1468" s="78" t="str">
        <f aca="false">IF($D1468="欠席",0,IF(OR(I1468="",J1468=""),"",MAX(0,((J1468-I1468-N(K1468))*1440-N(L1468)*10)/60)))</f>
        <v/>
      </c>
      <c r="O1468" s="73"/>
    </row>
    <row r="1469" customFormat="false" ht="15" hidden="false" customHeight="false" outlineLevel="0" collapsed="false">
      <c r="A1469" s="77"/>
      <c r="B1469" s="73"/>
      <c r="C1469" s="71" t="str">
        <f aca="false">IF(B1469="","",IFERROR(INDEX(マスタ!$F$2:$F$60,MATCH(B1469,マスタ!$E$2:$E$60,0))&amp;"",""))</f>
        <v/>
      </c>
      <c r="D1469" s="73"/>
      <c r="E1469" s="75"/>
      <c r="F1469" s="75"/>
      <c r="G1469" s="75"/>
      <c r="H1469" s="73"/>
      <c r="I1469" s="75"/>
      <c r="J1469" s="75"/>
      <c r="K1469" s="75"/>
      <c r="L1469" s="73"/>
      <c r="M1469" s="78" t="str">
        <f aca="false">IF(OR(E1469="",F1469=""),"",MAX(0,((F1469-E1469-N(G1469))*1440-N(H1469)*10)/60))</f>
        <v/>
      </c>
      <c r="N1469" s="78" t="str">
        <f aca="false">IF($D1469="欠席",0,IF(OR(I1469="",J1469=""),"",MAX(0,((J1469-I1469-N(K1469))*1440-N(L1469)*10)/60)))</f>
        <v/>
      </c>
      <c r="O1469" s="73"/>
    </row>
    <row r="1470" customFormat="false" ht="15" hidden="false" customHeight="false" outlineLevel="0" collapsed="false">
      <c r="A1470" s="77"/>
      <c r="B1470" s="73"/>
      <c r="C1470" s="71" t="str">
        <f aca="false">IF(B1470="","",IFERROR(INDEX(マスタ!$F$2:$F$60,MATCH(B1470,マスタ!$E$2:$E$60,0))&amp;"",""))</f>
        <v/>
      </c>
      <c r="D1470" s="73"/>
      <c r="E1470" s="75"/>
      <c r="F1470" s="75"/>
      <c r="G1470" s="75"/>
      <c r="H1470" s="73"/>
      <c r="I1470" s="75"/>
      <c r="J1470" s="75"/>
      <c r="K1470" s="75"/>
      <c r="L1470" s="73"/>
      <c r="M1470" s="78" t="str">
        <f aca="false">IF(OR(E1470="",F1470=""),"",MAX(0,((F1470-E1470-N(G1470))*1440-N(H1470)*10)/60))</f>
        <v/>
      </c>
      <c r="N1470" s="78" t="str">
        <f aca="false">IF($D1470="欠席",0,IF(OR(I1470="",J1470=""),"",MAX(0,((J1470-I1470-N(K1470))*1440-N(L1470)*10)/60)))</f>
        <v/>
      </c>
      <c r="O1470" s="73"/>
    </row>
    <row r="1471" customFormat="false" ht="15" hidden="false" customHeight="false" outlineLevel="0" collapsed="false">
      <c r="A1471" s="77"/>
      <c r="B1471" s="73"/>
      <c r="C1471" s="71" t="str">
        <f aca="false">IF(B1471="","",IFERROR(INDEX(マスタ!$F$2:$F$60,MATCH(B1471,マスタ!$E$2:$E$60,0))&amp;"",""))</f>
        <v/>
      </c>
      <c r="D1471" s="73"/>
      <c r="E1471" s="75"/>
      <c r="F1471" s="75"/>
      <c r="G1471" s="75"/>
      <c r="H1471" s="73"/>
      <c r="I1471" s="75"/>
      <c r="J1471" s="75"/>
      <c r="K1471" s="75"/>
      <c r="L1471" s="73"/>
      <c r="M1471" s="78" t="str">
        <f aca="false">IF(OR(E1471="",F1471=""),"",MAX(0,((F1471-E1471-N(G1471))*1440-N(H1471)*10)/60))</f>
        <v/>
      </c>
      <c r="N1471" s="78" t="str">
        <f aca="false">IF($D1471="欠席",0,IF(OR(I1471="",J1471=""),"",MAX(0,((J1471-I1471-N(K1471))*1440-N(L1471)*10)/60)))</f>
        <v/>
      </c>
      <c r="O1471" s="73"/>
    </row>
    <row r="1472" customFormat="false" ht="15" hidden="false" customHeight="false" outlineLevel="0" collapsed="false">
      <c r="A1472" s="77"/>
      <c r="B1472" s="73"/>
      <c r="C1472" s="71" t="str">
        <f aca="false">IF(B1472="","",IFERROR(INDEX(マスタ!$F$2:$F$60,MATCH(B1472,マスタ!$E$2:$E$60,0))&amp;"",""))</f>
        <v/>
      </c>
      <c r="D1472" s="73"/>
      <c r="E1472" s="75"/>
      <c r="F1472" s="75"/>
      <c r="G1472" s="75"/>
      <c r="H1472" s="73"/>
      <c r="I1472" s="75"/>
      <c r="J1472" s="75"/>
      <c r="K1472" s="75"/>
      <c r="L1472" s="73"/>
      <c r="M1472" s="78" t="str">
        <f aca="false">IF(OR(E1472="",F1472=""),"",MAX(0,((F1472-E1472-N(G1472))*1440-N(H1472)*10)/60))</f>
        <v/>
      </c>
      <c r="N1472" s="78" t="str">
        <f aca="false">IF($D1472="欠席",0,IF(OR(I1472="",J1472=""),"",MAX(0,((J1472-I1472-N(K1472))*1440-N(L1472)*10)/60)))</f>
        <v/>
      </c>
      <c r="O1472" s="73"/>
    </row>
    <row r="1473" customFormat="false" ht="15" hidden="false" customHeight="false" outlineLevel="0" collapsed="false">
      <c r="A1473" s="77"/>
      <c r="B1473" s="73"/>
      <c r="C1473" s="71" t="str">
        <f aca="false">IF(B1473="","",IFERROR(INDEX(マスタ!$F$2:$F$60,MATCH(B1473,マスタ!$E$2:$E$60,0))&amp;"",""))</f>
        <v/>
      </c>
      <c r="D1473" s="73"/>
      <c r="E1473" s="75"/>
      <c r="F1473" s="75"/>
      <c r="G1473" s="75"/>
      <c r="H1473" s="73"/>
      <c r="I1473" s="75"/>
      <c r="J1473" s="75"/>
      <c r="K1473" s="75"/>
      <c r="L1473" s="73"/>
      <c r="M1473" s="78" t="str">
        <f aca="false">IF(OR(E1473="",F1473=""),"",MAX(0,((F1473-E1473-N(G1473))*1440-N(H1473)*10)/60))</f>
        <v/>
      </c>
      <c r="N1473" s="78" t="str">
        <f aca="false">IF($D1473="欠席",0,IF(OR(I1473="",J1473=""),"",MAX(0,((J1473-I1473-N(K1473))*1440-N(L1473)*10)/60)))</f>
        <v/>
      </c>
      <c r="O1473" s="73"/>
    </row>
    <row r="1474" customFormat="false" ht="15" hidden="false" customHeight="false" outlineLevel="0" collapsed="false">
      <c r="A1474" s="77"/>
      <c r="B1474" s="73"/>
      <c r="C1474" s="71" t="str">
        <f aca="false">IF(B1474="","",IFERROR(INDEX(マスタ!$F$2:$F$60,MATCH(B1474,マスタ!$E$2:$E$60,0))&amp;"",""))</f>
        <v/>
      </c>
      <c r="D1474" s="73"/>
      <c r="E1474" s="75"/>
      <c r="F1474" s="75"/>
      <c r="G1474" s="75"/>
      <c r="H1474" s="73"/>
      <c r="I1474" s="75"/>
      <c r="J1474" s="75"/>
      <c r="K1474" s="75"/>
      <c r="L1474" s="73"/>
      <c r="M1474" s="78" t="str">
        <f aca="false">IF(OR(E1474="",F1474=""),"",MAX(0,((F1474-E1474-N(G1474))*1440-N(H1474)*10)/60))</f>
        <v/>
      </c>
      <c r="N1474" s="78" t="str">
        <f aca="false">IF($D1474="欠席",0,IF(OR(I1474="",J1474=""),"",MAX(0,((J1474-I1474-N(K1474))*1440-N(L1474)*10)/60)))</f>
        <v/>
      </c>
      <c r="O1474" s="73"/>
    </row>
    <row r="1475" customFormat="false" ht="15" hidden="false" customHeight="false" outlineLevel="0" collapsed="false">
      <c r="A1475" s="77"/>
      <c r="B1475" s="73"/>
      <c r="C1475" s="71" t="str">
        <f aca="false">IF(B1475="","",IFERROR(INDEX(マスタ!$F$2:$F$60,MATCH(B1475,マスタ!$E$2:$E$60,0))&amp;"",""))</f>
        <v/>
      </c>
      <c r="D1475" s="73"/>
      <c r="E1475" s="75"/>
      <c r="F1475" s="75"/>
      <c r="G1475" s="75"/>
      <c r="H1475" s="73"/>
      <c r="I1475" s="75"/>
      <c r="J1475" s="75"/>
      <c r="K1475" s="75"/>
      <c r="L1475" s="73"/>
      <c r="M1475" s="78" t="str">
        <f aca="false">IF(OR(E1475="",F1475=""),"",MAX(0,((F1475-E1475-N(G1475))*1440-N(H1475)*10)/60))</f>
        <v/>
      </c>
      <c r="N1475" s="78" t="str">
        <f aca="false">IF($D1475="欠席",0,IF(OR(I1475="",J1475=""),"",MAX(0,((J1475-I1475-N(K1475))*1440-N(L1475)*10)/60)))</f>
        <v/>
      </c>
      <c r="O1475" s="73"/>
    </row>
    <row r="1476" customFormat="false" ht="15" hidden="false" customHeight="false" outlineLevel="0" collapsed="false">
      <c r="A1476" s="77"/>
      <c r="B1476" s="73"/>
      <c r="C1476" s="71" t="str">
        <f aca="false">IF(B1476="","",IFERROR(INDEX(マスタ!$F$2:$F$60,MATCH(B1476,マスタ!$E$2:$E$60,0))&amp;"",""))</f>
        <v/>
      </c>
      <c r="D1476" s="73"/>
      <c r="E1476" s="75"/>
      <c r="F1476" s="75"/>
      <c r="G1476" s="75"/>
      <c r="H1476" s="73"/>
      <c r="I1476" s="75"/>
      <c r="J1476" s="75"/>
      <c r="K1476" s="75"/>
      <c r="L1476" s="73"/>
      <c r="M1476" s="78" t="str">
        <f aca="false">IF(OR(E1476="",F1476=""),"",MAX(0,((F1476-E1476-N(G1476))*1440-N(H1476)*10)/60))</f>
        <v/>
      </c>
      <c r="N1476" s="78" t="str">
        <f aca="false">IF($D1476="欠席",0,IF(OR(I1476="",J1476=""),"",MAX(0,((J1476-I1476-N(K1476))*1440-N(L1476)*10)/60)))</f>
        <v/>
      </c>
      <c r="O1476" s="73"/>
    </row>
    <row r="1477" customFormat="false" ht="15" hidden="false" customHeight="false" outlineLevel="0" collapsed="false">
      <c r="A1477" s="77"/>
      <c r="B1477" s="73"/>
      <c r="C1477" s="71" t="str">
        <f aca="false">IF(B1477="","",IFERROR(INDEX(マスタ!$F$2:$F$60,MATCH(B1477,マスタ!$E$2:$E$60,0))&amp;"",""))</f>
        <v/>
      </c>
      <c r="D1477" s="73"/>
      <c r="E1477" s="75"/>
      <c r="F1477" s="75"/>
      <c r="G1477" s="75"/>
      <c r="H1477" s="73"/>
      <c r="I1477" s="75"/>
      <c r="J1477" s="75"/>
      <c r="K1477" s="75"/>
      <c r="L1477" s="73"/>
      <c r="M1477" s="78" t="str">
        <f aca="false">IF(OR(E1477="",F1477=""),"",MAX(0,((F1477-E1477-N(G1477))*1440-N(H1477)*10)/60))</f>
        <v/>
      </c>
      <c r="N1477" s="78" t="str">
        <f aca="false">IF($D1477="欠席",0,IF(OR(I1477="",J1477=""),"",MAX(0,((J1477-I1477-N(K1477))*1440-N(L1477)*10)/60)))</f>
        <v/>
      </c>
      <c r="O1477" s="73"/>
    </row>
    <row r="1478" customFormat="false" ht="15" hidden="false" customHeight="false" outlineLevel="0" collapsed="false">
      <c r="A1478" s="77"/>
      <c r="B1478" s="73"/>
      <c r="C1478" s="71" t="str">
        <f aca="false">IF(B1478="","",IFERROR(INDEX(マスタ!$F$2:$F$60,MATCH(B1478,マスタ!$E$2:$E$60,0))&amp;"",""))</f>
        <v/>
      </c>
      <c r="D1478" s="73"/>
      <c r="E1478" s="75"/>
      <c r="F1478" s="75"/>
      <c r="G1478" s="75"/>
      <c r="H1478" s="73"/>
      <c r="I1478" s="75"/>
      <c r="J1478" s="75"/>
      <c r="K1478" s="75"/>
      <c r="L1478" s="73"/>
      <c r="M1478" s="78" t="str">
        <f aca="false">IF(OR(E1478="",F1478=""),"",MAX(0,((F1478-E1478-N(G1478))*1440-N(H1478)*10)/60))</f>
        <v/>
      </c>
      <c r="N1478" s="78" t="str">
        <f aca="false">IF($D1478="欠席",0,IF(OR(I1478="",J1478=""),"",MAX(0,((J1478-I1478-N(K1478))*1440-N(L1478)*10)/60)))</f>
        <v/>
      </c>
      <c r="O1478" s="73"/>
    </row>
    <row r="1479" customFormat="false" ht="15" hidden="false" customHeight="false" outlineLevel="0" collapsed="false">
      <c r="A1479" s="77"/>
      <c r="B1479" s="73"/>
      <c r="C1479" s="71" t="str">
        <f aca="false">IF(B1479="","",IFERROR(INDEX(マスタ!$F$2:$F$60,MATCH(B1479,マスタ!$E$2:$E$60,0))&amp;"",""))</f>
        <v/>
      </c>
      <c r="D1479" s="73"/>
      <c r="E1479" s="75"/>
      <c r="F1479" s="75"/>
      <c r="G1479" s="75"/>
      <c r="H1479" s="73"/>
      <c r="I1479" s="75"/>
      <c r="J1479" s="75"/>
      <c r="K1479" s="75"/>
      <c r="L1479" s="73"/>
      <c r="M1479" s="78" t="str">
        <f aca="false">IF(OR(E1479="",F1479=""),"",MAX(0,((F1479-E1479-N(G1479))*1440-N(H1479)*10)/60))</f>
        <v/>
      </c>
      <c r="N1479" s="78" t="str">
        <f aca="false">IF($D1479="欠席",0,IF(OR(I1479="",J1479=""),"",MAX(0,((J1479-I1479-N(K1479))*1440-N(L1479)*10)/60)))</f>
        <v/>
      </c>
      <c r="O1479" s="73"/>
    </row>
    <row r="1480" customFormat="false" ht="15" hidden="false" customHeight="false" outlineLevel="0" collapsed="false">
      <c r="A1480" s="77"/>
      <c r="B1480" s="73"/>
      <c r="C1480" s="71" t="str">
        <f aca="false">IF(B1480="","",IFERROR(INDEX(マスタ!$F$2:$F$60,MATCH(B1480,マスタ!$E$2:$E$60,0))&amp;"",""))</f>
        <v/>
      </c>
      <c r="D1480" s="73"/>
      <c r="E1480" s="75"/>
      <c r="F1480" s="75"/>
      <c r="G1480" s="75"/>
      <c r="H1480" s="73"/>
      <c r="I1480" s="75"/>
      <c r="J1480" s="75"/>
      <c r="K1480" s="75"/>
      <c r="L1480" s="73"/>
      <c r="M1480" s="78" t="str">
        <f aca="false">IF(OR(E1480="",F1480=""),"",MAX(0,((F1480-E1480-N(G1480))*1440-N(H1480)*10)/60))</f>
        <v/>
      </c>
      <c r="N1480" s="78" t="str">
        <f aca="false">IF($D1480="欠席",0,IF(OR(I1480="",J1480=""),"",MAX(0,((J1480-I1480-N(K1480))*1440-N(L1480)*10)/60)))</f>
        <v/>
      </c>
      <c r="O1480" s="73"/>
    </row>
    <row r="1481" customFormat="false" ht="15" hidden="false" customHeight="false" outlineLevel="0" collapsed="false">
      <c r="A1481" s="77"/>
      <c r="B1481" s="73"/>
      <c r="C1481" s="71" t="str">
        <f aca="false">IF(B1481="","",IFERROR(INDEX(マスタ!$F$2:$F$60,MATCH(B1481,マスタ!$E$2:$E$60,0))&amp;"",""))</f>
        <v/>
      </c>
      <c r="D1481" s="73"/>
      <c r="E1481" s="75"/>
      <c r="F1481" s="75"/>
      <c r="G1481" s="75"/>
      <c r="H1481" s="73"/>
      <c r="I1481" s="75"/>
      <c r="J1481" s="75"/>
      <c r="K1481" s="75"/>
      <c r="L1481" s="73"/>
      <c r="M1481" s="78" t="str">
        <f aca="false">IF(OR(E1481="",F1481=""),"",MAX(0,((F1481-E1481-N(G1481))*1440-N(H1481)*10)/60))</f>
        <v/>
      </c>
      <c r="N1481" s="78" t="str">
        <f aca="false">IF($D1481="欠席",0,IF(OR(I1481="",J1481=""),"",MAX(0,((J1481-I1481-N(K1481))*1440-N(L1481)*10)/60)))</f>
        <v/>
      </c>
      <c r="O1481" s="73"/>
    </row>
    <row r="1482" customFormat="false" ht="15" hidden="false" customHeight="false" outlineLevel="0" collapsed="false">
      <c r="A1482" s="77"/>
      <c r="B1482" s="73"/>
      <c r="C1482" s="71" t="str">
        <f aca="false">IF(B1482="","",IFERROR(INDEX(マスタ!$F$2:$F$60,MATCH(B1482,マスタ!$E$2:$E$60,0))&amp;"",""))</f>
        <v/>
      </c>
      <c r="D1482" s="73"/>
      <c r="E1482" s="75"/>
      <c r="F1482" s="75"/>
      <c r="G1482" s="75"/>
      <c r="H1482" s="73"/>
      <c r="I1482" s="75"/>
      <c r="J1482" s="75"/>
      <c r="K1482" s="75"/>
      <c r="L1482" s="73"/>
      <c r="M1482" s="78" t="str">
        <f aca="false">IF(OR(E1482="",F1482=""),"",MAX(0,((F1482-E1482-N(G1482))*1440-N(H1482)*10)/60))</f>
        <v/>
      </c>
      <c r="N1482" s="78" t="str">
        <f aca="false">IF($D1482="欠席",0,IF(OR(I1482="",J1482=""),"",MAX(0,((J1482-I1482-N(K1482))*1440-N(L1482)*10)/60)))</f>
        <v/>
      </c>
      <c r="O1482" s="73"/>
    </row>
    <row r="1483" customFormat="false" ht="15" hidden="false" customHeight="false" outlineLevel="0" collapsed="false">
      <c r="A1483" s="77"/>
      <c r="B1483" s="73"/>
      <c r="C1483" s="71" t="str">
        <f aca="false">IF(B1483="","",IFERROR(INDEX(マスタ!$F$2:$F$60,MATCH(B1483,マスタ!$E$2:$E$60,0))&amp;"",""))</f>
        <v/>
      </c>
      <c r="D1483" s="73"/>
      <c r="E1483" s="75"/>
      <c r="F1483" s="75"/>
      <c r="G1483" s="75"/>
      <c r="H1483" s="73"/>
      <c r="I1483" s="75"/>
      <c r="J1483" s="75"/>
      <c r="K1483" s="75"/>
      <c r="L1483" s="73"/>
      <c r="M1483" s="78" t="str">
        <f aca="false">IF(OR(E1483="",F1483=""),"",MAX(0,((F1483-E1483-N(G1483))*1440-N(H1483)*10)/60))</f>
        <v/>
      </c>
      <c r="N1483" s="78" t="str">
        <f aca="false">IF($D1483="欠席",0,IF(OR(I1483="",J1483=""),"",MAX(0,((J1483-I1483-N(K1483))*1440-N(L1483)*10)/60)))</f>
        <v/>
      </c>
      <c r="O1483" s="73"/>
    </row>
    <row r="1484" customFormat="false" ht="15" hidden="false" customHeight="false" outlineLevel="0" collapsed="false">
      <c r="A1484" s="77"/>
      <c r="B1484" s="73"/>
      <c r="C1484" s="71" t="str">
        <f aca="false">IF(B1484="","",IFERROR(INDEX(マスタ!$F$2:$F$60,MATCH(B1484,マスタ!$E$2:$E$60,0))&amp;"",""))</f>
        <v/>
      </c>
      <c r="D1484" s="73"/>
      <c r="E1484" s="75"/>
      <c r="F1484" s="75"/>
      <c r="G1484" s="75"/>
      <c r="H1484" s="73"/>
      <c r="I1484" s="75"/>
      <c r="J1484" s="75"/>
      <c r="K1484" s="75"/>
      <c r="L1484" s="73"/>
      <c r="M1484" s="78" t="str">
        <f aca="false">IF(OR(E1484="",F1484=""),"",MAX(0,((F1484-E1484-N(G1484))*1440-N(H1484)*10)/60))</f>
        <v/>
      </c>
      <c r="N1484" s="78" t="str">
        <f aca="false">IF($D1484="欠席",0,IF(OR(I1484="",J1484=""),"",MAX(0,((J1484-I1484-N(K1484))*1440-N(L1484)*10)/60)))</f>
        <v/>
      </c>
      <c r="O1484" s="73"/>
    </row>
    <row r="1485" customFormat="false" ht="15" hidden="false" customHeight="false" outlineLevel="0" collapsed="false">
      <c r="A1485" s="77"/>
      <c r="B1485" s="73"/>
      <c r="C1485" s="71" t="str">
        <f aca="false">IF(B1485="","",IFERROR(INDEX(マスタ!$F$2:$F$60,MATCH(B1485,マスタ!$E$2:$E$60,0))&amp;"",""))</f>
        <v/>
      </c>
      <c r="D1485" s="73"/>
      <c r="E1485" s="75"/>
      <c r="F1485" s="75"/>
      <c r="G1485" s="75"/>
      <c r="H1485" s="73"/>
      <c r="I1485" s="75"/>
      <c r="J1485" s="75"/>
      <c r="K1485" s="75"/>
      <c r="L1485" s="73"/>
      <c r="M1485" s="78" t="str">
        <f aca="false">IF(OR(E1485="",F1485=""),"",MAX(0,((F1485-E1485-N(G1485))*1440-N(H1485)*10)/60))</f>
        <v/>
      </c>
      <c r="N1485" s="78" t="str">
        <f aca="false">IF($D1485="欠席",0,IF(OR(I1485="",J1485=""),"",MAX(0,((J1485-I1485-N(K1485))*1440-N(L1485)*10)/60)))</f>
        <v/>
      </c>
      <c r="O1485" s="73"/>
    </row>
    <row r="1486" customFormat="false" ht="15" hidden="false" customHeight="false" outlineLevel="0" collapsed="false">
      <c r="A1486" s="77"/>
      <c r="B1486" s="73"/>
      <c r="C1486" s="71" t="str">
        <f aca="false">IF(B1486="","",IFERROR(INDEX(マスタ!$F$2:$F$60,MATCH(B1486,マスタ!$E$2:$E$60,0))&amp;"",""))</f>
        <v/>
      </c>
      <c r="D1486" s="73"/>
      <c r="E1486" s="75"/>
      <c r="F1486" s="75"/>
      <c r="G1486" s="75"/>
      <c r="H1486" s="73"/>
      <c r="I1486" s="75"/>
      <c r="J1486" s="75"/>
      <c r="K1486" s="75"/>
      <c r="L1486" s="73"/>
      <c r="M1486" s="78" t="str">
        <f aca="false">IF(OR(E1486="",F1486=""),"",MAX(0,((F1486-E1486-N(G1486))*1440-N(H1486)*10)/60))</f>
        <v/>
      </c>
      <c r="N1486" s="78" t="str">
        <f aca="false">IF($D1486="欠席",0,IF(OR(I1486="",J1486=""),"",MAX(0,((J1486-I1486-N(K1486))*1440-N(L1486)*10)/60)))</f>
        <v/>
      </c>
      <c r="O1486" s="73"/>
    </row>
    <row r="1487" customFormat="false" ht="15" hidden="false" customHeight="false" outlineLevel="0" collapsed="false">
      <c r="A1487" s="77"/>
      <c r="B1487" s="73"/>
      <c r="C1487" s="71" t="str">
        <f aca="false">IF(B1487="","",IFERROR(INDEX(マスタ!$F$2:$F$60,MATCH(B1487,マスタ!$E$2:$E$60,0))&amp;"",""))</f>
        <v/>
      </c>
      <c r="D1487" s="73"/>
      <c r="E1487" s="75"/>
      <c r="F1487" s="75"/>
      <c r="G1487" s="75"/>
      <c r="H1487" s="73"/>
      <c r="I1487" s="75"/>
      <c r="J1487" s="75"/>
      <c r="K1487" s="75"/>
      <c r="L1487" s="73"/>
      <c r="M1487" s="78" t="str">
        <f aca="false">IF(OR(E1487="",F1487=""),"",MAX(0,((F1487-E1487-N(G1487))*1440-N(H1487)*10)/60))</f>
        <v/>
      </c>
      <c r="N1487" s="78" t="str">
        <f aca="false">IF($D1487="欠席",0,IF(OR(I1487="",J1487=""),"",MAX(0,((J1487-I1487-N(K1487))*1440-N(L1487)*10)/60)))</f>
        <v/>
      </c>
      <c r="O1487" s="73"/>
    </row>
    <row r="1488" customFormat="false" ht="15" hidden="false" customHeight="false" outlineLevel="0" collapsed="false">
      <c r="A1488" s="77"/>
      <c r="B1488" s="73"/>
      <c r="C1488" s="71" t="str">
        <f aca="false">IF(B1488="","",IFERROR(INDEX(マスタ!$F$2:$F$60,MATCH(B1488,マスタ!$E$2:$E$60,0))&amp;"",""))</f>
        <v/>
      </c>
      <c r="D1488" s="73"/>
      <c r="E1488" s="75"/>
      <c r="F1488" s="75"/>
      <c r="G1488" s="75"/>
      <c r="H1488" s="73"/>
      <c r="I1488" s="75"/>
      <c r="J1488" s="75"/>
      <c r="K1488" s="75"/>
      <c r="L1488" s="73"/>
      <c r="M1488" s="78" t="str">
        <f aca="false">IF(OR(E1488="",F1488=""),"",MAX(0,((F1488-E1488-N(G1488))*1440-N(H1488)*10)/60))</f>
        <v/>
      </c>
      <c r="N1488" s="78" t="str">
        <f aca="false">IF($D1488="欠席",0,IF(OR(I1488="",J1488=""),"",MAX(0,((J1488-I1488-N(K1488))*1440-N(L1488)*10)/60)))</f>
        <v/>
      </c>
      <c r="O1488" s="73"/>
    </row>
    <row r="1489" customFormat="false" ht="15" hidden="false" customHeight="false" outlineLevel="0" collapsed="false">
      <c r="A1489" s="77"/>
      <c r="B1489" s="73"/>
      <c r="C1489" s="71" t="str">
        <f aca="false">IF(B1489="","",IFERROR(INDEX(マスタ!$F$2:$F$60,MATCH(B1489,マスタ!$E$2:$E$60,0))&amp;"",""))</f>
        <v/>
      </c>
      <c r="D1489" s="73"/>
      <c r="E1489" s="75"/>
      <c r="F1489" s="75"/>
      <c r="G1489" s="75"/>
      <c r="H1489" s="73"/>
      <c r="I1489" s="75"/>
      <c r="J1489" s="75"/>
      <c r="K1489" s="75"/>
      <c r="L1489" s="73"/>
      <c r="M1489" s="78" t="str">
        <f aca="false">IF(OR(E1489="",F1489=""),"",MAX(0,((F1489-E1489-N(G1489))*1440-N(H1489)*10)/60))</f>
        <v/>
      </c>
      <c r="N1489" s="78" t="str">
        <f aca="false">IF($D1489="欠席",0,IF(OR(I1489="",J1489=""),"",MAX(0,((J1489-I1489-N(K1489))*1440-N(L1489)*10)/60)))</f>
        <v/>
      </c>
      <c r="O1489" s="73"/>
    </row>
    <row r="1490" customFormat="false" ht="15" hidden="false" customHeight="false" outlineLevel="0" collapsed="false">
      <c r="A1490" s="77"/>
      <c r="B1490" s="73"/>
      <c r="C1490" s="71" t="str">
        <f aca="false">IF(B1490="","",IFERROR(INDEX(マスタ!$F$2:$F$60,MATCH(B1490,マスタ!$E$2:$E$60,0))&amp;"",""))</f>
        <v/>
      </c>
      <c r="D1490" s="73"/>
      <c r="E1490" s="75"/>
      <c r="F1490" s="75"/>
      <c r="G1490" s="75"/>
      <c r="H1490" s="73"/>
      <c r="I1490" s="75"/>
      <c r="J1490" s="75"/>
      <c r="K1490" s="75"/>
      <c r="L1490" s="73"/>
      <c r="M1490" s="78" t="str">
        <f aca="false">IF(OR(E1490="",F1490=""),"",MAX(0,((F1490-E1490-N(G1490))*1440-N(H1490)*10)/60))</f>
        <v/>
      </c>
      <c r="N1490" s="78" t="str">
        <f aca="false">IF($D1490="欠席",0,IF(OR(I1490="",J1490=""),"",MAX(0,((J1490-I1490-N(K1490))*1440-N(L1490)*10)/60)))</f>
        <v/>
      </c>
      <c r="O1490" s="73"/>
    </row>
    <row r="1491" customFormat="false" ht="15" hidden="false" customHeight="false" outlineLevel="0" collapsed="false">
      <c r="A1491" s="77"/>
      <c r="B1491" s="73"/>
      <c r="C1491" s="71" t="str">
        <f aca="false">IF(B1491="","",IFERROR(INDEX(マスタ!$F$2:$F$60,MATCH(B1491,マスタ!$E$2:$E$60,0))&amp;"",""))</f>
        <v/>
      </c>
      <c r="D1491" s="73"/>
      <c r="E1491" s="75"/>
      <c r="F1491" s="75"/>
      <c r="G1491" s="75"/>
      <c r="H1491" s="73"/>
      <c r="I1491" s="75"/>
      <c r="J1491" s="75"/>
      <c r="K1491" s="75"/>
      <c r="L1491" s="73"/>
      <c r="M1491" s="78" t="str">
        <f aca="false">IF(OR(E1491="",F1491=""),"",MAX(0,((F1491-E1491-N(G1491))*1440-N(H1491)*10)/60))</f>
        <v/>
      </c>
      <c r="N1491" s="78" t="str">
        <f aca="false">IF($D1491="欠席",0,IF(OR(I1491="",J1491=""),"",MAX(0,((J1491-I1491-N(K1491))*1440-N(L1491)*10)/60)))</f>
        <v/>
      </c>
      <c r="O1491" s="73"/>
    </row>
    <row r="1492" customFormat="false" ht="15" hidden="false" customHeight="false" outlineLevel="0" collapsed="false">
      <c r="A1492" s="77"/>
      <c r="B1492" s="73"/>
      <c r="C1492" s="71" t="str">
        <f aca="false">IF(B1492="","",IFERROR(INDEX(マスタ!$F$2:$F$60,MATCH(B1492,マスタ!$E$2:$E$60,0))&amp;"",""))</f>
        <v/>
      </c>
      <c r="D1492" s="73"/>
      <c r="E1492" s="75"/>
      <c r="F1492" s="75"/>
      <c r="G1492" s="75"/>
      <c r="H1492" s="73"/>
      <c r="I1492" s="75"/>
      <c r="J1492" s="75"/>
      <c r="K1492" s="75"/>
      <c r="L1492" s="73"/>
      <c r="M1492" s="78" t="str">
        <f aca="false">IF(OR(E1492="",F1492=""),"",MAX(0,((F1492-E1492-N(G1492))*1440-N(H1492)*10)/60))</f>
        <v/>
      </c>
      <c r="N1492" s="78" t="str">
        <f aca="false">IF($D1492="欠席",0,IF(OR(I1492="",J1492=""),"",MAX(0,((J1492-I1492-N(K1492))*1440-N(L1492)*10)/60)))</f>
        <v/>
      </c>
      <c r="O1492" s="73"/>
    </row>
    <row r="1493" customFormat="false" ht="15" hidden="false" customHeight="false" outlineLevel="0" collapsed="false">
      <c r="A1493" s="77"/>
      <c r="B1493" s="73"/>
      <c r="C1493" s="71" t="str">
        <f aca="false">IF(B1493="","",IFERROR(INDEX(マスタ!$F$2:$F$60,MATCH(B1493,マスタ!$E$2:$E$60,0))&amp;"",""))</f>
        <v/>
      </c>
      <c r="D1493" s="73"/>
      <c r="E1493" s="75"/>
      <c r="F1493" s="75"/>
      <c r="G1493" s="75"/>
      <c r="H1493" s="73"/>
      <c r="I1493" s="75"/>
      <c r="J1493" s="75"/>
      <c r="K1493" s="75"/>
      <c r="L1493" s="73"/>
      <c r="M1493" s="78" t="str">
        <f aca="false">IF(OR(E1493="",F1493=""),"",MAX(0,((F1493-E1493-N(G1493))*1440-N(H1493)*10)/60))</f>
        <v/>
      </c>
      <c r="N1493" s="78" t="str">
        <f aca="false">IF($D1493="欠席",0,IF(OR(I1493="",J1493=""),"",MAX(0,((J1493-I1493-N(K1493))*1440-N(L1493)*10)/60)))</f>
        <v/>
      </c>
      <c r="O1493" s="73"/>
    </row>
    <row r="1494" customFormat="false" ht="15" hidden="false" customHeight="false" outlineLevel="0" collapsed="false">
      <c r="A1494" s="77"/>
      <c r="B1494" s="73"/>
      <c r="C1494" s="71" t="str">
        <f aca="false">IF(B1494="","",IFERROR(INDEX(マスタ!$F$2:$F$60,MATCH(B1494,マスタ!$E$2:$E$60,0))&amp;"",""))</f>
        <v/>
      </c>
      <c r="D1494" s="73"/>
      <c r="E1494" s="75"/>
      <c r="F1494" s="75"/>
      <c r="G1494" s="75"/>
      <c r="H1494" s="73"/>
      <c r="I1494" s="75"/>
      <c r="J1494" s="75"/>
      <c r="K1494" s="75"/>
      <c r="L1494" s="73"/>
      <c r="M1494" s="78" t="str">
        <f aca="false">IF(OR(E1494="",F1494=""),"",MAX(0,((F1494-E1494-N(G1494))*1440-N(H1494)*10)/60))</f>
        <v/>
      </c>
      <c r="N1494" s="78" t="str">
        <f aca="false">IF($D1494="欠席",0,IF(OR(I1494="",J1494=""),"",MAX(0,((J1494-I1494-N(K1494))*1440-N(L1494)*10)/60)))</f>
        <v/>
      </c>
      <c r="O1494" s="73"/>
    </row>
    <row r="1495" customFormat="false" ht="15" hidden="false" customHeight="false" outlineLevel="0" collapsed="false">
      <c r="A1495" s="77"/>
      <c r="B1495" s="73"/>
      <c r="C1495" s="71" t="str">
        <f aca="false">IF(B1495="","",IFERROR(INDEX(マスタ!$F$2:$F$60,MATCH(B1495,マスタ!$E$2:$E$60,0))&amp;"",""))</f>
        <v/>
      </c>
      <c r="D1495" s="73"/>
      <c r="E1495" s="75"/>
      <c r="F1495" s="75"/>
      <c r="G1495" s="75"/>
      <c r="H1495" s="73"/>
      <c r="I1495" s="75"/>
      <c r="J1495" s="75"/>
      <c r="K1495" s="75"/>
      <c r="L1495" s="73"/>
      <c r="M1495" s="78" t="str">
        <f aca="false">IF(OR(E1495="",F1495=""),"",MAX(0,((F1495-E1495-N(G1495))*1440-N(H1495)*10)/60))</f>
        <v/>
      </c>
      <c r="N1495" s="78" t="str">
        <f aca="false">IF($D1495="欠席",0,IF(OR(I1495="",J1495=""),"",MAX(0,((J1495-I1495-N(K1495))*1440-N(L1495)*10)/60)))</f>
        <v/>
      </c>
      <c r="O1495" s="73"/>
    </row>
    <row r="1496" customFormat="false" ht="15" hidden="false" customHeight="false" outlineLevel="0" collapsed="false">
      <c r="A1496" s="77"/>
      <c r="B1496" s="73"/>
      <c r="C1496" s="71" t="str">
        <f aca="false">IF(B1496="","",IFERROR(INDEX(マスタ!$F$2:$F$60,MATCH(B1496,マスタ!$E$2:$E$60,0))&amp;"",""))</f>
        <v/>
      </c>
      <c r="D1496" s="73"/>
      <c r="E1496" s="75"/>
      <c r="F1496" s="75"/>
      <c r="G1496" s="75"/>
      <c r="H1496" s="73"/>
      <c r="I1496" s="75"/>
      <c r="J1496" s="75"/>
      <c r="K1496" s="75"/>
      <c r="L1496" s="73"/>
      <c r="M1496" s="78" t="str">
        <f aca="false">IF(OR(E1496="",F1496=""),"",MAX(0,((F1496-E1496-N(G1496))*1440-N(H1496)*10)/60))</f>
        <v/>
      </c>
      <c r="N1496" s="78" t="str">
        <f aca="false">IF($D1496="欠席",0,IF(OR(I1496="",J1496=""),"",MAX(0,((J1496-I1496-N(K1496))*1440-N(L1496)*10)/60)))</f>
        <v/>
      </c>
      <c r="O1496" s="73"/>
    </row>
    <row r="1497" customFormat="false" ht="15" hidden="false" customHeight="false" outlineLevel="0" collapsed="false">
      <c r="A1497" s="77"/>
      <c r="B1497" s="73"/>
      <c r="C1497" s="71" t="str">
        <f aca="false">IF(B1497="","",IFERROR(INDEX(マスタ!$F$2:$F$60,MATCH(B1497,マスタ!$E$2:$E$60,0))&amp;"",""))</f>
        <v/>
      </c>
      <c r="D1497" s="73"/>
      <c r="E1497" s="75"/>
      <c r="F1497" s="75"/>
      <c r="G1497" s="75"/>
      <c r="H1497" s="73"/>
      <c r="I1497" s="75"/>
      <c r="J1497" s="75"/>
      <c r="K1497" s="75"/>
      <c r="L1497" s="73"/>
      <c r="M1497" s="78" t="str">
        <f aca="false">IF(OR(E1497="",F1497=""),"",MAX(0,((F1497-E1497-N(G1497))*1440-N(H1497)*10)/60))</f>
        <v/>
      </c>
      <c r="N1497" s="78" t="str">
        <f aca="false">IF($D1497="欠席",0,IF(OR(I1497="",J1497=""),"",MAX(0,((J1497-I1497-N(K1497))*1440-N(L1497)*10)/60)))</f>
        <v/>
      </c>
      <c r="O1497" s="73"/>
    </row>
    <row r="1498" customFormat="false" ht="15" hidden="false" customHeight="false" outlineLevel="0" collapsed="false">
      <c r="A1498" s="77"/>
      <c r="B1498" s="73"/>
      <c r="C1498" s="71" t="str">
        <f aca="false">IF(B1498="","",IFERROR(INDEX(マスタ!$F$2:$F$60,MATCH(B1498,マスタ!$E$2:$E$60,0))&amp;"",""))</f>
        <v/>
      </c>
      <c r="D1498" s="73"/>
      <c r="E1498" s="75"/>
      <c r="F1498" s="75"/>
      <c r="G1498" s="75"/>
      <c r="H1498" s="73"/>
      <c r="I1498" s="75"/>
      <c r="J1498" s="75"/>
      <c r="K1498" s="75"/>
      <c r="L1498" s="73"/>
      <c r="M1498" s="78" t="str">
        <f aca="false">IF(OR(E1498="",F1498=""),"",MAX(0,((F1498-E1498-N(G1498))*1440-N(H1498)*10)/60))</f>
        <v/>
      </c>
      <c r="N1498" s="78" t="str">
        <f aca="false">IF($D1498="欠席",0,IF(OR(I1498="",J1498=""),"",MAX(0,((J1498-I1498-N(K1498))*1440-N(L1498)*10)/60)))</f>
        <v/>
      </c>
      <c r="O1498" s="73"/>
    </row>
    <row r="1499" customFormat="false" ht="15" hidden="false" customHeight="false" outlineLevel="0" collapsed="false">
      <c r="A1499" s="77"/>
      <c r="B1499" s="73"/>
      <c r="C1499" s="71" t="str">
        <f aca="false">IF(B1499="","",IFERROR(INDEX(マスタ!$F$2:$F$60,MATCH(B1499,マスタ!$E$2:$E$60,0))&amp;"",""))</f>
        <v/>
      </c>
      <c r="D1499" s="73"/>
      <c r="E1499" s="75"/>
      <c r="F1499" s="75"/>
      <c r="G1499" s="75"/>
      <c r="H1499" s="73"/>
      <c r="I1499" s="75"/>
      <c r="J1499" s="75"/>
      <c r="K1499" s="75"/>
      <c r="L1499" s="73"/>
      <c r="M1499" s="78" t="str">
        <f aca="false">IF(OR(E1499="",F1499=""),"",MAX(0,((F1499-E1499-N(G1499))*1440-N(H1499)*10)/60))</f>
        <v/>
      </c>
      <c r="N1499" s="78" t="str">
        <f aca="false">IF($D1499="欠席",0,IF(OR(I1499="",J1499=""),"",MAX(0,((J1499-I1499-N(K1499))*1440-N(L1499)*10)/60)))</f>
        <v/>
      </c>
      <c r="O1499" s="73"/>
    </row>
    <row r="1500" customFormat="false" ht="15" hidden="false" customHeight="false" outlineLevel="0" collapsed="false">
      <c r="A1500" s="77"/>
      <c r="B1500" s="73"/>
      <c r="C1500" s="71" t="str">
        <f aca="false">IF(B1500="","",IFERROR(INDEX(マスタ!$F$2:$F$60,MATCH(B1500,マスタ!$E$2:$E$60,0))&amp;"",""))</f>
        <v/>
      </c>
      <c r="D1500" s="73"/>
      <c r="E1500" s="75"/>
      <c r="F1500" s="75"/>
      <c r="G1500" s="75"/>
      <c r="H1500" s="73"/>
      <c r="I1500" s="75"/>
      <c r="J1500" s="75"/>
      <c r="K1500" s="75"/>
      <c r="L1500" s="73"/>
      <c r="M1500" s="78" t="str">
        <f aca="false">IF(OR(E1500="",F1500=""),"",MAX(0,((F1500-E1500-N(G1500))*1440-N(H1500)*10)/60))</f>
        <v/>
      </c>
      <c r="N1500" s="78" t="str">
        <f aca="false">IF($D1500="欠席",0,IF(OR(I1500="",J1500=""),"",MAX(0,((J1500-I1500-N(K1500))*1440-N(L1500)*10)/60)))</f>
        <v/>
      </c>
      <c r="O1500" s="73"/>
    </row>
    <row r="1501" customFormat="false" ht="15" hidden="false" customHeight="false" outlineLevel="0" collapsed="false">
      <c r="A1501" s="77"/>
      <c r="B1501" s="73"/>
      <c r="C1501" s="71" t="str">
        <f aca="false">IF(B1501="","",IFERROR(INDEX(マスタ!$F$2:$F$60,MATCH(B1501,マスタ!$E$2:$E$60,0))&amp;"",""))</f>
        <v/>
      </c>
      <c r="D1501" s="73"/>
      <c r="E1501" s="75"/>
      <c r="F1501" s="75"/>
      <c r="G1501" s="75"/>
      <c r="H1501" s="73"/>
      <c r="I1501" s="75"/>
      <c r="J1501" s="75"/>
      <c r="K1501" s="75"/>
      <c r="L1501" s="73"/>
      <c r="M1501" s="78" t="str">
        <f aca="false">IF(OR(E1501="",F1501=""),"",MAX(0,((F1501-E1501-N(G1501))*1440-N(H1501)*10)/60))</f>
        <v/>
      </c>
      <c r="N1501" s="78" t="str">
        <f aca="false">IF($D1501="欠席",0,IF(OR(I1501="",J1501=""),"",MAX(0,((J1501-I1501-N(K1501))*1440-N(L1501)*10)/60)))</f>
        <v/>
      </c>
      <c r="O1501" s="73"/>
    </row>
  </sheetData>
  <autoFilter ref="A1:O1501"/>
  <dataValidations count="3">
    <dataValidation allowBlank="true" error="日付を入力してください（例：2026/11/05）" errorStyle="stop" errorTitle="入力エラー" operator="greaterThan" showDropDown="false" showErrorMessage="false" showInputMessage="false" sqref="A2:A1501" type="date">
      <formula1>36526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B2:B1501" type="list">
      <formula1>マスタ!$E$2:$E$60</formula1>
      <formula2>0</formula2>
    </dataValidation>
    <dataValidation allowBlank="true" error="リストから選んでください（選択肢は「マスタ」シートで追加できます）" errorStyle="stop" errorTitle="入力エラー" operator="between" showDropDown="false" showErrorMessage="true" showInputMessage="false" sqref="D2:D1501" type="list">
      <formula1>マスタ!$X$2:$X$60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272</v>
      </c>
    </row>
    <row r="2" customFormat="false" ht="15" hidden="false" customHeight="false" outlineLevel="0" collapsed="false">
      <c r="A2" s="33" t="s">
        <v>273</v>
      </c>
    </row>
    <row r="4" customFormat="false" ht="15" hidden="false" customHeight="true" outlineLevel="0" collapsed="false">
      <c r="A4" s="7" t="s">
        <v>274</v>
      </c>
      <c r="B4" s="7"/>
      <c r="C4" s="7"/>
      <c r="D4" s="7"/>
      <c r="F4" s="8" t="s">
        <v>275</v>
      </c>
      <c r="G4" s="8" t="s">
        <v>259</v>
      </c>
    </row>
    <row r="5" customFormat="false" ht="17.15" hidden="false" customHeight="false" outlineLevel="0" collapsed="false">
      <c r="A5" s="79" t="s">
        <v>276</v>
      </c>
      <c r="B5" s="80" t="n">
        <v>46327</v>
      </c>
      <c r="D5" s="33" t="s">
        <v>277</v>
      </c>
      <c r="F5" s="54" t="s">
        <v>278</v>
      </c>
      <c r="G5" s="81" t="n">
        <v>46023</v>
      </c>
    </row>
    <row r="6" customFormat="false" ht="17.15" hidden="false" customHeight="false" outlineLevel="0" collapsed="false">
      <c r="A6" s="79" t="s">
        <v>43</v>
      </c>
      <c r="B6" s="82" t="n">
        <v>21</v>
      </c>
      <c r="D6" s="33" t="s">
        <v>279</v>
      </c>
      <c r="F6" s="54" t="s">
        <v>280</v>
      </c>
      <c r="G6" s="81" t="n">
        <v>46034</v>
      </c>
    </row>
    <row r="7" customFormat="false" ht="17.15" hidden="false" customHeight="false" outlineLevel="0" collapsed="false">
      <c r="A7" s="79" t="s">
        <v>281</v>
      </c>
      <c r="B7" s="83" t="n">
        <f aca="true">MAX(0,MIN(設定!$B$6,NETWORKDAYS(設定!$B$5,MIN(TODAY(),EOMONTH(設定!$B$5,0)),$G$5:$G$80)))</f>
        <v>0</v>
      </c>
      <c r="D7" s="33" t="s">
        <v>282</v>
      </c>
      <c r="F7" s="54" t="s">
        <v>283</v>
      </c>
      <c r="G7" s="81" t="n">
        <v>46064</v>
      </c>
    </row>
    <row r="8" customFormat="false" ht="15" hidden="false" customHeight="false" outlineLevel="0" collapsed="false">
      <c r="A8" s="79" t="s">
        <v>284</v>
      </c>
      <c r="B8" s="82"/>
      <c r="D8" s="33" t="s">
        <v>285</v>
      </c>
      <c r="F8" s="54" t="s">
        <v>286</v>
      </c>
      <c r="G8" s="81" t="n">
        <v>46076</v>
      </c>
    </row>
    <row r="9" customFormat="false" ht="17.15" hidden="false" customHeight="false" outlineLevel="0" collapsed="false">
      <c r="A9" s="79" t="s">
        <v>287</v>
      </c>
      <c r="B9" s="83" t="n">
        <f aca="false">IF(設定!$B$8="",設定!$B$7,設定!$B$8)</f>
        <v>0</v>
      </c>
      <c r="D9" s="33"/>
      <c r="F9" s="54" t="s">
        <v>288</v>
      </c>
      <c r="G9" s="81" t="n">
        <v>46101</v>
      </c>
    </row>
    <row r="10" customFormat="false" ht="17.15" hidden="false" customHeight="false" outlineLevel="0" collapsed="false">
      <c r="A10" s="79" t="s">
        <v>44</v>
      </c>
      <c r="B10" s="83" t="n">
        <f aca="false">MAX(0,設定!$B$6-設定!$B$9)</f>
        <v>21</v>
      </c>
      <c r="D10" s="33"/>
      <c r="F10" s="54" t="s">
        <v>289</v>
      </c>
      <c r="G10" s="81" t="n">
        <v>46141</v>
      </c>
    </row>
    <row r="11" customFormat="false" ht="15" hidden="false" customHeight="false" outlineLevel="0" collapsed="false">
      <c r="F11" s="54" t="s">
        <v>290</v>
      </c>
      <c r="G11" s="81" t="n">
        <v>46145</v>
      </c>
    </row>
    <row r="12" customFormat="false" ht="15" hidden="false" customHeight="false" outlineLevel="0" collapsed="false">
      <c r="A12" s="7" t="s">
        <v>291</v>
      </c>
      <c r="B12" s="7" t="s">
        <v>26</v>
      </c>
      <c r="C12" s="7" t="s">
        <v>27</v>
      </c>
      <c r="D12" s="7"/>
      <c r="F12" s="54" t="s">
        <v>292</v>
      </c>
      <c r="G12" s="81" t="n">
        <v>46146</v>
      </c>
    </row>
    <row r="13" customFormat="false" ht="17.15" hidden="false" customHeight="false" outlineLevel="0" collapsed="false">
      <c r="A13" s="79" t="s">
        <v>47</v>
      </c>
      <c r="B13" s="84" t="n">
        <v>100</v>
      </c>
      <c r="C13" s="84" t="n">
        <v>40</v>
      </c>
      <c r="D13" s="33"/>
      <c r="F13" s="54" t="s">
        <v>293</v>
      </c>
      <c r="G13" s="81" t="n">
        <v>46147</v>
      </c>
    </row>
    <row r="14" customFormat="false" ht="17.15" hidden="false" customHeight="false" outlineLevel="0" collapsed="false">
      <c r="A14" s="79" t="s">
        <v>50</v>
      </c>
      <c r="B14" s="84" t="n">
        <v>90</v>
      </c>
      <c r="C14" s="84" t="n">
        <v>35</v>
      </c>
      <c r="D14" s="33"/>
      <c r="F14" s="54" t="s">
        <v>294</v>
      </c>
      <c r="G14" s="81" t="n">
        <v>46148</v>
      </c>
    </row>
    <row r="15" customFormat="false" ht="15" hidden="false" customHeight="false" outlineLevel="0" collapsed="false">
      <c r="A15" s="79" t="s">
        <v>295</v>
      </c>
      <c r="B15" s="85" t="n">
        <v>0.13</v>
      </c>
      <c r="C15" s="85" t="n">
        <v>0.1</v>
      </c>
      <c r="D15" s="33"/>
      <c r="F15" s="54" t="s">
        <v>296</v>
      </c>
      <c r="G15" s="81" t="n">
        <v>46223</v>
      </c>
    </row>
    <row r="16" customFormat="false" ht="15" hidden="false" customHeight="false" outlineLevel="0" collapsed="false">
      <c r="F16" s="54" t="s">
        <v>297</v>
      </c>
      <c r="G16" s="81" t="n">
        <v>46245</v>
      </c>
    </row>
    <row r="17" customFormat="false" ht="15" hidden="false" customHeight="true" outlineLevel="0" collapsed="false">
      <c r="A17" s="7" t="s">
        <v>298</v>
      </c>
      <c r="B17" s="7"/>
      <c r="C17" s="7"/>
      <c r="D17" s="7"/>
      <c r="F17" s="54" t="s">
        <v>299</v>
      </c>
      <c r="G17" s="81" t="n">
        <v>46286</v>
      </c>
    </row>
    <row r="18" customFormat="false" ht="15" hidden="false" customHeight="false" outlineLevel="0" collapsed="false">
      <c r="A18" s="79" t="s">
        <v>300</v>
      </c>
      <c r="B18" s="86" t="n">
        <v>0.7</v>
      </c>
      <c r="D18" s="33" t="s">
        <v>301</v>
      </c>
      <c r="F18" s="54" t="s">
        <v>302</v>
      </c>
      <c r="G18" s="81" t="n">
        <v>46287</v>
      </c>
    </row>
    <row r="19" customFormat="false" ht="15" hidden="false" customHeight="false" outlineLevel="0" collapsed="false">
      <c r="A19" s="79" t="s">
        <v>303</v>
      </c>
      <c r="B19" s="86" t="n">
        <v>0.6</v>
      </c>
      <c r="D19" s="33" t="s">
        <v>304</v>
      </c>
      <c r="F19" s="54" t="s">
        <v>305</v>
      </c>
      <c r="G19" s="81" t="n">
        <v>46288</v>
      </c>
    </row>
    <row r="20" customFormat="false" ht="15" hidden="false" customHeight="false" outlineLevel="0" collapsed="false">
      <c r="A20" s="79" t="s">
        <v>306</v>
      </c>
      <c r="B20" s="86" t="n">
        <v>0.5</v>
      </c>
      <c r="D20" s="33"/>
      <c r="F20" s="54" t="s">
        <v>307</v>
      </c>
      <c r="G20" s="81" t="n">
        <v>46307</v>
      </c>
    </row>
    <row r="21" customFormat="false" ht="15" hidden="false" customHeight="false" outlineLevel="0" collapsed="false">
      <c r="A21" s="79" t="s">
        <v>308</v>
      </c>
      <c r="B21" s="86" t="n">
        <v>0.35</v>
      </c>
      <c r="D21" s="33"/>
      <c r="F21" s="54" t="s">
        <v>309</v>
      </c>
      <c r="G21" s="81" t="n">
        <v>46329</v>
      </c>
    </row>
    <row r="22" customFormat="false" ht="17.15" hidden="false" customHeight="false" outlineLevel="0" collapsed="false">
      <c r="A22" s="79" t="s">
        <v>310</v>
      </c>
      <c r="B22" s="87" t="n">
        <v>25000</v>
      </c>
      <c r="D22" s="69" t="s">
        <v>311</v>
      </c>
      <c r="F22" s="54" t="s">
        <v>312</v>
      </c>
      <c r="G22" s="81" t="n">
        <v>46349</v>
      </c>
    </row>
    <row r="23" customFormat="false" ht="15" hidden="false" customHeight="false" outlineLevel="0" collapsed="false">
      <c r="F23" s="54" t="s">
        <v>278</v>
      </c>
      <c r="G23" s="81" t="n">
        <v>46388</v>
      </c>
    </row>
    <row r="24" customFormat="false" ht="15" hidden="false" customHeight="true" outlineLevel="0" collapsed="false">
      <c r="A24" s="7" t="s">
        <v>313</v>
      </c>
      <c r="B24" s="7"/>
      <c r="C24" s="7"/>
      <c r="D24" s="7"/>
      <c r="F24" s="54" t="s">
        <v>280</v>
      </c>
      <c r="G24" s="81" t="n">
        <v>46398</v>
      </c>
    </row>
    <row r="25" customFormat="false" ht="17.15" hidden="false" customHeight="false" outlineLevel="0" collapsed="false">
      <c r="A25" s="79" t="s">
        <v>314</v>
      </c>
      <c r="B25" s="88" t="n">
        <v>1.5</v>
      </c>
      <c r="D25" s="33"/>
      <c r="F25" s="54" t="s">
        <v>283</v>
      </c>
      <c r="G25" s="81" t="n">
        <v>46429</v>
      </c>
    </row>
    <row r="26" customFormat="false" ht="17.15" hidden="false" customHeight="false" outlineLevel="0" collapsed="false">
      <c r="A26" s="79" t="s">
        <v>315</v>
      </c>
      <c r="B26" s="87" t="n">
        <v>120000</v>
      </c>
      <c r="D26" s="33" t="s">
        <v>316</v>
      </c>
      <c r="F26" s="54" t="s">
        <v>286</v>
      </c>
      <c r="G26" s="81" t="n">
        <v>46441</v>
      </c>
    </row>
    <row r="27" customFormat="false" ht="17.15" hidden="false" customHeight="false" outlineLevel="0" collapsed="false">
      <c r="A27" s="79" t="s">
        <v>317</v>
      </c>
      <c r="B27" s="87" t="n">
        <v>10000</v>
      </c>
      <c r="D27" s="33"/>
      <c r="F27" s="54" t="s">
        <v>288</v>
      </c>
      <c r="G27" s="81" t="n">
        <v>46467</v>
      </c>
    </row>
    <row r="28" customFormat="false" ht="17.15" hidden="false" customHeight="false" outlineLevel="0" collapsed="false">
      <c r="A28" s="79" t="s">
        <v>318</v>
      </c>
      <c r="B28" s="87" t="n">
        <v>5000</v>
      </c>
      <c r="D28" s="33" t="s">
        <v>319</v>
      </c>
      <c r="F28" s="54" t="s">
        <v>294</v>
      </c>
      <c r="G28" s="81" t="n">
        <v>46468</v>
      </c>
    </row>
    <row r="29" customFormat="false" ht="15" hidden="false" customHeight="false" outlineLevel="0" collapsed="false">
      <c r="A29" s="79" t="s">
        <v>320</v>
      </c>
      <c r="B29" s="86" t="n">
        <v>0.03</v>
      </c>
      <c r="D29" s="33"/>
      <c r="F29" s="54" t="s">
        <v>289</v>
      </c>
      <c r="G29" s="81" t="n">
        <v>46506</v>
      </c>
    </row>
    <row r="30" customFormat="false" ht="15" hidden="false" customHeight="false" outlineLevel="0" collapsed="false">
      <c r="A30" s="79" t="s">
        <v>321</v>
      </c>
      <c r="B30" s="89" t="n">
        <v>3</v>
      </c>
      <c r="D30" s="33" t="s">
        <v>322</v>
      </c>
      <c r="F30" s="54" t="s">
        <v>290</v>
      </c>
      <c r="G30" s="81" t="n">
        <v>46510</v>
      </c>
    </row>
    <row r="31" customFormat="false" ht="15" hidden="false" customHeight="false" outlineLevel="0" collapsed="false">
      <c r="A31" s="79" t="s">
        <v>323</v>
      </c>
      <c r="B31" s="89" t="n">
        <v>1</v>
      </c>
      <c r="D31" s="33"/>
      <c r="F31" s="54" t="s">
        <v>292</v>
      </c>
      <c r="G31" s="81" t="n">
        <v>46511</v>
      </c>
    </row>
    <row r="32" customFormat="false" ht="15" hidden="false" customHeight="false" outlineLevel="0" collapsed="false">
      <c r="F32" s="54" t="s">
        <v>293</v>
      </c>
      <c r="G32" s="81" t="n">
        <v>46512</v>
      </c>
    </row>
    <row r="33" customFormat="false" ht="15" hidden="false" customHeight="false" outlineLevel="0" collapsed="false">
      <c r="F33" s="54" t="s">
        <v>296</v>
      </c>
      <c r="G33" s="81" t="n">
        <v>46587</v>
      </c>
    </row>
    <row r="34" customFormat="false" ht="15" hidden="false" customHeight="false" outlineLevel="0" collapsed="false">
      <c r="F34" s="54" t="s">
        <v>297</v>
      </c>
      <c r="G34" s="81" t="n">
        <v>46610</v>
      </c>
    </row>
    <row r="35" customFormat="false" ht="15" hidden="false" customHeight="false" outlineLevel="0" collapsed="false">
      <c r="F35" s="54" t="s">
        <v>299</v>
      </c>
      <c r="G35" s="81" t="n">
        <v>46650</v>
      </c>
    </row>
    <row r="36" customFormat="false" ht="15" hidden="false" customHeight="false" outlineLevel="0" collapsed="false">
      <c r="F36" s="54" t="s">
        <v>305</v>
      </c>
      <c r="G36" s="81" t="n">
        <v>46653</v>
      </c>
    </row>
    <row r="37" customFormat="false" ht="15" hidden="false" customHeight="false" outlineLevel="0" collapsed="false">
      <c r="F37" s="54" t="s">
        <v>307</v>
      </c>
      <c r="G37" s="81" t="n">
        <v>46671</v>
      </c>
    </row>
    <row r="38" customFormat="false" ht="15" hidden="false" customHeight="false" outlineLevel="0" collapsed="false">
      <c r="F38" s="54" t="s">
        <v>309</v>
      </c>
      <c r="G38" s="81" t="n">
        <v>46694</v>
      </c>
    </row>
    <row r="39" customFormat="false" ht="15" hidden="false" customHeight="false" outlineLevel="0" collapsed="false">
      <c r="F39" s="54" t="s">
        <v>312</v>
      </c>
      <c r="G39" s="81" t="n">
        <v>46714</v>
      </c>
    </row>
    <row r="40" customFormat="false" ht="15" hidden="false" customHeight="false" outlineLevel="0" collapsed="false">
      <c r="F40" s="54" t="s">
        <v>278</v>
      </c>
      <c r="G40" s="81" t="n">
        <v>46753</v>
      </c>
    </row>
    <row r="41" customFormat="false" ht="15" hidden="false" customHeight="false" outlineLevel="0" collapsed="false">
      <c r="F41" s="54" t="s">
        <v>280</v>
      </c>
      <c r="G41" s="81" t="n">
        <v>46762</v>
      </c>
    </row>
    <row r="42" customFormat="false" ht="15" hidden="false" customHeight="false" outlineLevel="0" collapsed="false">
      <c r="F42" s="54" t="s">
        <v>283</v>
      </c>
      <c r="G42" s="81" t="n">
        <v>46794</v>
      </c>
    </row>
    <row r="43" customFormat="false" ht="15" hidden="false" customHeight="false" outlineLevel="0" collapsed="false">
      <c r="F43" s="54" t="s">
        <v>286</v>
      </c>
      <c r="G43" s="81" t="n">
        <v>46806</v>
      </c>
    </row>
    <row r="44" customFormat="false" ht="15" hidden="false" customHeight="false" outlineLevel="0" collapsed="false">
      <c r="F44" s="54" t="s">
        <v>288</v>
      </c>
      <c r="G44" s="81" t="n">
        <v>46832</v>
      </c>
    </row>
    <row r="45" customFormat="false" ht="15" hidden="false" customHeight="false" outlineLevel="0" collapsed="false">
      <c r="F45" s="54" t="s">
        <v>289</v>
      </c>
      <c r="G45" s="81" t="n">
        <v>46872</v>
      </c>
    </row>
    <row r="46" customFormat="false" ht="15" hidden="false" customHeight="false" outlineLevel="0" collapsed="false">
      <c r="F46" s="54" t="s">
        <v>290</v>
      </c>
      <c r="G46" s="81" t="n">
        <v>46876</v>
      </c>
    </row>
    <row r="47" customFormat="false" ht="15" hidden="false" customHeight="false" outlineLevel="0" collapsed="false">
      <c r="F47" s="54" t="s">
        <v>292</v>
      </c>
      <c r="G47" s="81" t="n">
        <v>46877</v>
      </c>
    </row>
    <row r="48" customFormat="false" ht="15" hidden="false" customHeight="false" outlineLevel="0" collapsed="false">
      <c r="F48" s="54" t="s">
        <v>293</v>
      </c>
      <c r="G48" s="81" t="n">
        <v>46878</v>
      </c>
    </row>
    <row r="49" customFormat="false" ht="15" hidden="false" customHeight="false" outlineLevel="0" collapsed="false">
      <c r="F49" s="54" t="s">
        <v>296</v>
      </c>
      <c r="G49" s="81" t="n">
        <v>46951</v>
      </c>
    </row>
    <row r="50" customFormat="false" ht="15" hidden="false" customHeight="false" outlineLevel="0" collapsed="false">
      <c r="F50" s="54" t="s">
        <v>297</v>
      </c>
      <c r="G50" s="81" t="n">
        <v>46976</v>
      </c>
    </row>
    <row r="51" customFormat="false" ht="15" hidden="false" customHeight="false" outlineLevel="0" collapsed="false">
      <c r="F51" s="54" t="s">
        <v>299</v>
      </c>
      <c r="G51" s="81" t="n">
        <v>47014</v>
      </c>
    </row>
    <row r="52" customFormat="false" ht="15" hidden="false" customHeight="false" outlineLevel="0" collapsed="false">
      <c r="F52" s="54" t="s">
        <v>305</v>
      </c>
      <c r="G52" s="81" t="n">
        <v>47018</v>
      </c>
    </row>
    <row r="53" customFormat="false" ht="15" hidden="false" customHeight="false" outlineLevel="0" collapsed="false">
      <c r="F53" s="54" t="s">
        <v>307</v>
      </c>
      <c r="G53" s="81" t="n">
        <v>47035</v>
      </c>
    </row>
    <row r="54" customFormat="false" ht="15" hidden="false" customHeight="false" outlineLevel="0" collapsed="false">
      <c r="F54" s="54" t="s">
        <v>309</v>
      </c>
      <c r="G54" s="81" t="n">
        <v>47060</v>
      </c>
    </row>
    <row r="55" customFormat="false" ht="15" hidden="false" customHeight="false" outlineLevel="0" collapsed="false">
      <c r="F55" s="54" t="s">
        <v>312</v>
      </c>
      <c r="G55" s="81" t="n">
        <v>47080</v>
      </c>
    </row>
  </sheetData>
  <mergeCells count="3">
    <mergeCell ref="A4:D4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5" min="1" style="0" width="13"/>
  </cols>
  <sheetData>
    <row r="1" customFormat="false" ht="26.85" hidden="false" customHeight="false" outlineLevel="0" collapsed="false">
      <c r="A1" s="8" t="s">
        <v>324</v>
      </c>
      <c r="B1" s="8" t="s">
        <v>325</v>
      </c>
      <c r="C1" s="8" t="s">
        <v>237</v>
      </c>
      <c r="D1" s="8" t="s">
        <v>326</v>
      </c>
      <c r="E1" s="8" t="s">
        <v>327</v>
      </c>
      <c r="F1" s="8" t="s">
        <v>328</v>
      </c>
      <c r="G1" s="8" t="s">
        <v>227</v>
      </c>
      <c r="H1" s="8" t="s">
        <v>228</v>
      </c>
      <c r="I1" s="8" t="s">
        <v>234</v>
      </c>
      <c r="J1" s="8" t="s">
        <v>239</v>
      </c>
      <c r="K1" s="8" t="s">
        <v>242</v>
      </c>
      <c r="L1" s="8" t="s">
        <v>244</v>
      </c>
      <c r="M1" s="8" t="s">
        <v>245</v>
      </c>
      <c r="N1" s="8" t="s">
        <v>246</v>
      </c>
      <c r="O1" s="8" t="s">
        <v>329</v>
      </c>
      <c r="P1" s="8" t="s">
        <v>330</v>
      </c>
      <c r="Q1" s="8" t="s">
        <v>249</v>
      </c>
      <c r="R1" s="8" t="s">
        <v>331</v>
      </c>
      <c r="S1" s="8" t="s">
        <v>332</v>
      </c>
      <c r="T1" s="8" t="s">
        <v>233</v>
      </c>
      <c r="U1" s="8" t="s">
        <v>254</v>
      </c>
      <c r="V1" s="8" t="s">
        <v>255</v>
      </c>
      <c r="W1" s="8" t="s">
        <v>333</v>
      </c>
      <c r="X1" s="8" t="s">
        <v>261</v>
      </c>
      <c r="Y1" s="8" t="s">
        <v>334</v>
      </c>
    </row>
    <row r="2" customFormat="false" ht="15" hidden="false" customHeight="false" outlineLevel="0" collapsed="false">
      <c r="A2" s="90" t="s">
        <v>335</v>
      </c>
      <c r="B2" s="90" t="s">
        <v>336</v>
      </c>
      <c r="C2" s="90" t="s">
        <v>337</v>
      </c>
      <c r="D2" s="90" t="s">
        <v>338</v>
      </c>
      <c r="E2" s="90" t="s">
        <v>339</v>
      </c>
      <c r="F2" s="90" t="s">
        <v>26</v>
      </c>
      <c r="G2" s="90" t="s">
        <v>26</v>
      </c>
      <c r="H2" s="90" t="s">
        <v>340</v>
      </c>
      <c r="I2" s="90" t="s">
        <v>341</v>
      </c>
      <c r="J2" s="73" t="s">
        <v>342</v>
      </c>
      <c r="K2" s="90" t="s">
        <v>343</v>
      </c>
      <c r="L2" s="90" t="s">
        <v>142</v>
      </c>
      <c r="M2" s="90" t="s">
        <v>114</v>
      </c>
      <c r="N2" s="90" t="s">
        <v>106</v>
      </c>
      <c r="O2" s="90" t="s">
        <v>106</v>
      </c>
      <c r="P2" s="90" t="s">
        <v>115</v>
      </c>
      <c r="Q2" s="90" t="s">
        <v>344</v>
      </c>
      <c r="R2" s="73" t="s">
        <v>345</v>
      </c>
      <c r="S2" s="90" t="s">
        <v>346</v>
      </c>
      <c r="T2" s="90" t="s">
        <v>347</v>
      </c>
      <c r="U2" s="90" t="s">
        <v>156</v>
      </c>
      <c r="V2" s="90" t="s">
        <v>341</v>
      </c>
      <c r="W2" s="90" t="s">
        <v>348</v>
      </c>
      <c r="X2" s="90" t="s">
        <v>349</v>
      </c>
      <c r="Y2" s="73" t="n">
        <v>0</v>
      </c>
    </row>
    <row r="3" customFormat="false" ht="15" hidden="false" customHeight="false" outlineLevel="0" collapsed="false">
      <c r="A3" s="90" t="s">
        <v>338</v>
      </c>
      <c r="B3" s="90" t="s">
        <v>350</v>
      </c>
      <c r="C3" s="90" t="s">
        <v>338</v>
      </c>
      <c r="D3" s="90" t="s">
        <v>337</v>
      </c>
      <c r="E3" s="90" t="s">
        <v>351</v>
      </c>
      <c r="F3" s="90" t="s">
        <v>26</v>
      </c>
      <c r="G3" s="90" t="s">
        <v>27</v>
      </c>
      <c r="H3" s="90" t="s">
        <v>352</v>
      </c>
      <c r="I3" s="90" t="s">
        <v>116</v>
      </c>
      <c r="J3" s="73" t="s">
        <v>353</v>
      </c>
      <c r="K3" s="90" t="s">
        <v>354</v>
      </c>
      <c r="L3" s="90" t="s">
        <v>185</v>
      </c>
      <c r="M3" s="90" t="s">
        <v>113</v>
      </c>
      <c r="N3" s="90" t="s">
        <v>105</v>
      </c>
      <c r="O3" s="90" t="s">
        <v>105</v>
      </c>
      <c r="P3" s="90" t="s">
        <v>116</v>
      </c>
      <c r="Q3" s="90" t="s">
        <v>355</v>
      </c>
      <c r="R3" s="73" t="s">
        <v>356</v>
      </c>
      <c r="S3" s="90" t="s">
        <v>357</v>
      </c>
      <c r="T3" s="90" t="s">
        <v>358</v>
      </c>
      <c r="U3" s="73"/>
      <c r="V3" s="90" t="s">
        <v>116</v>
      </c>
      <c r="W3" s="73" t="s">
        <v>359</v>
      </c>
      <c r="X3" s="90" t="s">
        <v>360</v>
      </c>
      <c r="Y3" s="73" t="n">
        <v>5000</v>
      </c>
    </row>
    <row r="4" customFormat="false" ht="15" hidden="false" customHeight="false" outlineLevel="0" collapsed="false">
      <c r="A4" s="90" t="s">
        <v>361</v>
      </c>
      <c r="B4" s="90" t="s">
        <v>362</v>
      </c>
      <c r="C4" s="90" t="s">
        <v>363</v>
      </c>
      <c r="D4" s="90" t="s">
        <v>364</v>
      </c>
      <c r="E4" s="90" t="s">
        <v>362</v>
      </c>
      <c r="F4" s="90" t="s">
        <v>26</v>
      </c>
      <c r="G4" s="90" t="s">
        <v>365</v>
      </c>
      <c r="H4" s="90" t="s">
        <v>366</v>
      </c>
      <c r="I4" s="90" t="s">
        <v>367</v>
      </c>
      <c r="J4" s="90" t="s">
        <v>368</v>
      </c>
      <c r="K4" s="73"/>
      <c r="L4" s="90" t="s">
        <v>91</v>
      </c>
      <c r="M4" s="90" t="s">
        <v>142</v>
      </c>
      <c r="N4" s="90" t="s">
        <v>117</v>
      </c>
      <c r="O4" s="90" t="s">
        <v>117</v>
      </c>
      <c r="P4" s="73"/>
      <c r="Q4" s="90" t="s">
        <v>369</v>
      </c>
      <c r="R4" s="73"/>
      <c r="S4" s="90" t="s">
        <v>370</v>
      </c>
      <c r="T4" s="73"/>
      <c r="U4" s="73"/>
      <c r="V4" s="73"/>
      <c r="W4" s="73"/>
      <c r="X4" s="90" t="s">
        <v>371</v>
      </c>
      <c r="Y4" s="73" t="n">
        <v>10000</v>
      </c>
    </row>
    <row r="5" customFormat="false" ht="15" hidden="false" customHeight="false" outlineLevel="0" collapsed="false">
      <c r="A5" s="90" t="s">
        <v>372</v>
      </c>
      <c r="B5" s="90" t="s">
        <v>364</v>
      </c>
      <c r="C5" s="90" t="s">
        <v>364</v>
      </c>
      <c r="D5" s="90" t="s">
        <v>362</v>
      </c>
      <c r="E5" s="90" t="s">
        <v>335</v>
      </c>
      <c r="F5" s="90" t="s">
        <v>26</v>
      </c>
      <c r="G5" s="73"/>
      <c r="H5" s="90" t="s">
        <v>373</v>
      </c>
      <c r="I5" s="90" t="s">
        <v>374</v>
      </c>
      <c r="J5" s="73"/>
      <c r="K5" s="73"/>
      <c r="L5" s="73"/>
      <c r="M5" s="90" t="s">
        <v>104</v>
      </c>
      <c r="N5" s="90" t="s">
        <v>113</v>
      </c>
      <c r="O5" s="90" t="s">
        <v>113</v>
      </c>
      <c r="P5" s="73"/>
      <c r="Q5" s="73" t="s">
        <v>375</v>
      </c>
      <c r="R5" s="73"/>
      <c r="S5" s="73"/>
      <c r="T5" s="73"/>
      <c r="U5" s="73"/>
      <c r="V5" s="73"/>
      <c r="W5" s="73"/>
      <c r="X5" s="90" t="s">
        <v>376</v>
      </c>
      <c r="Y5" s="73" t="n">
        <v>15000</v>
      </c>
    </row>
    <row r="6" customFormat="false" ht="15" hidden="false" customHeight="false" outlineLevel="0" collapsed="false">
      <c r="A6" s="90" t="s">
        <v>339</v>
      </c>
      <c r="B6" s="90" t="s">
        <v>363</v>
      </c>
      <c r="C6" s="90" t="s">
        <v>377</v>
      </c>
      <c r="D6" s="73"/>
      <c r="E6" s="90" t="s">
        <v>378</v>
      </c>
      <c r="F6" s="90" t="s">
        <v>26</v>
      </c>
      <c r="G6" s="73"/>
      <c r="H6" s="90" t="s">
        <v>379</v>
      </c>
      <c r="I6" s="73"/>
      <c r="J6" s="73"/>
      <c r="K6" s="73"/>
      <c r="L6" s="73"/>
      <c r="M6" s="90" t="s">
        <v>91</v>
      </c>
      <c r="N6" s="90" t="s">
        <v>142</v>
      </c>
      <c r="O6" s="90" t="s">
        <v>142</v>
      </c>
      <c r="P6" s="73"/>
      <c r="Q6" s="90" t="s">
        <v>380</v>
      </c>
      <c r="R6" s="73"/>
      <c r="S6" s="73"/>
      <c r="T6" s="73"/>
      <c r="U6" s="73"/>
      <c r="V6" s="73"/>
      <c r="W6" s="73"/>
      <c r="X6" s="73"/>
      <c r="Y6" s="73" t="n">
        <v>20000</v>
      </c>
    </row>
    <row r="7" customFormat="false" ht="15" hidden="false" customHeight="false" outlineLevel="0" collapsed="false">
      <c r="A7" s="90" t="s">
        <v>351</v>
      </c>
      <c r="B7" s="90" t="s">
        <v>381</v>
      </c>
      <c r="C7" s="90" t="s">
        <v>351</v>
      </c>
      <c r="D7" s="73"/>
      <c r="E7" s="90" t="s">
        <v>382</v>
      </c>
      <c r="F7" s="90" t="s">
        <v>26</v>
      </c>
      <c r="G7" s="73"/>
      <c r="H7" s="90" t="s">
        <v>383</v>
      </c>
      <c r="I7" s="73"/>
      <c r="J7" s="73"/>
      <c r="K7" s="73"/>
      <c r="L7" s="73"/>
      <c r="M7" s="90" t="s">
        <v>117</v>
      </c>
      <c r="N7" s="90" t="s">
        <v>384</v>
      </c>
      <c r="O7" s="90" t="s">
        <v>384</v>
      </c>
      <c r="P7" s="73"/>
      <c r="Q7" s="73"/>
      <c r="R7" s="73"/>
      <c r="S7" s="73"/>
      <c r="T7" s="73"/>
      <c r="U7" s="73"/>
      <c r="V7" s="73"/>
      <c r="W7" s="73"/>
      <c r="X7" s="73"/>
      <c r="Y7" s="73" t="n">
        <v>25000</v>
      </c>
    </row>
    <row r="8" customFormat="false" ht="15" hidden="false" customHeight="false" outlineLevel="0" collapsed="false">
      <c r="A8" s="90" t="s">
        <v>362</v>
      </c>
      <c r="B8" s="90" t="s">
        <v>385</v>
      </c>
      <c r="C8" s="90" t="s">
        <v>386</v>
      </c>
      <c r="D8" s="73"/>
      <c r="E8" s="90" t="s">
        <v>387</v>
      </c>
      <c r="F8" s="90" t="s">
        <v>26</v>
      </c>
      <c r="G8" s="73"/>
      <c r="H8" s="90" t="s">
        <v>388</v>
      </c>
      <c r="I8" s="73"/>
      <c r="J8" s="73"/>
      <c r="K8" s="73"/>
      <c r="L8" s="73"/>
      <c r="M8" s="90" t="s">
        <v>384</v>
      </c>
      <c r="N8" s="90" t="s">
        <v>104</v>
      </c>
      <c r="O8" s="90" t="s">
        <v>104</v>
      </c>
      <c r="P8" s="73"/>
      <c r="Q8" s="73"/>
      <c r="R8" s="73"/>
      <c r="S8" s="73"/>
      <c r="T8" s="73"/>
      <c r="U8" s="73"/>
      <c r="V8" s="73"/>
      <c r="W8" s="73"/>
      <c r="X8" s="73"/>
      <c r="Y8" s="73" t="n">
        <v>30000</v>
      </c>
    </row>
    <row r="9" customFormat="false" ht="15" hidden="false" customHeight="false" outlineLevel="0" collapsed="false">
      <c r="A9" s="73" t="s">
        <v>389</v>
      </c>
      <c r="B9" s="90" t="s">
        <v>390</v>
      </c>
      <c r="C9" s="90" t="s">
        <v>361</v>
      </c>
      <c r="D9" s="73"/>
      <c r="E9" s="90" t="s">
        <v>391</v>
      </c>
      <c r="F9" s="90" t="s">
        <v>26</v>
      </c>
      <c r="G9" s="73"/>
      <c r="H9" s="90" t="s">
        <v>392</v>
      </c>
      <c r="I9" s="73"/>
      <c r="J9" s="73"/>
      <c r="K9" s="73"/>
      <c r="L9" s="73"/>
      <c r="M9" s="90" t="s">
        <v>393</v>
      </c>
      <c r="N9" s="90" t="s">
        <v>354</v>
      </c>
      <c r="O9" s="90" t="s">
        <v>354</v>
      </c>
      <c r="P9" s="73"/>
      <c r="Q9" s="73"/>
      <c r="R9" s="73"/>
      <c r="S9" s="73"/>
      <c r="T9" s="73"/>
      <c r="U9" s="73"/>
      <c r="V9" s="73"/>
      <c r="W9" s="73"/>
      <c r="X9" s="73"/>
      <c r="Y9" s="73" t="n">
        <v>35000</v>
      </c>
    </row>
    <row r="10" customFormat="false" ht="15" hidden="false" customHeight="false" outlineLevel="0" collapsed="false">
      <c r="A10" s="90" t="s">
        <v>363</v>
      </c>
      <c r="B10" s="90" t="s">
        <v>394</v>
      </c>
      <c r="C10" s="90" t="s">
        <v>362</v>
      </c>
      <c r="D10" s="73"/>
      <c r="E10" s="90" t="s">
        <v>395</v>
      </c>
      <c r="F10" s="90" t="s">
        <v>26</v>
      </c>
      <c r="G10" s="73"/>
      <c r="H10" s="90" t="s">
        <v>396</v>
      </c>
      <c r="I10" s="73"/>
      <c r="J10" s="73"/>
      <c r="K10" s="73"/>
      <c r="L10" s="73"/>
      <c r="M10" s="73"/>
      <c r="N10" s="73"/>
      <c r="O10" s="90" t="s">
        <v>169</v>
      </c>
      <c r="P10" s="73"/>
      <c r="Q10" s="73"/>
      <c r="R10" s="73"/>
      <c r="S10" s="73"/>
      <c r="T10" s="73"/>
      <c r="U10" s="73"/>
      <c r="V10" s="73"/>
      <c r="W10" s="73"/>
      <c r="X10" s="73"/>
      <c r="Y10" s="73" t="n">
        <v>40000</v>
      </c>
    </row>
    <row r="11" customFormat="false" ht="15" hidden="false" customHeight="false" outlineLevel="0" collapsed="false">
      <c r="A11" s="90" t="s">
        <v>397</v>
      </c>
      <c r="B11" s="90" t="s">
        <v>337</v>
      </c>
      <c r="C11" s="73"/>
      <c r="D11" s="73"/>
      <c r="E11" s="90" t="s">
        <v>350</v>
      </c>
      <c r="F11" s="90" t="s">
        <v>27</v>
      </c>
      <c r="G11" s="73"/>
      <c r="H11" s="90" t="s">
        <v>398</v>
      </c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 t="n">
        <v>45000</v>
      </c>
    </row>
    <row r="12" customFormat="false" ht="15" hidden="false" customHeight="false" outlineLevel="0" collapsed="false">
      <c r="A12" s="90" t="s">
        <v>378</v>
      </c>
      <c r="B12" s="90" t="s">
        <v>399</v>
      </c>
      <c r="C12" s="73"/>
      <c r="D12" s="73"/>
      <c r="E12" s="90" t="s">
        <v>336</v>
      </c>
      <c r="F12" s="90" t="s">
        <v>27</v>
      </c>
      <c r="G12" s="73"/>
      <c r="H12" s="90" t="s">
        <v>400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 t="n">
        <v>50000</v>
      </c>
    </row>
    <row r="13" customFormat="false" ht="15" hidden="false" customHeight="false" outlineLevel="0" collapsed="false">
      <c r="A13" s="90" t="s">
        <v>391</v>
      </c>
      <c r="B13" s="73"/>
      <c r="C13" s="73"/>
      <c r="D13" s="73"/>
      <c r="E13" s="90" t="s">
        <v>394</v>
      </c>
      <c r="F13" s="90" t="s">
        <v>27</v>
      </c>
      <c r="G13" s="73"/>
      <c r="H13" s="90" t="s">
        <v>401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 t="n">
        <v>55000</v>
      </c>
    </row>
    <row r="14" customFormat="false" ht="15" hidden="false" customHeight="false" outlineLevel="0" collapsed="false">
      <c r="A14" s="90" t="s">
        <v>387</v>
      </c>
      <c r="B14" s="73"/>
      <c r="C14" s="73"/>
      <c r="D14" s="73"/>
      <c r="E14" s="90" t="s">
        <v>390</v>
      </c>
      <c r="F14" s="90" t="s">
        <v>27</v>
      </c>
      <c r="G14" s="73"/>
      <c r="H14" s="90" t="s">
        <v>402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 t="n">
        <v>60000</v>
      </c>
    </row>
    <row r="15" customFormat="false" ht="15" hidden="false" customHeight="false" outlineLevel="0" collapsed="false">
      <c r="A15" s="90" t="s">
        <v>382</v>
      </c>
      <c r="B15" s="73"/>
      <c r="C15" s="73"/>
      <c r="D15" s="73"/>
      <c r="E15" s="90" t="s">
        <v>385</v>
      </c>
      <c r="F15" s="90" t="s">
        <v>27</v>
      </c>
      <c r="G15" s="73"/>
      <c r="H15" s="90" t="s">
        <v>403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 t="n">
        <v>65000</v>
      </c>
    </row>
    <row r="16" customFormat="false" ht="15" hidden="false" customHeight="false" outlineLevel="0" collapsed="false">
      <c r="A16" s="90" t="s">
        <v>395</v>
      </c>
      <c r="B16" s="73"/>
      <c r="C16" s="73"/>
      <c r="D16" s="73"/>
      <c r="E16" s="90" t="s">
        <v>381</v>
      </c>
      <c r="F16" s="90" t="s">
        <v>27</v>
      </c>
      <c r="G16" s="73"/>
      <c r="H16" s="90" t="s">
        <v>404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 t="n">
        <v>70000</v>
      </c>
    </row>
    <row r="17" customFormat="false" ht="15" hidden="false" customHeight="false" outlineLevel="0" collapsed="false">
      <c r="A17" s="73"/>
      <c r="B17" s="73"/>
      <c r="C17" s="73"/>
      <c r="D17" s="73"/>
      <c r="E17" s="90" t="s">
        <v>399</v>
      </c>
      <c r="F17" s="90" t="s">
        <v>27</v>
      </c>
      <c r="G17" s="73"/>
      <c r="H17" s="90" t="s">
        <v>405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 t="n">
        <v>75000</v>
      </c>
    </row>
    <row r="18" customFormat="false" ht="15" hidden="false" customHeight="false" outlineLevel="0" collapsed="false">
      <c r="A18" s="73"/>
      <c r="B18" s="73"/>
      <c r="C18" s="73"/>
      <c r="D18" s="73"/>
      <c r="E18" s="90" t="s">
        <v>386</v>
      </c>
      <c r="F18" s="73"/>
      <c r="G18" s="73"/>
      <c r="H18" s="90" t="s">
        <v>406</v>
      </c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 t="n">
        <v>80000</v>
      </c>
    </row>
    <row r="19" customFormat="false" ht="15" hidden="false" customHeight="false" outlineLevel="0" collapsed="false">
      <c r="A19" s="73"/>
      <c r="B19" s="73"/>
      <c r="C19" s="73"/>
      <c r="D19" s="73"/>
      <c r="E19" s="90" t="s">
        <v>363</v>
      </c>
      <c r="F19" s="73"/>
      <c r="G19" s="73"/>
      <c r="H19" s="90" t="s">
        <v>407</v>
      </c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 t="n">
        <v>85000</v>
      </c>
    </row>
    <row r="20" customFormat="false" ht="15" hidden="false" customHeight="false" outlineLevel="0" collapsed="false">
      <c r="A20" s="73"/>
      <c r="B20" s="73"/>
      <c r="C20" s="73"/>
      <c r="D20" s="73"/>
      <c r="E20" s="90" t="s">
        <v>408</v>
      </c>
      <c r="F20" s="73"/>
      <c r="G20" s="73"/>
      <c r="H20" s="90" t="s">
        <v>409</v>
      </c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 t="n">
        <v>90000</v>
      </c>
    </row>
    <row r="21" customFormat="false" ht="15" hidden="false" customHeight="false" outlineLevel="0" collapsed="false">
      <c r="A21" s="73"/>
      <c r="B21" s="73"/>
      <c r="C21" s="73"/>
      <c r="D21" s="73"/>
      <c r="E21" s="90" t="s">
        <v>377</v>
      </c>
      <c r="F21" s="73"/>
      <c r="G21" s="73"/>
      <c r="H21" s="90" t="s">
        <v>410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 t="n">
        <v>95000</v>
      </c>
    </row>
    <row r="22" customFormat="false" ht="15" hidden="false" customHeight="false" outlineLevel="0" collapsed="false">
      <c r="A22" s="73"/>
      <c r="B22" s="73"/>
      <c r="C22" s="73"/>
      <c r="D22" s="73"/>
      <c r="E22" s="90" t="s">
        <v>411</v>
      </c>
      <c r="F22" s="73"/>
      <c r="G22" s="73"/>
      <c r="H22" s="90" t="s">
        <v>412</v>
      </c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 t="n">
        <v>100000</v>
      </c>
    </row>
    <row r="23" customFormat="false" ht="15" hidden="false" customHeight="false" outlineLevel="0" collapsed="false">
      <c r="A23" s="73"/>
      <c r="B23" s="73"/>
      <c r="C23" s="73"/>
      <c r="D23" s="73"/>
      <c r="E23" s="90" t="s">
        <v>413</v>
      </c>
      <c r="F23" s="73"/>
      <c r="G23" s="73"/>
      <c r="H23" s="90" t="s">
        <v>414</v>
      </c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 t="n">
        <v>12000</v>
      </c>
    </row>
    <row r="24" customFormat="false" ht="15" hidden="false" customHeight="false" outlineLevel="0" collapsed="false">
      <c r="A24" s="73"/>
      <c r="B24" s="73"/>
      <c r="C24" s="73"/>
      <c r="D24" s="73"/>
      <c r="E24" s="90" t="s">
        <v>337</v>
      </c>
      <c r="F24" s="73"/>
      <c r="G24" s="73"/>
      <c r="H24" s="90" t="s">
        <v>415</v>
      </c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 t="n">
        <v>150000</v>
      </c>
    </row>
    <row r="25" customFormat="false" ht="15" hidden="false" customHeight="false" outlineLevel="0" collapsed="false">
      <c r="A25" s="73"/>
      <c r="B25" s="73"/>
      <c r="C25" s="73"/>
      <c r="D25" s="73"/>
      <c r="E25" s="90" t="s">
        <v>361</v>
      </c>
      <c r="F25" s="73"/>
      <c r="G25" s="73"/>
      <c r="H25" s="90" t="s">
        <v>416</v>
      </c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</row>
    <row r="26" customFormat="false" ht="15" hidden="false" customHeight="false" outlineLevel="0" collapsed="false">
      <c r="A26" s="73"/>
      <c r="B26" s="73"/>
      <c r="C26" s="73"/>
      <c r="D26" s="73"/>
      <c r="E26" s="90" t="s">
        <v>417</v>
      </c>
      <c r="F26" s="73"/>
      <c r="G26" s="73"/>
      <c r="H26" s="90" t="s">
        <v>418</v>
      </c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</row>
    <row r="27" customFormat="false" ht="15" hidden="false" customHeight="false" outlineLevel="0" collapsed="false">
      <c r="A27" s="73"/>
      <c r="B27" s="73"/>
      <c r="C27" s="73"/>
      <c r="D27" s="73"/>
      <c r="E27" s="90" t="s">
        <v>419</v>
      </c>
      <c r="F27" s="73"/>
      <c r="G27" s="73"/>
      <c r="H27" s="90" t="s">
        <v>420</v>
      </c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</row>
    <row r="28" customFormat="false" ht="15" hidden="false" customHeight="false" outlineLevel="0" collapsed="false">
      <c r="A28" s="73"/>
      <c r="B28" s="73"/>
      <c r="C28" s="73"/>
      <c r="D28" s="73"/>
      <c r="E28" s="90" t="s">
        <v>372</v>
      </c>
      <c r="F28" s="73"/>
      <c r="G28" s="73"/>
      <c r="H28" s="90" t="s">
        <v>421</v>
      </c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</row>
    <row r="29" customFormat="false" ht="15" hidden="false" customHeight="false" outlineLevel="0" collapsed="false">
      <c r="A29" s="73"/>
      <c r="B29" s="73"/>
      <c r="C29" s="73"/>
      <c r="D29" s="73"/>
      <c r="E29" s="90" t="s">
        <v>422</v>
      </c>
      <c r="F29" s="73"/>
      <c r="G29" s="73"/>
      <c r="H29" s="90" t="s">
        <v>423</v>
      </c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</row>
    <row r="30" customFormat="false" ht="15" hidden="false" customHeight="false" outlineLevel="0" collapsed="false">
      <c r="A30" s="73"/>
      <c r="B30" s="73"/>
      <c r="C30" s="73"/>
      <c r="D30" s="73"/>
      <c r="E30" s="90" t="s">
        <v>364</v>
      </c>
      <c r="F30" s="73"/>
      <c r="G30" s="73"/>
      <c r="H30" s="90" t="s">
        <v>424</v>
      </c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</row>
    <row r="31" customFormat="false" ht="15" hidden="false" customHeight="false" outlineLevel="0" collapsed="false">
      <c r="A31" s="73"/>
      <c r="B31" s="73"/>
      <c r="C31" s="73"/>
      <c r="D31" s="73"/>
      <c r="E31" s="90" t="s">
        <v>425</v>
      </c>
      <c r="F31" s="73"/>
      <c r="G31" s="73"/>
      <c r="H31" s="90" t="s">
        <v>426</v>
      </c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</row>
    <row r="32" customFormat="false" ht="15" hidden="false" customHeight="false" outlineLevel="0" collapsed="false">
      <c r="A32" s="73"/>
      <c r="B32" s="73"/>
      <c r="C32" s="73"/>
      <c r="D32" s="73"/>
      <c r="E32" s="90" t="s">
        <v>397</v>
      </c>
      <c r="F32" s="73"/>
      <c r="G32" s="73"/>
      <c r="H32" s="90" t="s">
        <v>427</v>
      </c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</row>
    <row r="33" customFormat="false" ht="15" hidden="false" customHeight="false" outlineLevel="0" collapsed="false">
      <c r="A33" s="73"/>
      <c r="B33" s="73"/>
      <c r="C33" s="73"/>
      <c r="D33" s="73"/>
      <c r="E33" s="90" t="s">
        <v>428</v>
      </c>
      <c r="F33" s="73"/>
      <c r="G33" s="73"/>
      <c r="H33" s="90" t="s">
        <v>429</v>
      </c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</row>
    <row r="34" customFormat="false" ht="15" hidden="false" customHeight="false" outlineLevel="0" collapsed="false">
      <c r="A34" s="73"/>
      <c r="B34" s="73"/>
      <c r="C34" s="73"/>
      <c r="D34" s="73"/>
      <c r="E34" s="73"/>
      <c r="F34" s="73"/>
      <c r="G34" s="73"/>
      <c r="H34" s="90" t="s">
        <v>430</v>
      </c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</row>
    <row r="35" customFormat="false" ht="15" hidden="false" customHeight="false" outlineLevel="0" collapsed="false">
      <c r="A35" s="73"/>
      <c r="B35" s="73"/>
      <c r="C35" s="73"/>
      <c r="D35" s="73"/>
      <c r="E35" s="73"/>
      <c r="F35" s="73"/>
      <c r="G35" s="73"/>
      <c r="H35" s="90" t="s">
        <v>431</v>
      </c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</row>
    <row r="36" customFormat="false" ht="15" hidden="false" customHeight="false" outlineLevel="0" collapsed="false">
      <c r="A36" s="73"/>
      <c r="B36" s="73"/>
      <c r="C36" s="73"/>
      <c r="D36" s="73"/>
      <c r="E36" s="73"/>
      <c r="F36" s="73"/>
      <c r="G36" s="73"/>
      <c r="H36" s="90" t="s">
        <v>432</v>
      </c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customFormat="false" ht="15" hidden="false" customHeight="false" outlineLevel="0" collapsed="false">
      <c r="A37" s="73"/>
      <c r="B37" s="73"/>
      <c r="C37" s="73"/>
      <c r="D37" s="73"/>
      <c r="E37" s="73"/>
      <c r="F37" s="73"/>
      <c r="G37" s="73"/>
      <c r="H37" s="90" t="s">
        <v>433</v>
      </c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</row>
    <row r="38" customFormat="false" ht="15" hidden="false" customHeight="false" outlineLevel="0" collapsed="false">
      <c r="A38" s="73"/>
      <c r="B38" s="73"/>
      <c r="C38" s="73"/>
      <c r="D38" s="73"/>
      <c r="E38" s="73"/>
      <c r="F38" s="73"/>
      <c r="G38" s="73"/>
      <c r="H38" s="90" t="s">
        <v>434</v>
      </c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</row>
    <row r="39" customFormat="false" ht="15" hidden="false" customHeight="false" outlineLevel="0" collapsed="false">
      <c r="A39" s="73"/>
      <c r="B39" s="73"/>
      <c r="C39" s="73"/>
      <c r="D39" s="73"/>
      <c r="E39" s="73"/>
      <c r="F39" s="73"/>
      <c r="G39" s="73"/>
      <c r="H39" s="90" t="s">
        <v>435</v>
      </c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</row>
    <row r="40" customFormat="false" ht="15" hidden="false" customHeight="false" outlineLevel="0" collapsed="false">
      <c r="A40" s="73"/>
      <c r="B40" s="73"/>
      <c r="C40" s="73"/>
      <c r="D40" s="73"/>
      <c r="E40" s="73"/>
      <c r="F40" s="73"/>
      <c r="G40" s="73"/>
      <c r="H40" s="90" t="s">
        <v>436</v>
      </c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</row>
    <row r="41" customFormat="false" ht="15" hidden="false" customHeight="false" outlineLevel="0" collapsed="false">
      <c r="A41" s="73"/>
      <c r="B41" s="73"/>
      <c r="C41" s="73"/>
      <c r="D41" s="73"/>
      <c r="E41" s="73"/>
      <c r="F41" s="73"/>
      <c r="G41" s="73"/>
      <c r="H41" s="90" t="s">
        <v>437</v>
      </c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</row>
    <row r="42" customFormat="false" ht="15" hidden="false" customHeight="false" outlineLevel="0" collapsed="false">
      <c r="A42" s="73"/>
      <c r="B42" s="73"/>
      <c r="C42" s="73"/>
      <c r="D42" s="73"/>
      <c r="E42" s="73"/>
      <c r="F42" s="73"/>
      <c r="G42" s="73"/>
      <c r="H42" s="90" t="s">
        <v>438</v>
      </c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</row>
    <row r="43" customFormat="false" ht="15" hidden="false" customHeight="false" outlineLevel="0" collapsed="false">
      <c r="A43" s="73"/>
      <c r="B43" s="73"/>
      <c r="C43" s="73"/>
      <c r="D43" s="73"/>
      <c r="E43" s="73"/>
      <c r="F43" s="73"/>
      <c r="G43" s="73"/>
      <c r="H43" s="90" t="s">
        <v>439</v>
      </c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  <row r="44" customFormat="false" ht="15" hidden="false" customHeight="false" outlineLevel="0" collapsed="false">
      <c r="A44" s="73"/>
      <c r="B44" s="73"/>
      <c r="C44" s="73"/>
      <c r="D44" s="73"/>
      <c r="E44" s="73"/>
      <c r="F44" s="73"/>
      <c r="G44" s="73"/>
      <c r="H44" s="90" t="s">
        <v>440</v>
      </c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</row>
    <row r="45" customFormat="false" ht="15" hidden="false" customHeight="false" outlineLevel="0" collapsed="false">
      <c r="A45" s="73"/>
      <c r="B45" s="73"/>
      <c r="C45" s="73"/>
      <c r="D45" s="73"/>
      <c r="E45" s="73"/>
      <c r="F45" s="73"/>
      <c r="G45" s="73"/>
      <c r="H45" s="90" t="s">
        <v>441</v>
      </c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</row>
    <row r="46" customFormat="false" ht="15" hidden="false" customHeight="false" outlineLevel="0" collapsed="false">
      <c r="A46" s="73"/>
      <c r="B46" s="73"/>
      <c r="C46" s="73"/>
      <c r="D46" s="73"/>
      <c r="E46" s="73"/>
      <c r="F46" s="73"/>
      <c r="G46" s="73"/>
      <c r="H46" s="90" t="s">
        <v>442</v>
      </c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</row>
    <row r="47" customFormat="false" ht="15" hidden="false" customHeight="false" outlineLevel="0" collapsed="false">
      <c r="A47" s="73"/>
      <c r="B47" s="73"/>
      <c r="C47" s="73"/>
      <c r="D47" s="73"/>
      <c r="E47" s="73"/>
      <c r="F47" s="73"/>
      <c r="G47" s="73"/>
      <c r="H47" s="90" t="s">
        <v>443</v>
      </c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</row>
    <row r="48" customFormat="false" ht="15" hidden="false" customHeight="false" outlineLevel="0" collapsed="false">
      <c r="A48" s="73"/>
      <c r="B48" s="73"/>
      <c r="C48" s="73"/>
      <c r="D48" s="73"/>
      <c r="E48" s="73"/>
      <c r="F48" s="73"/>
      <c r="G48" s="73"/>
      <c r="H48" s="90" t="s">
        <v>444</v>
      </c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</row>
    <row r="49" customFormat="false" ht="15" hidden="false" customHeight="false" outlineLevel="0" collapsed="false">
      <c r="A49" s="73"/>
      <c r="B49" s="73"/>
      <c r="C49" s="73"/>
      <c r="D49" s="73"/>
      <c r="E49" s="73"/>
      <c r="F49" s="73"/>
      <c r="G49" s="73"/>
      <c r="H49" s="90" t="s">
        <v>445</v>
      </c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  <row r="50" customFormat="false" ht="15" hidden="false" customHeight="false" outlineLevel="0" collapsed="false">
      <c r="A50" s="73"/>
      <c r="B50" s="73"/>
      <c r="C50" s="73"/>
      <c r="D50" s="73"/>
      <c r="E50" s="73"/>
      <c r="F50" s="73"/>
      <c r="G50" s="73"/>
      <c r="H50" s="90" t="s">
        <v>446</v>
      </c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</row>
    <row r="51" customFormat="false" ht="15" hidden="false" customHeight="false" outlineLevel="0" collapsed="false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</row>
    <row r="52" customFormat="false" ht="15" hidden="false" customHeight="false" outlineLevel="0" collapsed="false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</row>
    <row r="53" customFormat="false" ht="15" hidden="false" customHeight="false" outlineLevel="0" collapsed="false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</row>
    <row r="54" customFormat="false" ht="15" hidden="false" customHeight="fals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</row>
    <row r="55" customFormat="false" ht="15" hidden="false" customHeight="fals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</row>
    <row r="56" customFormat="false" ht="15" hidden="false" customHeight="fals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</row>
    <row r="57" customFormat="false" ht="15" hidden="false" customHeight="false" outlineLevel="0" collapsed="false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</row>
    <row r="58" customFormat="false" ht="15" hidden="false" customHeight="false" outlineLevel="0" collapsed="false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</row>
    <row r="59" customFormat="false" ht="15" hidden="false" customHeight="false" outlineLevel="0" collapsed="false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</row>
    <row r="60" customFormat="false" ht="15" hidden="false" customHeight="false" outlineLevel="0" collapsed="false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2026-10-27T02:29:31Z</dcterms:created>
  <dc:creator>openpyxl</dc:creator>
  <dc:description/>
  <dc:language>en-US</dc:language>
  <cp:lastModifiedBy/>
  <dcterms:modified xsi:type="dcterms:W3CDTF">2026-10-27T02:29:34Z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