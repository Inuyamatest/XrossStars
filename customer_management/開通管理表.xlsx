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顧客管理" sheetId="1" state="visible" r:id="rId3"/>
    <sheet name="集計" sheetId="2" state="visible" r:id="rId4"/>
    <sheet name="マスタ" sheetId="3" state="visible" r:id="rId5"/>
    <sheet name="使い方" sheetId="4" state="visible" r:id="rId6"/>
  </sheets>
  <definedNames>
    <definedName function="false" hidden="true" localSheetId="0" name="_xlnm._FilterDatabase" vbProcedure="false">顧客管理!$A$3:$X$503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3" authorId="0">
      <text>
        <r>
          <rPr>
            <sz val="10"/>
            <rFont val="WenQuanYi Zen Hei"/>
            <family val="2"/>
          </rPr>
          <t xml:space="preserve">受付日から今日まで（開通済みなら開通日まで）の日数</t>
        </r>
      </text>
    </comment>
    <comment ref="V3" authorId="0">
      <text>
        <r>
          <rPr>
            <sz val="10"/>
            <rFont val="WenQuanYi Zen Hei"/>
            <family val="2"/>
          </rPr>
          <t xml:space="preserve">自動判定：対応期限超過＝次回対応日が過去／開通予定日超過＝予定日を過ぎても未開通／本日対応／開通間近＝予定日まで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日以内／完了</t>
        </r>
      </text>
    </comment>
  </commentList>
</comments>
</file>

<file path=xl/sharedStrings.xml><?xml version="1.0" encoding="utf-8"?>
<sst xmlns="http://schemas.openxmlformats.org/spreadsheetml/2006/main" count="108" uniqueCount="95">
  <si>
    <r>
      <rPr>
        <b val="true"/>
        <sz val="16"/>
        <color rgb="FF1F4E78"/>
        <rFont val="WenQuanYi Zen Hei"/>
        <family val="2"/>
      </rPr>
      <t xml:space="preserve">開通管理表（電気・</t>
    </r>
    <r>
      <rPr>
        <b val="true"/>
        <sz val="16"/>
        <color rgb="FF1F4E78"/>
        <rFont val="Meiryo UI"/>
        <family val="0"/>
        <charset val="1"/>
      </rPr>
      <t xml:space="preserve">Wi-Fi </t>
    </r>
    <r>
      <rPr>
        <b val="true"/>
        <sz val="16"/>
        <color rgb="FF1F4E78"/>
        <rFont val="WenQuanYi Zen Hei"/>
        <family val="2"/>
      </rPr>
      <t xml:space="preserve">等）</t>
    </r>
  </si>
  <si>
    <t xml:space="preserve">黄色＝入力欄 ／ 青灰色＝自動計算（触らない）</t>
  </si>
  <si>
    <r>
      <rPr>
        <sz val="10"/>
        <color rgb="FF7F7F7F"/>
        <rFont val="Meiryo UI"/>
        <family val="0"/>
        <charset val="1"/>
      </rPr>
      <t xml:space="preserve">1</t>
    </r>
    <r>
      <rPr>
        <sz val="10"/>
        <color rgb="FF7F7F7F"/>
        <rFont val="WenQuanYi Zen Hei"/>
        <family val="2"/>
      </rPr>
      <t xml:space="preserve">行＝</t>
    </r>
    <r>
      <rPr>
        <sz val="10"/>
        <color rgb="FF7F7F7F"/>
        <rFont val="Meiryo UI"/>
        <family val="0"/>
        <charset val="1"/>
      </rPr>
      <t xml:space="preserve">1</t>
    </r>
    <r>
      <rPr>
        <sz val="10"/>
        <color rgb="FF7F7F7F"/>
        <rFont val="WenQuanYi Zen Hei"/>
        <family val="2"/>
      </rPr>
      <t xml:space="preserve">案件（同じお客様が電気と</t>
    </r>
    <r>
      <rPr>
        <sz val="10"/>
        <color rgb="FF7F7F7F"/>
        <rFont val="Meiryo UI"/>
        <family val="0"/>
        <charset val="1"/>
      </rPr>
      <t xml:space="preserve">Wi-Fi</t>
    </r>
    <r>
      <rPr>
        <sz val="10"/>
        <color rgb="FF7F7F7F"/>
        <rFont val="WenQuanYi Zen Hei"/>
        <family val="2"/>
      </rPr>
      <t xml:space="preserve">を両方申し込む場合は</t>
    </r>
    <r>
      <rPr>
        <sz val="10"/>
        <color rgb="FF7F7F7F"/>
        <rFont val="Meiryo UI"/>
        <family val="0"/>
        <charset val="1"/>
      </rPr>
      <t xml:space="preserve">2</t>
    </r>
    <r>
      <rPr>
        <sz val="10"/>
        <color rgb="FF7F7F7F"/>
        <rFont val="WenQuanYi Zen Hei"/>
        <family val="2"/>
      </rPr>
      <t xml:space="preserve">行に分け、同じ顧客</t>
    </r>
    <r>
      <rPr>
        <sz val="10"/>
        <color rgb="FF7F7F7F"/>
        <rFont val="Meiryo UI"/>
        <family val="0"/>
        <charset val="1"/>
      </rPr>
      <t xml:space="preserve">ID</t>
    </r>
    <r>
      <rPr>
        <sz val="10"/>
        <color rgb="FF7F7F7F"/>
        <rFont val="WenQuanYi Zen Hei"/>
        <family val="2"/>
      </rPr>
      <t xml:space="preserve">を入れてください）</t>
    </r>
  </si>
  <si>
    <t xml:space="preserve">No</t>
  </si>
  <si>
    <r>
      <rPr>
        <b val="true"/>
        <sz val="10"/>
        <color rgb="FFFFFFFF"/>
        <rFont val="WenQuanYi Zen Hei"/>
        <family val="2"/>
      </rPr>
      <t xml:space="preserve">顧客</t>
    </r>
    <r>
      <rPr>
        <b val="true"/>
        <sz val="10"/>
        <color rgb="FFFFFFFF"/>
        <rFont val="Meiryo UI"/>
        <family val="0"/>
        <charset val="1"/>
      </rPr>
      <t xml:space="preserve">ID</t>
    </r>
  </si>
  <si>
    <t xml:space="preserve">受付日</t>
  </si>
  <si>
    <t xml:space="preserve">顧客名</t>
  </si>
  <si>
    <t xml:space="preserve">フリガナ</t>
  </si>
  <si>
    <t xml:space="preserve">電話番号</t>
  </si>
  <si>
    <t xml:space="preserve">メール</t>
  </si>
  <si>
    <t xml:space="preserve">設置先住所</t>
  </si>
  <si>
    <t xml:space="preserve">入居・利用開始希望日</t>
  </si>
  <si>
    <t xml:space="preserve">商材</t>
  </si>
  <si>
    <t xml:space="preserve">事業者・プラン</t>
  </si>
  <si>
    <t xml:space="preserve">獲得経路</t>
  </si>
  <si>
    <t xml:space="preserve">担当者</t>
  </si>
  <si>
    <t xml:space="preserve">ステータス</t>
  </si>
  <si>
    <t xml:space="preserve">申込日</t>
  </si>
  <si>
    <t xml:space="preserve">工事・切替予定日</t>
  </si>
  <si>
    <t xml:space="preserve">開通日</t>
  </si>
  <si>
    <t xml:space="preserve">次回アクション</t>
  </si>
  <si>
    <t xml:space="preserve">次回対応日</t>
  </si>
  <si>
    <t xml:space="preserve">経過日数</t>
  </si>
  <si>
    <t xml:space="preserve">開通予定まで</t>
  </si>
  <si>
    <t xml:space="preserve">アラート</t>
  </si>
  <si>
    <t xml:space="preserve">支払方法</t>
  </si>
  <si>
    <t xml:space="preserve">備考</t>
  </si>
  <si>
    <t xml:space="preserve">C0001</t>
  </si>
  <si>
    <t xml:space="preserve">（記入例）山本 太郎</t>
  </si>
  <si>
    <t xml:space="preserve">ヤマモト タロウ</t>
  </si>
  <si>
    <t xml:space="preserve">090-1234-5678</t>
  </si>
  <si>
    <t xml:space="preserve">example@example.com</t>
  </si>
  <si>
    <r>
      <rPr>
        <i val="true"/>
        <sz val="10"/>
        <color rgb="FF7F7F7F"/>
        <rFont val="WenQuanYi Zen Hei"/>
        <family val="2"/>
      </rPr>
      <t xml:space="preserve">東京都〇〇区〇〇</t>
    </r>
    <r>
      <rPr>
        <i val="true"/>
        <sz val="10"/>
        <color rgb="FF7F7F7F"/>
        <rFont val="Meiryo UI"/>
        <family val="0"/>
        <charset val="1"/>
      </rPr>
      <t xml:space="preserve">1-2-3 </t>
    </r>
    <r>
      <rPr>
        <i val="true"/>
        <sz val="10"/>
        <color rgb="FF7F7F7F"/>
        <rFont val="WenQuanYi Zen Hei"/>
        <family val="2"/>
      </rPr>
      <t xml:space="preserve">〇〇マンション</t>
    </r>
    <r>
      <rPr>
        <i val="true"/>
        <sz val="10"/>
        <color rgb="FF7F7F7F"/>
        <rFont val="Meiryo UI"/>
        <family val="0"/>
        <charset val="1"/>
      </rPr>
      <t xml:space="preserve">101</t>
    </r>
  </si>
  <si>
    <r>
      <rPr>
        <i val="true"/>
        <sz val="10"/>
        <color rgb="FF7F7F7F"/>
        <rFont val="Meiryo UI"/>
        <family val="0"/>
        <charset val="1"/>
      </rPr>
      <t xml:space="preserve">Wi-Fi</t>
    </r>
    <r>
      <rPr>
        <i val="true"/>
        <sz val="10"/>
        <color rgb="FF7F7F7F"/>
        <rFont val="WenQuanYi Zen Hei"/>
        <family val="2"/>
      </rPr>
      <t xml:space="preserve">（光回線）</t>
    </r>
  </si>
  <si>
    <r>
      <rPr>
        <i val="true"/>
        <sz val="10"/>
        <color rgb="FF7F7F7F"/>
        <rFont val="WenQuanYi Zen Hei"/>
        <family val="2"/>
      </rPr>
      <t xml:space="preserve">〇〇光 ファミリー</t>
    </r>
    <r>
      <rPr>
        <i val="true"/>
        <sz val="10"/>
        <color rgb="FF7F7F7F"/>
        <rFont val="Meiryo UI"/>
        <family val="0"/>
        <charset val="1"/>
      </rPr>
      <t xml:space="preserve">1G</t>
    </r>
  </si>
  <si>
    <t xml:space="preserve">不動産会社紹介</t>
  </si>
  <si>
    <t xml:space="preserve">山田</t>
  </si>
  <si>
    <t xml:space="preserve">工事日調整中</t>
  </si>
  <si>
    <t xml:space="preserve">工事立会い日の候補をお客様に確認</t>
  </si>
  <si>
    <t xml:space="preserve">クレジットカード</t>
  </si>
  <si>
    <t xml:space="preserve">この行は記入例です。不要になったら行ごと削除してください</t>
  </si>
  <si>
    <t xml:space="preserve">開通状況サマリー</t>
  </si>
  <si>
    <t xml:space="preserve">顧客管理シートから自動集計されます（入力不要）</t>
  </si>
  <si>
    <t xml:space="preserve">総案件数</t>
  </si>
  <si>
    <t xml:space="preserve">対応中（未開通）</t>
  </si>
  <si>
    <t xml:space="preserve">開通済</t>
  </si>
  <si>
    <t xml:space="preserve">対応期限超過</t>
  </si>
  <si>
    <t xml:space="preserve">開通予定日超過</t>
  </si>
  <si>
    <t xml:space="preserve">本日対応</t>
  </si>
  <si>
    <t xml:space="preserve">今月の開通数</t>
  </si>
  <si>
    <t xml:space="preserve">平均開通日数（受付→開通）</t>
  </si>
  <si>
    <r>
      <rPr>
        <b val="true"/>
        <sz val="12"/>
        <color rgb="FF1F4E78"/>
        <rFont val="WenQuanYi Zen Hei"/>
        <family val="2"/>
      </rPr>
      <t xml:space="preserve">ステータス </t>
    </r>
    <r>
      <rPr>
        <b val="true"/>
        <sz val="12"/>
        <color rgb="FF1F4E78"/>
        <rFont val="Meiryo UI"/>
        <family val="0"/>
        <charset val="1"/>
      </rPr>
      <t xml:space="preserve">× </t>
    </r>
    <r>
      <rPr>
        <b val="true"/>
        <sz val="12"/>
        <color rgb="FF1F4E78"/>
        <rFont val="WenQuanYi Zen Hei"/>
        <family val="2"/>
      </rPr>
      <t xml:space="preserve">商材</t>
    </r>
  </si>
  <si>
    <t xml:space="preserve">ステータス＼商材</t>
  </si>
  <si>
    <t xml:space="preserve">合計</t>
  </si>
  <si>
    <t xml:space="preserve">担当者別 対応中件数</t>
  </si>
  <si>
    <t xml:space="preserve">対応中</t>
  </si>
  <si>
    <t xml:space="preserve">期限超過</t>
  </si>
  <si>
    <t xml:space="preserve">受付</t>
  </si>
  <si>
    <t xml:space="preserve">電気</t>
  </si>
  <si>
    <t xml:space="preserve">書類待ち</t>
  </si>
  <si>
    <r>
      <rPr>
        <sz val="10"/>
        <rFont val="Meiryo UI"/>
        <family val="0"/>
        <charset val="1"/>
      </rPr>
      <t xml:space="preserve">Wi-Fi</t>
    </r>
    <r>
      <rPr>
        <sz val="10"/>
        <rFont val="WenQuanYi Zen Hei"/>
        <family val="2"/>
      </rPr>
      <t xml:space="preserve">（光回線）</t>
    </r>
  </si>
  <si>
    <t xml:space="preserve">佐藤</t>
  </si>
  <si>
    <r>
      <rPr>
        <sz val="10"/>
        <rFont val="Meiryo UI"/>
        <family val="0"/>
        <charset val="1"/>
      </rPr>
      <t xml:space="preserve">Web</t>
    </r>
    <r>
      <rPr>
        <sz val="10"/>
        <rFont val="WenQuanYi Zen Hei"/>
        <family val="2"/>
      </rPr>
      <t xml:space="preserve">問い合わせ</t>
    </r>
  </si>
  <si>
    <t xml:space="preserve">口座振替</t>
  </si>
  <si>
    <t xml:space="preserve">申込済</t>
  </si>
  <si>
    <r>
      <rPr>
        <sz val="10"/>
        <rFont val="Meiryo UI"/>
        <family val="0"/>
        <charset val="1"/>
      </rPr>
      <t xml:space="preserve">Wi-Fi</t>
    </r>
    <r>
      <rPr>
        <sz val="10"/>
        <rFont val="WenQuanYi Zen Hei"/>
        <family val="2"/>
      </rPr>
      <t xml:space="preserve">（ホームルーター）</t>
    </r>
  </si>
  <si>
    <t xml:space="preserve">鈴木</t>
  </si>
  <si>
    <t xml:space="preserve">電話</t>
  </si>
  <si>
    <t xml:space="preserve">請求書払い</t>
  </si>
  <si>
    <t xml:space="preserve">審査中</t>
  </si>
  <si>
    <t xml:space="preserve">ガス</t>
  </si>
  <si>
    <t xml:space="preserve">（追加してください）</t>
  </si>
  <si>
    <t xml:space="preserve">既存顧客紹介</t>
  </si>
  <si>
    <t xml:space="preserve">水道</t>
  </si>
  <si>
    <t xml:space="preserve">その他</t>
  </si>
  <si>
    <t xml:space="preserve">工事・切替日確定</t>
  </si>
  <si>
    <t xml:space="preserve">保留</t>
  </si>
  <si>
    <t xml:space="preserve">キャンセル</t>
  </si>
  <si>
    <r>
      <rPr>
        <sz val="10"/>
        <color rgb="FF7F7F7F"/>
        <rFont val="WenQuanYi Zen Hei"/>
        <family val="2"/>
      </rPr>
      <t xml:space="preserve">※黄色セルは自由に追加・変更できます。各列の</t>
    </r>
    <r>
      <rPr>
        <sz val="10"/>
        <color rgb="FF7F7F7F"/>
        <rFont val="Meiryo UI"/>
        <family val="0"/>
        <charset val="1"/>
      </rPr>
      <t xml:space="preserve">2</t>
    </r>
    <r>
      <rPr>
        <sz val="10"/>
        <color rgb="FF7F7F7F"/>
        <rFont val="WenQuanYi Zen Hei"/>
        <family val="2"/>
      </rPr>
      <t xml:space="preserve">〜</t>
    </r>
    <r>
      <rPr>
        <sz val="10"/>
        <color rgb="FF7F7F7F"/>
        <rFont val="Meiryo UI"/>
        <family val="0"/>
        <charset val="1"/>
      </rPr>
      <t xml:space="preserve">30</t>
    </r>
    <r>
      <rPr>
        <sz val="10"/>
        <color rgb="FF7F7F7F"/>
        <rFont val="WenQuanYi Zen Hei"/>
        <family val="2"/>
      </rPr>
      <t xml:space="preserve">行目がプルダウンの選択肢になります。</t>
    </r>
  </si>
  <si>
    <t xml:space="preserve">開通管理表の使い方</t>
  </si>
  <si>
    <r>
      <rPr>
        <sz val="11"/>
        <color rgb="FF000000"/>
        <rFont val="Meiryo UI"/>
        <family val="0"/>
        <charset val="1"/>
      </rPr>
      <t xml:space="preserve">1. </t>
    </r>
    <r>
      <rPr>
        <sz val="11"/>
        <color rgb="FF000000"/>
        <rFont val="WenQuanYi Zen Hei"/>
        <family val="2"/>
      </rPr>
      <t xml:space="preserve">新しいお客様の問い合わせが来たら「顧客管理」シートの空いている行に入力します。</t>
    </r>
  </si>
  <si>
    <r>
      <rPr>
        <sz val="11"/>
        <color rgb="FF000000"/>
        <rFont val="WenQuanYi Zen Hei"/>
        <family val="2"/>
      </rPr>
      <t xml:space="preserve">   ・黄色のセル＝入力欄です。青灰色のセル（</t>
    </r>
    <r>
      <rPr>
        <sz val="11"/>
        <color rgb="FF000000"/>
        <rFont val="Meiryo UI"/>
        <family val="0"/>
        <charset val="1"/>
      </rPr>
      <t xml:space="preserve">No</t>
    </r>
    <r>
      <rPr>
        <sz val="11"/>
        <color rgb="FF000000"/>
        <rFont val="WenQuanYi Zen Hei"/>
        <family val="2"/>
      </rPr>
      <t xml:space="preserve">・経過日数・開通予定まで・アラート）は自動計算なので触らないでください。</t>
    </r>
  </si>
  <si>
    <r>
      <rPr>
        <sz val="11"/>
        <color rgb="FF000000"/>
        <rFont val="WenQuanYi Zen Hei"/>
        <family val="2"/>
      </rPr>
      <t xml:space="preserve">   ・</t>
    </r>
    <r>
      <rPr>
        <sz val="11"/>
        <color rgb="FF000000"/>
        <rFont val="Meiryo UI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行＝</t>
    </r>
    <r>
      <rPr>
        <sz val="11"/>
        <color rgb="FF000000"/>
        <rFont val="Meiryo UI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案件です。電気と</t>
    </r>
    <r>
      <rPr>
        <sz val="11"/>
        <color rgb="FF000000"/>
        <rFont val="Meiryo UI"/>
        <family val="0"/>
        <charset val="1"/>
      </rPr>
      <t xml:space="preserve">Wi-Fi</t>
    </r>
    <r>
      <rPr>
        <sz val="11"/>
        <color rgb="FF000000"/>
        <rFont val="WenQuanYi Zen Hei"/>
        <family val="2"/>
      </rPr>
      <t xml:space="preserve">を両方申し込むお客様は</t>
    </r>
    <r>
      <rPr>
        <sz val="11"/>
        <color rgb="FF000000"/>
        <rFont val="Meiryo UI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行に分け、同じ「顧客</t>
    </r>
    <r>
      <rPr>
        <sz val="11"/>
        <color rgb="FF000000"/>
        <rFont val="Meiryo UI"/>
        <family val="0"/>
        <charset val="1"/>
      </rPr>
      <t xml:space="preserve">ID</t>
    </r>
    <r>
      <rPr>
        <sz val="11"/>
        <color rgb="FF000000"/>
        <rFont val="WenQuanYi Zen Hei"/>
        <family val="2"/>
      </rPr>
      <t xml:space="preserve">」を入れてください。</t>
    </r>
  </si>
  <si>
    <r>
      <rPr>
        <sz val="11"/>
        <color rgb="FF000000"/>
        <rFont val="WenQuanYi Zen Hei"/>
        <family val="2"/>
      </rPr>
      <t xml:space="preserve">   ・</t>
    </r>
    <r>
      <rPr>
        <sz val="11"/>
        <color rgb="FF000000"/>
        <rFont val="Meiryo UI"/>
        <family val="0"/>
        <charset val="1"/>
      </rPr>
      <t xml:space="preserve">4</t>
    </r>
    <r>
      <rPr>
        <sz val="11"/>
        <color rgb="FF000000"/>
        <rFont val="WenQuanYi Zen Hei"/>
        <family val="2"/>
      </rPr>
      <t xml:space="preserve">行目は記入例です。使い始めるときに行ごと削除するか上書きしてください。</t>
    </r>
  </si>
  <si>
    <r>
      <rPr>
        <sz val="11"/>
        <color rgb="FF000000"/>
        <rFont val="Meiryo UI"/>
        <family val="0"/>
        <charset val="1"/>
      </rPr>
      <t xml:space="preserve">2. </t>
    </r>
    <r>
      <rPr>
        <sz val="11"/>
        <color rgb="FF000000"/>
        <rFont val="WenQuanYi Zen Hei"/>
        <family val="2"/>
      </rPr>
      <t xml:space="preserve">進捗に合わせて「ステータス」をプルダウンから選び、「次回アクション」「次回対応日」を更新します。</t>
    </r>
  </si>
  <si>
    <t xml:space="preserve">   ステータスの流れ：受付 → 書類待ち → 申込済 → 審査中 → 工事日調整中 → 工事・切替日確定 → 開通済</t>
  </si>
  <si>
    <r>
      <rPr>
        <sz val="11"/>
        <color rgb="FF000000"/>
        <rFont val="WenQuanYi Zen Hei"/>
        <family val="2"/>
      </rPr>
      <t xml:space="preserve">   （電気は工事不要な場合が多いので「申込済 → 工事・切替日確定（切替日）→ 開通済」と進めて</t>
    </r>
    <r>
      <rPr>
        <sz val="11"/>
        <color rgb="FF000000"/>
        <rFont val="Meiryo UI"/>
        <family val="0"/>
        <charset val="1"/>
      </rPr>
      <t xml:space="preserve">OK</t>
    </r>
    <r>
      <rPr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</si>
  <si>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3. </t>
    </r>
    <r>
      <rPr>
        <sz val="11"/>
        <color rgb="FF000000"/>
        <rFont val="WenQuanYi Zen Hei"/>
        <family val="2"/>
      </rPr>
      <t xml:space="preserve">開通したら「開通日」を入力し、ステータスを「開通済」にします（行が緑色になります）。</t>
    </r>
  </si>
  <si>
    <r>
      <rPr>
        <sz val="11"/>
        <color rgb="FF000000"/>
        <rFont val="Meiryo UI"/>
        <family val="0"/>
        <charset val="1"/>
      </rPr>
      <t xml:space="preserve">4. </t>
    </r>
    <r>
      <rPr>
        <sz val="11"/>
        <color rgb="FF000000"/>
        <rFont val="WenQuanYi Zen Hei"/>
        <family val="2"/>
      </rPr>
      <t xml:space="preserve">「アラート」列が自動で色付きになります。</t>
    </r>
  </si>
  <si>
    <r>
      <rPr>
        <sz val="11"/>
        <color rgb="FF000000"/>
        <rFont val="WenQuanYi Zen Hei"/>
        <family val="2"/>
      </rPr>
      <t xml:space="preserve">   赤：対応期限超過（次回対応日が過去）／濃い赤：開通予定日超過／オレンジ：本日対応／黄：開通まで</t>
    </r>
    <r>
      <rPr>
        <sz val="11"/>
        <color rgb="FF000000"/>
        <rFont val="Meiryo UI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日以内</t>
    </r>
  </si>
  <si>
    <r>
      <rPr>
        <sz val="11"/>
        <color rgb="FF000000"/>
        <rFont val="Meiryo UI"/>
        <family val="0"/>
        <charset val="1"/>
      </rPr>
      <t xml:space="preserve">5. </t>
    </r>
    <r>
      <rPr>
        <sz val="11"/>
        <color rgb="FF000000"/>
        <rFont val="WenQuanYi Zen Hei"/>
        <family val="2"/>
      </rPr>
      <t xml:space="preserve">見出し行のフィルター（▼）で「担当者」「ステータス」「アラート」を絞り込むと、今日やることが一覧で見られます。</t>
    </r>
  </si>
  <si>
    <r>
      <rPr>
        <sz val="11"/>
        <color rgb="FF000000"/>
        <rFont val="Meiryo UI"/>
        <family val="0"/>
        <charset val="1"/>
      </rPr>
      <t xml:space="preserve">6. </t>
    </r>
    <r>
      <rPr>
        <sz val="11"/>
        <color rgb="FF000000"/>
        <rFont val="WenQuanYi Zen Hei"/>
        <family val="2"/>
      </rPr>
      <t xml:space="preserve">「集計」シートで全体の件数・遅れている案件・担当者別の状況を確認できます。</t>
    </r>
  </si>
  <si>
    <r>
      <rPr>
        <sz val="11"/>
        <color rgb="FF000000"/>
        <rFont val="Meiryo UI"/>
        <family val="0"/>
        <charset val="1"/>
      </rPr>
      <t xml:space="preserve">7. </t>
    </r>
    <r>
      <rPr>
        <sz val="11"/>
        <color rgb="FF000000"/>
        <rFont val="WenQuanYi Zen Hei"/>
        <family val="2"/>
      </rPr>
      <t xml:space="preserve">担当者名・商材・ステータスの選択肢は「マスタ」シートで追加・変更できます。</t>
    </r>
  </si>
  <si>
    <r>
      <rPr>
        <sz val="11"/>
        <color rgb="FF000000"/>
        <rFont val="Meiryo UI"/>
        <family val="0"/>
        <charset val="1"/>
      </rPr>
      <t xml:space="preserve">※ Google</t>
    </r>
    <r>
      <rPr>
        <sz val="11"/>
        <color rgb="FF000000"/>
        <rFont val="WenQuanYi Zen Hei"/>
        <family val="2"/>
      </rPr>
      <t xml:space="preserve">スプレッドシートで使う場合：</t>
    </r>
    <r>
      <rPr>
        <sz val="11"/>
        <color rgb="FF000000"/>
        <rFont val="Meiryo UI"/>
        <family val="0"/>
        <charset val="1"/>
      </rPr>
      <t xml:space="preserve">Google</t>
    </r>
    <r>
      <rPr>
        <sz val="11"/>
        <color rgb="FF000000"/>
        <rFont val="WenQuanYi Zen Hei"/>
        <family val="2"/>
      </rPr>
      <t xml:space="preserve">ドライブにアップロード →「</t>
    </r>
    <r>
      <rPr>
        <sz val="11"/>
        <color rgb="FF000000"/>
        <rFont val="Meiryo UI"/>
        <family val="0"/>
        <charset val="1"/>
      </rPr>
      <t xml:space="preserve">Google</t>
    </r>
    <r>
      <rPr>
        <sz val="11"/>
        <color rgb="FF000000"/>
        <rFont val="WenQuanYi Zen Hei"/>
        <family val="2"/>
      </rPr>
      <t xml:space="preserve">スプレッドシートで開く」でそのまま使えます。</t>
    </r>
  </si>
  <si>
    <t xml:space="preserve">※ 個人情報を含むため、共有範囲（閲覧できる人）の設定に注意してください。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</si>
</sst>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yyyy/mm/dd"/>
    <numFmt numFmtId="167" formatCode="@"/>
    <numFmt numFmtId="168" formatCode="0\日"/>
    <numFmt numFmtId="169" formatCode="0\日;&quot;超過&quot;0\日;&quot;当日&quot;"/>
    <numFmt numFmtId="170" formatCode="0\件"/>
    <numFmt numFmtId="171" formatCode="0.0\日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WenQuanYi Zen Hei"/>
      <family val="2"/>
    </font>
    <font>
      <b val="true"/>
      <sz val="16"/>
      <color rgb="FF1F4E78"/>
      <name val="Meiryo UI"/>
      <family val="0"/>
      <charset val="1"/>
    </font>
    <font>
      <sz val="10"/>
      <color rgb="FF7F7F7F"/>
      <name val="WenQuanYi Zen Hei"/>
      <family val="2"/>
    </font>
    <font>
      <sz val="10"/>
      <color rgb="FF7F7F7F"/>
      <name val="Meiryo UI"/>
      <family val="0"/>
      <charset val="1"/>
    </font>
    <font>
      <b val="true"/>
      <sz val="10"/>
      <color rgb="FFFFFFFF"/>
      <name val="Meiryo UI"/>
      <family val="0"/>
      <charset val="1"/>
    </font>
    <font>
      <b val="true"/>
      <sz val="10"/>
      <color rgb="FFFFFFFF"/>
      <name val="WenQuanYi Zen Hei"/>
      <family val="2"/>
    </font>
    <font>
      <sz val="10"/>
      <name val="Meiryo UI"/>
      <family val="0"/>
      <charset val="1"/>
    </font>
    <font>
      <i val="true"/>
      <sz val="10"/>
      <color rgb="FF7F7F7F"/>
      <name val="Meiryo UI"/>
      <family val="0"/>
      <charset val="1"/>
    </font>
    <font>
      <i val="true"/>
      <sz val="10"/>
      <color rgb="FF7F7F7F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  <font>
      <b val="true"/>
      <sz val="10"/>
      <name val="WenQuanYi Zen Hei"/>
      <family val="2"/>
    </font>
    <font>
      <b val="true"/>
      <sz val="12"/>
      <name val="Meiryo UI"/>
      <family val="0"/>
      <charset val="1"/>
    </font>
    <font>
      <b val="true"/>
      <sz val="12"/>
      <color rgb="FF1F4E78"/>
      <name val="WenQuanYi Zen Hei"/>
      <family val="2"/>
    </font>
    <font>
      <b val="true"/>
      <sz val="12"/>
      <color rgb="FF1F4E78"/>
      <name val="Meiryo UI"/>
      <family val="0"/>
      <charset val="1"/>
    </font>
    <font>
      <b val="true"/>
      <sz val="10"/>
      <name val="Meiryo UI"/>
      <family val="0"/>
      <charset val="1"/>
    </font>
    <font>
      <sz val="11"/>
      <color rgb="FF000000"/>
      <name val="Meiryo UI"/>
      <family val="0"/>
      <charset val="1"/>
    </font>
    <font>
      <sz val="11"/>
      <color rgb="FF000000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1F4E78"/>
      </patternFill>
    </fill>
    <fill>
      <patternFill patternType="solid">
        <fgColor rgb="FF1F4E78"/>
        <bgColor rgb="FF44546A"/>
      </patternFill>
    </fill>
    <fill>
      <patternFill patternType="solid">
        <fgColor rgb="FFEEF3F8"/>
        <bgColor rgb="FFDDEBF7"/>
      </patternFill>
    </fill>
    <fill>
      <patternFill patternType="solid">
        <fgColor rgb="FFFFFDE7"/>
        <bgColor rgb="FFFFFFFF"/>
      </patternFill>
    </fill>
    <fill>
      <patternFill patternType="solid">
        <fgColor rgb="FFDDEBF7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44546A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ont>
        <color rgb="FF808080"/>
      </font>
      <fill>
        <patternFill>
          <bgColor rgb="FFE2EFDA"/>
        </patternFill>
      </fill>
    </dxf>
    <dxf>
      <font>
        <strike val="1"/>
        <color rgb="FF808080"/>
      </font>
      <fill>
        <patternFill>
          <bgColor rgb="FFD9D9D9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b val="1"/>
        <color rgb="FF000000"/>
      </font>
      <fill>
        <patternFill>
          <bgColor rgb="FFFFC000"/>
        </patternFill>
      </fill>
    </dxf>
    <dxf>
      <font>
        <b val="1"/>
        <color rgb="FF000000"/>
      </font>
      <fill>
        <patternFill>
          <bgColor rgb="FFFFE699"/>
        </patternFill>
      </fill>
    </dxf>
    <dxf>
      <font>
        <b val="1"/>
        <color rgb="FF000000"/>
      </font>
      <fill>
        <patternFill>
          <bgColor rgb="FFA9D08E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BDD7EE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E7E6E6"/>
        </patternFill>
      </fill>
    </dxf>
    <dxf>
      <font>
        <b val="1"/>
        <color rgb="FFFF0000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E7E6E6"/>
      <rgbColor rgb="FF993366"/>
      <rgbColor rgb="FFFFFDE7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E2EFDA"/>
      <rgbColor rgb="FFFFE699"/>
      <rgbColor rgb="FFC6E0B4"/>
      <rgbColor rgb="FFFCE4D6"/>
      <rgbColor rgb="FFD9D9D9"/>
      <rgbColor rgb="FFF8CBAD"/>
      <rgbColor rgb="FF3366FF"/>
      <rgbColor rgb="FF33CCCC"/>
      <rgbColor rgb="FFA9D08E"/>
      <rgbColor rgb="FFFFC000"/>
      <rgbColor rgb="FFFF9900"/>
      <rgbColor rgb="FFFF6600"/>
      <rgbColor rgb="FF44546A"/>
      <rgbColor rgb="FF7F7F7F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5" min="4" style="0" width="16"/>
    <col collapsed="false" customWidth="true" hidden="false" outlineLevel="0" max="6" min="6" style="0" width="15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11"/>
    <col collapsed="false" customWidth="true" hidden="false" outlineLevel="0" max="18" min="18" style="0" width="24"/>
    <col collapsed="false" customWidth="true" hidden="false" outlineLevel="0" max="19" min="19" style="0" width="11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false" outlineLevel="0" max="22" min="22" style="0" width="15"/>
    <col collapsed="false" customWidth="true" hidden="false" outlineLevel="0" max="23" min="23" style="0" width="14"/>
    <col collapsed="false" customWidth="true" hidden="false" outlineLevel="0" max="24" min="24" style="0" width="30"/>
  </cols>
  <sheetData>
    <row r="1" customFormat="false" ht="20.85" hidden="false" customHeight="false" outlineLevel="0" collapsed="false">
      <c r="A1" s="1" t="s">
        <v>0</v>
      </c>
      <c r="H1" s="2" t="s">
        <v>1</v>
      </c>
    </row>
    <row r="2" customFormat="false" ht="15" hidden="false" customHeight="false" outlineLevel="0" collapsed="false">
      <c r="A2" s="3" t="s">
        <v>2</v>
      </c>
    </row>
    <row r="3" customFormat="false" ht="31.5" hidden="false" customHeight="true" outlineLevel="0" collapsed="false">
      <c r="A3" s="4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6" t="s">
        <v>22</v>
      </c>
      <c r="U3" s="6" t="s">
        <v>23</v>
      </c>
      <c r="V3" s="6" t="s">
        <v>24</v>
      </c>
      <c r="W3" s="5" t="s">
        <v>25</v>
      </c>
      <c r="X3" s="5" t="s">
        <v>26</v>
      </c>
    </row>
    <row r="4" customFormat="false" ht="15" hidden="false" customHeight="false" outlineLevel="0" collapsed="false">
      <c r="A4" s="7" t="n">
        <f aca="false">IF(D4="","",ROW()-3)</f>
        <v>1</v>
      </c>
      <c r="B4" s="8" t="s">
        <v>27</v>
      </c>
      <c r="C4" s="9" t="n">
        <v>46315</v>
      </c>
      <c r="D4" s="10" t="s">
        <v>28</v>
      </c>
      <c r="E4" s="10" t="s">
        <v>29</v>
      </c>
      <c r="F4" s="11" t="s">
        <v>30</v>
      </c>
      <c r="G4" s="8" t="s">
        <v>31</v>
      </c>
      <c r="H4" s="10" t="s">
        <v>32</v>
      </c>
      <c r="I4" s="9" t="n">
        <v>46336</v>
      </c>
      <c r="J4" s="8" t="s">
        <v>33</v>
      </c>
      <c r="K4" s="10" t="s">
        <v>34</v>
      </c>
      <c r="L4" s="10" t="s">
        <v>35</v>
      </c>
      <c r="M4" s="10" t="s">
        <v>36</v>
      </c>
      <c r="N4" s="10" t="s">
        <v>37</v>
      </c>
      <c r="O4" s="9" t="n">
        <v>46317</v>
      </c>
      <c r="P4" s="9" t="n">
        <v>46334</v>
      </c>
      <c r="Q4" s="12"/>
      <c r="R4" s="10" t="s">
        <v>38</v>
      </c>
      <c r="S4" s="9" t="n">
        <v>46323</v>
      </c>
      <c r="T4" s="13" t="n">
        <f aca="true">IF(C4="","",IF(Q4&lt;&gt;"",Q4-C4,TODAY()-C4))</f>
        <v>6</v>
      </c>
      <c r="U4" s="14" t="n">
        <f aca="true">IF(OR(P4="",Q4&lt;&gt;"",N4="キャンセル"),"",P4-TODAY())</f>
        <v>13</v>
      </c>
      <c r="V4" s="15" t="str">
        <f aca="true">IF(D4="","",IF(OR(N4="開通済",Q4&lt;&gt;""),"完了",IF(N4="キャンセル","―",IF(AND(S4&lt;&gt;"",S4&lt;TODAY()),"対応期限超過",IF(AND(P4&lt;&gt;"",P4&lt;TODAY()),"開通予定日超過",IF(AND(S4&lt;&gt;"",S4=TODAY()),"本日対応",IF(AND(P4&lt;&gt;"",P4-TODAY()&lt;=3),"開通間近","")))))))</f>
        <v/>
      </c>
      <c r="W4" s="10" t="s">
        <v>39</v>
      </c>
      <c r="X4" s="10" t="s">
        <v>40</v>
      </c>
    </row>
    <row r="5" customFormat="false" ht="15" hidden="false" customHeight="false" outlineLevel="0" collapsed="false">
      <c r="A5" s="7" t="str">
        <f aca="false">IF(D5="","",ROW()-3)</f>
        <v/>
      </c>
      <c r="B5" s="16"/>
      <c r="C5" s="12"/>
      <c r="D5" s="16"/>
      <c r="E5" s="16"/>
      <c r="F5" s="17"/>
      <c r="G5" s="16"/>
      <c r="H5" s="16"/>
      <c r="I5" s="12"/>
      <c r="J5" s="16"/>
      <c r="K5" s="16"/>
      <c r="L5" s="16"/>
      <c r="M5" s="16"/>
      <c r="N5" s="16"/>
      <c r="O5" s="12"/>
      <c r="P5" s="12"/>
      <c r="Q5" s="12"/>
      <c r="R5" s="16"/>
      <c r="S5" s="12"/>
      <c r="T5" s="13" t="str">
        <f aca="true">IF(C5="","",IF(Q5&lt;&gt;"",Q5-C5,TODAY()-C5))</f>
        <v/>
      </c>
      <c r="U5" s="14" t="str">
        <f aca="true">IF(OR(P5="",Q5&lt;&gt;"",N5="キャンセル"),"",P5-TODAY())</f>
        <v/>
      </c>
      <c r="V5" s="15" t="str">
        <f aca="true">IF(D5="","",IF(OR(N5="開通済",Q5&lt;&gt;""),"完了",IF(N5="キャンセル","―",IF(AND(S5&lt;&gt;"",S5&lt;TODAY()),"対応期限超過",IF(AND(P5&lt;&gt;"",P5&lt;TODAY()),"開通予定日超過",IF(AND(S5&lt;&gt;"",S5=TODAY()),"本日対応",IF(AND(P5&lt;&gt;"",P5-TODAY()&lt;=3),"開通間近","")))))))</f>
        <v/>
      </c>
      <c r="W5" s="16"/>
      <c r="X5" s="16"/>
    </row>
    <row r="6" customFormat="false" ht="15" hidden="false" customHeight="false" outlineLevel="0" collapsed="false">
      <c r="A6" s="7" t="str">
        <f aca="false">IF(D6="","",ROW()-3)</f>
        <v/>
      </c>
      <c r="B6" s="16"/>
      <c r="C6" s="12"/>
      <c r="D6" s="16"/>
      <c r="E6" s="16"/>
      <c r="F6" s="17"/>
      <c r="G6" s="16"/>
      <c r="H6" s="16"/>
      <c r="I6" s="12"/>
      <c r="J6" s="16"/>
      <c r="K6" s="16"/>
      <c r="L6" s="16"/>
      <c r="M6" s="16"/>
      <c r="N6" s="16"/>
      <c r="O6" s="12"/>
      <c r="P6" s="12"/>
      <c r="Q6" s="12"/>
      <c r="R6" s="16"/>
      <c r="S6" s="12"/>
      <c r="T6" s="13" t="str">
        <f aca="true">IF(C6="","",IF(Q6&lt;&gt;"",Q6-C6,TODAY()-C6))</f>
        <v/>
      </c>
      <c r="U6" s="14" t="str">
        <f aca="true">IF(OR(P6="",Q6&lt;&gt;"",N6="キャンセル"),"",P6-TODAY())</f>
        <v/>
      </c>
      <c r="V6" s="15" t="str">
        <f aca="true">IF(D6="","",IF(OR(N6="開通済",Q6&lt;&gt;""),"完了",IF(N6="キャンセル","―",IF(AND(S6&lt;&gt;"",S6&lt;TODAY()),"対応期限超過",IF(AND(P6&lt;&gt;"",P6&lt;TODAY()),"開通予定日超過",IF(AND(S6&lt;&gt;"",S6=TODAY()),"本日対応",IF(AND(P6&lt;&gt;"",P6-TODAY()&lt;=3),"開通間近","")))))))</f>
        <v/>
      </c>
      <c r="W6" s="16"/>
      <c r="X6" s="16"/>
    </row>
    <row r="7" customFormat="false" ht="15" hidden="false" customHeight="false" outlineLevel="0" collapsed="false">
      <c r="A7" s="7" t="str">
        <f aca="false">IF(D7="","",ROW()-3)</f>
        <v/>
      </c>
      <c r="B7" s="16"/>
      <c r="C7" s="12"/>
      <c r="D7" s="16"/>
      <c r="E7" s="16"/>
      <c r="F7" s="17"/>
      <c r="G7" s="16"/>
      <c r="H7" s="16"/>
      <c r="I7" s="12"/>
      <c r="J7" s="16"/>
      <c r="K7" s="16"/>
      <c r="L7" s="16"/>
      <c r="M7" s="16"/>
      <c r="N7" s="16"/>
      <c r="O7" s="12"/>
      <c r="P7" s="12"/>
      <c r="Q7" s="12"/>
      <c r="R7" s="16"/>
      <c r="S7" s="12"/>
      <c r="T7" s="13" t="str">
        <f aca="true">IF(C7="","",IF(Q7&lt;&gt;"",Q7-C7,TODAY()-C7))</f>
        <v/>
      </c>
      <c r="U7" s="14" t="str">
        <f aca="true">IF(OR(P7="",Q7&lt;&gt;"",N7="キャンセル"),"",P7-TODAY())</f>
        <v/>
      </c>
      <c r="V7" s="15" t="str">
        <f aca="true">IF(D7="","",IF(OR(N7="開通済",Q7&lt;&gt;""),"完了",IF(N7="キャンセル","―",IF(AND(S7&lt;&gt;"",S7&lt;TODAY()),"対応期限超過",IF(AND(P7&lt;&gt;"",P7&lt;TODAY()),"開通予定日超過",IF(AND(S7&lt;&gt;"",S7=TODAY()),"本日対応",IF(AND(P7&lt;&gt;"",P7-TODAY()&lt;=3),"開通間近","")))))))</f>
        <v/>
      </c>
      <c r="W7" s="16"/>
      <c r="X7" s="16"/>
    </row>
    <row r="8" customFormat="false" ht="15" hidden="false" customHeight="false" outlineLevel="0" collapsed="false">
      <c r="A8" s="7" t="str">
        <f aca="false">IF(D8="","",ROW()-3)</f>
        <v/>
      </c>
      <c r="B8" s="16"/>
      <c r="C8" s="12"/>
      <c r="D8" s="16"/>
      <c r="E8" s="16"/>
      <c r="F8" s="17"/>
      <c r="G8" s="16"/>
      <c r="H8" s="16"/>
      <c r="I8" s="12"/>
      <c r="J8" s="16"/>
      <c r="K8" s="16"/>
      <c r="L8" s="16"/>
      <c r="M8" s="16"/>
      <c r="N8" s="16"/>
      <c r="O8" s="12"/>
      <c r="P8" s="12"/>
      <c r="Q8" s="12"/>
      <c r="R8" s="16"/>
      <c r="S8" s="12"/>
      <c r="T8" s="13" t="str">
        <f aca="true">IF(C8="","",IF(Q8&lt;&gt;"",Q8-C8,TODAY()-C8))</f>
        <v/>
      </c>
      <c r="U8" s="14" t="str">
        <f aca="true">IF(OR(P8="",Q8&lt;&gt;"",N8="キャンセル"),"",P8-TODAY())</f>
        <v/>
      </c>
      <c r="V8" s="15" t="str">
        <f aca="true">IF(D8="","",IF(OR(N8="開通済",Q8&lt;&gt;""),"完了",IF(N8="キャンセル","―",IF(AND(S8&lt;&gt;"",S8&lt;TODAY()),"対応期限超過",IF(AND(P8&lt;&gt;"",P8&lt;TODAY()),"開通予定日超過",IF(AND(S8&lt;&gt;"",S8=TODAY()),"本日対応",IF(AND(P8&lt;&gt;"",P8-TODAY()&lt;=3),"開通間近","")))))))</f>
        <v/>
      </c>
      <c r="W8" s="16"/>
      <c r="X8" s="16"/>
    </row>
    <row r="9" customFormat="false" ht="15" hidden="false" customHeight="false" outlineLevel="0" collapsed="false">
      <c r="A9" s="7" t="str">
        <f aca="false">IF(D9="","",ROW()-3)</f>
        <v/>
      </c>
      <c r="B9" s="16"/>
      <c r="C9" s="12"/>
      <c r="D9" s="16"/>
      <c r="E9" s="16"/>
      <c r="F9" s="17"/>
      <c r="G9" s="16"/>
      <c r="H9" s="16"/>
      <c r="I9" s="12"/>
      <c r="J9" s="16"/>
      <c r="K9" s="16"/>
      <c r="L9" s="16"/>
      <c r="M9" s="16"/>
      <c r="N9" s="16"/>
      <c r="O9" s="12"/>
      <c r="P9" s="12"/>
      <c r="Q9" s="12"/>
      <c r="R9" s="16"/>
      <c r="S9" s="12"/>
      <c r="T9" s="13" t="str">
        <f aca="true">IF(C9="","",IF(Q9&lt;&gt;"",Q9-C9,TODAY()-C9))</f>
        <v/>
      </c>
      <c r="U9" s="14" t="str">
        <f aca="true">IF(OR(P9="",Q9&lt;&gt;"",N9="キャンセル"),"",P9-TODAY())</f>
        <v/>
      </c>
      <c r="V9" s="15" t="str">
        <f aca="true">IF(D9="","",IF(OR(N9="開通済",Q9&lt;&gt;""),"完了",IF(N9="キャンセル","―",IF(AND(S9&lt;&gt;"",S9&lt;TODAY()),"対応期限超過",IF(AND(P9&lt;&gt;"",P9&lt;TODAY()),"開通予定日超過",IF(AND(S9&lt;&gt;"",S9=TODAY()),"本日対応",IF(AND(P9&lt;&gt;"",P9-TODAY()&lt;=3),"開通間近","")))))))</f>
        <v/>
      </c>
      <c r="W9" s="16"/>
      <c r="X9" s="16"/>
    </row>
    <row r="10" customFormat="false" ht="15" hidden="false" customHeight="false" outlineLevel="0" collapsed="false">
      <c r="A10" s="7" t="str">
        <f aca="false">IF(D10="","",ROW()-3)</f>
        <v/>
      </c>
      <c r="B10" s="16"/>
      <c r="C10" s="12"/>
      <c r="D10" s="16"/>
      <c r="E10" s="16"/>
      <c r="F10" s="17"/>
      <c r="G10" s="16"/>
      <c r="H10" s="16"/>
      <c r="I10" s="12"/>
      <c r="J10" s="16"/>
      <c r="K10" s="16"/>
      <c r="L10" s="16"/>
      <c r="M10" s="16"/>
      <c r="N10" s="16"/>
      <c r="O10" s="12"/>
      <c r="P10" s="12"/>
      <c r="Q10" s="12"/>
      <c r="R10" s="16"/>
      <c r="S10" s="12"/>
      <c r="T10" s="13" t="str">
        <f aca="true">IF(C10="","",IF(Q10&lt;&gt;"",Q10-C10,TODAY()-C10))</f>
        <v/>
      </c>
      <c r="U10" s="14" t="str">
        <f aca="true">IF(OR(P10="",Q10&lt;&gt;"",N10="キャンセル"),"",P10-TODAY())</f>
        <v/>
      </c>
      <c r="V10" s="15" t="str">
        <f aca="true">IF(D10="","",IF(OR(N10="開通済",Q10&lt;&gt;""),"完了",IF(N10="キャンセル","―",IF(AND(S10&lt;&gt;"",S10&lt;TODAY()),"対応期限超過",IF(AND(P10&lt;&gt;"",P10&lt;TODAY()),"開通予定日超過",IF(AND(S10&lt;&gt;"",S10=TODAY()),"本日対応",IF(AND(P10&lt;&gt;"",P10-TODAY()&lt;=3),"開通間近","")))))))</f>
        <v/>
      </c>
      <c r="W10" s="16"/>
      <c r="X10" s="16"/>
    </row>
    <row r="11" customFormat="false" ht="15" hidden="false" customHeight="false" outlineLevel="0" collapsed="false">
      <c r="A11" s="7" t="str">
        <f aca="false">IF(D11="","",ROW()-3)</f>
        <v/>
      </c>
      <c r="B11" s="16"/>
      <c r="C11" s="12"/>
      <c r="D11" s="16"/>
      <c r="E11" s="16"/>
      <c r="F11" s="17"/>
      <c r="G11" s="16"/>
      <c r="H11" s="16"/>
      <c r="I11" s="12"/>
      <c r="J11" s="16"/>
      <c r="K11" s="16"/>
      <c r="L11" s="16"/>
      <c r="M11" s="16"/>
      <c r="N11" s="16"/>
      <c r="O11" s="12"/>
      <c r="P11" s="12"/>
      <c r="Q11" s="12"/>
      <c r="R11" s="16"/>
      <c r="S11" s="12"/>
      <c r="T11" s="13" t="str">
        <f aca="true">IF(C11="","",IF(Q11&lt;&gt;"",Q11-C11,TODAY()-C11))</f>
        <v/>
      </c>
      <c r="U11" s="14" t="str">
        <f aca="true">IF(OR(P11="",Q11&lt;&gt;"",N11="キャンセル"),"",P11-TODAY())</f>
        <v/>
      </c>
      <c r="V11" s="15" t="str">
        <f aca="true">IF(D11="","",IF(OR(N11="開通済",Q11&lt;&gt;""),"完了",IF(N11="キャンセル","―",IF(AND(S11&lt;&gt;"",S11&lt;TODAY()),"対応期限超過",IF(AND(P11&lt;&gt;"",P11&lt;TODAY()),"開通予定日超過",IF(AND(S11&lt;&gt;"",S11=TODAY()),"本日対応",IF(AND(P11&lt;&gt;"",P11-TODAY()&lt;=3),"開通間近","")))))))</f>
        <v/>
      </c>
      <c r="W11" s="16"/>
      <c r="X11" s="16"/>
    </row>
    <row r="12" customFormat="false" ht="15" hidden="false" customHeight="false" outlineLevel="0" collapsed="false">
      <c r="A12" s="7" t="str">
        <f aca="false">IF(D12="","",ROW()-3)</f>
        <v/>
      </c>
      <c r="B12" s="16"/>
      <c r="C12" s="12"/>
      <c r="D12" s="16"/>
      <c r="E12" s="16"/>
      <c r="F12" s="17"/>
      <c r="G12" s="16"/>
      <c r="H12" s="16"/>
      <c r="I12" s="12"/>
      <c r="J12" s="16"/>
      <c r="K12" s="16"/>
      <c r="L12" s="16"/>
      <c r="M12" s="16"/>
      <c r="N12" s="16"/>
      <c r="O12" s="12"/>
      <c r="P12" s="12"/>
      <c r="Q12" s="12"/>
      <c r="R12" s="16"/>
      <c r="S12" s="12"/>
      <c r="T12" s="13" t="str">
        <f aca="true">IF(C12="","",IF(Q12&lt;&gt;"",Q12-C12,TODAY()-C12))</f>
        <v/>
      </c>
      <c r="U12" s="14" t="str">
        <f aca="true">IF(OR(P12="",Q12&lt;&gt;"",N12="キャンセル"),"",P12-TODAY())</f>
        <v/>
      </c>
      <c r="V12" s="15" t="str">
        <f aca="true">IF(D12="","",IF(OR(N12="開通済",Q12&lt;&gt;""),"完了",IF(N12="キャンセル","―",IF(AND(S12&lt;&gt;"",S12&lt;TODAY()),"対応期限超過",IF(AND(P12&lt;&gt;"",P12&lt;TODAY()),"開通予定日超過",IF(AND(S12&lt;&gt;"",S12=TODAY()),"本日対応",IF(AND(P12&lt;&gt;"",P12-TODAY()&lt;=3),"開通間近","")))))))</f>
        <v/>
      </c>
      <c r="W12" s="16"/>
      <c r="X12" s="16"/>
    </row>
    <row r="13" customFormat="false" ht="15" hidden="false" customHeight="false" outlineLevel="0" collapsed="false">
      <c r="A13" s="7" t="str">
        <f aca="false">IF(D13="","",ROW()-3)</f>
        <v/>
      </c>
      <c r="B13" s="16"/>
      <c r="C13" s="12"/>
      <c r="D13" s="16"/>
      <c r="E13" s="16"/>
      <c r="F13" s="17"/>
      <c r="G13" s="16"/>
      <c r="H13" s="16"/>
      <c r="I13" s="12"/>
      <c r="J13" s="16"/>
      <c r="K13" s="16"/>
      <c r="L13" s="16"/>
      <c r="M13" s="16"/>
      <c r="N13" s="16"/>
      <c r="O13" s="12"/>
      <c r="P13" s="12"/>
      <c r="Q13" s="12"/>
      <c r="R13" s="16"/>
      <c r="S13" s="12"/>
      <c r="T13" s="13" t="str">
        <f aca="true">IF(C13="","",IF(Q13&lt;&gt;"",Q13-C13,TODAY()-C13))</f>
        <v/>
      </c>
      <c r="U13" s="14" t="str">
        <f aca="true">IF(OR(P13="",Q13&lt;&gt;"",N13="キャンセル"),"",P13-TODAY())</f>
        <v/>
      </c>
      <c r="V13" s="15" t="str">
        <f aca="true">IF(D13="","",IF(OR(N13="開通済",Q13&lt;&gt;""),"完了",IF(N13="キャンセル","―",IF(AND(S13&lt;&gt;"",S13&lt;TODAY()),"対応期限超過",IF(AND(P13&lt;&gt;"",P13&lt;TODAY()),"開通予定日超過",IF(AND(S13&lt;&gt;"",S13=TODAY()),"本日対応",IF(AND(P13&lt;&gt;"",P13-TODAY()&lt;=3),"開通間近","")))))))</f>
        <v/>
      </c>
      <c r="W13" s="16"/>
      <c r="X13" s="16"/>
    </row>
    <row r="14" customFormat="false" ht="15" hidden="false" customHeight="false" outlineLevel="0" collapsed="false">
      <c r="A14" s="7" t="str">
        <f aca="false">IF(D14="","",ROW()-3)</f>
        <v/>
      </c>
      <c r="B14" s="16"/>
      <c r="C14" s="12"/>
      <c r="D14" s="16"/>
      <c r="E14" s="16"/>
      <c r="F14" s="17"/>
      <c r="G14" s="16"/>
      <c r="H14" s="16"/>
      <c r="I14" s="12"/>
      <c r="J14" s="16"/>
      <c r="K14" s="16"/>
      <c r="L14" s="16"/>
      <c r="M14" s="16"/>
      <c r="N14" s="16"/>
      <c r="O14" s="12"/>
      <c r="P14" s="12"/>
      <c r="Q14" s="12"/>
      <c r="R14" s="16"/>
      <c r="S14" s="12"/>
      <c r="T14" s="13" t="str">
        <f aca="true">IF(C14="","",IF(Q14&lt;&gt;"",Q14-C14,TODAY()-C14))</f>
        <v/>
      </c>
      <c r="U14" s="14" t="str">
        <f aca="true">IF(OR(P14="",Q14&lt;&gt;"",N14="キャンセル"),"",P14-TODAY())</f>
        <v/>
      </c>
      <c r="V14" s="15" t="str">
        <f aca="true">IF(D14="","",IF(OR(N14="開通済",Q14&lt;&gt;""),"完了",IF(N14="キャンセル","―",IF(AND(S14&lt;&gt;"",S14&lt;TODAY()),"対応期限超過",IF(AND(P14&lt;&gt;"",P14&lt;TODAY()),"開通予定日超過",IF(AND(S14&lt;&gt;"",S14=TODAY()),"本日対応",IF(AND(P14&lt;&gt;"",P14-TODAY()&lt;=3),"開通間近","")))))))</f>
        <v/>
      </c>
      <c r="W14" s="16"/>
      <c r="X14" s="16"/>
    </row>
    <row r="15" customFormat="false" ht="15" hidden="false" customHeight="false" outlineLevel="0" collapsed="false">
      <c r="A15" s="7" t="str">
        <f aca="false">IF(D15="","",ROW()-3)</f>
        <v/>
      </c>
      <c r="B15" s="16"/>
      <c r="C15" s="12"/>
      <c r="D15" s="16"/>
      <c r="E15" s="16"/>
      <c r="F15" s="17"/>
      <c r="G15" s="16"/>
      <c r="H15" s="16"/>
      <c r="I15" s="12"/>
      <c r="J15" s="16"/>
      <c r="K15" s="16"/>
      <c r="L15" s="16"/>
      <c r="M15" s="16"/>
      <c r="N15" s="16"/>
      <c r="O15" s="12"/>
      <c r="P15" s="12"/>
      <c r="Q15" s="12"/>
      <c r="R15" s="16"/>
      <c r="S15" s="12"/>
      <c r="T15" s="13" t="str">
        <f aca="true">IF(C15="","",IF(Q15&lt;&gt;"",Q15-C15,TODAY()-C15))</f>
        <v/>
      </c>
      <c r="U15" s="14" t="str">
        <f aca="true">IF(OR(P15="",Q15&lt;&gt;"",N15="キャンセル"),"",P15-TODAY())</f>
        <v/>
      </c>
      <c r="V15" s="15" t="str">
        <f aca="true">IF(D15="","",IF(OR(N15="開通済",Q15&lt;&gt;""),"完了",IF(N15="キャンセル","―",IF(AND(S15&lt;&gt;"",S15&lt;TODAY()),"対応期限超過",IF(AND(P15&lt;&gt;"",P15&lt;TODAY()),"開通予定日超過",IF(AND(S15&lt;&gt;"",S15=TODAY()),"本日対応",IF(AND(P15&lt;&gt;"",P15-TODAY()&lt;=3),"開通間近","")))))))</f>
        <v/>
      </c>
      <c r="W15" s="16"/>
      <c r="X15" s="16"/>
    </row>
    <row r="16" customFormat="false" ht="15" hidden="false" customHeight="false" outlineLevel="0" collapsed="false">
      <c r="A16" s="7" t="str">
        <f aca="false">IF(D16="","",ROW()-3)</f>
        <v/>
      </c>
      <c r="B16" s="16"/>
      <c r="C16" s="12"/>
      <c r="D16" s="16"/>
      <c r="E16" s="16"/>
      <c r="F16" s="17"/>
      <c r="G16" s="16"/>
      <c r="H16" s="16"/>
      <c r="I16" s="12"/>
      <c r="J16" s="16"/>
      <c r="K16" s="16"/>
      <c r="L16" s="16"/>
      <c r="M16" s="16"/>
      <c r="N16" s="16"/>
      <c r="O16" s="12"/>
      <c r="P16" s="12"/>
      <c r="Q16" s="12"/>
      <c r="R16" s="16"/>
      <c r="S16" s="12"/>
      <c r="T16" s="13" t="str">
        <f aca="true">IF(C16="","",IF(Q16&lt;&gt;"",Q16-C16,TODAY()-C16))</f>
        <v/>
      </c>
      <c r="U16" s="14" t="str">
        <f aca="true">IF(OR(P16="",Q16&lt;&gt;"",N16="キャンセル"),"",P16-TODAY())</f>
        <v/>
      </c>
      <c r="V16" s="15" t="str">
        <f aca="true">IF(D16="","",IF(OR(N16="開通済",Q16&lt;&gt;""),"完了",IF(N16="キャンセル","―",IF(AND(S16&lt;&gt;"",S16&lt;TODAY()),"対応期限超過",IF(AND(P16&lt;&gt;"",P16&lt;TODAY()),"開通予定日超過",IF(AND(S16&lt;&gt;"",S16=TODAY()),"本日対応",IF(AND(P16&lt;&gt;"",P16-TODAY()&lt;=3),"開通間近","")))))))</f>
        <v/>
      </c>
      <c r="W16" s="16"/>
      <c r="X16" s="16"/>
    </row>
    <row r="17" customFormat="false" ht="15" hidden="false" customHeight="false" outlineLevel="0" collapsed="false">
      <c r="A17" s="7" t="str">
        <f aca="false">IF(D17="","",ROW()-3)</f>
        <v/>
      </c>
      <c r="B17" s="16"/>
      <c r="C17" s="12"/>
      <c r="D17" s="16"/>
      <c r="E17" s="16"/>
      <c r="F17" s="17"/>
      <c r="G17" s="16"/>
      <c r="H17" s="16"/>
      <c r="I17" s="12"/>
      <c r="J17" s="16"/>
      <c r="K17" s="16"/>
      <c r="L17" s="16"/>
      <c r="M17" s="16"/>
      <c r="N17" s="16"/>
      <c r="O17" s="12"/>
      <c r="P17" s="12"/>
      <c r="Q17" s="12"/>
      <c r="R17" s="16"/>
      <c r="S17" s="12"/>
      <c r="T17" s="13" t="str">
        <f aca="true">IF(C17="","",IF(Q17&lt;&gt;"",Q17-C17,TODAY()-C17))</f>
        <v/>
      </c>
      <c r="U17" s="14" t="str">
        <f aca="true">IF(OR(P17="",Q17&lt;&gt;"",N17="キャンセル"),"",P17-TODAY())</f>
        <v/>
      </c>
      <c r="V17" s="15" t="str">
        <f aca="true">IF(D17="","",IF(OR(N17="開通済",Q17&lt;&gt;""),"完了",IF(N17="キャンセル","―",IF(AND(S17&lt;&gt;"",S17&lt;TODAY()),"対応期限超過",IF(AND(P17&lt;&gt;"",P17&lt;TODAY()),"開通予定日超過",IF(AND(S17&lt;&gt;"",S17=TODAY()),"本日対応",IF(AND(P17&lt;&gt;"",P17-TODAY()&lt;=3),"開通間近","")))))))</f>
        <v/>
      </c>
      <c r="W17" s="16"/>
      <c r="X17" s="16"/>
    </row>
    <row r="18" customFormat="false" ht="15" hidden="false" customHeight="false" outlineLevel="0" collapsed="false">
      <c r="A18" s="7" t="str">
        <f aca="false">IF(D18="","",ROW()-3)</f>
        <v/>
      </c>
      <c r="B18" s="16"/>
      <c r="C18" s="12"/>
      <c r="D18" s="16"/>
      <c r="E18" s="16"/>
      <c r="F18" s="17"/>
      <c r="G18" s="16"/>
      <c r="H18" s="16"/>
      <c r="I18" s="12"/>
      <c r="J18" s="16"/>
      <c r="K18" s="16"/>
      <c r="L18" s="16"/>
      <c r="M18" s="16"/>
      <c r="N18" s="16"/>
      <c r="O18" s="12"/>
      <c r="P18" s="12"/>
      <c r="Q18" s="12"/>
      <c r="R18" s="16"/>
      <c r="S18" s="12"/>
      <c r="T18" s="13" t="str">
        <f aca="true">IF(C18="","",IF(Q18&lt;&gt;"",Q18-C18,TODAY()-C18))</f>
        <v/>
      </c>
      <c r="U18" s="14" t="str">
        <f aca="true">IF(OR(P18="",Q18&lt;&gt;"",N18="キャンセル"),"",P18-TODAY())</f>
        <v/>
      </c>
      <c r="V18" s="15" t="str">
        <f aca="true">IF(D18="","",IF(OR(N18="開通済",Q18&lt;&gt;""),"完了",IF(N18="キャンセル","―",IF(AND(S18&lt;&gt;"",S18&lt;TODAY()),"対応期限超過",IF(AND(P18&lt;&gt;"",P18&lt;TODAY()),"開通予定日超過",IF(AND(S18&lt;&gt;"",S18=TODAY()),"本日対応",IF(AND(P18&lt;&gt;"",P18-TODAY()&lt;=3),"開通間近","")))))))</f>
        <v/>
      </c>
      <c r="W18" s="16"/>
      <c r="X18" s="16"/>
    </row>
    <row r="19" customFormat="false" ht="15" hidden="false" customHeight="false" outlineLevel="0" collapsed="false">
      <c r="A19" s="7" t="str">
        <f aca="false">IF(D19="","",ROW()-3)</f>
        <v/>
      </c>
      <c r="B19" s="16"/>
      <c r="C19" s="12"/>
      <c r="D19" s="16"/>
      <c r="E19" s="16"/>
      <c r="F19" s="17"/>
      <c r="G19" s="16"/>
      <c r="H19" s="16"/>
      <c r="I19" s="12"/>
      <c r="J19" s="16"/>
      <c r="K19" s="16"/>
      <c r="L19" s="16"/>
      <c r="M19" s="16"/>
      <c r="N19" s="16"/>
      <c r="O19" s="12"/>
      <c r="P19" s="12"/>
      <c r="Q19" s="12"/>
      <c r="R19" s="16"/>
      <c r="S19" s="12"/>
      <c r="T19" s="13" t="str">
        <f aca="true">IF(C19="","",IF(Q19&lt;&gt;"",Q19-C19,TODAY()-C19))</f>
        <v/>
      </c>
      <c r="U19" s="14" t="str">
        <f aca="true">IF(OR(P19="",Q19&lt;&gt;"",N19="キャンセル"),"",P19-TODAY())</f>
        <v/>
      </c>
      <c r="V19" s="15" t="str">
        <f aca="true">IF(D19="","",IF(OR(N19="開通済",Q19&lt;&gt;""),"完了",IF(N19="キャンセル","―",IF(AND(S19&lt;&gt;"",S19&lt;TODAY()),"対応期限超過",IF(AND(P19&lt;&gt;"",P19&lt;TODAY()),"開通予定日超過",IF(AND(S19&lt;&gt;"",S19=TODAY()),"本日対応",IF(AND(P19&lt;&gt;"",P19-TODAY()&lt;=3),"開通間近","")))))))</f>
        <v/>
      </c>
      <c r="W19" s="16"/>
      <c r="X19" s="16"/>
    </row>
    <row r="20" customFormat="false" ht="15" hidden="false" customHeight="false" outlineLevel="0" collapsed="false">
      <c r="A20" s="7" t="str">
        <f aca="false">IF(D20="","",ROW()-3)</f>
        <v/>
      </c>
      <c r="B20" s="16"/>
      <c r="C20" s="12"/>
      <c r="D20" s="16"/>
      <c r="E20" s="16"/>
      <c r="F20" s="17"/>
      <c r="G20" s="16"/>
      <c r="H20" s="16"/>
      <c r="I20" s="12"/>
      <c r="J20" s="16"/>
      <c r="K20" s="16"/>
      <c r="L20" s="16"/>
      <c r="M20" s="16"/>
      <c r="N20" s="16"/>
      <c r="O20" s="12"/>
      <c r="P20" s="12"/>
      <c r="Q20" s="12"/>
      <c r="R20" s="16"/>
      <c r="S20" s="12"/>
      <c r="T20" s="13" t="str">
        <f aca="true">IF(C20="","",IF(Q20&lt;&gt;"",Q20-C20,TODAY()-C20))</f>
        <v/>
      </c>
      <c r="U20" s="14" t="str">
        <f aca="true">IF(OR(P20="",Q20&lt;&gt;"",N20="キャンセル"),"",P20-TODAY())</f>
        <v/>
      </c>
      <c r="V20" s="15" t="str">
        <f aca="true">IF(D20="","",IF(OR(N20="開通済",Q20&lt;&gt;""),"完了",IF(N20="キャンセル","―",IF(AND(S20&lt;&gt;"",S20&lt;TODAY()),"対応期限超過",IF(AND(P20&lt;&gt;"",P20&lt;TODAY()),"開通予定日超過",IF(AND(S20&lt;&gt;"",S20=TODAY()),"本日対応",IF(AND(P20&lt;&gt;"",P20-TODAY()&lt;=3),"開通間近","")))))))</f>
        <v/>
      </c>
      <c r="W20" s="16"/>
      <c r="X20" s="16"/>
    </row>
    <row r="21" customFormat="false" ht="15" hidden="false" customHeight="false" outlineLevel="0" collapsed="false">
      <c r="A21" s="7" t="str">
        <f aca="false">IF(D21="","",ROW()-3)</f>
        <v/>
      </c>
      <c r="B21" s="16"/>
      <c r="C21" s="12"/>
      <c r="D21" s="16"/>
      <c r="E21" s="16"/>
      <c r="F21" s="17"/>
      <c r="G21" s="16"/>
      <c r="H21" s="16"/>
      <c r="I21" s="12"/>
      <c r="J21" s="16"/>
      <c r="K21" s="16"/>
      <c r="L21" s="16"/>
      <c r="M21" s="16"/>
      <c r="N21" s="16"/>
      <c r="O21" s="12"/>
      <c r="P21" s="12"/>
      <c r="Q21" s="12"/>
      <c r="R21" s="16"/>
      <c r="S21" s="12"/>
      <c r="T21" s="13" t="str">
        <f aca="true">IF(C21="","",IF(Q21&lt;&gt;"",Q21-C21,TODAY()-C21))</f>
        <v/>
      </c>
      <c r="U21" s="14" t="str">
        <f aca="true">IF(OR(P21="",Q21&lt;&gt;"",N21="キャンセル"),"",P21-TODAY())</f>
        <v/>
      </c>
      <c r="V21" s="15" t="str">
        <f aca="true">IF(D21="","",IF(OR(N21="開通済",Q21&lt;&gt;""),"完了",IF(N21="キャンセル","―",IF(AND(S21&lt;&gt;"",S21&lt;TODAY()),"対応期限超過",IF(AND(P21&lt;&gt;"",P21&lt;TODAY()),"開通予定日超過",IF(AND(S21&lt;&gt;"",S21=TODAY()),"本日対応",IF(AND(P21&lt;&gt;"",P21-TODAY()&lt;=3),"開通間近","")))))))</f>
        <v/>
      </c>
      <c r="W21" s="16"/>
      <c r="X21" s="16"/>
    </row>
    <row r="22" customFormat="false" ht="15" hidden="false" customHeight="false" outlineLevel="0" collapsed="false">
      <c r="A22" s="7" t="str">
        <f aca="false">IF(D22="","",ROW()-3)</f>
        <v/>
      </c>
      <c r="B22" s="16"/>
      <c r="C22" s="12"/>
      <c r="D22" s="16"/>
      <c r="E22" s="16"/>
      <c r="F22" s="17"/>
      <c r="G22" s="16"/>
      <c r="H22" s="16"/>
      <c r="I22" s="12"/>
      <c r="J22" s="16"/>
      <c r="K22" s="16"/>
      <c r="L22" s="16"/>
      <c r="M22" s="16"/>
      <c r="N22" s="16"/>
      <c r="O22" s="12"/>
      <c r="P22" s="12"/>
      <c r="Q22" s="12"/>
      <c r="R22" s="16"/>
      <c r="S22" s="12"/>
      <c r="T22" s="13" t="str">
        <f aca="true">IF(C22="","",IF(Q22&lt;&gt;"",Q22-C22,TODAY()-C22))</f>
        <v/>
      </c>
      <c r="U22" s="14" t="str">
        <f aca="true">IF(OR(P22="",Q22&lt;&gt;"",N22="キャンセル"),"",P22-TODAY())</f>
        <v/>
      </c>
      <c r="V22" s="15" t="str">
        <f aca="true">IF(D22="","",IF(OR(N22="開通済",Q22&lt;&gt;""),"完了",IF(N22="キャンセル","―",IF(AND(S22&lt;&gt;"",S22&lt;TODAY()),"対応期限超過",IF(AND(P22&lt;&gt;"",P22&lt;TODAY()),"開通予定日超過",IF(AND(S22&lt;&gt;"",S22=TODAY()),"本日対応",IF(AND(P22&lt;&gt;"",P22-TODAY()&lt;=3),"開通間近","")))))))</f>
        <v/>
      </c>
      <c r="W22" s="16"/>
      <c r="X22" s="16"/>
    </row>
    <row r="23" customFormat="false" ht="15" hidden="false" customHeight="false" outlineLevel="0" collapsed="false">
      <c r="A23" s="7" t="str">
        <f aca="false">IF(D23="","",ROW()-3)</f>
        <v/>
      </c>
      <c r="B23" s="16"/>
      <c r="C23" s="12"/>
      <c r="D23" s="16"/>
      <c r="E23" s="16"/>
      <c r="F23" s="17"/>
      <c r="G23" s="16"/>
      <c r="H23" s="16"/>
      <c r="I23" s="12"/>
      <c r="J23" s="16"/>
      <c r="K23" s="16"/>
      <c r="L23" s="16"/>
      <c r="M23" s="16"/>
      <c r="N23" s="16"/>
      <c r="O23" s="12"/>
      <c r="P23" s="12"/>
      <c r="Q23" s="12"/>
      <c r="R23" s="16"/>
      <c r="S23" s="12"/>
      <c r="T23" s="13" t="str">
        <f aca="true">IF(C23="","",IF(Q23&lt;&gt;"",Q23-C23,TODAY()-C23))</f>
        <v/>
      </c>
      <c r="U23" s="14" t="str">
        <f aca="true">IF(OR(P23="",Q23&lt;&gt;"",N23="キャンセル"),"",P23-TODAY())</f>
        <v/>
      </c>
      <c r="V23" s="15" t="str">
        <f aca="true">IF(D23="","",IF(OR(N23="開通済",Q23&lt;&gt;""),"完了",IF(N23="キャンセル","―",IF(AND(S23&lt;&gt;"",S23&lt;TODAY()),"対応期限超過",IF(AND(P23&lt;&gt;"",P23&lt;TODAY()),"開通予定日超過",IF(AND(S23&lt;&gt;"",S23=TODAY()),"本日対応",IF(AND(P23&lt;&gt;"",P23-TODAY()&lt;=3),"開通間近","")))))))</f>
        <v/>
      </c>
      <c r="W23" s="16"/>
      <c r="X23" s="16"/>
    </row>
    <row r="24" customFormat="false" ht="15" hidden="false" customHeight="false" outlineLevel="0" collapsed="false">
      <c r="A24" s="7" t="str">
        <f aca="false">IF(D24="","",ROW()-3)</f>
        <v/>
      </c>
      <c r="B24" s="16"/>
      <c r="C24" s="12"/>
      <c r="D24" s="16"/>
      <c r="E24" s="16"/>
      <c r="F24" s="17"/>
      <c r="G24" s="16"/>
      <c r="H24" s="16"/>
      <c r="I24" s="12"/>
      <c r="J24" s="16"/>
      <c r="K24" s="16"/>
      <c r="L24" s="16"/>
      <c r="M24" s="16"/>
      <c r="N24" s="16"/>
      <c r="O24" s="12"/>
      <c r="P24" s="12"/>
      <c r="Q24" s="12"/>
      <c r="R24" s="16"/>
      <c r="S24" s="12"/>
      <c r="T24" s="13" t="str">
        <f aca="true">IF(C24="","",IF(Q24&lt;&gt;"",Q24-C24,TODAY()-C24))</f>
        <v/>
      </c>
      <c r="U24" s="14" t="str">
        <f aca="true">IF(OR(P24="",Q24&lt;&gt;"",N24="キャンセル"),"",P24-TODAY())</f>
        <v/>
      </c>
      <c r="V24" s="15" t="str">
        <f aca="true">IF(D24="","",IF(OR(N24="開通済",Q24&lt;&gt;""),"完了",IF(N24="キャンセル","―",IF(AND(S24&lt;&gt;"",S24&lt;TODAY()),"対応期限超過",IF(AND(P24&lt;&gt;"",P24&lt;TODAY()),"開通予定日超過",IF(AND(S24&lt;&gt;"",S24=TODAY()),"本日対応",IF(AND(P24&lt;&gt;"",P24-TODAY()&lt;=3),"開通間近","")))))))</f>
        <v/>
      </c>
      <c r="W24" s="16"/>
      <c r="X24" s="16"/>
    </row>
    <row r="25" customFormat="false" ht="15" hidden="false" customHeight="false" outlineLevel="0" collapsed="false">
      <c r="A25" s="7" t="str">
        <f aca="false">IF(D25="","",ROW()-3)</f>
        <v/>
      </c>
      <c r="B25" s="16"/>
      <c r="C25" s="12"/>
      <c r="D25" s="16"/>
      <c r="E25" s="16"/>
      <c r="F25" s="17"/>
      <c r="G25" s="16"/>
      <c r="H25" s="16"/>
      <c r="I25" s="12"/>
      <c r="J25" s="16"/>
      <c r="K25" s="16"/>
      <c r="L25" s="16"/>
      <c r="M25" s="16"/>
      <c r="N25" s="16"/>
      <c r="O25" s="12"/>
      <c r="P25" s="12"/>
      <c r="Q25" s="12"/>
      <c r="R25" s="16"/>
      <c r="S25" s="12"/>
      <c r="T25" s="13" t="str">
        <f aca="true">IF(C25="","",IF(Q25&lt;&gt;"",Q25-C25,TODAY()-C25))</f>
        <v/>
      </c>
      <c r="U25" s="14" t="str">
        <f aca="true">IF(OR(P25="",Q25&lt;&gt;"",N25="キャンセル"),"",P25-TODAY())</f>
        <v/>
      </c>
      <c r="V25" s="15" t="str">
        <f aca="true">IF(D25="","",IF(OR(N25="開通済",Q25&lt;&gt;""),"完了",IF(N25="キャンセル","―",IF(AND(S25&lt;&gt;"",S25&lt;TODAY()),"対応期限超過",IF(AND(P25&lt;&gt;"",P25&lt;TODAY()),"開通予定日超過",IF(AND(S25&lt;&gt;"",S25=TODAY()),"本日対応",IF(AND(P25&lt;&gt;"",P25-TODAY()&lt;=3),"開通間近","")))))))</f>
        <v/>
      </c>
      <c r="W25" s="16"/>
      <c r="X25" s="16"/>
    </row>
    <row r="26" customFormat="false" ht="15" hidden="false" customHeight="false" outlineLevel="0" collapsed="false">
      <c r="A26" s="7" t="str">
        <f aca="false">IF(D26="","",ROW()-3)</f>
        <v/>
      </c>
      <c r="B26" s="16"/>
      <c r="C26" s="12"/>
      <c r="D26" s="16"/>
      <c r="E26" s="16"/>
      <c r="F26" s="17"/>
      <c r="G26" s="16"/>
      <c r="H26" s="16"/>
      <c r="I26" s="12"/>
      <c r="J26" s="16"/>
      <c r="K26" s="16"/>
      <c r="L26" s="16"/>
      <c r="M26" s="16"/>
      <c r="N26" s="16"/>
      <c r="O26" s="12"/>
      <c r="P26" s="12"/>
      <c r="Q26" s="12"/>
      <c r="R26" s="16"/>
      <c r="S26" s="12"/>
      <c r="T26" s="13" t="str">
        <f aca="true">IF(C26="","",IF(Q26&lt;&gt;"",Q26-C26,TODAY()-C26))</f>
        <v/>
      </c>
      <c r="U26" s="14" t="str">
        <f aca="true">IF(OR(P26="",Q26&lt;&gt;"",N26="キャンセル"),"",P26-TODAY())</f>
        <v/>
      </c>
      <c r="V26" s="15" t="str">
        <f aca="true">IF(D26="","",IF(OR(N26="開通済",Q26&lt;&gt;""),"完了",IF(N26="キャンセル","―",IF(AND(S26&lt;&gt;"",S26&lt;TODAY()),"対応期限超過",IF(AND(P26&lt;&gt;"",P26&lt;TODAY()),"開通予定日超過",IF(AND(S26&lt;&gt;"",S26=TODAY()),"本日対応",IF(AND(P26&lt;&gt;"",P26-TODAY()&lt;=3),"開通間近","")))))))</f>
        <v/>
      </c>
      <c r="W26" s="16"/>
      <c r="X26" s="16"/>
    </row>
    <row r="27" customFormat="false" ht="15" hidden="false" customHeight="false" outlineLevel="0" collapsed="false">
      <c r="A27" s="7" t="str">
        <f aca="false">IF(D27="","",ROW()-3)</f>
        <v/>
      </c>
      <c r="B27" s="16"/>
      <c r="C27" s="12"/>
      <c r="D27" s="16"/>
      <c r="E27" s="16"/>
      <c r="F27" s="17"/>
      <c r="G27" s="16"/>
      <c r="H27" s="16"/>
      <c r="I27" s="12"/>
      <c r="J27" s="16"/>
      <c r="K27" s="16"/>
      <c r="L27" s="16"/>
      <c r="M27" s="16"/>
      <c r="N27" s="16"/>
      <c r="O27" s="12"/>
      <c r="P27" s="12"/>
      <c r="Q27" s="12"/>
      <c r="R27" s="16"/>
      <c r="S27" s="12"/>
      <c r="T27" s="13" t="str">
        <f aca="true">IF(C27="","",IF(Q27&lt;&gt;"",Q27-C27,TODAY()-C27))</f>
        <v/>
      </c>
      <c r="U27" s="14" t="str">
        <f aca="true">IF(OR(P27="",Q27&lt;&gt;"",N27="キャンセル"),"",P27-TODAY())</f>
        <v/>
      </c>
      <c r="V27" s="15" t="str">
        <f aca="true">IF(D27="","",IF(OR(N27="開通済",Q27&lt;&gt;""),"完了",IF(N27="キャンセル","―",IF(AND(S27&lt;&gt;"",S27&lt;TODAY()),"対応期限超過",IF(AND(P27&lt;&gt;"",P27&lt;TODAY()),"開通予定日超過",IF(AND(S27&lt;&gt;"",S27=TODAY()),"本日対応",IF(AND(P27&lt;&gt;"",P27-TODAY()&lt;=3),"開通間近","")))))))</f>
        <v/>
      </c>
      <c r="W27" s="16"/>
      <c r="X27" s="16"/>
    </row>
    <row r="28" customFormat="false" ht="15" hidden="false" customHeight="false" outlineLevel="0" collapsed="false">
      <c r="A28" s="7" t="str">
        <f aca="false">IF(D28="","",ROW()-3)</f>
        <v/>
      </c>
      <c r="B28" s="16"/>
      <c r="C28" s="12"/>
      <c r="D28" s="16"/>
      <c r="E28" s="16"/>
      <c r="F28" s="17"/>
      <c r="G28" s="16"/>
      <c r="H28" s="16"/>
      <c r="I28" s="12"/>
      <c r="J28" s="16"/>
      <c r="K28" s="16"/>
      <c r="L28" s="16"/>
      <c r="M28" s="16"/>
      <c r="N28" s="16"/>
      <c r="O28" s="12"/>
      <c r="P28" s="12"/>
      <c r="Q28" s="12"/>
      <c r="R28" s="16"/>
      <c r="S28" s="12"/>
      <c r="T28" s="13" t="str">
        <f aca="true">IF(C28="","",IF(Q28&lt;&gt;"",Q28-C28,TODAY()-C28))</f>
        <v/>
      </c>
      <c r="U28" s="14" t="str">
        <f aca="true">IF(OR(P28="",Q28&lt;&gt;"",N28="キャンセル"),"",P28-TODAY())</f>
        <v/>
      </c>
      <c r="V28" s="15" t="str">
        <f aca="true">IF(D28="","",IF(OR(N28="開通済",Q28&lt;&gt;""),"完了",IF(N28="キャンセル","―",IF(AND(S28&lt;&gt;"",S28&lt;TODAY()),"対応期限超過",IF(AND(P28&lt;&gt;"",P28&lt;TODAY()),"開通予定日超過",IF(AND(S28&lt;&gt;"",S28=TODAY()),"本日対応",IF(AND(P28&lt;&gt;"",P28-TODAY()&lt;=3),"開通間近","")))))))</f>
        <v/>
      </c>
      <c r="W28" s="16"/>
      <c r="X28" s="16"/>
    </row>
    <row r="29" customFormat="false" ht="15" hidden="false" customHeight="false" outlineLevel="0" collapsed="false">
      <c r="A29" s="7" t="str">
        <f aca="false">IF(D29="","",ROW()-3)</f>
        <v/>
      </c>
      <c r="B29" s="16"/>
      <c r="C29" s="12"/>
      <c r="D29" s="16"/>
      <c r="E29" s="16"/>
      <c r="F29" s="17"/>
      <c r="G29" s="16"/>
      <c r="H29" s="16"/>
      <c r="I29" s="12"/>
      <c r="J29" s="16"/>
      <c r="K29" s="16"/>
      <c r="L29" s="16"/>
      <c r="M29" s="16"/>
      <c r="N29" s="16"/>
      <c r="O29" s="12"/>
      <c r="P29" s="12"/>
      <c r="Q29" s="12"/>
      <c r="R29" s="16"/>
      <c r="S29" s="12"/>
      <c r="T29" s="13" t="str">
        <f aca="true">IF(C29="","",IF(Q29&lt;&gt;"",Q29-C29,TODAY()-C29))</f>
        <v/>
      </c>
      <c r="U29" s="14" t="str">
        <f aca="true">IF(OR(P29="",Q29&lt;&gt;"",N29="キャンセル"),"",P29-TODAY())</f>
        <v/>
      </c>
      <c r="V29" s="15" t="str">
        <f aca="true">IF(D29="","",IF(OR(N29="開通済",Q29&lt;&gt;""),"完了",IF(N29="キャンセル","―",IF(AND(S29&lt;&gt;"",S29&lt;TODAY()),"対応期限超過",IF(AND(P29&lt;&gt;"",P29&lt;TODAY()),"開通予定日超過",IF(AND(S29&lt;&gt;"",S29=TODAY()),"本日対応",IF(AND(P29&lt;&gt;"",P29-TODAY()&lt;=3),"開通間近","")))))))</f>
        <v/>
      </c>
      <c r="W29" s="16"/>
      <c r="X29" s="16"/>
    </row>
    <row r="30" customFormat="false" ht="15" hidden="false" customHeight="false" outlineLevel="0" collapsed="false">
      <c r="A30" s="7" t="str">
        <f aca="false">IF(D30="","",ROW()-3)</f>
        <v/>
      </c>
      <c r="B30" s="16"/>
      <c r="C30" s="12"/>
      <c r="D30" s="16"/>
      <c r="E30" s="16"/>
      <c r="F30" s="17"/>
      <c r="G30" s="16"/>
      <c r="H30" s="16"/>
      <c r="I30" s="12"/>
      <c r="J30" s="16"/>
      <c r="K30" s="16"/>
      <c r="L30" s="16"/>
      <c r="M30" s="16"/>
      <c r="N30" s="16"/>
      <c r="O30" s="12"/>
      <c r="P30" s="12"/>
      <c r="Q30" s="12"/>
      <c r="R30" s="16"/>
      <c r="S30" s="12"/>
      <c r="T30" s="13" t="str">
        <f aca="true">IF(C30="","",IF(Q30&lt;&gt;"",Q30-C30,TODAY()-C30))</f>
        <v/>
      </c>
      <c r="U30" s="14" t="str">
        <f aca="true">IF(OR(P30="",Q30&lt;&gt;"",N30="キャンセル"),"",P30-TODAY())</f>
        <v/>
      </c>
      <c r="V30" s="15" t="str">
        <f aca="true">IF(D30="","",IF(OR(N30="開通済",Q30&lt;&gt;""),"完了",IF(N30="キャンセル","―",IF(AND(S30&lt;&gt;"",S30&lt;TODAY()),"対応期限超過",IF(AND(P30&lt;&gt;"",P30&lt;TODAY()),"開通予定日超過",IF(AND(S30&lt;&gt;"",S30=TODAY()),"本日対応",IF(AND(P30&lt;&gt;"",P30-TODAY()&lt;=3),"開通間近","")))))))</f>
        <v/>
      </c>
      <c r="W30" s="16"/>
      <c r="X30" s="16"/>
    </row>
    <row r="31" customFormat="false" ht="15" hidden="false" customHeight="false" outlineLevel="0" collapsed="false">
      <c r="A31" s="7" t="str">
        <f aca="false">IF(D31="","",ROW()-3)</f>
        <v/>
      </c>
      <c r="B31" s="16"/>
      <c r="C31" s="12"/>
      <c r="D31" s="16"/>
      <c r="E31" s="16"/>
      <c r="F31" s="17"/>
      <c r="G31" s="16"/>
      <c r="H31" s="16"/>
      <c r="I31" s="12"/>
      <c r="J31" s="16"/>
      <c r="K31" s="16"/>
      <c r="L31" s="16"/>
      <c r="M31" s="16"/>
      <c r="N31" s="16"/>
      <c r="O31" s="12"/>
      <c r="P31" s="12"/>
      <c r="Q31" s="12"/>
      <c r="R31" s="16"/>
      <c r="S31" s="12"/>
      <c r="T31" s="13" t="str">
        <f aca="true">IF(C31="","",IF(Q31&lt;&gt;"",Q31-C31,TODAY()-C31))</f>
        <v/>
      </c>
      <c r="U31" s="14" t="str">
        <f aca="true">IF(OR(P31="",Q31&lt;&gt;"",N31="キャンセル"),"",P31-TODAY())</f>
        <v/>
      </c>
      <c r="V31" s="15" t="str">
        <f aca="true">IF(D31="","",IF(OR(N31="開通済",Q31&lt;&gt;""),"完了",IF(N31="キャンセル","―",IF(AND(S31&lt;&gt;"",S31&lt;TODAY()),"対応期限超過",IF(AND(P31&lt;&gt;"",P31&lt;TODAY()),"開通予定日超過",IF(AND(S31&lt;&gt;"",S31=TODAY()),"本日対応",IF(AND(P31&lt;&gt;"",P31-TODAY()&lt;=3),"開通間近","")))))))</f>
        <v/>
      </c>
      <c r="W31" s="16"/>
      <c r="X31" s="16"/>
    </row>
    <row r="32" customFormat="false" ht="15" hidden="false" customHeight="false" outlineLevel="0" collapsed="false">
      <c r="A32" s="7" t="str">
        <f aca="false">IF(D32="","",ROW()-3)</f>
        <v/>
      </c>
      <c r="B32" s="16"/>
      <c r="C32" s="12"/>
      <c r="D32" s="16"/>
      <c r="E32" s="16"/>
      <c r="F32" s="17"/>
      <c r="G32" s="16"/>
      <c r="H32" s="16"/>
      <c r="I32" s="12"/>
      <c r="J32" s="16"/>
      <c r="K32" s="16"/>
      <c r="L32" s="16"/>
      <c r="M32" s="16"/>
      <c r="N32" s="16"/>
      <c r="O32" s="12"/>
      <c r="P32" s="12"/>
      <c r="Q32" s="12"/>
      <c r="R32" s="16"/>
      <c r="S32" s="12"/>
      <c r="T32" s="13" t="str">
        <f aca="true">IF(C32="","",IF(Q32&lt;&gt;"",Q32-C32,TODAY()-C32))</f>
        <v/>
      </c>
      <c r="U32" s="14" t="str">
        <f aca="true">IF(OR(P32="",Q32&lt;&gt;"",N32="キャンセル"),"",P32-TODAY())</f>
        <v/>
      </c>
      <c r="V32" s="15" t="str">
        <f aca="true">IF(D32="","",IF(OR(N32="開通済",Q32&lt;&gt;""),"完了",IF(N32="キャンセル","―",IF(AND(S32&lt;&gt;"",S32&lt;TODAY()),"対応期限超過",IF(AND(P32&lt;&gt;"",P32&lt;TODAY()),"開通予定日超過",IF(AND(S32&lt;&gt;"",S32=TODAY()),"本日対応",IF(AND(P32&lt;&gt;"",P32-TODAY()&lt;=3),"開通間近","")))))))</f>
        <v/>
      </c>
      <c r="W32" s="16"/>
      <c r="X32" s="16"/>
    </row>
    <row r="33" customFormat="false" ht="15" hidden="false" customHeight="false" outlineLevel="0" collapsed="false">
      <c r="A33" s="7" t="str">
        <f aca="false">IF(D33="","",ROW()-3)</f>
        <v/>
      </c>
      <c r="B33" s="16"/>
      <c r="C33" s="12"/>
      <c r="D33" s="16"/>
      <c r="E33" s="16"/>
      <c r="F33" s="17"/>
      <c r="G33" s="16"/>
      <c r="H33" s="16"/>
      <c r="I33" s="12"/>
      <c r="J33" s="16"/>
      <c r="K33" s="16"/>
      <c r="L33" s="16"/>
      <c r="M33" s="16"/>
      <c r="N33" s="16"/>
      <c r="O33" s="12"/>
      <c r="P33" s="12"/>
      <c r="Q33" s="12"/>
      <c r="R33" s="16"/>
      <c r="S33" s="12"/>
      <c r="T33" s="13" t="str">
        <f aca="true">IF(C33="","",IF(Q33&lt;&gt;"",Q33-C33,TODAY()-C33))</f>
        <v/>
      </c>
      <c r="U33" s="14" t="str">
        <f aca="true">IF(OR(P33="",Q33&lt;&gt;"",N33="キャンセル"),"",P33-TODAY())</f>
        <v/>
      </c>
      <c r="V33" s="15" t="str">
        <f aca="true">IF(D33="","",IF(OR(N33="開通済",Q33&lt;&gt;""),"完了",IF(N33="キャンセル","―",IF(AND(S33&lt;&gt;"",S33&lt;TODAY()),"対応期限超過",IF(AND(P33&lt;&gt;"",P33&lt;TODAY()),"開通予定日超過",IF(AND(S33&lt;&gt;"",S33=TODAY()),"本日対応",IF(AND(P33&lt;&gt;"",P33-TODAY()&lt;=3),"開通間近","")))))))</f>
        <v/>
      </c>
      <c r="W33" s="16"/>
      <c r="X33" s="16"/>
    </row>
    <row r="34" customFormat="false" ht="15" hidden="false" customHeight="false" outlineLevel="0" collapsed="false">
      <c r="A34" s="7" t="str">
        <f aca="false">IF(D34="","",ROW()-3)</f>
        <v/>
      </c>
      <c r="B34" s="16"/>
      <c r="C34" s="12"/>
      <c r="D34" s="16"/>
      <c r="E34" s="16"/>
      <c r="F34" s="17"/>
      <c r="G34" s="16"/>
      <c r="H34" s="16"/>
      <c r="I34" s="12"/>
      <c r="J34" s="16"/>
      <c r="K34" s="16"/>
      <c r="L34" s="16"/>
      <c r="M34" s="16"/>
      <c r="N34" s="16"/>
      <c r="O34" s="12"/>
      <c r="P34" s="12"/>
      <c r="Q34" s="12"/>
      <c r="R34" s="16"/>
      <c r="S34" s="12"/>
      <c r="T34" s="13" t="str">
        <f aca="true">IF(C34="","",IF(Q34&lt;&gt;"",Q34-C34,TODAY()-C34))</f>
        <v/>
      </c>
      <c r="U34" s="14" t="str">
        <f aca="true">IF(OR(P34="",Q34&lt;&gt;"",N34="キャンセル"),"",P34-TODAY())</f>
        <v/>
      </c>
      <c r="V34" s="15" t="str">
        <f aca="true">IF(D34="","",IF(OR(N34="開通済",Q34&lt;&gt;""),"完了",IF(N34="キャンセル","―",IF(AND(S34&lt;&gt;"",S34&lt;TODAY()),"対応期限超過",IF(AND(P34&lt;&gt;"",P34&lt;TODAY()),"開通予定日超過",IF(AND(S34&lt;&gt;"",S34=TODAY()),"本日対応",IF(AND(P34&lt;&gt;"",P34-TODAY()&lt;=3),"開通間近","")))))))</f>
        <v/>
      </c>
      <c r="W34" s="16"/>
      <c r="X34" s="16"/>
    </row>
    <row r="35" customFormat="false" ht="15" hidden="false" customHeight="false" outlineLevel="0" collapsed="false">
      <c r="A35" s="7" t="str">
        <f aca="false">IF(D35="","",ROW()-3)</f>
        <v/>
      </c>
      <c r="B35" s="16"/>
      <c r="C35" s="12"/>
      <c r="D35" s="16"/>
      <c r="E35" s="16"/>
      <c r="F35" s="17"/>
      <c r="G35" s="16"/>
      <c r="H35" s="16"/>
      <c r="I35" s="12"/>
      <c r="J35" s="16"/>
      <c r="K35" s="16"/>
      <c r="L35" s="16"/>
      <c r="M35" s="16"/>
      <c r="N35" s="16"/>
      <c r="O35" s="12"/>
      <c r="P35" s="12"/>
      <c r="Q35" s="12"/>
      <c r="R35" s="16"/>
      <c r="S35" s="12"/>
      <c r="T35" s="13" t="str">
        <f aca="true">IF(C35="","",IF(Q35&lt;&gt;"",Q35-C35,TODAY()-C35))</f>
        <v/>
      </c>
      <c r="U35" s="14" t="str">
        <f aca="true">IF(OR(P35="",Q35&lt;&gt;"",N35="キャンセル"),"",P35-TODAY())</f>
        <v/>
      </c>
      <c r="V35" s="15" t="str">
        <f aca="true">IF(D35="","",IF(OR(N35="開通済",Q35&lt;&gt;""),"完了",IF(N35="キャンセル","―",IF(AND(S35&lt;&gt;"",S35&lt;TODAY()),"対応期限超過",IF(AND(P35&lt;&gt;"",P35&lt;TODAY()),"開通予定日超過",IF(AND(S35&lt;&gt;"",S35=TODAY()),"本日対応",IF(AND(P35&lt;&gt;"",P35-TODAY()&lt;=3),"開通間近","")))))))</f>
        <v/>
      </c>
      <c r="W35" s="16"/>
      <c r="X35" s="16"/>
    </row>
    <row r="36" customFormat="false" ht="15" hidden="false" customHeight="false" outlineLevel="0" collapsed="false">
      <c r="A36" s="7" t="str">
        <f aca="false">IF(D36="","",ROW()-3)</f>
        <v/>
      </c>
      <c r="B36" s="16"/>
      <c r="C36" s="12"/>
      <c r="D36" s="16"/>
      <c r="E36" s="16"/>
      <c r="F36" s="17"/>
      <c r="G36" s="16"/>
      <c r="H36" s="16"/>
      <c r="I36" s="12"/>
      <c r="J36" s="16"/>
      <c r="K36" s="16"/>
      <c r="L36" s="16"/>
      <c r="M36" s="16"/>
      <c r="N36" s="16"/>
      <c r="O36" s="12"/>
      <c r="P36" s="12"/>
      <c r="Q36" s="12"/>
      <c r="R36" s="16"/>
      <c r="S36" s="12"/>
      <c r="T36" s="13" t="str">
        <f aca="true">IF(C36="","",IF(Q36&lt;&gt;"",Q36-C36,TODAY()-C36))</f>
        <v/>
      </c>
      <c r="U36" s="14" t="str">
        <f aca="true">IF(OR(P36="",Q36&lt;&gt;"",N36="キャンセル"),"",P36-TODAY())</f>
        <v/>
      </c>
      <c r="V36" s="15" t="str">
        <f aca="true">IF(D36="","",IF(OR(N36="開通済",Q36&lt;&gt;""),"完了",IF(N36="キャンセル","―",IF(AND(S36&lt;&gt;"",S36&lt;TODAY()),"対応期限超過",IF(AND(P36&lt;&gt;"",P36&lt;TODAY()),"開通予定日超過",IF(AND(S36&lt;&gt;"",S36=TODAY()),"本日対応",IF(AND(P36&lt;&gt;"",P36-TODAY()&lt;=3),"開通間近","")))))))</f>
        <v/>
      </c>
      <c r="W36" s="16"/>
      <c r="X36" s="16"/>
    </row>
    <row r="37" customFormat="false" ht="15" hidden="false" customHeight="false" outlineLevel="0" collapsed="false">
      <c r="A37" s="7" t="str">
        <f aca="false">IF(D37="","",ROW()-3)</f>
        <v/>
      </c>
      <c r="B37" s="16"/>
      <c r="C37" s="12"/>
      <c r="D37" s="16"/>
      <c r="E37" s="16"/>
      <c r="F37" s="17"/>
      <c r="G37" s="16"/>
      <c r="H37" s="16"/>
      <c r="I37" s="12"/>
      <c r="J37" s="16"/>
      <c r="K37" s="16"/>
      <c r="L37" s="16"/>
      <c r="M37" s="16"/>
      <c r="N37" s="16"/>
      <c r="O37" s="12"/>
      <c r="P37" s="12"/>
      <c r="Q37" s="12"/>
      <c r="R37" s="16"/>
      <c r="S37" s="12"/>
      <c r="T37" s="13" t="str">
        <f aca="true">IF(C37="","",IF(Q37&lt;&gt;"",Q37-C37,TODAY()-C37))</f>
        <v/>
      </c>
      <c r="U37" s="14" t="str">
        <f aca="true">IF(OR(P37="",Q37&lt;&gt;"",N37="キャンセル"),"",P37-TODAY())</f>
        <v/>
      </c>
      <c r="V37" s="15" t="str">
        <f aca="true">IF(D37="","",IF(OR(N37="開通済",Q37&lt;&gt;""),"完了",IF(N37="キャンセル","―",IF(AND(S37&lt;&gt;"",S37&lt;TODAY()),"対応期限超過",IF(AND(P37&lt;&gt;"",P37&lt;TODAY()),"開通予定日超過",IF(AND(S37&lt;&gt;"",S37=TODAY()),"本日対応",IF(AND(P37&lt;&gt;"",P37-TODAY()&lt;=3),"開通間近","")))))))</f>
        <v/>
      </c>
      <c r="W37" s="16"/>
      <c r="X37" s="16"/>
    </row>
    <row r="38" customFormat="false" ht="15" hidden="false" customHeight="false" outlineLevel="0" collapsed="false">
      <c r="A38" s="7" t="str">
        <f aca="false">IF(D38="","",ROW()-3)</f>
        <v/>
      </c>
      <c r="B38" s="16"/>
      <c r="C38" s="12"/>
      <c r="D38" s="16"/>
      <c r="E38" s="16"/>
      <c r="F38" s="17"/>
      <c r="G38" s="16"/>
      <c r="H38" s="16"/>
      <c r="I38" s="12"/>
      <c r="J38" s="16"/>
      <c r="K38" s="16"/>
      <c r="L38" s="16"/>
      <c r="M38" s="16"/>
      <c r="N38" s="16"/>
      <c r="O38" s="12"/>
      <c r="P38" s="12"/>
      <c r="Q38" s="12"/>
      <c r="R38" s="16"/>
      <c r="S38" s="12"/>
      <c r="T38" s="13" t="str">
        <f aca="true">IF(C38="","",IF(Q38&lt;&gt;"",Q38-C38,TODAY()-C38))</f>
        <v/>
      </c>
      <c r="U38" s="14" t="str">
        <f aca="true">IF(OR(P38="",Q38&lt;&gt;"",N38="キャンセル"),"",P38-TODAY())</f>
        <v/>
      </c>
      <c r="V38" s="15" t="str">
        <f aca="true">IF(D38="","",IF(OR(N38="開通済",Q38&lt;&gt;""),"完了",IF(N38="キャンセル","―",IF(AND(S38&lt;&gt;"",S38&lt;TODAY()),"対応期限超過",IF(AND(P38&lt;&gt;"",P38&lt;TODAY()),"開通予定日超過",IF(AND(S38&lt;&gt;"",S38=TODAY()),"本日対応",IF(AND(P38&lt;&gt;"",P38-TODAY()&lt;=3),"開通間近","")))))))</f>
        <v/>
      </c>
      <c r="W38" s="16"/>
      <c r="X38" s="16"/>
    </row>
    <row r="39" customFormat="false" ht="15" hidden="false" customHeight="false" outlineLevel="0" collapsed="false">
      <c r="A39" s="7" t="str">
        <f aca="false">IF(D39="","",ROW()-3)</f>
        <v/>
      </c>
      <c r="B39" s="16"/>
      <c r="C39" s="12"/>
      <c r="D39" s="16"/>
      <c r="E39" s="16"/>
      <c r="F39" s="17"/>
      <c r="G39" s="16"/>
      <c r="H39" s="16"/>
      <c r="I39" s="12"/>
      <c r="J39" s="16"/>
      <c r="K39" s="16"/>
      <c r="L39" s="16"/>
      <c r="M39" s="16"/>
      <c r="N39" s="16"/>
      <c r="O39" s="12"/>
      <c r="P39" s="12"/>
      <c r="Q39" s="12"/>
      <c r="R39" s="16"/>
      <c r="S39" s="12"/>
      <c r="T39" s="13" t="str">
        <f aca="true">IF(C39="","",IF(Q39&lt;&gt;"",Q39-C39,TODAY()-C39))</f>
        <v/>
      </c>
      <c r="U39" s="14" t="str">
        <f aca="true">IF(OR(P39="",Q39&lt;&gt;"",N39="キャンセル"),"",P39-TODAY())</f>
        <v/>
      </c>
      <c r="V39" s="15" t="str">
        <f aca="true">IF(D39="","",IF(OR(N39="開通済",Q39&lt;&gt;""),"完了",IF(N39="キャンセル","―",IF(AND(S39&lt;&gt;"",S39&lt;TODAY()),"対応期限超過",IF(AND(P39&lt;&gt;"",P39&lt;TODAY()),"開通予定日超過",IF(AND(S39&lt;&gt;"",S39=TODAY()),"本日対応",IF(AND(P39&lt;&gt;"",P39-TODAY()&lt;=3),"開通間近","")))))))</f>
        <v/>
      </c>
      <c r="W39" s="16"/>
      <c r="X39" s="16"/>
    </row>
    <row r="40" customFormat="false" ht="15" hidden="false" customHeight="false" outlineLevel="0" collapsed="false">
      <c r="A40" s="7" t="str">
        <f aca="false">IF(D40="","",ROW()-3)</f>
        <v/>
      </c>
      <c r="B40" s="16"/>
      <c r="C40" s="12"/>
      <c r="D40" s="16"/>
      <c r="E40" s="16"/>
      <c r="F40" s="17"/>
      <c r="G40" s="16"/>
      <c r="H40" s="16"/>
      <c r="I40" s="12"/>
      <c r="J40" s="16"/>
      <c r="K40" s="16"/>
      <c r="L40" s="16"/>
      <c r="M40" s="16"/>
      <c r="N40" s="16"/>
      <c r="O40" s="12"/>
      <c r="P40" s="12"/>
      <c r="Q40" s="12"/>
      <c r="R40" s="16"/>
      <c r="S40" s="12"/>
      <c r="T40" s="13" t="str">
        <f aca="true">IF(C40="","",IF(Q40&lt;&gt;"",Q40-C40,TODAY()-C40))</f>
        <v/>
      </c>
      <c r="U40" s="14" t="str">
        <f aca="true">IF(OR(P40="",Q40&lt;&gt;"",N40="キャンセル"),"",P40-TODAY())</f>
        <v/>
      </c>
      <c r="V40" s="15" t="str">
        <f aca="true">IF(D40="","",IF(OR(N40="開通済",Q40&lt;&gt;""),"完了",IF(N40="キャンセル","―",IF(AND(S40&lt;&gt;"",S40&lt;TODAY()),"対応期限超過",IF(AND(P40&lt;&gt;"",P40&lt;TODAY()),"開通予定日超過",IF(AND(S40&lt;&gt;"",S40=TODAY()),"本日対応",IF(AND(P40&lt;&gt;"",P40-TODAY()&lt;=3),"開通間近","")))))))</f>
        <v/>
      </c>
      <c r="W40" s="16"/>
      <c r="X40" s="16"/>
    </row>
    <row r="41" customFormat="false" ht="15" hidden="false" customHeight="false" outlineLevel="0" collapsed="false">
      <c r="A41" s="7" t="str">
        <f aca="false">IF(D41="","",ROW()-3)</f>
        <v/>
      </c>
      <c r="B41" s="16"/>
      <c r="C41" s="12"/>
      <c r="D41" s="16"/>
      <c r="E41" s="16"/>
      <c r="F41" s="17"/>
      <c r="G41" s="16"/>
      <c r="H41" s="16"/>
      <c r="I41" s="12"/>
      <c r="J41" s="16"/>
      <c r="K41" s="16"/>
      <c r="L41" s="16"/>
      <c r="M41" s="16"/>
      <c r="N41" s="16"/>
      <c r="O41" s="12"/>
      <c r="P41" s="12"/>
      <c r="Q41" s="12"/>
      <c r="R41" s="16"/>
      <c r="S41" s="12"/>
      <c r="T41" s="13" t="str">
        <f aca="true">IF(C41="","",IF(Q41&lt;&gt;"",Q41-C41,TODAY()-C41))</f>
        <v/>
      </c>
      <c r="U41" s="14" t="str">
        <f aca="true">IF(OR(P41="",Q41&lt;&gt;"",N41="キャンセル"),"",P41-TODAY())</f>
        <v/>
      </c>
      <c r="V41" s="15" t="str">
        <f aca="true">IF(D41="","",IF(OR(N41="開通済",Q41&lt;&gt;""),"完了",IF(N41="キャンセル","―",IF(AND(S41&lt;&gt;"",S41&lt;TODAY()),"対応期限超過",IF(AND(P41&lt;&gt;"",P41&lt;TODAY()),"開通予定日超過",IF(AND(S41&lt;&gt;"",S41=TODAY()),"本日対応",IF(AND(P41&lt;&gt;"",P41-TODAY()&lt;=3),"開通間近","")))))))</f>
        <v/>
      </c>
      <c r="W41" s="16"/>
      <c r="X41" s="16"/>
    </row>
    <row r="42" customFormat="false" ht="15" hidden="false" customHeight="false" outlineLevel="0" collapsed="false">
      <c r="A42" s="7" t="str">
        <f aca="false">IF(D42="","",ROW()-3)</f>
        <v/>
      </c>
      <c r="B42" s="16"/>
      <c r="C42" s="12"/>
      <c r="D42" s="16"/>
      <c r="E42" s="16"/>
      <c r="F42" s="17"/>
      <c r="G42" s="16"/>
      <c r="H42" s="16"/>
      <c r="I42" s="12"/>
      <c r="J42" s="16"/>
      <c r="K42" s="16"/>
      <c r="L42" s="16"/>
      <c r="M42" s="16"/>
      <c r="N42" s="16"/>
      <c r="O42" s="12"/>
      <c r="P42" s="12"/>
      <c r="Q42" s="12"/>
      <c r="R42" s="16"/>
      <c r="S42" s="12"/>
      <c r="T42" s="13" t="str">
        <f aca="true">IF(C42="","",IF(Q42&lt;&gt;"",Q42-C42,TODAY()-C42))</f>
        <v/>
      </c>
      <c r="U42" s="14" t="str">
        <f aca="true">IF(OR(P42="",Q42&lt;&gt;"",N42="キャンセル"),"",P42-TODAY())</f>
        <v/>
      </c>
      <c r="V42" s="15" t="str">
        <f aca="true">IF(D42="","",IF(OR(N42="開通済",Q42&lt;&gt;""),"完了",IF(N42="キャンセル","―",IF(AND(S42&lt;&gt;"",S42&lt;TODAY()),"対応期限超過",IF(AND(P42&lt;&gt;"",P42&lt;TODAY()),"開通予定日超過",IF(AND(S42&lt;&gt;"",S42=TODAY()),"本日対応",IF(AND(P42&lt;&gt;"",P42-TODAY()&lt;=3),"開通間近","")))))))</f>
        <v/>
      </c>
      <c r="W42" s="16"/>
      <c r="X42" s="16"/>
    </row>
    <row r="43" customFormat="false" ht="15" hidden="false" customHeight="false" outlineLevel="0" collapsed="false">
      <c r="A43" s="7" t="str">
        <f aca="false">IF(D43="","",ROW()-3)</f>
        <v/>
      </c>
      <c r="B43" s="16"/>
      <c r="C43" s="12"/>
      <c r="D43" s="16"/>
      <c r="E43" s="16"/>
      <c r="F43" s="17"/>
      <c r="G43" s="16"/>
      <c r="H43" s="16"/>
      <c r="I43" s="12"/>
      <c r="J43" s="16"/>
      <c r="K43" s="16"/>
      <c r="L43" s="16"/>
      <c r="M43" s="16"/>
      <c r="N43" s="16"/>
      <c r="O43" s="12"/>
      <c r="P43" s="12"/>
      <c r="Q43" s="12"/>
      <c r="R43" s="16"/>
      <c r="S43" s="12"/>
      <c r="T43" s="13" t="str">
        <f aca="true">IF(C43="","",IF(Q43&lt;&gt;"",Q43-C43,TODAY()-C43))</f>
        <v/>
      </c>
      <c r="U43" s="14" t="str">
        <f aca="true">IF(OR(P43="",Q43&lt;&gt;"",N43="キャンセル"),"",P43-TODAY())</f>
        <v/>
      </c>
      <c r="V43" s="15" t="str">
        <f aca="true">IF(D43="","",IF(OR(N43="開通済",Q43&lt;&gt;""),"完了",IF(N43="キャンセル","―",IF(AND(S43&lt;&gt;"",S43&lt;TODAY()),"対応期限超過",IF(AND(P43&lt;&gt;"",P43&lt;TODAY()),"開通予定日超過",IF(AND(S43&lt;&gt;"",S43=TODAY()),"本日対応",IF(AND(P43&lt;&gt;"",P43-TODAY()&lt;=3),"開通間近","")))))))</f>
        <v/>
      </c>
      <c r="W43" s="16"/>
      <c r="X43" s="16"/>
    </row>
    <row r="44" customFormat="false" ht="15" hidden="false" customHeight="false" outlineLevel="0" collapsed="false">
      <c r="A44" s="7" t="str">
        <f aca="false">IF(D44="","",ROW()-3)</f>
        <v/>
      </c>
      <c r="B44" s="16"/>
      <c r="C44" s="12"/>
      <c r="D44" s="16"/>
      <c r="E44" s="16"/>
      <c r="F44" s="17"/>
      <c r="G44" s="16"/>
      <c r="H44" s="16"/>
      <c r="I44" s="12"/>
      <c r="J44" s="16"/>
      <c r="K44" s="16"/>
      <c r="L44" s="16"/>
      <c r="M44" s="16"/>
      <c r="N44" s="16"/>
      <c r="O44" s="12"/>
      <c r="P44" s="12"/>
      <c r="Q44" s="12"/>
      <c r="R44" s="16"/>
      <c r="S44" s="12"/>
      <c r="T44" s="13" t="str">
        <f aca="true">IF(C44="","",IF(Q44&lt;&gt;"",Q44-C44,TODAY()-C44))</f>
        <v/>
      </c>
      <c r="U44" s="14" t="str">
        <f aca="true">IF(OR(P44="",Q44&lt;&gt;"",N44="キャンセル"),"",P44-TODAY())</f>
        <v/>
      </c>
      <c r="V44" s="15" t="str">
        <f aca="true">IF(D44="","",IF(OR(N44="開通済",Q44&lt;&gt;""),"完了",IF(N44="キャンセル","―",IF(AND(S44&lt;&gt;"",S44&lt;TODAY()),"対応期限超過",IF(AND(P44&lt;&gt;"",P44&lt;TODAY()),"開通予定日超過",IF(AND(S44&lt;&gt;"",S44=TODAY()),"本日対応",IF(AND(P44&lt;&gt;"",P44-TODAY()&lt;=3),"開通間近","")))))))</f>
        <v/>
      </c>
      <c r="W44" s="16"/>
      <c r="X44" s="16"/>
    </row>
    <row r="45" customFormat="false" ht="15" hidden="false" customHeight="false" outlineLevel="0" collapsed="false">
      <c r="A45" s="7" t="str">
        <f aca="false">IF(D45="","",ROW()-3)</f>
        <v/>
      </c>
      <c r="B45" s="16"/>
      <c r="C45" s="12"/>
      <c r="D45" s="16"/>
      <c r="E45" s="16"/>
      <c r="F45" s="17"/>
      <c r="G45" s="16"/>
      <c r="H45" s="16"/>
      <c r="I45" s="12"/>
      <c r="J45" s="16"/>
      <c r="K45" s="16"/>
      <c r="L45" s="16"/>
      <c r="M45" s="16"/>
      <c r="N45" s="16"/>
      <c r="O45" s="12"/>
      <c r="P45" s="12"/>
      <c r="Q45" s="12"/>
      <c r="R45" s="16"/>
      <c r="S45" s="12"/>
      <c r="T45" s="13" t="str">
        <f aca="true">IF(C45="","",IF(Q45&lt;&gt;"",Q45-C45,TODAY()-C45))</f>
        <v/>
      </c>
      <c r="U45" s="14" t="str">
        <f aca="true">IF(OR(P45="",Q45&lt;&gt;"",N45="キャンセル"),"",P45-TODAY())</f>
        <v/>
      </c>
      <c r="V45" s="15" t="str">
        <f aca="true">IF(D45="","",IF(OR(N45="開通済",Q45&lt;&gt;""),"完了",IF(N45="キャンセル","―",IF(AND(S45&lt;&gt;"",S45&lt;TODAY()),"対応期限超過",IF(AND(P45&lt;&gt;"",P45&lt;TODAY()),"開通予定日超過",IF(AND(S45&lt;&gt;"",S45=TODAY()),"本日対応",IF(AND(P45&lt;&gt;"",P45-TODAY()&lt;=3),"開通間近","")))))))</f>
        <v/>
      </c>
      <c r="W45" s="16"/>
      <c r="X45" s="16"/>
    </row>
    <row r="46" customFormat="false" ht="15" hidden="false" customHeight="false" outlineLevel="0" collapsed="false">
      <c r="A46" s="7" t="str">
        <f aca="false">IF(D46="","",ROW()-3)</f>
        <v/>
      </c>
      <c r="B46" s="16"/>
      <c r="C46" s="12"/>
      <c r="D46" s="16"/>
      <c r="E46" s="16"/>
      <c r="F46" s="17"/>
      <c r="G46" s="16"/>
      <c r="H46" s="16"/>
      <c r="I46" s="12"/>
      <c r="J46" s="16"/>
      <c r="K46" s="16"/>
      <c r="L46" s="16"/>
      <c r="M46" s="16"/>
      <c r="N46" s="16"/>
      <c r="O46" s="12"/>
      <c r="P46" s="12"/>
      <c r="Q46" s="12"/>
      <c r="R46" s="16"/>
      <c r="S46" s="12"/>
      <c r="T46" s="13" t="str">
        <f aca="true">IF(C46="","",IF(Q46&lt;&gt;"",Q46-C46,TODAY()-C46))</f>
        <v/>
      </c>
      <c r="U46" s="14" t="str">
        <f aca="true">IF(OR(P46="",Q46&lt;&gt;"",N46="キャンセル"),"",P46-TODAY())</f>
        <v/>
      </c>
      <c r="V46" s="15" t="str">
        <f aca="true">IF(D46="","",IF(OR(N46="開通済",Q46&lt;&gt;""),"完了",IF(N46="キャンセル","―",IF(AND(S46&lt;&gt;"",S46&lt;TODAY()),"対応期限超過",IF(AND(P46&lt;&gt;"",P46&lt;TODAY()),"開通予定日超過",IF(AND(S46&lt;&gt;"",S46=TODAY()),"本日対応",IF(AND(P46&lt;&gt;"",P46-TODAY()&lt;=3),"開通間近","")))))))</f>
        <v/>
      </c>
      <c r="W46" s="16"/>
      <c r="X46" s="16"/>
    </row>
    <row r="47" customFormat="false" ht="15" hidden="false" customHeight="false" outlineLevel="0" collapsed="false">
      <c r="A47" s="7" t="str">
        <f aca="false">IF(D47="","",ROW()-3)</f>
        <v/>
      </c>
      <c r="B47" s="16"/>
      <c r="C47" s="12"/>
      <c r="D47" s="16"/>
      <c r="E47" s="16"/>
      <c r="F47" s="17"/>
      <c r="G47" s="16"/>
      <c r="H47" s="16"/>
      <c r="I47" s="12"/>
      <c r="J47" s="16"/>
      <c r="K47" s="16"/>
      <c r="L47" s="16"/>
      <c r="M47" s="16"/>
      <c r="N47" s="16"/>
      <c r="O47" s="12"/>
      <c r="P47" s="12"/>
      <c r="Q47" s="12"/>
      <c r="R47" s="16"/>
      <c r="S47" s="12"/>
      <c r="T47" s="13" t="str">
        <f aca="true">IF(C47="","",IF(Q47&lt;&gt;"",Q47-C47,TODAY()-C47))</f>
        <v/>
      </c>
      <c r="U47" s="14" t="str">
        <f aca="true">IF(OR(P47="",Q47&lt;&gt;"",N47="キャンセル"),"",P47-TODAY())</f>
        <v/>
      </c>
      <c r="V47" s="15" t="str">
        <f aca="true">IF(D47="","",IF(OR(N47="開通済",Q47&lt;&gt;""),"完了",IF(N47="キャンセル","―",IF(AND(S47&lt;&gt;"",S47&lt;TODAY()),"対応期限超過",IF(AND(P47&lt;&gt;"",P47&lt;TODAY()),"開通予定日超過",IF(AND(S47&lt;&gt;"",S47=TODAY()),"本日対応",IF(AND(P47&lt;&gt;"",P47-TODAY()&lt;=3),"開通間近","")))))))</f>
        <v/>
      </c>
      <c r="W47" s="16"/>
      <c r="X47" s="16"/>
    </row>
    <row r="48" customFormat="false" ht="15" hidden="false" customHeight="false" outlineLevel="0" collapsed="false">
      <c r="A48" s="7" t="str">
        <f aca="false">IF(D48="","",ROW()-3)</f>
        <v/>
      </c>
      <c r="B48" s="16"/>
      <c r="C48" s="12"/>
      <c r="D48" s="16"/>
      <c r="E48" s="16"/>
      <c r="F48" s="17"/>
      <c r="G48" s="16"/>
      <c r="H48" s="16"/>
      <c r="I48" s="12"/>
      <c r="J48" s="16"/>
      <c r="K48" s="16"/>
      <c r="L48" s="16"/>
      <c r="M48" s="16"/>
      <c r="N48" s="16"/>
      <c r="O48" s="12"/>
      <c r="P48" s="12"/>
      <c r="Q48" s="12"/>
      <c r="R48" s="16"/>
      <c r="S48" s="12"/>
      <c r="T48" s="13" t="str">
        <f aca="true">IF(C48="","",IF(Q48&lt;&gt;"",Q48-C48,TODAY()-C48))</f>
        <v/>
      </c>
      <c r="U48" s="14" t="str">
        <f aca="true">IF(OR(P48="",Q48&lt;&gt;"",N48="キャンセル"),"",P48-TODAY())</f>
        <v/>
      </c>
      <c r="V48" s="15" t="str">
        <f aca="true">IF(D48="","",IF(OR(N48="開通済",Q48&lt;&gt;""),"完了",IF(N48="キャンセル","―",IF(AND(S48&lt;&gt;"",S48&lt;TODAY()),"対応期限超過",IF(AND(P48&lt;&gt;"",P48&lt;TODAY()),"開通予定日超過",IF(AND(S48&lt;&gt;"",S48=TODAY()),"本日対応",IF(AND(P48&lt;&gt;"",P48-TODAY()&lt;=3),"開通間近","")))))))</f>
        <v/>
      </c>
      <c r="W48" s="16"/>
      <c r="X48" s="16"/>
    </row>
    <row r="49" customFormat="false" ht="15" hidden="false" customHeight="false" outlineLevel="0" collapsed="false">
      <c r="A49" s="7" t="str">
        <f aca="false">IF(D49="","",ROW()-3)</f>
        <v/>
      </c>
      <c r="B49" s="16"/>
      <c r="C49" s="12"/>
      <c r="D49" s="16"/>
      <c r="E49" s="16"/>
      <c r="F49" s="17"/>
      <c r="G49" s="16"/>
      <c r="H49" s="16"/>
      <c r="I49" s="12"/>
      <c r="J49" s="16"/>
      <c r="K49" s="16"/>
      <c r="L49" s="16"/>
      <c r="M49" s="16"/>
      <c r="N49" s="16"/>
      <c r="O49" s="12"/>
      <c r="P49" s="12"/>
      <c r="Q49" s="12"/>
      <c r="R49" s="16"/>
      <c r="S49" s="12"/>
      <c r="T49" s="13" t="str">
        <f aca="true">IF(C49="","",IF(Q49&lt;&gt;"",Q49-C49,TODAY()-C49))</f>
        <v/>
      </c>
      <c r="U49" s="14" t="str">
        <f aca="true">IF(OR(P49="",Q49&lt;&gt;"",N49="キャンセル"),"",P49-TODAY())</f>
        <v/>
      </c>
      <c r="V49" s="15" t="str">
        <f aca="true">IF(D49="","",IF(OR(N49="開通済",Q49&lt;&gt;""),"完了",IF(N49="キャンセル","―",IF(AND(S49&lt;&gt;"",S49&lt;TODAY()),"対応期限超過",IF(AND(P49&lt;&gt;"",P49&lt;TODAY()),"開通予定日超過",IF(AND(S49&lt;&gt;"",S49=TODAY()),"本日対応",IF(AND(P49&lt;&gt;"",P49-TODAY()&lt;=3),"開通間近","")))))))</f>
        <v/>
      </c>
      <c r="W49" s="16"/>
      <c r="X49" s="16"/>
    </row>
    <row r="50" customFormat="false" ht="15" hidden="false" customHeight="false" outlineLevel="0" collapsed="false">
      <c r="A50" s="7" t="str">
        <f aca="false">IF(D50="","",ROW()-3)</f>
        <v/>
      </c>
      <c r="B50" s="16"/>
      <c r="C50" s="12"/>
      <c r="D50" s="16"/>
      <c r="E50" s="16"/>
      <c r="F50" s="17"/>
      <c r="G50" s="16"/>
      <c r="H50" s="16"/>
      <c r="I50" s="12"/>
      <c r="J50" s="16"/>
      <c r="K50" s="16"/>
      <c r="L50" s="16"/>
      <c r="M50" s="16"/>
      <c r="N50" s="16"/>
      <c r="O50" s="12"/>
      <c r="P50" s="12"/>
      <c r="Q50" s="12"/>
      <c r="R50" s="16"/>
      <c r="S50" s="12"/>
      <c r="T50" s="13" t="str">
        <f aca="true">IF(C50="","",IF(Q50&lt;&gt;"",Q50-C50,TODAY()-C50))</f>
        <v/>
      </c>
      <c r="U50" s="14" t="str">
        <f aca="true">IF(OR(P50="",Q50&lt;&gt;"",N50="キャンセル"),"",P50-TODAY())</f>
        <v/>
      </c>
      <c r="V50" s="15" t="str">
        <f aca="true">IF(D50="","",IF(OR(N50="開通済",Q50&lt;&gt;""),"完了",IF(N50="キャンセル","―",IF(AND(S50&lt;&gt;"",S50&lt;TODAY()),"対応期限超過",IF(AND(P50&lt;&gt;"",P50&lt;TODAY()),"開通予定日超過",IF(AND(S50&lt;&gt;"",S50=TODAY()),"本日対応",IF(AND(P50&lt;&gt;"",P50-TODAY()&lt;=3),"開通間近","")))))))</f>
        <v/>
      </c>
      <c r="W50" s="16"/>
      <c r="X50" s="16"/>
    </row>
    <row r="51" customFormat="false" ht="15" hidden="false" customHeight="false" outlineLevel="0" collapsed="false">
      <c r="A51" s="7" t="str">
        <f aca="false">IF(D51="","",ROW()-3)</f>
        <v/>
      </c>
      <c r="B51" s="16"/>
      <c r="C51" s="12"/>
      <c r="D51" s="16"/>
      <c r="E51" s="16"/>
      <c r="F51" s="17"/>
      <c r="G51" s="16"/>
      <c r="H51" s="16"/>
      <c r="I51" s="12"/>
      <c r="J51" s="16"/>
      <c r="K51" s="16"/>
      <c r="L51" s="16"/>
      <c r="M51" s="16"/>
      <c r="N51" s="16"/>
      <c r="O51" s="12"/>
      <c r="P51" s="12"/>
      <c r="Q51" s="12"/>
      <c r="R51" s="16"/>
      <c r="S51" s="12"/>
      <c r="T51" s="13" t="str">
        <f aca="true">IF(C51="","",IF(Q51&lt;&gt;"",Q51-C51,TODAY()-C51))</f>
        <v/>
      </c>
      <c r="U51" s="14" t="str">
        <f aca="true">IF(OR(P51="",Q51&lt;&gt;"",N51="キャンセル"),"",P51-TODAY())</f>
        <v/>
      </c>
      <c r="V51" s="15" t="str">
        <f aca="true">IF(D51="","",IF(OR(N51="開通済",Q51&lt;&gt;""),"完了",IF(N51="キャンセル","―",IF(AND(S51&lt;&gt;"",S51&lt;TODAY()),"対応期限超過",IF(AND(P51&lt;&gt;"",P51&lt;TODAY()),"開通予定日超過",IF(AND(S51&lt;&gt;"",S51=TODAY()),"本日対応",IF(AND(P51&lt;&gt;"",P51-TODAY()&lt;=3),"開通間近","")))))))</f>
        <v/>
      </c>
      <c r="W51" s="16"/>
      <c r="X51" s="16"/>
    </row>
    <row r="52" customFormat="false" ht="15" hidden="false" customHeight="false" outlineLevel="0" collapsed="false">
      <c r="A52" s="7" t="str">
        <f aca="false">IF(D52="","",ROW()-3)</f>
        <v/>
      </c>
      <c r="B52" s="16"/>
      <c r="C52" s="12"/>
      <c r="D52" s="16"/>
      <c r="E52" s="16"/>
      <c r="F52" s="17"/>
      <c r="G52" s="16"/>
      <c r="H52" s="16"/>
      <c r="I52" s="12"/>
      <c r="J52" s="16"/>
      <c r="K52" s="16"/>
      <c r="L52" s="16"/>
      <c r="M52" s="16"/>
      <c r="N52" s="16"/>
      <c r="O52" s="12"/>
      <c r="P52" s="12"/>
      <c r="Q52" s="12"/>
      <c r="R52" s="16"/>
      <c r="S52" s="12"/>
      <c r="T52" s="13" t="str">
        <f aca="true">IF(C52="","",IF(Q52&lt;&gt;"",Q52-C52,TODAY()-C52))</f>
        <v/>
      </c>
      <c r="U52" s="14" t="str">
        <f aca="true">IF(OR(P52="",Q52&lt;&gt;"",N52="キャンセル"),"",P52-TODAY())</f>
        <v/>
      </c>
      <c r="V52" s="15" t="str">
        <f aca="true">IF(D52="","",IF(OR(N52="開通済",Q52&lt;&gt;""),"完了",IF(N52="キャンセル","―",IF(AND(S52&lt;&gt;"",S52&lt;TODAY()),"対応期限超過",IF(AND(P52&lt;&gt;"",P52&lt;TODAY()),"開通予定日超過",IF(AND(S52&lt;&gt;"",S52=TODAY()),"本日対応",IF(AND(P52&lt;&gt;"",P52-TODAY()&lt;=3),"開通間近","")))))))</f>
        <v/>
      </c>
      <c r="W52" s="16"/>
      <c r="X52" s="16"/>
    </row>
    <row r="53" customFormat="false" ht="15" hidden="false" customHeight="false" outlineLevel="0" collapsed="false">
      <c r="A53" s="7" t="str">
        <f aca="false">IF(D53="","",ROW()-3)</f>
        <v/>
      </c>
      <c r="B53" s="16"/>
      <c r="C53" s="12"/>
      <c r="D53" s="16"/>
      <c r="E53" s="16"/>
      <c r="F53" s="17"/>
      <c r="G53" s="16"/>
      <c r="H53" s="16"/>
      <c r="I53" s="12"/>
      <c r="J53" s="16"/>
      <c r="K53" s="16"/>
      <c r="L53" s="16"/>
      <c r="M53" s="16"/>
      <c r="N53" s="16"/>
      <c r="O53" s="12"/>
      <c r="P53" s="12"/>
      <c r="Q53" s="12"/>
      <c r="R53" s="16"/>
      <c r="S53" s="12"/>
      <c r="T53" s="13" t="str">
        <f aca="true">IF(C53="","",IF(Q53&lt;&gt;"",Q53-C53,TODAY()-C53))</f>
        <v/>
      </c>
      <c r="U53" s="14" t="str">
        <f aca="true">IF(OR(P53="",Q53&lt;&gt;"",N53="キャンセル"),"",P53-TODAY())</f>
        <v/>
      </c>
      <c r="V53" s="15" t="str">
        <f aca="true">IF(D53="","",IF(OR(N53="開通済",Q53&lt;&gt;""),"完了",IF(N53="キャンセル","―",IF(AND(S53&lt;&gt;"",S53&lt;TODAY()),"対応期限超過",IF(AND(P53&lt;&gt;"",P53&lt;TODAY()),"開通予定日超過",IF(AND(S53&lt;&gt;"",S53=TODAY()),"本日対応",IF(AND(P53&lt;&gt;"",P53-TODAY()&lt;=3),"開通間近","")))))))</f>
        <v/>
      </c>
      <c r="W53" s="16"/>
      <c r="X53" s="16"/>
    </row>
    <row r="54" customFormat="false" ht="15" hidden="false" customHeight="false" outlineLevel="0" collapsed="false">
      <c r="A54" s="7" t="str">
        <f aca="false">IF(D54="","",ROW()-3)</f>
        <v/>
      </c>
      <c r="B54" s="16"/>
      <c r="C54" s="12"/>
      <c r="D54" s="16"/>
      <c r="E54" s="16"/>
      <c r="F54" s="17"/>
      <c r="G54" s="16"/>
      <c r="H54" s="16"/>
      <c r="I54" s="12"/>
      <c r="J54" s="16"/>
      <c r="K54" s="16"/>
      <c r="L54" s="16"/>
      <c r="M54" s="16"/>
      <c r="N54" s="16"/>
      <c r="O54" s="12"/>
      <c r="P54" s="12"/>
      <c r="Q54" s="12"/>
      <c r="R54" s="16"/>
      <c r="S54" s="12"/>
      <c r="T54" s="13" t="str">
        <f aca="true">IF(C54="","",IF(Q54&lt;&gt;"",Q54-C54,TODAY()-C54))</f>
        <v/>
      </c>
      <c r="U54" s="14" t="str">
        <f aca="true">IF(OR(P54="",Q54&lt;&gt;"",N54="キャンセル"),"",P54-TODAY())</f>
        <v/>
      </c>
      <c r="V54" s="15" t="str">
        <f aca="true">IF(D54="","",IF(OR(N54="開通済",Q54&lt;&gt;""),"完了",IF(N54="キャンセル","―",IF(AND(S54&lt;&gt;"",S54&lt;TODAY()),"対応期限超過",IF(AND(P54&lt;&gt;"",P54&lt;TODAY()),"開通予定日超過",IF(AND(S54&lt;&gt;"",S54=TODAY()),"本日対応",IF(AND(P54&lt;&gt;"",P54-TODAY()&lt;=3),"開通間近","")))))))</f>
        <v/>
      </c>
      <c r="W54" s="16"/>
      <c r="X54" s="16"/>
    </row>
    <row r="55" customFormat="false" ht="15" hidden="false" customHeight="false" outlineLevel="0" collapsed="false">
      <c r="A55" s="7" t="str">
        <f aca="false">IF(D55="","",ROW()-3)</f>
        <v/>
      </c>
      <c r="B55" s="16"/>
      <c r="C55" s="12"/>
      <c r="D55" s="16"/>
      <c r="E55" s="16"/>
      <c r="F55" s="17"/>
      <c r="G55" s="16"/>
      <c r="H55" s="16"/>
      <c r="I55" s="12"/>
      <c r="J55" s="16"/>
      <c r="K55" s="16"/>
      <c r="L55" s="16"/>
      <c r="M55" s="16"/>
      <c r="N55" s="16"/>
      <c r="O55" s="12"/>
      <c r="P55" s="12"/>
      <c r="Q55" s="12"/>
      <c r="R55" s="16"/>
      <c r="S55" s="12"/>
      <c r="T55" s="13" t="str">
        <f aca="true">IF(C55="","",IF(Q55&lt;&gt;"",Q55-C55,TODAY()-C55))</f>
        <v/>
      </c>
      <c r="U55" s="14" t="str">
        <f aca="true">IF(OR(P55="",Q55&lt;&gt;"",N55="キャンセル"),"",P55-TODAY())</f>
        <v/>
      </c>
      <c r="V55" s="15" t="str">
        <f aca="true">IF(D55="","",IF(OR(N55="開通済",Q55&lt;&gt;""),"完了",IF(N55="キャンセル","―",IF(AND(S55&lt;&gt;"",S55&lt;TODAY()),"対応期限超過",IF(AND(P55&lt;&gt;"",P55&lt;TODAY()),"開通予定日超過",IF(AND(S55&lt;&gt;"",S55=TODAY()),"本日対応",IF(AND(P55&lt;&gt;"",P55-TODAY()&lt;=3),"開通間近","")))))))</f>
        <v/>
      </c>
      <c r="W55" s="16"/>
      <c r="X55" s="16"/>
    </row>
    <row r="56" customFormat="false" ht="15" hidden="false" customHeight="false" outlineLevel="0" collapsed="false">
      <c r="A56" s="7" t="str">
        <f aca="false">IF(D56="","",ROW()-3)</f>
        <v/>
      </c>
      <c r="B56" s="16"/>
      <c r="C56" s="12"/>
      <c r="D56" s="16"/>
      <c r="E56" s="16"/>
      <c r="F56" s="17"/>
      <c r="G56" s="16"/>
      <c r="H56" s="16"/>
      <c r="I56" s="12"/>
      <c r="J56" s="16"/>
      <c r="K56" s="16"/>
      <c r="L56" s="16"/>
      <c r="M56" s="16"/>
      <c r="N56" s="16"/>
      <c r="O56" s="12"/>
      <c r="P56" s="12"/>
      <c r="Q56" s="12"/>
      <c r="R56" s="16"/>
      <c r="S56" s="12"/>
      <c r="T56" s="13" t="str">
        <f aca="true">IF(C56="","",IF(Q56&lt;&gt;"",Q56-C56,TODAY()-C56))</f>
        <v/>
      </c>
      <c r="U56" s="14" t="str">
        <f aca="true">IF(OR(P56="",Q56&lt;&gt;"",N56="キャンセル"),"",P56-TODAY())</f>
        <v/>
      </c>
      <c r="V56" s="15" t="str">
        <f aca="true">IF(D56="","",IF(OR(N56="開通済",Q56&lt;&gt;""),"完了",IF(N56="キャンセル","―",IF(AND(S56&lt;&gt;"",S56&lt;TODAY()),"対応期限超過",IF(AND(P56&lt;&gt;"",P56&lt;TODAY()),"開通予定日超過",IF(AND(S56&lt;&gt;"",S56=TODAY()),"本日対応",IF(AND(P56&lt;&gt;"",P56-TODAY()&lt;=3),"開通間近","")))))))</f>
        <v/>
      </c>
      <c r="W56" s="16"/>
      <c r="X56" s="16"/>
    </row>
    <row r="57" customFormat="false" ht="15" hidden="false" customHeight="false" outlineLevel="0" collapsed="false">
      <c r="A57" s="7" t="str">
        <f aca="false">IF(D57="","",ROW()-3)</f>
        <v/>
      </c>
      <c r="B57" s="16"/>
      <c r="C57" s="12"/>
      <c r="D57" s="16"/>
      <c r="E57" s="16"/>
      <c r="F57" s="17"/>
      <c r="G57" s="16"/>
      <c r="H57" s="16"/>
      <c r="I57" s="12"/>
      <c r="J57" s="16"/>
      <c r="K57" s="16"/>
      <c r="L57" s="16"/>
      <c r="M57" s="16"/>
      <c r="N57" s="16"/>
      <c r="O57" s="12"/>
      <c r="P57" s="12"/>
      <c r="Q57" s="12"/>
      <c r="R57" s="16"/>
      <c r="S57" s="12"/>
      <c r="T57" s="13" t="str">
        <f aca="true">IF(C57="","",IF(Q57&lt;&gt;"",Q57-C57,TODAY()-C57))</f>
        <v/>
      </c>
      <c r="U57" s="14" t="str">
        <f aca="true">IF(OR(P57="",Q57&lt;&gt;"",N57="キャンセル"),"",P57-TODAY())</f>
        <v/>
      </c>
      <c r="V57" s="15" t="str">
        <f aca="true">IF(D57="","",IF(OR(N57="開通済",Q57&lt;&gt;""),"完了",IF(N57="キャンセル","―",IF(AND(S57&lt;&gt;"",S57&lt;TODAY()),"対応期限超過",IF(AND(P57&lt;&gt;"",P57&lt;TODAY()),"開通予定日超過",IF(AND(S57&lt;&gt;"",S57=TODAY()),"本日対応",IF(AND(P57&lt;&gt;"",P57-TODAY()&lt;=3),"開通間近","")))))))</f>
        <v/>
      </c>
      <c r="W57" s="16"/>
      <c r="X57" s="16"/>
    </row>
    <row r="58" customFormat="false" ht="15" hidden="false" customHeight="false" outlineLevel="0" collapsed="false">
      <c r="A58" s="7" t="str">
        <f aca="false">IF(D58="","",ROW()-3)</f>
        <v/>
      </c>
      <c r="B58" s="16"/>
      <c r="C58" s="12"/>
      <c r="D58" s="16"/>
      <c r="E58" s="16"/>
      <c r="F58" s="17"/>
      <c r="G58" s="16"/>
      <c r="H58" s="16"/>
      <c r="I58" s="12"/>
      <c r="J58" s="16"/>
      <c r="K58" s="16"/>
      <c r="L58" s="16"/>
      <c r="M58" s="16"/>
      <c r="N58" s="16"/>
      <c r="O58" s="12"/>
      <c r="P58" s="12"/>
      <c r="Q58" s="12"/>
      <c r="R58" s="16"/>
      <c r="S58" s="12"/>
      <c r="T58" s="13" t="str">
        <f aca="true">IF(C58="","",IF(Q58&lt;&gt;"",Q58-C58,TODAY()-C58))</f>
        <v/>
      </c>
      <c r="U58" s="14" t="str">
        <f aca="true">IF(OR(P58="",Q58&lt;&gt;"",N58="キャンセル"),"",P58-TODAY())</f>
        <v/>
      </c>
      <c r="V58" s="15" t="str">
        <f aca="true">IF(D58="","",IF(OR(N58="開通済",Q58&lt;&gt;""),"完了",IF(N58="キャンセル","―",IF(AND(S58&lt;&gt;"",S58&lt;TODAY()),"対応期限超過",IF(AND(P58&lt;&gt;"",P58&lt;TODAY()),"開通予定日超過",IF(AND(S58&lt;&gt;"",S58=TODAY()),"本日対応",IF(AND(P58&lt;&gt;"",P58-TODAY()&lt;=3),"開通間近","")))))))</f>
        <v/>
      </c>
      <c r="W58" s="16"/>
      <c r="X58" s="16"/>
    </row>
    <row r="59" customFormat="false" ht="15" hidden="false" customHeight="false" outlineLevel="0" collapsed="false">
      <c r="A59" s="7" t="str">
        <f aca="false">IF(D59="","",ROW()-3)</f>
        <v/>
      </c>
      <c r="B59" s="16"/>
      <c r="C59" s="12"/>
      <c r="D59" s="16"/>
      <c r="E59" s="16"/>
      <c r="F59" s="17"/>
      <c r="G59" s="16"/>
      <c r="H59" s="16"/>
      <c r="I59" s="12"/>
      <c r="J59" s="16"/>
      <c r="K59" s="16"/>
      <c r="L59" s="16"/>
      <c r="M59" s="16"/>
      <c r="N59" s="16"/>
      <c r="O59" s="12"/>
      <c r="P59" s="12"/>
      <c r="Q59" s="12"/>
      <c r="R59" s="16"/>
      <c r="S59" s="12"/>
      <c r="T59" s="13" t="str">
        <f aca="true">IF(C59="","",IF(Q59&lt;&gt;"",Q59-C59,TODAY()-C59))</f>
        <v/>
      </c>
      <c r="U59" s="14" t="str">
        <f aca="true">IF(OR(P59="",Q59&lt;&gt;"",N59="キャンセル"),"",P59-TODAY())</f>
        <v/>
      </c>
      <c r="V59" s="15" t="str">
        <f aca="true">IF(D59="","",IF(OR(N59="開通済",Q59&lt;&gt;""),"完了",IF(N59="キャンセル","―",IF(AND(S59&lt;&gt;"",S59&lt;TODAY()),"対応期限超過",IF(AND(P59&lt;&gt;"",P59&lt;TODAY()),"開通予定日超過",IF(AND(S59&lt;&gt;"",S59=TODAY()),"本日対応",IF(AND(P59&lt;&gt;"",P59-TODAY()&lt;=3),"開通間近","")))))))</f>
        <v/>
      </c>
      <c r="W59" s="16"/>
      <c r="X59" s="16"/>
    </row>
    <row r="60" customFormat="false" ht="15" hidden="false" customHeight="false" outlineLevel="0" collapsed="false">
      <c r="A60" s="7" t="str">
        <f aca="false">IF(D60="","",ROW()-3)</f>
        <v/>
      </c>
      <c r="B60" s="16"/>
      <c r="C60" s="12"/>
      <c r="D60" s="16"/>
      <c r="E60" s="16"/>
      <c r="F60" s="17"/>
      <c r="G60" s="16"/>
      <c r="H60" s="16"/>
      <c r="I60" s="12"/>
      <c r="J60" s="16"/>
      <c r="K60" s="16"/>
      <c r="L60" s="16"/>
      <c r="M60" s="16"/>
      <c r="N60" s="16"/>
      <c r="O60" s="12"/>
      <c r="P60" s="12"/>
      <c r="Q60" s="12"/>
      <c r="R60" s="16"/>
      <c r="S60" s="12"/>
      <c r="T60" s="13" t="str">
        <f aca="true">IF(C60="","",IF(Q60&lt;&gt;"",Q60-C60,TODAY()-C60))</f>
        <v/>
      </c>
      <c r="U60" s="14" t="str">
        <f aca="true">IF(OR(P60="",Q60&lt;&gt;"",N60="キャンセル"),"",P60-TODAY())</f>
        <v/>
      </c>
      <c r="V60" s="15" t="str">
        <f aca="true">IF(D60="","",IF(OR(N60="開通済",Q60&lt;&gt;""),"完了",IF(N60="キャンセル","―",IF(AND(S60&lt;&gt;"",S60&lt;TODAY()),"対応期限超過",IF(AND(P60&lt;&gt;"",P60&lt;TODAY()),"開通予定日超過",IF(AND(S60&lt;&gt;"",S60=TODAY()),"本日対応",IF(AND(P60&lt;&gt;"",P60-TODAY()&lt;=3),"開通間近","")))))))</f>
        <v/>
      </c>
      <c r="W60" s="16"/>
      <c r="X60" s="16"/>
    </row>
    <row r="61" customFormat="false" ht="15" hidden="false" customHeight="false" outlineLevel="0" collapsed="false">
      <c r="A61" s="7" t="str">
        <f aca="false">IF(D61="","",ROW()-3)</f>
        <v/>
      </c>
      <c r="B61" s="16"/>
      <c r="C61" s="12"/>
      <c r="D61" s="16"/>
      <c r="E61" s="16"/>
      <c r="F61" s="17"/>
      <c r="G61" s="16"/>
      <c r="H61" s="16"/>
      <c r="I61" s="12"/>
      <c r="J61" s="16"/>
      <c r="K61" s="16"/>
      <c r="L61" s="16"/>
      <c r="M61" s="16"/>
      <c r="N61" s="16"/>
      <c r="O61" s="12"/>
      <c r="P61" s="12"/>
      <c r="Q61" s="12"/>
      <c r="R61" s="16"/>
      <c r="S61" s="12"/>
      <c r="T61" s="13" t="str">
        <f aca="true">IF(C61="","",IF(Q61&lt;&gt;"",Q61-C61,TODAY()-C61))</f>
        <v/>
      </c>
      <c r="U61" s="14" t="str">
        <f aca="true">IF(OR(P61="",Q61&lt;&gt;"",N61="キャンセル"),"",P61-TODAY())</f>
        <v/>
      </c>
      <c r="V61" s="15" t="str">
        <f aca="true">IF(D61="","",IF(OR(N61="開通済",Q61&lt;&gt;""),"完了",IF(N61="キャンセル","―",IF(AND(S61&lt;&gt;"",S61&lt;TODAY()),"対応期限超過",IF(AND(P61&lt;&gt;"",P61&lt;TODAY()),"開通予定日超過",IF(AND(S61&lt;&gt;"",S61=TODAY()),"本日対応",IF(AND(P61&lt;&gt;"",P61-TODAY()&lt;=3),"開通間近","")))))))</f>
        <v/>
      </c>
      <c r="W61" s="16"/>
      <c r="X61" s="16"/>
    </row>
    <row r="62" customFormat="false" ht="15" hidden="false" customHeight="false" outlineLevel="0" collapsed="false">
      <c r="A62" s="7" t="str">
        <f aca="false">IF(D62="","",ROW()-3)</f>
        <v/>
      </c>
      <c r="B62" s="16"/>
      <c r="C62" s="12"/>
      <c r="D62" s="16"/>
      <c r="E62" s="16"/>
      <c r="F62" s="17"/>
      <c r="G62" s="16"/>
      <c r="H62" s="16"/>
      <c r="I62" s="12"/>
      <c r="J62" s="16"/>
      <c r="K62" s="16"/>
      <c r="L62" s="16"/>
      <c r="M62" s="16"/>
      <c r="N62" s="16"/>
      <c r="O62" s="12"/>
      <c r="P62" s="12"/>
      <c r="Q62" s="12"/>
      <c r="R62" s="16"/>
      <c r="S62" s="12"/>
      <c r="T62" s="13" t="str">
        <f aca="true">IF(C62="","",IF(Q62&lt;&gt;"",Q62-C62,TODAY()-C62))</f>
        <v/>
      </c>
      <c r="U62" s="14" t="str">
        <f aca="true">IF(OR(P62="",Q62&lt;&gt;"",N62="キャンセル"),"",P62-TODAY())</f>
        <v/>
      </c>
      <c r="V62" s="15" t="str">
        <f aca="true">IF(D62="","",IF(OR(N62="開通済",Q62&lt;&gt;""),"完了",IF(N62="キャンセル","―",IF(AND(S62&lt;&gt;"",S62&lt;TODAY()),"対応期限超過",IF(AND(P62&lt;&gt;"",P62&lt;TODAY()),"開通予定日超過",IF(AND(S62&lt;&gt;"",S62=TODAY()),"本日対応",IF(AND(P62&lt;&gt;"",P62-TODAY()&lt;=3),"開通間近","")))))))</f>
        <v/>
      </c>
      <c r="W62" s="16"/>
      <c r="X62" s="16"/>
    </row>
    <row r="63" customFormat="false" ht="15" hidden="false" customHeight="false" outlineLevel="0" collapsed="false">
      <c r="A63" s="7" t="str">
        <f aca="false">IF(D63="","",ROW()-3)</f>
        <v/>
      </c>
      <c r="B63" s="16"/>
      <c r="C63" s="12"/>
      <c r="D63" s="16"/>
      <c r="E63" s="16"/>
      <c r="F63" s="17"/>
      <c r="G63" s="16"/>
      <c r="H63" s="16"/>
      <c r="I63" s="12"/>
      <c r="J63" s="16"/>
      <c r="K63" s="16"/>
      <c r="L63" s="16"/>
      <c r="M63" s="16"/>
      <c r="N63" s="16"/>
      <c r="O63" s="12"/>
      <c r="P63" s="12"/>
      <c r="Q63" s="12"/>
      <c r="R63" s="16"/>
      <c r="S63" s="12"/>
      <c r="T63" s="13" t="str">
        <f aca="true">IF(C63="","",IF(Q63&lt;&gt;"",Q63-C63,TODAY()-C63))</f>
        <v/>
      </c>
      <c r="U63" s="14" t="str">
        <f aca="true">IF(OR(P63="",Q63&lt;&gt;"",N63="キャンセル"),"",P63-TODAY())</f>
        <v/>
      </c>
      <c r="V63" s="15" t="str">
        <f aca="true">IF(D63="","",IF(OR(N63="開通済",Q63&lt;&gt;""),"完了",IF(N63="キャンセル","―",IF(AND(S63&lt;&gt;"",S63&lt;TODAY()),"対応期限超過",IF(AND(P63&lt;&gt;"",P63&lt;TODAY()),"開通予定日超過",IF(AND(S63&lt;&gt;"",S63=TODAY()),"本日対応",IF(AND(P63&lt;&gt;"",P63-TODAY()&lt;=3),"開通間近","")))))))</f>
        <v/>
      </c>
      <c r="W63" s="16"/>
      <c r="X63" s="16"/>
    </row>
    <row r="64" customFormat="false" ht="15" hidden="false" customHeight="false" outlineLevel="0" collapsed="false">
      <c r="A64" s="7" t="str">
        <f aca="false">IF(D64="","",ROW()-3)</f>
        <v/>
      </c>
      <c r="B64" s="16"/>
      <c r="C64" s="12"/>
      <c r="D64" s="16"/>
      <c r="E64" s="16"/>
      <c r="F64" s="17"/>
      <c r="G64" s="16"/>
      <c r="H64" s="16"/>
      <c r="I64" s="12"/>
      <c r="J64" s="16"/>
      <c r="K64" s="16"/>
      <c r="L64" s="16"/>
      <c r="M64" s="16"/>
      <c r="N64" s="16"/>
      <c r="O64" s="12"/>
      <c r="P64" s="12"/>
      <c r="Q64" s="12"/>
      <c r="R64" s="16"/>
      <c r="S64" s="12"/>
      <c r="T64" s="13" t="str">
        <f aca="true">IF(C64="","",IF(Q64&lt;&gt;"",Q64-C64,TODAY()-C64))</f>
        <v/>
      </c>
      <c r="U64" s="14" t="str">
        <f aca="true">IF(OR(P64="",Q64&lt;&gt;"",N64="キャンセル"),"",P64-TODAY())</f>
        <v/>
      </c>
      <c r="V64" s="15" t="str">
        <f aca="true">IF(D64="","",IF(OR(N64="開通済",Q64&lt;&gt;""),"完了",IF(N64="キャンセル","―",IF(AND(S64&lt;&gt;"",S64&lt;TODAY()),"対応期限超過",IF(AND(P64&lt;&gt;"",P64&lt;TODAY()),"開通予定日超過",IF(AND(S64&lt;&gt;"",S64=TODAY()),"本日対応",IF(AND(P64&lt;&gt;"",P64-TODAY()&lt;=3),"開通間近","")))))))</f>
        <v/>
      </c>
      <c r="W64" s="16"/>
      <c r="X64" s="16"/>
    </row>
    <row r="65" customFormat="false" ht="15" hidden="false" customHeight="false" outlineLevel="0" collapsed="false">
      <c r="A65" s="7" t="str">
        <f aca="false">IF(D65="","",ROW()-3)</f>
        <v/>
      </c>
      <c r="B65" s="16"/>
      <c r="C65" s="12"/>
      <c r="D65" s="16"/>
      <c r="E65" s="16"/>
      <c r="F65" s="17"/>
      <c r="G65" s="16"/>
      <c r="H65" s="16"/>
      <c r="I65" s="12"/>
      <c r="J65" s="16"/>
      <c r="K65" s="16"/>
      <c r="L65" s="16"/>
      <c r="M65" s="16"/>
      <c r="N65" s="16"/>
      <c r="O65" s="12"/>
      <c r="P65" s="12"/>
      <c r="Q65" s="12"/>
      <c r="R65" s="16"/>
      <c r="S65" s="12"/>
      <c r="T65" s="13" t="str">
        <f aca="true">IF(C65="","",IF(Q65&lt;&gt;"",Q65-C65,TODAY()-C65))</f>
        <v/>
      </c>
      <c r="U65" s="14" t="str">
        <f aca="true">IF(OR(P65="",Q65&lt;&gt;"",N65="キャンセル"),"",P65-TODAY())</f>
        <v/>
      </c>
      <c r="V65" s="15" t="str">
        <f aca="true">IF(D65="","",IF(OR(N65="開通済",Q65&lt;&gt;""),"完了",IF(N65="キャンセル","―",IF(AND(S65&lt;&gt;"",S65&lt;TODAY()),"対応期限超過",IF(AND(P65&lt;&gt;"",P65&lt;TODAY()),"開通予定日超過",IF(AND(S65&lt;&gt;"",S65=TODAY()),"本日対応",IF(AND(P65&lt;&gt;"",P65-TODAY()&lt;=3),"開通間近","")))))))</f>
        <v/>
      </c>
      <c r="W65" s="16"/>
      <c r="X65" s="16"/>
    </row>
    <row r="66" customFormat="false" ht="15" hidden="false" customHeight="false" outlineLevel="0" collapsed="false">
      <c r="A66" s="7" t="str">
        <f aca="false">IF(D66="","",ROW()-3)</f>
        <v/>
      </c>
      <c r="B66" s="16"/>
      <c r="C66" s="12"/>
      <c r="D66" s="16"/>
      <c r="E66" s="16"/>
      <c r="F66" s="17"/>
      <c r="G66" s="16"/>
      <c r="H66" s="16"/>
      <c r="I66" s="12"/>
      <c r="J66" s="16"/>
      <c r="K66" s="16"/>
      <c r="L66" s="16"/>
      <c r="M66" s="16"/>
      <c r="N66" s="16"/>
      <c r="O66" s="12"/>
      <c r="P66" s="12"/>
      <c r="Q66" s="12"/>
      <c r="R66" s="16"/>
      <c r="S66" s="12"/>
      <c r="T66" s="13" t="str">
        <f aca="true">IF(C66="","",IF(Q66&lt;&gt;"",Q66-C66,TODAY()-C66))</f>
        <v/>
      </c>
      <c r="U66" s="14" t="str">
        <f aca="true">IF(OR(P66="",Q66&lt;&gt;"",N66="キャンセル"),"",P66-TODAY())</f>
        <v/>
      </c>
      <c r="V66" s="15" t="str">
        <f aca="true">IF(D66="","",IF(OR(N66="開通済",Q66&lt;&gt;""),"完了",IF(N66="キャンセル","―",IF(AND(S66&lt;&gt;"",S66&lt;TODAY()),"対応期限超過",IF(AND(P66&lt;&gt;"",P66&lt;TODAY()),"開通予定日超過",IF(AND(S66&lt;&gt;"",S66=TODAY()),"本日対応",IF(AND(P66&lt;&gt;"",P66-TODAY()&lt;=3),"開通間近","")))))))</f>
        <v/>
      </c>
      <c r="W66" s="16"/>
      <c r="X66" s="16"/>
    </row>
    <row r="67" customFormat="false" ht="15" hidden="false" customHeight="false" outlineLevel="0" collapsed="false">
      <c r="A67" s="7" t="str">
        <f aca="false">IF(D67="","",ROW()-3)</f>
        <v/>
      </c>
      <c r="B67" s="16"/>
      <c r="C67" s="12"/>
      <c r="D67" s="16"/>
      <c r="E67" s="16"/>
      <c r="F67" s="17"/>
      <c r="G67" s="16"/>
      <c r="H67" s="16"/>
      <c r="I67" s="12"/>
      <c r="J67" s="16"/>
      <c r="K67" s="16"/>
      <c r="L67" s="16"/>
      <c r="M67" s="16"/>
      <c r="N67" s="16"/>
      <c r="O67" s="12"/>
      <c r="P67" s="12"/>
      <c r="Q67" s="12"/>
      <c r="R67" s="16"/>
      <c r="S67" s="12"/>
      <c r="T67" s="13" t="str">
        <f aca="true">IF(C67="","",IF(Q67&lt;&gt;"",Q67-C67,TODAY()-C67))</f>
        <v/>
      </c>
      <c r="U67" s="14" t="str">
        <f aca="true">IF(OR(P67="",Q67&lt;&gt;"",N67="キャンセル"),"",P67-TODAY())</f>
        <v/>
      </c>
      <c r="V67" s="15" t="str">
        <f aca="true">IF(D67="","",IF(OR(N67="開通済",Q67&lt;&gt;""),"完了",IF(N67="キャンセル","―",IF(AND(S67&lt;&gt;"",S67&lt;TODAY()),"対応期限超過",IF(AND(P67&lt;&gt;"",P67&lt;TODAY()),"開通予定日超過",IF(AND(S67&lt;&gt;"",S67=TODAY()),"本日対応",IF(AND(P67&lt;&gt;"",P67-TODAY()&lt;=3),"開通間近","")))))))</f>
        <v/>
      </c>
      <c r="W67" s="16"/>
      <c r="X67" s="16"/>
    </row>
    <row r="68" customFormat="false" ht="15" hidden="false" customHeight="false" outlineLevel="0" collapsed="false">
      <c r="A68" s="7" t="str">
        <f aca="false">IF(D68="","",ROW()-3)</f>
        <v/>
      </c>
      <c r="B68" s="16"/>
      <c r="C68" s="12"/>
      <c r="D68" s="16"/>
      <c r="E68" s="16"/>
      <c r="F68" s="17"/>
      <c r="G68" s="16"/>
      <c r="H68" s="16"/>
      <c r="I68" s="12"/>
      <c r="J68" s="16"/>
      <c r="K68" s="16"/>
      <c r="L68" s="16"/>
      <c r="M68" s="16"/>
      <c r="N68" s="16"/>
      <c r="O68" s="12"/>
      <c r="P68" s="12"/>
      <c r="Q68" s="12"/>
      <c r="R68" s="16"/>
      <c r="S68" s="12"/>
      <c r="T68" s="13" t="str">
        <f aca="true">IF(C68="","",IF(Q68&lt;&gt;"",Q68-C68,TODAY()-C68))</f>
        <v/>
      </c>
      <c r="U68" s="14" t="str">
        <f aca="true">IF(OR(P68="",Q68&lt;&gt;"",N68="キャンセル"),"",P68-TODAY())</f>
        <v/>
      </c>
      <c r="V68" s="15" t="str">
        <f aca="true">IF(D68="","",IF(OR(N68="開通済",Q68&lt;&gt;""),"完了",IF(N68="キャンセル","―",IF(AND(S68&lt;&gt;"",S68&lt;TODAY()),"対応期限超過",IF(AND(P68&lt;&gt;"",P68&lt;TODAY()),"開通予定日超過",IF(AND(S68&lt;&gt;"",S68=TODAY()),"本日対応",IF(AND(P68&lt;&gt;"",P68-TODAY()&lt;=3),"開通間近","")))))))</f>
        <v/>
      </c>
      <c r="W68" s="16"/>
      <c r="X68" s="16"/>
    </row>
    <row r="69" customFormat="false" ht="15" hidden="false" customHeight="false" outlineLevel="0" collapsed="false">
      <c r="A69" s="7" t="str">
        <f aca="false">IF(D69="","",ROW()-3)</f>
        <v/>
      </c>
      <c r="B69" s="16"/>
      <c r="C69" s="12"/>
      <c r="D69" s="16"/>
      <c r="E69" s="16"/>
      <c r="F69" s="17"/>
      <c r="G69" s="16"/>
      <c r="H69" s="16"/>
      <c r="I69" s="12"/>
      <c r="J69" s="16"/>
      <c r="K69" s="16"/>
      <c r="L69" s="16"/>
      <c r="M69" s="16"/>
      <c r="N69" s="16"/>
      <c r="O69" s="12"/>
      <c r="P69" s="12"/>
      <c r="Q69" s="12"/>
      <c r="R69" s="16"/>
      <c r="S69" s="12"/>
      <c r="T69" s="13" t="str">
        <f aca="true">IF(C69="","",IF(Q69&lt;&gt;"",Q69-C69,TODAY()-C69))</f>
        <v/>
      </c>
      <c r="U69" s="14" t="str">
        <f aca="true">IF(OR(P69="",Q69&lt;&gt;"",N69="キャンセル"),"",P69-TODAY())</f>
        <v/>
      </c>
      <c r="V69" s="15" t="str">
        <f aca="true">IF(D69="","",IF(OR(N69="開通済",Q69&lt;&gt;""),"完了",IF(N69="キャンセル","―",IF(AND(S69&lt;&gt;"",S69&lt;TODAY()),"対応期限超過",IF(AND(P69&lt;&gt;"",P69&lt;TODAY()),"開通予定日超過",IF(AND(S69&lt;&gt;"",S69=TODAY()),"本日対応",IF(AND(P69&lt;&gt;"",P69-TODAY()&lt;=3),"開通間近","")))))))</f>
        <v/>
      </c>
      <c r="W69" s="16"/>
      <c r="X69" s="16"/>
    </row>
    <row r="70" customFormat="false" ht="15" hidden="false" customHeight="false" outlineLevel="0" collapsed="false">
      <c r="A70" s="7" t="str">
        <f aca="false">IF(D70="","",ROW()-3)</f>
        <v/>
      </c>
      <c r="B70" s="16"/>
      <c r="C70" s="12"/>
      <c r="D70" s="16"/>
      <c r="E70" s="16"/>
      <c r="F70" s="17"/>
      <c r="G70" s="16"/>
      <c r="H70" s="16"/>
      <c r="I70" s="12"/>
      <c r="J70" s="16"/>
      <c r="K70" s="16"/>
      <c r="L70" s="16"/>
      <c r="M70" s="16"/>
      <c r="N70" s="16"/>
      <c r="O70" s="12"/>
      <c r="P70" s="12"/>
      <c r="Q70" s="12"/>
      <c r="R70" s="16"/>
      <c r="S70" s="12"/>
      <c r="T70" s="13" t="str">
        <f aca="true">IF(C70="","",IF(Q70&lt;&gt;"",Q70-C70,TODAY()-C70))</f>
        <v/>
      </c>
      <c r="U70" s="14" t="str">
        <f aca="true">IF(OR(P70="",Q70&lt;&gt;"",N70="キャンセル"),"",P70-TODAY())</f>
        <v/>
      </c>
      <c r="V70" s="15" t="str">
        <f aca="true">IF(D70="","",IF(OR(N70="開通済",Q70&lt;&gt;""),"完了",IF(N70="キャンセル","―",IF(AND(S70&lt;&gt;"",S70&lt;TODAY()),"対応期限超過",IF(AND(P70&lt;&gt;"",P70&lt;TODAY()),"開通予定日超過",IF(AND(S70&lt;&gt;"",S70=TODAY()),"本日対応",IF(AND(P70&lt;&gt;"",P70-TODAY()&lt;=3),"開通間近","")))))))</f>
        <v/>
      </c>
      <c r="W70" s="16"/>
      <c r="X70" s="16"/>
    </row>
    <row r="71" customFormat="false" ht="15" hidden="false" customHeight="false" outlineLevel="0" collapsed="false">
      <c r="A71" s="7" t="str">
        <f aca="false">IF(D71="","",ROW()-3)</f>
        <v/>
      </c>
      <c r="B71" s="16"/>
      <c r="C71" s="12"/>
      <c r="D71" s="16"/>
      <c r="E71" s="16"/>
      <c r="F71" s="17"/>
      <c r="G71" s="16"/>
      <c r="H71" s="16"/>
      <c r="I71" s="12"/>
      <c r="J71" s="16"/>
      <c r="K71" s="16"/>
      <c r="L71" s="16"/>
      <c r="M71" s="16"/>
      <c r="N71" s="16"/>
      <c r="O71" s="12"/>
      <c r="P71" s="12"/>
      <c r="Q71" s="12"/>
      <c r="R71" s="16"/>
      <c r="S71" s="12"/>
      <c r="T71" s="13" t="str">
        <f aca="true">IF(C71="","",IF(Q71&lt;&gt;"",Q71-C71,TODAY()-C71))</f>
        <v/>
      </c>
      <c r="U71" s="14" t="str">
        <f aca="true">IF(OR(P71="",Q71&lt;&gt;"",N71="キャンセル"),"",P71-TODAY())</f>
        <v/>
      </c>
      <c r="V71" s="15" t="str">
        <f aca="true">IF(D71="","",IF(OR(N71="開通済",Q71&lt;&gt;""),"完了",IF(N71="キャンセル","―",IF(AND(S71&lt;&gt;"",S71&lt;TODAY()),"対応期限超過",IF(AND(P71&lt;&gt;"",P71&lt;TODAY()),"開通予定日超過",IF(AND(S71&lt;&gt;"",S71=TODAY()),"本日対応",IF(AND(P71&lt;&gt;"",P71-TODAY()&lt;=3),"開通間近","")))))))</f>
        <v/>
      </c>
      <c r="W71" s="16"/>
      <c r="X71" s="16"/>
    </row>
    <row r="72" customFormat="false" ht="15" hidden="false" customHeight="false" outlineLevel="0" collapsed="false">
      <c r="A72" s="7" t="str">
        <f aca="false">IF(D72="","",ROW()-3)</f>
        <v/>
      </c>
      <c r="B72" s="16"/>
      <c r="C72" s="12"/>
      <c r="D72" s="16"/>
      <c r="E72" s="16"/>
      <c r="F72" s="17"/>
      <c r="G72" s="16"/>
      <c r="H72" s="16"/>
      <c r="I72" s="12"/>
      <c r="J72" s="16"/>
      <c r="K72" s="16"/>
      <c r="L72" s="16"/>
      <c r="M72" s="16"/>
      <c r="N72" s="16"/>
      <c r="O72" s="12"/>
      <c r="P72" s="12"/>
      <c r="Q72" s="12"/>
      <c r="R72" s="16"/>
      <c r="S72" s="12"/>
      <c r="T72" s="13" t="str">
        <f aca="true">IF(C72="","",IF(Q72&lt;&gt;"",Q72-C72,TODAY()-C72))</f>
        <v/>
      </c>
      <c r="U72" s="14" t="str">
        <f aca="true">IF(OR(P72="",Q72&lt;&gt;"",N72="キャンセル"),"",P72-TODAY())</f>
        <v/>
      </c>
      <c r="V72" s="15" t="str">
        <f aca="true">IF(D72="","",IF(OR(N72="開通済",Q72&lt;&gt;""),"完了",IF(N72="キャンセル","―",IF(AND(S72&lt;&gt;"",S72&lt;TODAY()),"対応期限超過",IF(AND(P72&lt;&gt;"",P72&lt;TODAY()),"開通予定日超過",IF(AND(S72&lt;&gt;"",S72=TODAY()),"本日対応",IF(AND(P72&lt;&gt;"",P72-TODAY()&lt;=3),"開通間近","")))))))</f>
        <v/>
      </c>
      <c r="W72" s="16"/>
      <c r="X72" s="16"/>
    </row>
    <row r="73" customFormat="false" ht="15" hidden="false" customHeight="false" outlineLevel="0" collapsed="false">
      <c r="A73" s="7" t="str">
        <f aca="false">IF(D73="","",ROW()-3)</f>
        <v/>
      </c>
      <c r="B73" s="16"/>
      <c r="C73" s="12"/>
      <c r="D73" s="16"/>
      <c r="E73" s="16"/>
      <c r="F73" s="17"/>
      <c r="G73" s="16"/>
      <c r="H73" s="16"/>
      <c r="I73" s="12"/>
      <c r="J73" s="16"/>
      <c r="K73" s="16"/>
      <c r="L73" s="16"/>
      <c r="M73" s="16"/>
      <c r="N73" s="16"/>
      <c r="O73" s="12"/>
      <c r="P73" s="12"/>
      <c r="Q73" s="12"/>
      <c r="R73" s="16"/>
      <c r="S73" s="12"/>
      <c r="T73" s="13" t="str">
        <f aca="true">IF(C73="","",IF(Q73&lt;&gt;"",Q73-C73,TODAY()-C73))</f>
        <v/>
      </c>
      <c r="U73" s="14" t="str">
        <f aca="true">IF(OR(P73="",Q73&lt;&gt;"",N73="キャンセル"),"",P73-TODAY())</f>
        <v/>
      </c>
      <c r="V73" s="15" t="str">
        <f aca="true">IF(D73="","",IF(OR(N73="開通済",Q73&lt;&gt;""),"完了",IF(N73="キャンセル","―",IF(AND(S73&lt;&gt;"",S73&lt;TODAY()),"対応期限超過",IF(AND(P73&lt;&gt;"",P73&lt;TODAY()),"開通予定日超過",IF(AND(S73&lt;&gt;"",S73=TODAY()),"本日対応",IF(AND(P73&lt;&gt;"",P73-TODAY()&lt;=3),"開通間近","")))))))</f>
        <v/>
      </c>
      <c r="W73" s="16"/>
      <c r="X73" s="16"/>
    </row>
    <row r="74" customFormat="false" ht="15" hidden="false" customHeight="false" outlineLevel="0" collapsed="false">
      <c r="A74" s="7" t="str">
        <f aca="false">IF(D74="","",ROW()-3)</f>
        <v/>
      </c>
      <c r="B74" s="16"/>
      <c r="C74" s="12"/>
      <c r="D74" s="16"/>
      <c r="E74" s="16"/>
      <c r="F74" s="17"/>
      <c r="G74" s="16"/>
      <c r="H74" s="16"/>
      <c r="I74" s="12"/>
      <c r="J74" s="16"/>
      <c r="K74" s="16"/>
      <c r="L74" s="16"/>
      <c r="M74" s="16"/>
      <c r="N74" s="16"/>
      <c r="O74" s="12"/>
      <c r="P74" s="12"/>
      <c r="Q74" s="12"/>
      <c r="R74" s="16"/>
      <c r="S74" s="12"/>
      <c r="T74" s="13" t="str">
        <f aca="true">IF(C74="","",IF(Q74&lt;&gt;"",Q74-C74,TODAY()-C74))</f>
        <v/>
      </c>
      <c r="U74" s="14" t="str">
        <f aca="true">IF(OR(P74="",Q74&lt;&gt;"",N74="キャンセル"),"",P74-TODAY())</f>
        <v/>
      </c>
      <c r="V74" s="15" t="str">
        <f aca="true">IF(D74="","",IF(OR(N74="開通済",Q74&lt;&gt;""),"完了",IF(N74="キャンセル","―",IF(AND(S74&lt;&gt;"",S74&lt;TODAY()),"対応期限超過",IF(AND(P74&lt;&gt;"",P74&lt;TODAY()),"開通予定日超過",IF(AND(S74&lt;&gt;"",S74=TODAY()),"本日対応",IF(AND(P74&lt;&gt;"",P74-TODAY()&lt;=3),"開通間近","")))))))</f>
        <v/>
      </c>
      <c r="W74" s="16"/>
      <c r="X74" s="16"/>
    </row>
    <row r="75" customFormat="false" ht="15" hidden="false" customHeight="false" outlineLevel="0" collapsed="false">
      <c r="A75" s="7" t="str">
        <f aca="false">IF(D75="","",ROW()-3)</f>
        <v/>
      </c>
      <c r="B75" s="16"/>
      <c r="C75" s="12"/>
      <c r="D75" s="16"/>
      <c r="E75" s="16"/>
      <c r="F75" s="17"/>
      <c r="G75" s="16"/>
      <c r="H75" s="16"/>
      <c r="I75" s="12"/>
      <c r="J75" s="16"/>
      <c r="K75" s="16"/>
      <c r="L75" s="16"/>
      <c r="M75" s="16"/>
      <c r="N75" s="16"/>
      <c r="O75" s="12"/>
      <c r="P75" s="12"/>
      <c r="Q75" s="12"/>
      <c r="R75" s="16"/>
      <c r="S75" s="12"/>
      <c r="T75" s="13" t="str">
        <f aca="true">IF(C75="","",IF(Q75&lt;&gt;"",Q75-C75,TODAY()-C75))</f>
        <v/>
      </c>
      <c r="U75" s="14" t="str">
        <f aca="true">IF(OR(P75="",Q75&lt;&gt;"",N75="キャンセル"),"",P75-TODAY())</f>
        <v/>
      </c>
      <c r="V75" s="15" t="str">
        <f aca="true">IF(D75="","",IF(OR(N75="開通済",Q75&lt;&gt;""),"完了",IF(N75="キャンセル","―",IF(AND(S75&lt;&gt;"",S75&lt;TODAY()),"対応期限超過",IF(AND(P75&lt;&gt;"",P75&lt;TODAY()),"開通予定日超過",IF(AND(S75&lt;&gt;"",S75=TODAY()),"本日対応",IF(AND(P75&lt;&gt;"",P75-TODAY()&lt;=3),"開通間近","")))))))</f>
        <v/>
      </c>
      <c r="W75" s="16"/>
      <c r="X75" s="16"/>
    </row>
    <row r="76" customFormat="false" ht="15" hidden="false" customHeight="false" outlineLevel="0" collapsed="false">
      <c r="A76" s="7" t="str">
        <f aca="false">IF(D76="","",ROW()-3)</f>
        <v/>
      </c>
      <c r="B76" s="16"/>
      <c r="C76" s="12"/>
      <c r="D76" s="16"/>
      <c r="E76" s="16"/>
      <c r="F76" s="17"/>
      <c r="G76" s="16"/>
      <c r="H76" s="16"/>
      <c r="I76" s="12"/>
      <c r="J76" s="16"/>
      <c r="K76" s="16"/>
      <c r="L76" s="16"/>
      <c r="M76" s="16"/>
      <c r="N76" s="16"/>
      <c r="O76" s="12"/>
      <c r="P76" s="12"/>
      <c r="Q76" s="12"/>
      <c r="R76" s="16"/>
      <c r="S76" s="12"/>
      <c r="T76" s="13" t="str">
        <f aca="true">IF(C76="","",IF(Q76&lt;&gt;"",Q76-C76,TODAY()-C76))</f>
        <v/>
      </c>
      <c r="U76" s="14" t="str">
        <f aca="true">IF(OR(P76="",Q76&lt;&gt;"",N76="キャンセル"),"",P76-TODAY())</f>
        <v/>
      </c>
      <c r="V76" s="15" t="str">
        <f aca="true">IF(D76="","",IF(OR(N76="開通済",Q76&lt;&gt;""),"完了",IF(N76="キャンセル","―",IF(AND(S76&lt;&gt;"",S76&lt;TODAY()),"対応期限超過",IF(AND(P76&lt;&gt;"",P76&lt;TODAY()),"開通予定日超過",IF(AND(S76&lt;&gt;"",S76=TODAY()),"本日対応",IF(AND(P76&lt;&gt;"",P76-TODAY()&lt;=3),"開通間近","")))))))</f>
        <v/>
      </c>
      <c r="W76" s="16"/>
      <c r="X76" s="16"/>
    </row>
    <row r="77" customFormat="false" ht="15" hidden="false" customHeight="false" outlineLevel="0" collapsed="false">
      <c r="A77" s="7" t="str">
        <f aca="false">IF(D77="","",ROW()-3)</f>
        <v/>
      </c>
      <c r="B77" s="16"/>
      <c r="C77" s="12"/>
      <c r="D77" s="16"/>
      <c r="E77" s="16"/>
      <c r="F77" s="17"/>
      <c r="G77" s="16"/>
      <c r="H77" s="16"/>
      <c r="I77" s="12"/>
      <c r="J77" s="16"/>
      <c r="K77" s="16"/>
      <c r="L77" s="16"/>
      <c r="M77" s="16"/>
      <c r="N77" s="16"/>
      <c r="O77" s="12"/>
      <c r="P77" s="12"/>
      <c r="Q77" s="12"/>
      <c r="R77" s="16"/>
      <c r="S77" s="12"/>
      <c r="T77" s="13" t="str">
        <f aca="true">IF(C77="","",IF(Q77&lt;&gt;"",Q77-C77,TODAY()-C77))</f>
        <v/>
      </c>
      <c r="U77" s="14" t="str">
        <f aca="true">IF(OR(P77="",Q77&lt;&gt;"",N77="キャンセル"),"",P77-TODAY())</f>
        <v/>
      </c>
      <c r="V77" s="15" t="str">
        <f aca="true">IF(D77="","",IF(OR(N77="開通済",Q77&lt;&gt;""),"完了",IF(N77="キャンセル","―",IF(AND(S77&lt;&gt;"",S77&lt;TODAY()),"対応期限超過",IF(AND(P77&lt;&gt;"",P77&lt;TODAY()),"開通予定日超過",IF(AND(S77&lt;&gt;"",S77=TODAY()),"本日対応",IF(AND(P77&lt;&gt;"",P77-TODAY()&lt;=3),"開通間近","")))))))</f>
        <v/>
      </c>
      <c r="W77" s="16"/>
      <c r="X77" s="16"/>
    </row>
    <row r="78" customFormat="false" ht="15" hidden="false" customHeight="false" outlineLevel="0" collapsed="false">
      <c r="A78" s="7" t="str">
        <f aca="false">IF(D78="","",ROW()-3)</f>
        <v/>
      </c>
      <c r="B78" s="16"/>
      <c r="C78" s="12"/>
      <c r="D78" s="16"/>
      <c r="E78" s="16"/>
      <c r="F78" s="17"/>
      <c r="G78" s="16"/>
      <c r="H78" s="16"/>
      <c r="I78" s="12"/>
      <c r="J78" s="16"/>
      <c r="K78" s="16"/>
      <c r="L78" s="16"/>
      <c r="M78" s="16"/>
      <c r="N78" s="16"/>
      <c r="O78" s="12"/>
      <c r="P78" s="12"/>
      <c r="Q78" s="12"/>
      <c r="R78" s="16"/>
      <c r="S78" s="12"/>
      <c r="T78" s="13" t="str">
        <f aca="true">IF(C78="","",IF(Q78&lt;&gt;"",Q78-C78,TODAY()-C78))</f>
        <v/>
      </c>
      <c r="U78" s="14" t="str">
        <f aca="true">IF(OR(P78="",Q78&lt;&gt;"",N78="キャンセル"),"",P78-TODAY())</f>
        <v/>
      </c>
      <c r="V78" s="15" t="str">
        <f aca="true">IF(D78="","",IF(OR(N78="開通済",Q78&lt;&gt;""),"完了",IF(N78="キャンセル","―",IF(AND(S78&lt;&gt;"",S78&lt;TODAY()),"対応期限超過",IF(AND(P78&lt;&gt;"",P78&lt;TODAY()),"開通予定日超過",IF(AND(S78&lt;&gt;"",S78=TODAY()),"本日対応",IF(AND(P78&lt;&gt;"",P78-TODAY()&lt;=3),"開通間近","")))))))</f>
        <v/>
      </c>
      <c r="W78" s="16"/>
      <c r="X78" s="16"/>
    </row>
    <row r="79" customFormat="false" ht="15" hidden="false" customHeight="false" outlineLevel="0" collapsed="false">
      <c r="A79" s="7" t="str">
        <f aca="false">IF(D79="","",ROW()-3)</f>
        <v/>
      </c>
      <c r="B79" s="16"/>
      <c r="C79" s="12"/>
      <c r="D79" s="16"/>
      <c r="E79" s="16"/>
      <c r="F79" s="17"/>
      <c r="G79" s="16"/>
      <c r="H79" s="16"/>
      <c r="I79" s="12"/>
      <c r="J79" s="16"/>
      <c r="K79" s="16"/>
      <c r="L79" s="16"/>
      <c r="M79" s="16"/>
      <c r="N79" s="16"/>
      <c r="O79" s="12"/>
      <c r="P79" s="12"/>
      <c r="Q79" s="12"/>
      <c r="R79" s="16"/>
      <c r="S79" s="12"/>
      <c r="T79" s="13" t="str">
        <f aca="true">IF(C79="","",IF(Q79&lt;&gt;"",Q79-C79,TODAY()-C79))</f>
        <v/>
      </c>
      <c r="U79" s="14" t="str">
        <f aca="true">IF(OR(P79="",Q79&lt;&gt;"",N79="キャンセル"),"",P79-TODAY())</f>
        <v/>
      </c>
      <c r="V79" s="15" t="str">
        <f aca="true">IF(D79="","",IF(OR(N79="開通済",Q79&lt;&gt;""),"完了",IF(N79="キャンセル","―",IF(AND(S79&lt;&gt;"",S79&lt;TODAY()),"対応期限超過",IF(AND(P79&lt;&gt;"",P79&lt;TODAY()),"開通予定日超過",IF(AND(S79&lt;&gt;"",S79=TODAY()),"本日対応",IF(AND(P79&lt;&gt;"",P79-TODAY()&lt;=3),"開通間近","")))))))</f>
        <v/>
      </c>
      <c r="W79" s="16"/>
      <c r="X79" s="16"/>
    </row>
    <row r="80" customFormat="false" ht="15" hidden="false" customHeight="false" outlineLevel="0" collapsed="false">
      <c r="A80" s="7" t="str">
        <f aca="false">IF(D80="","",ROW()-3)</f>
        <v/>
      </c>
      <c r="B80" s="16"/>
      <c r="C80" s="12"/>
      <c r="D80" s="16"/>
      <c r="E80" s="16"/>
      <c r="F80" s="17"/>
      <c r="G80" s="16"/>
      <c r="H80" s="16"/>
      <c r="I80" s="12"/>
      <c r="J80" s="16"/>
      <c r="K80" s="16"/>
      <c r="L80" s="16"/>
      <c r="M80" s="16"/>
      <c r="N80" s="16"/>
      <c r="O80" s="12"/>
      <c r="P80" s="12"/>
      <c r="Q80" s="12"/>
      <c r="R80" s="16"/>
      <c r="S80" s="12"/>
      <c r="T80" s="13" t="str">
        <f aca="true">IF(C80="","",IF(Q80&lt;&gt;"",Q80-C80,TODAY()-C80))</f>
        <v/>
      </c>
      <c r="U80" s="14" t="str">
        <f aca="true">IF(OR(P80="",Q80&lt;&gt;"",N80="キャンセル"),"",P80-TODAY())</f>
        <v/>
      </c>
      <c r="V80" s="15" t="str">
        <f aca="true">IF(D80="","",IF(OR(N80="開通済",Q80&lt;&gt;""),"完了",IF(N80="キャンセル","―",IF(AND(S80&lt;&gt;"",S80&lt;TODAY()),"対応期限超過",IF(AND(P80&lt;&gt;"",P80&lt;TODAY()),"開通予定日超過",IF(AND(S80&lt;&gt;"",S80=TODAY()),"本日対応",IF(AND(P80&lt;&gt;"",P80-TODAY()&lt;=3),"開通間近","")))))))</f>
        <v/>
      </c>
      <c r="W80" s="16"/>
      <c r="X80" s="16"/>
    </row>
    <row r="81" customFormat="false" ht="15" hidden="false" customHeight="false" outlineLevel="0" collapsed="false">
      <c r="A81" s="7" t="str">
        <f aca="false">IF(D81="","",ROW()-3)</f>
        <v/>
      </c>
      <c r="B81" s="16"/>
      <c r="C81" s="12"/>
      <c r="D81" s="16"/>
      <c r="E81" s="16"/>
      <c r="F81" s="17"/>
      <c r="G81" s="16"/>
      <c r="H81" s="16"/>
      <c r="I81" s="12"/>
      <c r="J81" s="16"/>
      <c r="K81" s="16"/>
      <c r="L81" s="16"/>
      <c r="M81" s="16"/>
      <c r="N81" s="16"/>
      <c r="O81" s="12"/>
      <c r="P81" s="12"/>
      <c r="Q81" s="12"/>
      <c r="R81" s="16"/>
      <c r="S81" s="12"/>
      <c r="T81" s="13" t="str">
        <f aca="true">IF(C81="","",IF(Q81&lt;&gt;"",Q81-C81,TODAY()-C81))</f>
        <v/>
      </c>
      <c r="U81" s="14" t="str">
        <f aca="true">IF(OR(P81="",Q81&lt;&gt;"",N81="キャンセル"),"",P81-TODAY())</f>
        <v/>
      </c>
      <c r="V81" s="15" t="str">
        <f aca="true">IF(D81="","",IF(OR(N81="開通済",Q81&lt;&gt;""),"完了",IF(N81="キャンセル","―",IF(AND(S81&lt;&gt;"",S81&lt;TODAY()),"対応期限超過",IF(AND(P81&lt;&gt;"",P81&lt;TODAY()),"開通予定日超過",IF(AND(S81&lt;&gt;"",S81=TODAY()),"本日対応",IF(AND(P81&lt;&gt;"",P81-TODAY()&lt;=3),"開通間近","")))))))</f>
        <v/>
      </c>
      <c r="W81" s="16"/>
      <c r="X81" s="16"/>
    </row>
    <row r="82" customFormat="false" ht="15" hidden="false" customHeight="false" outlineLevel="0" collapsed="false">
      <c r="A82" s="7" t="str">
        <f aca="false">IF(D82="","",ROW()-3)</f>
        <v/>
      </c>
      <c r="B82" s="16"/>
      <c r="C82" s="12"/>
      <c r="D82" s="16"/>
      <c r="E82" s="16"/>
      <c r="F82" s="17"/>
      <c r="G82" s="16"/>
      <c r="H82" s="16"/>
      <c r="I82" s="12"/>
      <c r="J82" s="16"/>
      <c r="K82" s="16"/>
      <c r="L82" s="16"/>
      <c r="M82" s="16"/>
      <c r="N82" s="16"/>
      <c r="O82" s="12"/>
      <c r="P82" s="12"/>
      <c r="Q82" s="12"/>
      <c r="R82" s="16"/>
      <c r="S82" s="12"/>
      <c r="T82" s="13" t="str">
        <f aca="true">IF(C82="","",IF(Q82&lt;&gt;"",Q82-C82,TODAY()-C82))</f>
        <v/>
      </c>
      <c r="U82" s="14" t="str">
        <f aca="true">IF(OR(P82="",Q82&lt;&gt;"",N82="キャンセル"),"",P82-TODAY())</f>
        <v/>
      </c>
      <c r="V82" s="15" t="str">
        <f aca="true">IF(D82="","",IF(OR(N82="開通済",Q82&lt;&gt;""),"完了",IF(N82="キャンセル","―",IF(AND(S82&lt;&gt;"",S82&lt;TODAY()),"対応期限超過",IF(AND(P82&lt;&gt;"",P82&lt;TODAY()),"開通予定日超過",IF(AND(S82&lt;&gt;"",S82=TODAY()),"本日対応",IF(AND(P82&lt;&gt;"",P82-TODAY()&lt;=3),"開通間近","")))))))</f>
        <v/>
      </c>
      <c r="W82" s="16"/>
      <c r="X82" s="16"/>
    </row>
    <row r="83" customFormat="false" ht="15" hidden="false" customHeight="false" outlineLevel="0" collapsed="false">
      <c r="A83" s="7" t="str">
        <f aca="false">IF(D83="","",ROW()-3)</f>
        <v/>
      </c>
      <c r="B83" s="16"/>
      <c r="C83" s="12"/>
      <c r="D83" s="16"/>
      <c r="E83" s="16"/>
      <c r="F83" s="17"/>
      <c r="G83" s="16"/>
      <c r="H83" s="16"/>
      <c r="I83" s="12"/>
      <c r="J83" s="16"/>
      <c r="K83" s="16"/>
      <c r="L83" s="16"/>
      <c r="M83" s="16"/>
      <c r="N83" s="16"/>
      <c r="O83" s="12"/>
      <c r="P83" s="12"/>
      <c r="Q83" s="12"/>
      <c r="R83" s="16"/>
      <c r="S83" s="12"/>
      <c r="T83" s="13" t="str">
        <f aca="true">IF(C83="","",IF(Q83&lt;&gt;"",Q83-C83,TODAY()-C83))</f>
        <v/>
      </c>
      <c r="U83" s="14" t="str">
        <f aca="true">IF(OR(P83="",Q83&lt;&gt;"",N83="キャンセル"),"",P83-TODAY())</f>
        <v/>
      </c>
      <c r="V83" s="15" t="str">
        <f aca="true">IF(D83="","",IF(OR(N83="開通済",Q83&lt;&gt;""),"完了",IF(N83="キャンセル","―",IF(AND(S83&lt;&gt;"",S83&lt;TODAY()),"対応期限超過",IF(AND(P83&lt;&gt;"",P83&lt;TODAY()),"開通予定日超過",IF(AND(S83&lt;&gt;"",S83=TODAY()),"本日対応",IF(AND(P83&lt;&gt;"",P83-TODAY()&lt;=3),"開通間近","")))))))</f>
        <v/>
      </c>
      <c r="W83" s="16"/>
      <c r="X83" s="16"/>
    </row>
    <row r="84" customFormat="false" ht="15" hidden="false" customHeight="false" outlineLevel="0" collapsed="false">
      <c r="A84" s="7" t="str">
        <f aca="false">IF(D84="","",ROW()-3)</f>
        <v/>
      </c>
      <c r="B84" s="16"/>
      <c r="C84" s="12"/>
      <c r="D84" s="16"/>
      <c r="E84" s="16"/>
      <c r="F84" s="17"/>
      <c r="G84" s="16"/>
      <c r="H84" s="16"/>
      <c r="I84" s="12"/>
      <c r="J84" s="16"/>
      <c r="K84" s="16"/>
      <c r="L84" s="16"/>
      <c r="M84" s="16"/>
      <c r="N84" s="16"/>
      <c r="O84" s="12"/>
      <c r="P84" s="12"/>
      <c r="Q84" s="12"/>
      <c r="R84" s="16"/>
      <c r="S84" s="12"/>
      <c r="T84" s="13" t="str">
        <f aca="true">IF(C84="","",IF(Q84&lt;&gt;"",Q84-C84,TODAY()-C84))</f>
        <v/>
      </c>
      <c r="U84" s="14" t="str">
        <f aca="true">IF(OR(P84="",Q84&lt;&gt;"",N84="キャンセル"),"",P84-TODAY())</f>
        <v/>
      </c>
      <c r="V84" s="15" t="str">
        <f aca="true">IF(D84="","",IF(OR(N84="開通済",Q84&lt;&gt;""),"完了",IF(N84="キャンセル","―",IF(AND(S84&lt;&gt;"",S84&lt;TODAY()),"対応期限超過",IF(AND(P84&lt;&gt;"",P84&lt;TODAY()),"開通予定日超過",IF(AND(S84&lt;&gt;"",S84=TODAY()),"本日対応",IF(AND(P84&lt;&gt;"",P84-TODAY()&lt;=3),"開通間近","")))))))</f>
        <v/>
      </c>
      <c r="W84" s="16"/>
      <c r="X84" s="16"/>
    </row>
    <row r="85" customFormat="false" ht="15" hidden="false" customHeight="false" outlineLevel="0" collapsed="false">
      <c r="A85" s="7" t="str">
        <f aca="false">IF(D85="","",ROW()-3)</f>
        <v/>
      </c>
      <c r="B85" s="16"/>
      <c r="C85" s="12"/>
      <c r="D85" s="16"/>
      <c r="E85" s="16"/>
      <c r="F85" s="17"/>
      <c r="G85" s="16"/>
      <c r="H85" s="16"/>
      <c r="I85" s="12"/>
      <c r="J85" s="16"/>
      <c r="K85" s="16"/>
      <c r="L85" s="16"/>
      <c r="M85" s="16"/>
      <c r="N85" s="16"/>
      <c r="O85" s="12"/>
      <c r="P85" s="12"/>
      <c r="Q85" s="12"/>
      <c r="R85" s="16"/>
      <c r="S85" s="12"/>
      <c r="T85" s="13" t="str">
        <f aca="true">IF(C85="","",IF(Q85&lt;&gt;"",Q85-C85,TODAY()-C85))</f>
        <v/>
      </c>
      <c r="U85" s="14" t="str">
        <f aca="true">IF(OR(P85="",Q85&lt;&gt;"",N85="キャンセル"),"",P85-TODAY())</f>
        <v/>
      </c>
      <c r="V85" s="15" t="str">
        <f aca="true">IF(D85="","",IF(OR(N85="開通済",Q85&lt;&gt;""),"完了",IF(N85="キャンセル","―",IF(AND(S85&lt;&gt;"",S85&lt;TODAY()),"対応期限超過",IF(AND(P85&lt;&gt;"",P85&lt;TODAY()),"開通予定日超過",IF(AND(S85&lt;&gt;"",S85=TODAY()),"本日対応",IF(AND(P85&lt;&gt;"",P85-TODAY()&lt;=3),"開通間近","")))))))</f>
        <v/>
      </c>
      <c r="W85" s="16"/>
      <c r="X85" s="16"/>
    </row>
    <row r="86" customFormat="false" ht="15" hidden="false" customHeight="false" outlineLevel="0" collapsed="false">
      <c r="A86" s="7" t="str">
        <f aca="false">IF(D86="","",ROW()-3)</f>
        <v/>
      </c>
      <c r="B86" s="16"/>
      <c r="C86" s="12"/>
      <c r="D86" s="16"/>
      <c r="E86" s="16"/>
      <c r="F86" s="17"/>
      <c r="G86" s="16"/>
      <c r="H86" s="16"/>
      <c r="I86" s="12"/>
      <c r="J86" s="16"/>
      <c r="K86" s="16"/>
      <c r="L86" s="16"/>
      <c r="M86" s="16"/>
      <c r="N86" s="16"/>
      <c r="O86" s="12"/>
      <c r="P86" s="12"/>
      <c r="Q86" s="12"/>
      <c r="R86" s="16"/>
      <c r="S86" s="12"/>
      <c r="T86" s="13" t="str">
        <f aca="true">IF(C86="","",IF(Q86&lt;&gt;"",Q86-C86,TODAY()-C86))</f>
        <v/>
      </c>
      <c r="U86" s="14" t="str">
        <f aca="true">IF(OR(P86="",Q86&lt;&gt;"",N86="キャンセル"),"",P86-TODAY())</f>
        <v/>
      </c>
      <c r="V86" s="15" t="str">
        <f aca="true">IF(D86="","",IF(OR(N86="開通済",Q86&lt;&gt;""),"完了",IF(N86="キャンセル","―",IF(AND(S86&lt;&gt;"",S86&lt;TODAY()),"対応期限超過",IF(AND(P86&lt;&gt;"",P86&lt;TODAY()),"開通予定日超過",IF(AND(S86&lt;&gt;"",S86=TODAY()),"本日対応",IF(AND(P86&lt;&gt;"",P86-TODAY()&lt;=3),"開通間近","")))))))</f>
        <v/>
      </c>
      <c r="W86" s="16"/>
      <c r="X86" s="16"/>
    </row>
    <row r="87" customFormat="false" ht="15" hidden="false" customHeight="false" outlineLevel="0" collapsed="false">
      <c r="A87" s="7" t="str">
        <f aca="false">IF(D87="","",ROW()-3)</f>
        <v/>
      </c>
      <c r="B87" s="16"/>
      <c r="C87" s="12"/>
      <c r="D87" s="16"/>
      <c r="E87" s="16"/>
      <c r="F87" s="17"/>
      <c r="G87" s="16"/>
      <c r="H87" s="16"/>
      <c r="I87" s="12"/>
      <c r="J87" s="16"/>
      <c r="K87" s="16"/>
      <c r="L87" s="16"/>
      <c r="M87" s="16"/>
      <c r="N87" s="16"/>
      <c r="O87" s="12"/>
      <c r="P87" s="12"/>
      <c r="Q87" s="12"/>
      <c r="R87" s="16"/>
      <c r="S87" s="12"/>
      <c r="T87" s="13" t="str">
        <f aca="true">IF(C87="","",IF(Q87&lt;&gt;"",Q87-C87,TODAY()-C87))</f>
        <v/>
      </c>
      <c r="U87" s="14" t="str">
        <f aca="true">IF(OR(P87="",Q87&lt;&gt;"",N87="キャンセル"),"",P87-TODAY())</f>
        <v/>
      </c>
      <c r="V87" s="15" t="str">
        <f aca="true">IF(D87="","",IF(OR(N87="開通済",Q87&lt;&gt;""),"完了",IF(N87="キャンセル","―",IF(AND(S87&lt;&gt;"",S87&lt;TODAY()),"対応期限超過",IF(AND(P87&lt;&gt;"",P87&lt;TODAY()),"開通予定日超過",IF(AND(S87&lt;&gt;"",S87=TODAY()),"本日対応",IF(AND(P87&lt;&gt;"",P87-TODAY()&lt;=3),"開通間近","")))))))</f>
        <v/>
      </c>
      <c r="W87" s="16"/>
      <c r="X87" s="16"/>
    </row>
    <row r="88" customFormat="false" ht="15" hidden="false" customHeight="false" outlineLevel="0" collapsed="false">
      <c r="A88" s="7" t="str">
        <f aca="false">IF(D88="","",ROW()-3)</f>
        <v/>
      </c>
      <c r="B88" s="16"/>
      <c r="C88" s="12"/>
      <c r="D88" s="16"/>
      <c r="E88" s="16"/>
      <c r="F88" s="17"/>
      <c r="G88" s="16"/>
      <c r="H88" s="16"/>
      <c r="I88" s="12"/>
      <c r="J88" s="16"/>
      <c r="K88" s="16"/>
      <c r="L88" s="16"/>
      <c r="M88" s="16"/>
      <c r="N88" s="16"/>
      <c r="O88" s="12"/>
      <c r="P88" s="12"/>
      <c r="Q88" s="12"/>
      <c r="R88" s="16"/>
      <c r="S88" s="12"/>
      <c r="T88" s="13" t="str">
        <f aca="true">IF(C88="","",IF(Q88&lt;&gt;"",Q88-C88,TODAY()-C88))</f>
        <v/>
      </c>
      <c r="U88" s="14" t="str">
        <f aca="true">IF(OR(P88="",Q88&lt;&gt;"",N88="キャンセル"),"",P88-TODAY())</f>
        <v/>
      </c>
      <c r="V88" s="15" t="str">
        <f aca="true">IF(D88="","",IF(OR(N88="開通済",Q88&lt;&gt;""),"完了",IF(N88="キャンセル","―",IF(AND(S88&lt;&gt;"",S88&lt;TODAY()),"対応期限超過",IF(AND(P88&lt;&gt;"",P88&lt;TODAY()),"開通予定日超過",IF(AND(S88&lt;&gt;"",S88=TODAY()),"本日対応",IF(AND(P88&lt;&gt;"",P88-TODAY()&lt;=3),"開通間近","")))))))</f>
        <v/>
      </c>
      <c r="W88" s="16"/>
      <c r="X88" s="16"/>
    </row>
    <row r="89" customFormat="false" ht="15" hidden="false" customHeight="false" outlineLevel="0" collapsed="false">
      <c r="A89" s="7" t="str">
        <f aca="false">IF(D89="","",ROW()-3)</f>
        <v/>
      </c>
      <c r="B89" s="16"/>
      <c r="C89" s="12"/>
      <c r="D89" s="16"/>
      <c r="E89" s="16"/>
      <c r="F89" s="17"/>
      <c r="G89" s="16"/>
      <c r="H89" s="16"/>
      <c r="I89" s="12"/>
      <c r="J89" s="16"/>
      <c r="K89" s="16"/>
      <c r="L89" s="16"/>
      <c r="M89" s="16"/>
      <c r="N89" s="16"/>
      <c r="O89" s="12"/>
      <c r="P89" s="12"/>
      <c r="Q89" s="12"/>
      <c r="R89" s="16"/>
      <c r="S89" s="12"/>
      <c r="T89" s="13" t="str">
        <f aca="true">IF(C89="","",IF(Q89&lt;&gt;"",Q89-C89,TODAY()-C89))</f>
        <v/>
      </c>
      <c r="U89" s="14" t="str">
        <f aca="true">IF(OR(P89="",Q89&lt;&gt;"",N89="キャンセル"),"",P89-TODAY())</f>
        <v/>
      </c>
      <c r="V89" s="15" t="str">
        <f aca="true">IF(D89="","",IF(OR(N89="開通済",Q89&lt;&gt;""),"完了",IF(N89="キャンセル","―",IF(AND(S89&lt;&gt;"",S89&lt;TODAY()),"対応期限超過",IF(AND(P89&lt;&gt;"",P89&lt;TODAY()),"開通予定日超過",IF(AND(S89&lt;&gt;"",S89=TODAY()),"本日対応",IF(AND(P89&lt;&gt;"",P89-TODAY()&lt;=3),"開通間近","")))))))</f>
        <v/>
      </c>
      <c r="W89" s="16"/>
      <c r="X89" s="16"/>
    </row>
    <row r="90" customFormat="false" ht="15" hidden="false" customHeight="false" outlineLevel="0" collapsed="false">
      <c r="A90" s="7" t="str">
        <f aca="false">IF(D90="","",ROW()-3)</f>
        <v/>
      </c>
      <c r="B90" s="16"/>
      <c r="C90" s="12"/>
      <c r="D90" s="16"/>
      <c r="E90" s="16"/>
      <c r="F90" s="17"/>
      <c r="G90" s="16"/>
      <c r="H90" s="16"/>
      <c r="I90" s="12"/>
      <c r="J90" s="16"/>
      <c r="K90" s="16"/>
      <c r="L90" s="16"/>
      <c r="M90" s="16"/>
      <c r="N90" s="16"/>
      <c r="O90" s="12"/>
      <c r="P90" s="12"/>
      <c r="Q90" s="12"/>
      <c r="R90" s="16"/>
      <c r="S90" s="12"/>
      <c r="T90" s="13" t="str">
        <f aca="true">IF(C90="","",IF(Q90&lt;&gt;"",Q90-C90,TODAY()-C90))</f>
        <v/>
      </c>
      <c r="U90" s="14" t="str">
        <f aca="true">IF(OR(P90="",Q90&lt;&gt;"",N90="キャンセル"),"",P90-TODAY())</f>
        <v/>
      </c>
      <c r="V90" s="15" t="str">
        <f aca="true">IF(D90="","",IF(OR(N90="開通済",Q90&lt;&gt;""),"完了",IF(N90="キャンセル","―",IF(AND(S90&lt;&gt;"",S90&lt;TODAY()),"対応期限超過",IF(AND(P90&lt;&gt;"",P90&lt;TODAY()),"開通予定日超過",IF(AND(S90&lt;&gt;"",S90=TODAY()),"本日対応",IF(AND(P90&lt;&gt;"",P90-TODAY()&lt;=3),"開通間近","")))))))</f>
        <v/>
      </c>
      <c r="W90" s="16"/>
      <c r="X90" s="16"/>
    </row>
    <row r="91" customFormat="false" ht="15" hidden="false" customHeight="false" outlineLevel="0" collapsed="false">
      <c r="A91" s="7" t="str">
        <f aca="false">IF(D91="","",ROW()-3)</f>
        <v/>
      </c>
      <c r="B91" s="16"/>
      <c r="C91" s="12"/>
      <c r="D91" s="16"/>
      <c r="E91" s="16"/>
      <c r="F91" s="17"/>
      <c r="G91" s="16"/>
      <c r="H91" s="16"/>
      <c r="I91" s="12"/>
      <c r="J91" s="16"/>
      <c r="K91" s="16"/>
      <c r="L91" s="16"/>
      <c r="M91" s="16"/>
      <c r="N91" s="16"/>
      <c r="O91" s="12"/>
      <c r="P91" s="12"/>
      <c r="Q91" s="12"/>
      <c r="R91" s="16"/>
      <c r="S91" s="12"/>
      <c r="T91" s="13" t="str">
        <f aca="true">IF(C91="","",IF(Q91&lt;&gt;"",Q91-C91,TODAY()-C91))</f>
        <v/>
      </c>
      <c r="U91" s="14" t="str">
        <f aca="true">IF(OR(P91="",Q91&lt;&gt;"",N91="キャンセル"),"",P91-TODAY())</f>
        <v/>
      </c>
      <c r="V91" s="15" t="str">
        <f aca="true">IF(D91="","",IF(OR(N91="開通済",Q91&lt;&gt;""),"完了",IF(N91="キャンセル","―",IF(AND(S91&lt;&gt;"",S91&lt;TODAY()),"対応期限超過",IF(AND(P91&lt;&gt;"",P91&lt;TODAY()),"開通予定日超過",IF(AND(S91&lt;&gt;"",S91=TODAY()),"本日対応",IF(AND(P91&lt;&gt;"",P91-TODAY()&lt;=3),"開通間近","")))))))</f>
        <v/>
      </c>
      <c r="W91" s="16"/>
      <c r="X91" s="16"/>
    </row>
    <row r="92" customFormat="false" ht="15" hidden="false" customHeight="false" outlineLevel="0" collapsed="false">
      <c r="A92" s="7" t="str">
        <f aca="false">IF(D92="","",ROW()-3)</f>
        <v/>
      </c>
      <c r="B92" s="16"/>
      <c r="C92" s="12"/>
      <c r="D92" s="16"/>
      <c r="E92" s="16"/>
      <c r="F92" s="17"/>
      <c r="G92" s="16"/>
      <c r="H92" s="16"/>
      <c r="I92" s="12"/>
      <c r="J92" s="16"/>
      <c r="K92" s="16"/>
      <c r="L92" s="16"/>
      <c r="M92" s="16"/>
      <c r="N92" s="16"/>
      <c r="O92" s="12"/>
      <c r="P92" s="12"/>
      <c r="Q92" s="12"/>
      <c r="R92" s="16"/>
      <c r="S92" s="12"/>
      <c r="T92" s="13" t="str">
        <f aca="true">IF(C92="","",IF(Q92&lt;&gt;"",Q92-C92,TODAY()-C92))</f>
        <v/>
      </c>
      <c r="U92" s="14" t="str">
        <f aca="true">IF(OR(P92="",Q92&lt;&gt;"",N92="キャンセル"),"",P92-TODAY())</f>
        <v/>
      </c>
      <c r="V92" s="15" t="str">
        <f aca="true">IF(D92="","",IF(OR(N92="開通済",Q92&lt;&gt;""),"完了",IF(N92="キャンセル","―",IF(AND(S92&lt;&gt;"",S92&lt;TODAY()),"対応期限超過",IF(AND(P92&lt;&gt;"",P92&lt;TODAY()),"開通予定日超過",IF(AND(S92&lt;&gt;"",S92=TODAY()),"本日対応",IF(AND(P92&lt;&gt;"",P92-TODAY()&lt;=3),"開通間近","")))))))</f>
        <v/>
      </c>
      <c r="W92" s="16"/>
      <c r="X92" s="16"/>
    </row>
    <row r="93" customFormat="false" ht="15" hidden="false" customHeight="false" outlineLevel="0" collapsed="false">
      <c r="A93" s="7" t="str">
        <f aca="false">IF(D93="","",ROW()-3)</f>
        <v/>
      </c>
      <c r="B93" s="16"/>
      <c r="C93" s="12"/>
      <c r="D93" s="16"/>
      <c r="E93" s="16"/>
      <c r="F93" s="17"/>
      <c r="G93" s="16"/>
      <c r="H93" s="16"/>
      <c r="I93" s="12"/>
      <c r="J93" s="16"/>
      <c r="K93" s="16"/>
      <c r="L93" s="16"/>
      <c r="M93" s="16"/>
      <c r="N93" s="16"/>
      <c r="O93" s="12"/>
      <c r="P93" s="12"/>
      <c r="Q93" s="12"/>
      <c r="R93" s="16"/>
      <c r="S93" s="12"/>
      <c r="T93" s="13" t="str">
        <f aca="true">IF(C93="","",IF(Q93&lt;&gt;"",Q93-C93,TODAY()-C93))</f>
        <v/>
      </c>
      <c r="U93" s="14" t="str">
        <f aca="true">IF(OR(P93="",Q93&lt;&gt;"",N93="キャンセル"),"",P93-TODAY())</f>
        <v/>
      </c>
      <c r="V93" s="15" t="str">
        <f aca="true">IF(D93="","",IF(OR(N93="開通済",Q93&lt;&gt;""),"完了",IF(N93="キャンセル","―",IF(AND(S93&lt;&gt;"",S93&lt;TODAY()),"対応期限超過",IF(AND(P93&lt;&gt;"",P93&lt;TODAY()),"開通予定日超過",IF(AND(S93&lt;&gt;"",S93=TODAY()),"本日対応",IF(AND(P93&lt;&gt;"",P93-TODAY()&lt;=3),"開通間近","")))))))</f>
        <v/>
      </c>
      <c r="W93" s="16"/>
      <c r="X93" s="16"/>
    </row>
    <row r="94" customFormat="false" ht="15" hidden="false" customHeight="false" outlineLevel="0" collapsed="false">
      <c r="A94" s="7" t="str">
        <f aca="false">IF(D94="","",ROW()-3)</f>
        <v/>
      </c>
      <c r="B94" s="16"/>
      <c r="C94" s="12"/>
      <c r="D94" s="16"/>
      <c r="E94" s="16"/>
      <c r="F94" s="17"/>
      <c r="G94" s="16"/>
      <c r="H94" s="16"/>
      <c r="I94" s="12"/>
      <c r="J94" s="16"/>
      <c r="K94" s="16"/>
      <c r="L94" s="16"/>
      <c r="M94" s="16"/>
      <c r="N94" s="16"/>
      <c r="O94" s="12"/>
      <c r="P94" s="12"/>
      <c r="Q94" s="12"/>
      <c r="R94" s="16"/>
      <c r="S94" s="12"/>
      <c r="T94" s="13" t="str">
        <f aca="true">IF(C94="","",IF(Q94&lt;&gt;"",Q94-C94,TODAY()-C94))</f>
        <v/>
      </c>
      <c r="U94" s="14" t="str">
        <f aca="true">IF(OR(P94="",Q94&lt;&gt;"",N94="キャンセル"),"",P94-TODAY())</f>
        <v/>
      </c>
      <c r="V94" s="15" t="str">
        <f aca="true">IF(D94="","",IF(OR(N94="開通済",Q94&lt;&gt;""),"完了",IF(N94="キャンセル","―",IF(AND(S94&lt;&gt;"",S94&lt;TODAY()),"対応期限超過",IF(AND(P94&lt;&gt;"",P94&lt;TODAY()),"開通予定日超過",IF(AND(S94&lt;&gt;"",S94=TODAY()),"本日対応",IF(AND(P94&lt;&gt;"",P94-TODAY()&lt;=3),"開通間近","")))))))</f>
        <v/>
      </c>
      <c r="W94" s="16"/>
      <c r="X94" s="16"/>
    </row>
    <row r="95" customFormat="false" ht="15" hidden="false" customHeight="false" outlineLevel="0" collapsed="false">
      <c r="A95" s="7" t="str">
        <f aca="false">IF(D95="","",ROW()-3)</f>
        <v/>
      </c>
      <c r="B95" s="16"/>
      <c r="C95" s="12"/>
      <c r="D95" s="16"/>
      <c r="E95" s="16"/>
      <c r="F95" s="17"/>
      <c r="G95" s="16"/>
      <c r="H95" s="16"/>
      <c r="I95" s="12"/>
      <c r="J95" s="16"/>
      <c r="K95" s="16"/>
      <c r="L95" s="16"/>
      <c r="M95" s="16"/>
      <c r="N95" s="16"/>
      <c r="O95" s="12"/>
      <c r="P95" s="12"/>
      <c r="Q95" s="12"/>
      <c r="R95" s="16"/>
      <c r="S95" s="12"/>
      <c r="T95" s="13" t="str">
        <f aca="true">IF(C95="","",IF(Q95&lt;&gt;"",Q95-C95,TODAY()-C95))</f>
        <v/>
      </c>
      <c r="U95" s="14" t="str">
        <f aca="true">IF(OR(P95="",Q95&lt;&gt;"",N95="キャンセル"),"",P95-TODAY())</f>
        <v/>
      </c>
      <c r="V95" s="15" t="str">
        <f aca="true">IF(D95="","",IF(OR(N95="開通済",Q95&lt;&gt;""),"完了",IF(N95="キャンセル","―",IF(AND(S95&lt;&gt;"",S95&lt;TODAY()),"対応期限超過",IF(AND(P95&lt;&gt;"",P95&lt;TODAY()),"開通予定日超過",IF(AND(S95&lt;&gt;"",S95=TODAY()),"本日対応",IF(AND(P95&lt;&gt;"",P95-TODAY()&lt;=3),"開通間近","")))))))</f>
        <v/>
      </c>
      <c r="W95" s="16"/>
      <c r="X95" s="16"/>
    </row>
    <row r="96" customFormat="false" ht="15" hidden="false" customHeight="false" outlineLevel="0" collapsed="false">
      <c r="A96" s="7" t="str">
        <f aca="false">IF(D96="","",ROW()-3)</f>
        <v/>
      </c>
      <c r="B96" s="16"/>
      <c r="C96" s="12"/>
      <c r="D96" s="16"/>
      <c r="E96" s="16"/>
      <c r="F96" s="17"/>
      <c r="G96" s="16"/>
      <c r="H96" s="16"/>
      <c r="I96" s="12"/>
      <c r="J96" s="16"/>
      <c r="K96" s="16"/>
      <c r="L96" s="16"/>
      <c r="M96" s="16"/>
      <c r="N96" s="16"/>
      <c r="O96" s="12"/>
      <c r="P96" s="12"/>
      <c r="Q96" s="12"/>
      <c r="R96" s="16"/>
      <c r="S96" s="12"/>
      <c r="T96" s="13" t="str">
        <f aca="true">IF(C96="","",IF(Q96&lt;&gt;"",Q96-C96,TODAY()-C96))</f>
        <v/>
      </c>
      <c r="U96" s="14" t="str">
        <f aca="true">IF(OR(P96="",Q96&lt;&gt;"",N96="キャンセル"),"",P96-TODAY())</f>
        <v/>
      </c>
      <c r="V96" s="15" t="str">
        <f aca="true">IF(D96="","",IF(OR(N96="開通済",Q96&lt;&gt;""),"完了",IF(N96="キャンセル","―",IF(AND(S96&lt;&gt;"",S96&lt;TODAY()),"対応期限超過",IF(AND(P96&lt;&gt;"",P96&lt;TODAY()),"開通予定日超過",IF(AND(S96&lt;&gt;"",S96=TODAY()),"本日対応",IF(AND(P96&lt;&gt;"",P96-TODAY()&lt;=3),"開通間近","")))))))</f>
        <v/>
      </c>
      <c r="W96" s="16"/>
      <c r="X96" s="16"/>
    </row>
    <row r="97" customFormat="false" ht="15" hidden="false" customHeight="false" outlineLevel="0" collapsed="false">
      <c r="A97" s="7" t="str">
        <f aca="false">IF(D97="","",ROW()-3)</f>
        <v/>
      </c>
      <c r="B97" s="16"/>
      <c r="C97" s="12"/>
      <c r="D97" s="16"/>
      <c r="E97" s="16"/>
      <c r="F97" s="17"/>
      <c r="G97" s="16"/>
      <c r="H97" s="16"/>
      <c r="I97" s="12"/>
      <c r="J97" s="16"/>
      <c r="K97" s="16"/>
      <c r="L97" s="16"/>
      <c r="M97" s="16"/>
      <c r="N97" s="16"/>
      <c r="O97" s="12"/>
      <c r="P97" s="12"/>
      <c r="Q97" s="12"/>
      <c r="R97" s="16"/>
      <c r="S97" s="12"/>
      <c r="T97" s="13" t="str">
        <f aca="true">IF(C97="","",IF(Q97&lt;&gt;"",Q97-C97,TODAY()-C97))</f>
        <v/>
      </c>
      <c r="U97" s="14" t="str">
        <f aca="true">IF(OR(P97="",Q97&lt;&gt;"",N97="キャンセル"),"",P97-TODAY())</f>
        <v/>
      </c>
      <c r="V97" s="15" t="str">
        <f aca="true">IF(D97="","",IF(OR(N97="開通済",Q97&lt;&gt;""),"完了",IF(N97="キャンセル","―",IF(AND(S97&lt;&gt;"",S97&lt;TODAY()),"対応期限超過",IF(AND(P97&lt;&gt;"",P97&lt;TODAY()),"開通予定日超過",IF(AND(S97&lt;&gt;"",S97=TODAY()),"本日対応",IF(AND(P97&lt;&gt;"",P97-TODAY()&lt;=3),"開通間近","")))))))</f>
        <v/>
      </c>
      <c r="W97" s="16"/>
      <c r="X97" s="16"/>
    </row>
    <row r="98" customFormat="false" ht="15" hidden="false" customHeight="false" outlineLevel="0" collapsed="false">
      <c r="A98" s="7" t="str">
        <f aca="false">IF(D98="","",ROW()-3)</f>
        <v/>
      </c>
      <c r="B98" s="16"/>
      <c r="C98" s="12"/>
      <c r="D98" s="16"/>
      <c r="E98" s="16"/>
      <c r="F98" s="17"/>
      <c r="G98" s="16"/>
      <c r="H98" s="16"/>
      <c r="I98" s="12"/>
      <c r="J98" s="16"/>
      <c r="K98" s="16"/>
      <c r="L98" s="16"/>
      <c r="M98" s="16"/>
      <c r="N98" s="16"/>
      <c r="O98" s="12"/>
      <c r="P98" s="12"/>
      <c r="Q98" s="12"/>
      <c r="R98" s="16"/>
      <c r="S98" s="12"/>
      <c r="T98" s="13" t="str">
        <f aca="true">IF(C98="","",IF(Q98&lt;&gt;"",Q98-C98,TODAY()-C98))</f>
        <v/>
      </c>
      <c r="U98" s="14" t="str">
        <f aca="true">IF(OR(P98="",Q98&lt;&gt;"",N98="キャンセル"),"",P98-TODAY())</f>
        <v/>
      </c>
      <c r="V98" s="15" t="str">
        <f aca="true">IF(D98="","",IF(OR(N98="開通済",Q98&lt;&gt;""),"完了",IF(N98="キャンセル","―",IF(AND(S98&lt;&gt;"",S98&lt;TODAY()),"対応期限超過",IF(AND(P98&lt;&gt;"",P98&lt;TODAY()),"開通予定日超過",IF(AND(S98&lt;&gt;"",S98=TODAY()),"本日対応",IF(AND(P98&lt;&gt;"",P98-TODAY()&lt;=3),"開通間近","")))))))</f>
        <v/>
      </c>
      <c r="W98" s="16"/>
      <c r="X98" s="16"/>
    </row>
    <row r="99" customFormat="false" ht="15" hidden="false" customHeight="false" outlineLevel="0" collapsed="false">
      <c r="A99" s="7" t="str">
        <f aca="false">IF(D99="","",ROW()-3)</f>
        <v/>
      </c>
      <c r="B99" s="16"/>
      <c r="C99" s="12"/>
      <c r="D99" s="16"/>
      <c r="E99" s="16"/>
      <c r="F99" s="17"/>
      <c r="G99" s="16"/>
      <c r="H99" s="16"/>
      <c r="I99" s="12"/>
      <c r="J99" s="16"/>
      <c r="K99" s="16"/>
      <c r="L99" s="16"/>
      <c r="M99" s="16"/>
      <c r="N99" s="16"/>
      <c r="O99" s="12"/>
      <c r="P99" s="12"/>
      <c r="Q99" s="12"/>
      <c r="R99" s="16"/>
      <c r="S99" s="12"/>
      <c r="T99" s="13" t="str">
        <f aca="true">IF(C99="","",IF(Q99&lt;&gt;"",Q99-C99,TODAY()-C99))</f>
        <v/>
      </c>
      <c r="U99" s="14" t="str">
        <f aca="true">IF(OR(P99="",Q99&lt;&gt;"",N99="キャンセル"),"",P99-TODAY())</f>
        <v/>
      </c>
      <c r="V99" s="15" t="str">
        <f aca="true">IF(D99="","",IF(OR(N99="開通済",Q99&lt;&gt;""),"完了",IF(N99="キャンセル","―",IF(AND(S99&lt;&gt;"",S99&lt;TODAY()),"対応期限超過",IF(AND(P99&lt;&gt;"",P99&lt;TODAY()),"開通予定日超過",IF(AND(S99&lt;&gt;"",S99=TODAY()),"本日対応",IF(AND(P99&lt;&gt;"",P99-TODAY()&lt;=3),"開通間近","")))))))</f>
        <v/>
      </c>
      <c r="W99" s="16"/>
      <c r="X99" s="16"/>
    </row>
    <row r="100" customFormat="false" ht="15" hidden="false" customHeight="false" outlineLevel="0" collapsed="false">
      <c r="A100" s="7" t="str">
        <f aca="false">IF(D100="","",ROW()-3)</f>
        <v/>
      </c>
      <c r="B100" s="16"/>
      <c r="C100" s="12"/>
      <c r="D100" s="16"/>
      <c r="E100" s="16"/>
      <c r="F100" s="17"/>
      <c r="G100" s="16"/>
      <c r="H100" s="16"/>
      <c r="I100" s="12"/>
      <c r="J100" s="16"/>
      <c r="K100" s="16"/>
      <c r="L100" s="16"/>
      <c r="M100" s="16"/>
      <c r="N100" s="16"/>
      <c r="O100" s="12"/>
      <c r="P100" s="12"/>
      <c r="Q100" s="12"/>
      <c r="R100" s="16"/>
      <c r="S100" s="12"/>
      <c r="T100" s="13" t="str">
        <f aca="true">IF(C100="","",IF(Q100&lt;&gt;"",Q100-C100,TODAY()-C100))</f>
        <v/>
      </c>
      <c r="U100" s="14" t="str">
        <f aca="true">IF(OR(P100="",Q100&lt;&gt;"",N100="キャンセル"),"",P100-TODAY())</f>
        <v/>
      </c>
      <c r="V100" s="15" t="str">
        <f aca="true">IF(D100="","",IF(OR(N100="開通済",Q100&lt;&gt;""),"完了",IF(N100="キャンセル","―",IF(AND(S100&lt;&gt;"",S100&lt;TODAY()),"対応期限超過",IF(AND(P100&lt;&gt;"",P100&lt;TODAY()),"開通予定日超過",IF(AND(S100&lt;&gt;"",S100=TODAY()),"本日対応",IF(AND(P100&lt;&gt;"",P100-TODAY()&lt;=3),"開通間近","")))))))</f>
        <v/>
      </c>
      <c r="W100" s="16"/>
      <c r="X100" s="16"/>
    </row>
    <row r="101" customFormat="false" ht="15" hidden="false" customHeight="false" outlineLevel="0" collapsed="false">
      <c r="A101" s="7" t="str">
        <f aca="false">IF(D101="","",ROW()-3)</f>
        <v/>
      </c>
      <c r="B101" s="16"/>
      <c r="C101" s="12"/>
      <c r="D101" s="16"/>
      <c r="E101" s="16"/>
      <c r="F101" s="17"/>
      <c r="G101" s="16"/>
      <c r="H101" s="16"/>
      <c r="I101" s="12"/>
      <c r="J101" s="16"/>
      <c r="K101" s="16"/>
      <c r="L101" s="16"/>
      <c r="M101" s="16"/>
      <c r="N101" s="16"/>
      <c r="O101" s="12"/>
      <c r="P101" s="12"/>
      <c r="Q101" s="12"/>
      <c r="R101" s="16"/>
      <c r="S101" s="12"/>
      <c r="T101" s="13" t="str">
        <f aca="true">IF(C101="","",IF(Q101&lt;&gt;"",Q101-C101,TODAY()-C101))</f>
        <v/>
      </c>
      <c r="U101" s="14" t="str">
        <f aca="true">IF(OR(P101="",Q101&lt;&gt;"",N101="キャンセル"),"",P101-TODAY())</f>
        <v/>
      </c>
      <c r="V101" s="15" t="str">
        <f aca="true">IF(D101="","",IF(OR(N101="開通済",Q101&lt;&gt;""),"完了",IF(N101="キャンセル","―",IF(AND(S101&lt;&gt;"",S101&lt;TODAY()),"対応期限超過",IF(AND(P101&lt;&gt;"",P101&lt;TODAY()),"開通予定日超過",IF(AND(S101&lt;&gt;"",S101=TODAY()),"本日対応",IF(AND(P101&lt;&gt;"",P101-TODAY()&lt;=3),"開通間近","")))))))</f>
        <v/>
      </c>
      <c r="W101" s="16"/>
      <c r="X101" s="16"/>
    </row>
    <row r="102" customFormat="false" ht="15" hidden="false" customHeight="false" outlineLevel="0" collapsed="false">
      <c r="A102" s="7" t="str">
        <f aca="false">IF(D102="","",ROW()-3)</f>
        <v/>
      </c>
      <c r="B102" s="16"/>
      <c r="C102" s="12"/>
      <c r="D102" s="16"/>
      <c r="E102" s="16"/>
      <c r="F102" s="17"/>
      <c r="G102" s="16"/>
      <c r="H102" s="16"/>
      <c r="I102" s="12"/>
      <c r="J102" s="16"/>
      <c r="K102" s="16"/>
      <c r="L102" s="16"/>
      <c r="M102" s="16"/>
      <c r="N102" s="16"/>
      <c r="O102" s="12"/>
      <c r="P102" s="12"/>
      <c r="Q102" s="12"/>
      <c r="R102" s="16"/>
      <c r="S102" s="12"/>
      <c r="T102" s="13" t="str">
        <f aca="true">IF(C102="","",IF(Q102&lt;&gt;"",Q102-C102,TODAY()-C102))</f>
        <v/>
      </c>
      <c r="U102" s="14" t="str">
        <f aca="true">IF(OR(P102="",Q102&lt;&gt;"",N102="キャンセル"),"",P102-TODAY())</f>
        <v/>
      </c>
      <c r="V102" s="15" t="str">
        <f aca="true">IF(D102="","",IF(OR(N102="開通済",Q102&lt;&gt;""),"完了",IF(N102="キャンセル","―",IF(AND(S102&lt;&gt;"",S102&lt;TODAY()),"対応期限超過",IF(AND(P102&lt;&gt;"",P102&lt;TODAY()),"開通予定日超過",IF(AND(S102&lt;&gt;"",S102=TODAY()),"本日対応",IF(AND(P102&lt;&gt;"",P102-TODAY()&lt;=3),"開通間近","")))))))</f>
        <v/>
      </c>
      <c r="W102" s="16"/>
      <c r="X102" s="16"/>
    </row>
    <row r="103" customFormat="false" ht="15" hidden="false" customHeight="false" outlineLevel="0" collapsed="false">
      <c r="A103" s="7" t="str">
        <f aca="false">IF(D103="","",ROW()-3)</f>
        <v/>
      </c>
      <c r="B103" s="16"/>
      <c r="C103" s="12"/>
      <c r="D103" s="16"/>
      <c r="E103" s="16"/>
      <c r="F103" s="17"/>
      <c r="G103" s="16"/>
      <c r="H103" s="16"/>
      <c r="I103" s="12"/>
      <c r="J103" s="16"/>
      <c r="K103" s="16"/>
      <c r="L103" s="16"/>
      <c r="M103" s="16"/>
      <c r="N103" s="16"/>
      <c r="O103" s="12"/>
      <c r="P103" s="12"/>
      <c r="Q103" s="12"/>
      <c r="R103" s="16"/>
      <c r="S103" s="12"/>
      <c r="T103" s="13" t="str">
        <f aca="true">IF(C103="","",IF(Q103&lt;&gt;"",Q103-C103,TODAY()-C103))</f>
        <v/>
      </c>
      <c r="U103" s="14" t="str">
        <f aca="true">IF(OR(P103="",Q103&lt;&gt;"",N103="キャンセル"),"",P103-TODAY())</f>
        <v/>
      </c>
      <c r="V103" s="15" t="str">
        <f aca="true">IF(D103="","",IF(OR(N103="開通済",Q103&lt;&gt;""),"完了",IF(N103="キャンセル","―",IF(AND(S103&lt;&gt;"",S103&lt;TODAY()),"対応期限超過",IF(AND(P103&lt;&gt;"",P103&lt;TODAY()),"開通予定日超過",IF(AND(S103&lt;&gt;"",S103=TODAY()),"本日対応",IF(AND(P103&lt;&gt;"",P103-TODAY()&lt;=3),"開通間近","")))))))</f>
        <v/>
      </c>
      <c r="W103" s="16"/>
      <c r="X103" s="16"/>
    </row>
    <row r="104" customFormat="false" ht="15" hidden="false" customHeight="false" outlineLevel="0" collapsed="false">
      <c r="A104" s="7" t="str">
        <f aca="false">IF(D104="","",ROW()-3)</f>
        <v/>
      </c>
      <c r="B104" s="16"/>
      <c r="C104" s="12"/>
      <c r="D104" s="16"/>
      <c r="E104" s="16"/>
      <c r="F104" s="17"/>
      <c r="G104" s="16"/>
      <c r="H104" s="16"/>
      <c r="I104" s="12"/>
      <c r="J104" s="16"/>
      <c r="K104" s="16"/>
      <c r="L104" s="16"/>
      <c r="M104" s="16"/>
      <c r="N104" s="16"/>
      <c r="O104" s="12"/>
      <c r="P104" s="12"/>
      <c r="Q104" s="12"/>
      <c r="R104" s="16"/>
      <c r="S104" s="12"/>
      <c r="T104" s="13" t="str">
        <f aca="true">IF(C104="","",IF(Q104&lt;&gt;"",Q104-C104,TODAY()-C104))</f>
        <v/>
      </c>
      <c r="U104" s="14" t="str">
        <f aca="true">IF(OR(P104="",Q104&lt;&gt;"",N104="キャンセル"),"",P104-TODAY())</f>
        <v/>
      </c>
      <c r="V104" s="15" t="str">
        <f aca="true">IF(D104="","",IF(OR(N104="開通済",Q104&lt;&gt;""),"完了",IF(N104="キャンセル","―",IF(AND(S104&lt;&gt;"",S104&lt;TODAY()),"対応期限超過",IF(AND(P104&lt;&gt;"",P104&lt;TODAY()),"開通予定日超過",IF(AND(S104&lt;&gt;"",S104=TODAY()),"本日対応",IF(AND(P104&lt;&gt;"",P104-TODAY()&lt;=3),"開通間近","")))))))</f>
        <v/>
      </c>
      <c r="W104" s="16"/>
      <c r="X104" s="16"/>
    </row>
    <row r="105" customFormat="false" ht="15" hidden="false" customHeight="false" outlineLevel="0" collapsed="false">
      <c r="A105" s="7" t="str">
        <f aca="false">IF(D105="","",ROW()-3)</f>
        <v/>
      </c>
      <c r="B105" s="16"/>
      <c r="C105" s="12"/>
      <c r="D105" s="16"/>
      <c r="E105" s="16"/>
      <c r="F105" s="17"/>
      <c r="G105" s="16"/>
      <c r="H105" s="16"/>
      <c r="I105" s="12"/>
      <c r="J105" s="16"/>
      <c r="K105" s="16"/>
      <c r="L105" s="16"/>
      <c r="M105" s="16"/>
      <c r="N105" s="16"/>
      <c r="O105" s="12"/>
      <c r="P105" s="12"/>
      <c r="Q105" s="12"/>
      <c r="R105" s="16"/>
      <c r="S105" s="12"/>
      <c r="T105" s="13" t="str">
        <f aca="true">IF(C105="","",IF(Q105&lt;&gt;"",Q105-C105,TODAY()-C105))</f>
        <v/>
      </c>
      <c r="U105" s="14" t="str">
        <f aca="true">IF(OR(P105="",Q105&lt;&gt;"",N105="キャンセル"),"",P105-TODAY())</f>
        <v/>
      </c>
      <c r="V105" s="15" t="str">
        <f aca="true">IF(D105="","",IF(OR(N105="開通済",Q105&lt;&gt;""),"完了",IF(N105="キャンセル","―",IF(AND(S105&lt;&gt;"",S105&lt;TODAY()),"対応期限超過",IF(AND(P105&lt;&gt;"",P105&lt;TODAY()),"開通予定日超過",IF(AND(S105&lt;&gt;"",S105=TODAY()),"本日対応",IF(AND(P105&lt;&gt;"",P105-TODAY()&lt;=3),"開通間近","")))))))</f>
        <v/>
      </c>
      <c r="W105" s="16"/>
      <c r="X105" s="16"/>
    </row>
    <row r="106" customFormat="false" ht="15" hidden="false" customHeight="false" outlineLevel="0" collapsed="false">
      <c r="A106" s="7" t="str">
        <f aca="false">IF(D106="","",ROW()-3)</f>
        <v/>
      </c>
      <c r="B106" s="16"/>
      <c r="C106" s="12"/>
      <c r="D106" s="16"/>
      <c r="E106" s="16"/>
      <c r="F106" s="17"/>
      <c r="G106" s="16"/>
      <c r="H106" s="16"/>
      <c r="I106" s="12"/>
      <c r="J106" s="16"/>
      <c r="K106" s="16"/>
      <c r="L106" s="16"/>
      <c r="M106" s="16"/>
      <c r="N106" s="16"/>
      <c r="O106" s="12"/>
      <c r="P106" s="12"/>
      <c r="Q106" s="12"/>
      <c r="R106" s="16"/>
      <c r="S106" s="12"/>
      <c r="T106" s="13" t="str">
        <f aca="true">IF(C106="","",IF(Q106&lt;&gt;"",Q106-C106,TODAY()-C106))</f>
        <v/>
      </c>
      <c r="U106" s="14" t="str">
        <f aca="true">IF(OR(P106="",Q106&lt;&gt;"",N106="キャンセル"),"",P106-TODAY())</f>
        <v/>
      </c>
      <c r="V106" s="15" t="str">
        <f aca="true">IF(D106="","",IF(OR(N106="開通済",Q106&lt;&gt;""),"完了",IF(N106="キャンセル","―",IF(AND(S106&lt;&gt;"",S106&lt;TODAY()),"対応期限超過",IF(AND(P106&lt;&gt;"",P106&lt;TODAY()),"開通予定日超過",IF(AND(S106&lt;&gt;"",S106=TODAY()),"本日対応",IF(AND(P106&lt;&gt;"",P106-TODAY()&lt;=3),"開通間近","")))))))</f>
        <v/>
      </c>
      <c r="W106" s="16"/>
      <c r="X106" s="16"/>
    </row>
    <row r="107" customFormat="false" ht="15" hidden="false" customHeight="false" outlineLevel="0" collapsed="false">
      <c r="A107" s="7" t="str">
        <f aca="false">IF(D107="","",ROW()-3)</f>
        <v/>
      </c>
      <c r="B107" s="16"/>
      <c r="C107" s="12"/>
      <c r="D107" s="16"/>
      <c r="E107" s="16"/>
      <c r="F107" s="17"/>
      <c r="G107" s="16"/>
      <c r="H107" s="16"/>
      <c r="I107" s="12"/>
      <c r="J107" s="16"/>
      <c r="K107" s="16"/>
      <c r="L107" s="16"/>
      <c r="M107" s="16"/>
      <c r="N107" s="16"/>
      <c r="O107" s="12"/>
      <c r="P107" s="12"/>
      <c r="Q107" s="12"/>
      <c r="R107" s="16"/>
      <c r="S107" s="12"/>
      <c r="T107" s="13" t="str">
        <f aca="true">IF(C107="","",IF(Q107&lt;&gt;"",Q107-C107,TODAY()-C107))</f>
        <v/>
      </c>
      <c r="U107" s="14" t="str">
        <f aca="true">IF(OR(P107="",Q107&lt;&gt;"",N107="キャンセル"),"",P107-TODAY())</f>
        <v/>
      </c>
      <c r="V107" s="15" t="str">
        <f aca="true">IF(D107="","",IF(OR(N107="開通済",Q107&lt;&gt;""),"完了",IF(N107="キャンセル","―",IF(AND(S107&lt;&gt;"",S107&lt;TODAY()),"対応期限超過",IF(AND(P107&lt;&gt;"",P107&lt;TODAY()),"開通予定日超過",IF(AND(S107&lt;&gt;"",S107=TODAY()),"本日対応",IF(AND(P107&lt;&gt;"",P107-TODAY()&lt;=3),"開通間近","")))))))</f>
        <v/>
      </c>
      <c r="W107" s="16"/>
      <c r="X107" s="16"/>
    </row>
    <row r="108" customFormat="false" ht="15" hidden="false" customHeight="false" outlineLevel="0" collapsed="false">
      <c r="A108" s="7" t="str">
        <f aca="false">IF(D108="","",ROW()-3)</f>
        <v/>
      </c>
      <c r="B108" s="16"/>
      <c r="C108" s="12"/>
      <c r="D108" s="16"/>
      <c r="E108" s="16"/>
      <c r="F108" s="17"/>
      <c r="G108" s="16"/>
      <c r="H108" s="16"/>
      <c r="I108" s="12"/>
      <c r="J108" s="16"/>
      <c r="K108" s="16"/>
      <c r="L108" s="16"/>
      <c r="M108" s="16"/>
      <c r="N108" s="16"/>
      <c r="O108" s="12"/>
      <c r="P108" s="12"/>
      <c r="Q108" s="12"/>
      <c r="R108" s="16"/>
      <c r="S108" s="12"/>
      <c r="T108" s="13" t="str">
        <f aca="true">IF(C108="","",IF(Q108&lt;&gt;"",Q108-C108,TODAY()-C108))</f>
        <v/>
      </c>
      <c r="U108" s="14" t="str">
        <f aca="true">IF(OR(P108="",Q108&lt;&gt;"",N108="キャンセル"),"",P108-TODAY())</f>
        <v/>
      </c>
      <c r="V108" s="15" t="str">
        <f aca="true">IF(D108="","",IF(OR(N108="開通済",Q108&lt;&gt;""),"完了",IF(N108="キャンセル","―",IF(AND(S108&lt;&gt;"",S108&lt;TODAY()),"対応期限超過",IF(AND(P108&lt;&gt;"",P108&lt;TODAY()),"開通予定日超過",IF(AND(S108&lt;&gt;"",S108=TODAY()),"本日対応",IF(AND(P108&lt;&gt;"",P108-TODAY()&lt;=3),"開通間近","")))))))</f>
        <v/>
      </c>
      <c r="W108" s="16"/>
      <c r="X108" s="16"/>
    </row>
    <row r="109" customFormat="false" ht="15" hidden="false" customHeight="false" outlineLevel="0" collapsed="false">
      <c r="A109" s="7" t="str">
        <f aca="false">IF(D109="","",ROW()-3)</f>
        <v/>
      </c>
      <c r="B109" s="16"/>
      <c r="C109" s="12"/>
      <c r="D109" s="16"/>
      <c r="E109" s="16"/>
      <c r="F109" s="17"/>
      <c r="G109" s="16"/>
      <c r="H109" s="16"/>
      <c r="I109" s="12"/>
      <c r="J109" s="16"/>
      <c r="K109" s="16"/>
      <c r="L109" s="16"/>
      <c r="M109" s="16"/>
      <c r="N109" s="16"/>
      <c r="O109" s="12"/>
      <c r="P109" s="12"/>
      <c r="Q109" s="12"/>
      <c r="R109" s="16"/>
      <c r="S109" s="12"/>
      <c r="T109" s="13" t="str">
        <f aca="true">IF(C109="","",IF(Q109&lt;&gt;"",Q109-C109,TODAY()-C109))</f>
        <v/>
      </c>
      <c r="U109" s="14" t="str">
        <f aca="true">IF(OR(P109="",Q109&lt;&gt;"",N109="キャンセル"),"",P109-TODAY())</f>
        <v/>
      </c>
      <c r="V109" s="15" t="str">
        <f aca="true">IF(D109="","",IF(OR(N109="開通済",Q109&lt;&gt;""),"完了",IF(N109="キャンセル","―",IF(AND(S109&lt;&gt;"",S109&lt;TODAY()),"対応期限超過",IF(AND(P109&lt;&gt;"",P109&lt;TODAY()),"開通予定日超過",IF(AND(S109&lt;&gt;"",S109=TODAY()),"本日対応",IF(AND(P109&lt;&gt;"",P109-TODAY()&lt;=3),"開通間近","")))))))</f>
        <v/>
      </c>
      <c r="W109" s="16"/>
      <c r="X109" s="16"/>
    </row>
    <row r="110" customFormat="false" ht="15" hidden="false" customHeight="false" outlineLevel="0" collapsed="false">
      <c r="A110" s="7" t="str">
        <f aca="false">IF(D110="","",ROW()-3)</f>
        <v/>
      </c>
      <c r="B110" s="16"/>
      <c r="C110" s="12"/>
      <c r="D110" s="16"/>
      <c r="E110" s="16"/>
      <c r="F110" s="17"/>
      <c r="G110" s="16"/>
      <c r="H110" s="16"/>
      <c r="I110" s="12"/>
      <c r="J110" s="16"/>
      <c r="K110" s="16"/>
      <c r="L110" s="16"/>
      <c r="M110" s="16"/>
      <c r="N110" s="16"/>
      <c r="O110" s="12"/>
      <c r="P110" s="12"/>
      <c r="Q110" s="12"/>
      <c r="R110" s="16"/>
      <c r="S110" s="12"/>
      <c r="T110" s="13" t="str">
        <f aca="true">IF(C110="","",IF(Q110&lt;&gt;"",Q110-C110,TODAY()-C110))</f>
        <v/>
      </c>
      <c r="U110" s="14" t="str">
        <f aca="true">IF(OR(P110="",Q110&lt;&gt;"",N110="キャンセル"),"",P110-TODAY())</f>
        <v/>
      </c>
      <c r="V110" s="15" t="str">
        <f aca="true">IF(D110="","",IF(OR(N110="開通済",Q110&lt;&gt;""),"完了",IF(N110="キャンセル","―",IF(AND(S110&lt;&gt;"",S110&lt;TODAY()),"対応期限超過",IF(AND(P110&lt;&gt;"",P110&lt;TODAY()),"開通予定日超過",IF(AND(S110&lt;&gt;"",S110=TODAY()),"本日対応",IF(AND(P110&lt;&gt;"",P110-TODAY()&lt;=3),"開通間近","")))))))</f>
        <v/>
      </c>
      <c r="W110" s="16"/>
      <c r="X110" s="16"/>
    </row>
    <row r="111" customFormat="false" ht="15" hidden="false" customHeight="false" outlineLevel="0" collapsed="false">
      <c r="A111" s="7" t="str">
        <f aca="false">IF(D111="","",ROW()-3)</f>
        <v/>
      </c>
      <c r="B111" s="16"/>
      <c r="C111" s="12"/>
      <c r="D111" s="16"/>
      <c r="E111" s="16"/>
      <c r="F111" s="17"/>
      <c r="G111" s="16"/>
      <c r="H111" s="16"/>
      <c r="I111" s="12"/>
      <c r="J111" s="16"/>
      <c r="K111" s="16"/>
      <c r="L111" s="16"/>
      <c r="M111" s="16"/>
      <c r="N111" s="16"/>
      <c r="O111" s="12"/>
      <c r="P111" s="12"/>
      <c r="Q111" s="12"/>
      <c r="R111" s="16"/>
      <c r="S111" s="12"/>
      <c r="T111" s="13" t="str">
        <f aca="true">IF(C111="","",IF(Q111&lt;&gt;"",Q111-C111,TODAY()-C111))</f>
        <v/>
      </c>
      <c r="U111" s="14" t="str">
        <f aca="true">IF(OR(P111="",Q111&lt;&gt;"",N111="キャンセル"),"",P111-TODAY())</f>
        <v/>
      </c>
      <c r="V111" s="15" t="str">
        <f aca="true">IF(D111="","",IF(OR(N111="開通済",Q111&lt;&gt;""),"完了",IF(N111="キャンセル","―",IF(AND(S111&lt;&gt;"",S111&lt;TODAY()),"対応期限超過",IF(AND(P111&lt;&gt;"",P111&lt;TODAY()),"開通予定日超過",IF(AND(S111&lt;&gt;"",S111=TODAY()),"本日対応",IF(AND(P111&lt;&gt;"",P111-TODAY()&lt;=3),"開通間近","")))))))</f>
        <v/>
      </c>
      <c r="W111" s="16"/>
      <c r="X111" s="16"/>
    </row>
    <row r="112" customFormat="false" ht="15" hidden="false" customHeight="false" outlineLevel="0" collapsed="false">
      <c r="A112" s="7" t="str">
        <f aca="false">IF(D112="","",ROW()-3)</f>
        <v/>
      </c>
      <c r="B112" s="16"/>
      <c r="C112" s="12"/>
      <c r="D112" s="16"/>
      <c r="E112" s="16"/>
      <c r="F112" s="17"/>
      <c r="G112" s="16"/>
      <c r="H112" s="16"/>
      <c r="I112" s="12"/>
      <c r="J112" s="16"/>
      <c r="K112" s="16"/>
      <c r="L112" s="16"/>
      <c r="M112" s="16"/>
      <c r="N112" s="16"/>
      <c r="O112" s="12"/>
      <c r="P112" s="12"/>
      <c r="Q112" s="12"/>
      <c r="R112" s="16"/>
      <c r="S112" s="12"/>
      <c r="T112" s="13" t="str">
        <f aca="true">IF(C112="","",IF(Q112&lt;&gt;"",Q112-C112,TODAY()-C112))</f>
        <v/>
      </c>
      <c r="U112" s="14" t="str">
        <f aca="true">IF(OR(P112="",Q112&lt;&gt;"",N112="キャンセル"),"",P112-TODAY())</f>
        <v/>
      </c>
      <c r="V112" s="15" t="str">
        <f aca="true">IF(D112="","",IF(OR(N112="開通済",Q112&lt;&gt;""),"完了",IF(N112="キャンセル","―",IF(AND(S112&lt;&gt;"",S112&lt;TODAY()),"対応期限超過",IF(AND(P112&lt;&gt;"",P112&lt;TODAY()),"開通予定日超過",IF(AND(S112&lt;&gt;"",S112=TODAY()),"本日対応",IF(AND(P112&lt;&gt;"",P112-TODAY()&lt;=3),"開通間近","")))))))</f>
        <v/>
      </c>
      <c r="W112" s="16"/>
      <c r="X112" s="16"/>
    </row>
    <row r="113" customFormat="false" ht="15" hidden="false" customHeight="false" outlineLevel="0" collapsed="false">
      <c r="A113" s="7" t="str">
        <f aca="false">IF(D113="","",ROW()-3)</f>
        <v/>
      </c>
      <c r="B113" s="16"/>
      <c r="C113" s="12"/>
      <c r="D113" s="16"/>
      <c r="E113" s="16"/>
      <c r="F113" s="17"/>
      <c r="G113" s="16"/>
      <c r="H113" s="16"/>
      <c r="I113" s="12"/>
      <c r="J113" s="16"/>
      <c r="K113" s="16"/>
      <c r="L113" s="16"/>
      <c r="M113" s="16"/>
      <c r="N113" s="16"/>
      <c r="O113" s="12"/>
      <c r="P113" s="12"/>
      <c r="Q113" s="12"/>
      <c r="R113" s="16"/>
      <c r="S113" s="12"/>
      <c r="T113" s="13" t="str">
        <f aca="true">IF(C113="","",IF(Q113&lt;&gt;"",Q113-C113,TODAY()-C113))</f>
        <v/>
      </c>
      <c r="U113" s="14" t="str">
        <f aca="true">IF(OR(P113="",Q113&lt;&gt;"",N113="キャンセル"),"",P113-TODAY())</f>
        <v/>
      </c>
      <c r="V113" s="15" t="str">
        <f aca="true">IF(D113="","",IF(OR(N113="開通済",Q113&lt;&gt;""),"完了",IF(N113="キャンセル","―",IF(AND(S113&lt;&gt;"",S113&lt;TODAY()),"対応期限超過",IF(AND(P113&lt;&gt;"",P113&lt;TODAY()),"開通予定日超過",IF(AND(S113&lt;&gt;"",S113=TODAY()),"本日対応",IF(AND(P113&lt;&gt;"",P113-TODAY()&lt;=3),"開通間近","")))))))</f>
        <v/>
      </c>
      <c r="W113" s="16"/>
      <c r="X113" s="16"/>
    </row>
    <row r="114" customFormat="false" ht="15" hidden="false" customHeight="false" outlineLevel="0" collapsed="false">
      <c r="A114" s="7" t="str">
        <f aca="false">IF(D114="","",ROW()-3)</f>
        <v/>
      </c>
      <c r="B114" s="16"/>
      <c r="C114" s="12"/>
      <c r="D114" s="16"/>
      <c r="E114" s="16"/>
      <c r="F114" s="17"/>
      <c r="G114" s="16"/>
      <c r="H114" s="16"/>
      <c r="I114" s="12"/>
      <c r="J114" s="16"/>
      <c r="K114" s="16"/>
      <c r="L114" s="16"/>
      <c r="M114" s="16"/>
      <c r="N114" s="16"/>
      <c r="O114" s="12"/>
      <c r="P114" s="12"/>
      <c r="Q114" s="12"/>
      <c r="R114" s="16"/>
      <c r="S114" s="12"/>
      <c r="T114" s="13" t="str">
        <f aca="true">IF(C114="","",IF(Q114&lt;&gt;"",Q114-C114,TODAY()-C114))</f>
        <v/>
      </c>
      <c r="U114" s="14" t="str">
        <f aca="true">IF(OR(P114="",Q114&lt;&gt;"",N114="キャンセル"),"",P114-TODAY())</f>
        <v/>
      </c>
      <c r="V114" s="15" t="str">
        <f aca="true">IF(D114="","",IF(OR(N114="開通済",Q114&lt;&gt;""),"完了",IF(N114="キャンセル","―",IF(AND(S114&lt;&gt;"",S114&lt;TODAY()),"対応期限超過",IF(AND(P114&lt;&gt;"",P114&lt;TODAY()),"開通予定日超過",IF(AND(S114&lt;&gt;"",S114=TODAY()),"本日対応",IF(AND(P114&lt;&gt;"",P114-TODAY()&lt;=3),"開通間近","")))))))</f>
        <v/>
      </c>
      <c r="W114" s="16"/>
      <c r="X114" s="16"/>
    </row>
    <row r="115" customFormat="false" ht="15" hidden="false" customHeight="false" outlineLevel="0" collapsed="false">
      <c r="A115" s="7" t="str">
        <f aca="false">IF(D115="","",ROW()-3)</f>
        <v/>
      </c>
      <c r="B115" s="16"/>
      <c r="C115" s="12"/>
      <c r="D115" s="16"/>
      <c r="E115" s="16"/>
      <c r="F115" s="17"/>
      <c r="G115" s="16"/>
      <c r="H115" s="16"/>
      <c r="I115" s="12"/>
      <c r="J115" s="16"/>
      <c r="K115" s="16"/>
      <c r="L115" s="16"/>
      <c r="M115" s="16"/>
      <c r="N115" s="16"/>
      <c r="O115" s="12"/>
      <c r="P115" s="12"/>
      <c r="Q115" s="12"/>
      <c r="R115" s="16"/>
      <c r="S115" s="12"/>
      <c r="T115" s="13" t="str">
        <f aca="true">IF(C115="","",IF(Q115&lt;&gt;"",Q115-C115,TODAY()-C115))</f>
        <v/>
      </c>
      <c r="U115" s="14" t="str">
        <f aca="true">IF(OR(P115="",Q115&lt;&gt;"",N115="キャンセル"),"",P115-TODAY())</f>
        <v/>
      </c>
      <c r="V115" s="15" t="str">
        <f aca="true">IF(D115="","",IF(OR(N115="開通済",Q115&lt;&gt;""),"完了",IF(N115="キャンセル","―",IF(AND(S115&lt;&gt;"",S115&lt;TODAY()),"対応期限超過",IF(AND(P115&lt;&gt;"",P115&lt;TODAY()),"開通予定日超過",IF(AND(S115&lt;&gt;"",S115=TODAY()),"本日対応",IF(AND(P115&lt;&gt;"",P115-TODAY()&lt;=3),"開通間近","")))))))</f>
        <v/>
      </c>
      <c r="W115" s="16"/>
      <c r="X115" s="16"/>
    </row>
    <row r="116" customFormat="false" ht="15" hidden="false" customHeight="false" outlineLevel="0" collapsed="false">
      <c r="A116" s="7" t="str">
        <f aca="false">IF(D116="","",ROW()-3)</f>
        <v/>
      </c>
      <c r="B116" s="16"/>
      <c r="C116" s="12"/>
      <c r="D116" s="16"/>
      <c r="E116" s="16"/>
      <c r="F116" s="17"/>
      <c r="G116" s="16"/>
      <c r="H116" s="16"/>
      <c r="I116" s="12"/>
      <c r="J116" s="16"/>
      <c r="K116" s="16"/>
      <c r="L116" s="16"/>
      <c r="M116" s="16"/>
      <c r="N116" s="16"/>
      <c r="O116" s="12"/>
      <c r="P116" s="12"/>
      <c r="Q116" s="12"/>
      <c r="R116" s="16"/>
      <c r="S116" s="12"/>
      <c r="T116" s="13" t="str">
        <f aca="true">IF(C116="","",IF(Q116&lt;&gt;"",Q116-C116,TODAY()-C116))</f>
        <v/>
      </c>
      <c r="U116" s="14" t="str">
        <f aca="true">IF(OR(P116="",Q116&lt;&gt;"",N116="キャンセル"),"",P116-TODAY())</f>
        <v/>
      </c>
      <c r="V116" s="15" t="str">
        <f aca="true">IF(D116="","",IF(OR(N116="開通済",Q116&lt;&gt;""),"完了",IF(N116="キャンセル","―",IF(AND(S116&lt;&gt;"",S116&lt;TODAY()),"対応期限超過",IF(AND(P116&lt;&gt;"",P116&lt;TODAY()),"開通予定日超過",IF(AND(S116&lt;&gt;"",S116=TODAY()),"本日対応",IF(AND(P116&lt;&gt;"",P116-TODAY()&lt;=3),"開通間近","")))))))</f>
        <v/>
      </c>
      <c r="W116" s="16"/>
      <c r="X116" s="16"/>
    </row>
    <row r="117" customFormat="false" ht="15" hidden="false" customHeight="false" outlineLevel="0" collapsed="false">
      <c r="A117" s="7" t="str">
        <f aca="false">IF(D117="","",ROW()-3)</f>
        <v/>
      </c>
      <c r="B117" s="16"/>
      <c r="C117" s="12"/>
      <c r="D117" s="16"/>
      <c r="E117" s="16"/>
      <c r="F117" s="17"/>
      <c r="G117" s="16"/>
      <c r="H117" s="16"/>
      <c r="I117" s="12"/>
      <c r="J117" s="16"/>
      <c r="K117" s="16"/>
      <c r="L117" s="16"/>
      <c r="M117" s="16"/>
      <c r="N117" s="16"/>
      <c r="O117" s="12"/>
      <c r="P117" s="12"/>
      <c r="Q117" s="12"/>
      <c r="R117" s="16"/>
      <c r="S117" s="12"/>
      <c r="T117" s="13" t="str">
        <f aca="true">IF(C117="","",IF(Q117&lt;&gt;"",Q117-C117,TODAY()-C117))</f>
        <v/>
      </c>
      <c r="U117" s="14" t="str">
        <f aca="true">IF(OR(P117="",Q117&lt;&gt;"",N117="キャンセル"),"",P117-TODAY())</f>
        <v/>
      </c>
      <c r="V117" s="15" t="str">
        <f aca="true">IF(D117="","",IF(OR(N117="開通済",Q117&lt;&gt;""),"完了",IF(N117="キャンセル","―",IF(AND(S117&lt;&gt;"",S117&lt;TODAY()),"対応期限超過",IF(AND(P117&lt;&gt;"",P117&lt;TODAY()),"開通予定日超過",IF(AND(S117&lt;&gt;"",S117=TODAY()),"本日対応",IF(AND(P117&lt;&gt;"",P117-TODAY()&lt;=3),"開通間近","")))))))</f>
        <v/>
      </c>
      <c r="W117" s="16"/>
      <c r="X117" s="16"/>
    </row>
    <row r="118" customFormat="false" ht="15" hidden="false" customHeight="false" outlineLevel="0" collapsed="false">
      <c r="A118" s="7" t="str">
        <f aca="false">IF(D118="","",ROW()-3)</f>
        <v/>
      </c>
      <c r="B118" s="16"/>
      <c r="C118" s="12"/>
      <c r="D118" s="16"/>
      <c r="E118" s="16"/>
      <c r="F118" s="17"/>
      <c r="G118" s="16"/>
      <c r="H118" s="16"/>
      <c r="I118" s="12"/>
      <c r="J118" s="16"/>
      <c r="K118" s="16"/>
      <c r="L118" s="16"/>
      <c r="M118" s="16"/>
      <c r="N118" s="16"/>
      <c r="O118" s="12"/>
      <c r="P118" s="12"/>
      <c r="Q118" s="12"/>
      <c r="R118" s="16"/>
      <c r="S118" s="12"/>
      <c r="T118" s="13" t="str">
        <f aca="true">IF(C118="","",IF(Q118&lt;&gt;"",Q118-C118,TODAY()-C118))</f>
        <v/>
      </c>
      <c r="U118" s="14" t="str">
        <f aca="true">IF(OR(P118="",Q118&lt;&gt;"",N118="キャンセル"),"",P118-TODAY())</f>
        <v/>
      </c>
      <c r="V118" s="15" t="str">
        <f aca="true">IF(D118="","",IF(OR(N118="開通済",Q118&lt;&gt;""),"完了",IF(N118="キャンセル","―",IF(AND(S118&lt;&gt;"",S118&lt;TODAY()),"対応期限超過",IF(AND(P118&lt;&gt;"",P118&lt;TODAY()),"開通予定日超過",IF(AND(S118&lt;&gt;"",S118=TODAY()),"本日対応",IF(AND(P118&lt;&gt;"",P118-TODAY()&lt;=3),"開通間近","")))))))</f>
        <v/>
      </c>
      <c r="W118" s="16"/>
      <c r="X118" s="16"/>
    </row>
    <row r="119" customFormat="false" ht="15" hidden="false" customHeight="false" outlineLevel="0" collapsed="false">
      <c r="A119" s="7" t="str">
        <f aca="false">IF(D119="","",ROW()-3)</f>
        <v/>
      </c>
      <c r="B119" s="16"/>
      <c r="C119" s="12"/>
      <c r="D119" s="16"/>
      <c r="E119" s="16"/>
      <c r="F119" s="17"/>
      <c r="G119" s="16"/>
      <c r="H119" s="16"/>
      <c r="I119" s="12"/>
      <c r="J119" s="16"/>
      <c r="K119" s="16"/>
      <c r="L119" s="16"/>
      <c r="M119" s="16"/>
      <c r="N119" s="16"/>
      <c r="O119" s="12"/>
      <c r="P119" s="12"/>
      <c r="Q119" s="12"/>
      <c r="R119" s="16"/>
      <c r="S119" s="12"/>
      <c r="T119" s="13" t="str">
        <f aca="true">IF(C119="","",IF(Q119&lt;&gt;"",Q119-C119,TODAY()-C119))</f>
        <v/>
      </c>
      <c r="U119" s="14" t="str">
        <f aca="true">IF(OR(P119="",Q119&lt;&gt;"",N119="キャンセル"),"",P119-TODAY())</f>
        <v/>
      </c>
      <c r="V119" s="15" t="str">
        <f aca="true">IF(D119="","",IF(OR(N119="開通済",Q119&lt;&gt;""),"完了",IF(N119="キャンセル","―",IF(AND(S119&lt;&gt;"",S119&lt;TODAY()),"対応期限超過",IF(AND(P119&lt;&gt;"",P119&lt;TODAY()),"開通予定日超過",IF(AND(S119&lt;&gt;"",S119=TODAY()),"本日対応",IF(AND(P119&lt;&gt;"",P119-TODAY()&lt;=3),"開通間近","")))))))</f>
        <v/>
      </c>
      <c r="W119" s="16"/>
      <c r="X119" s="16"/>
    </row>
    <row r="120" customFormat="false" ht="15" hidden="false" customHeight="false" outlineLevel="0" collapsed="false">
      <c r="A120" s="7" t="str">
        <f aca="false">IF(D120="","",ROW()-3)</f>
        <v/>
      </c>
      <c r="B120" s="16"/>
      <c r="C120" s="12"/>
      <c r="D120" s="16"/>
      <c r="E120" s="16"/>
      <c r="F120" s="17"/>
      <c r="G120" s="16"/>
      <c r="H120" s="16"/>
      <c r="I120" s="12"/>
      <c r="J120" s="16"/>
      <c r="K120" s="16"/>
      <c r="L120" s="16"/>
      <c r="M120" s="16"/>
      <c r="N120" s="16"/>
      <c r="O120" s="12"/>
      <c r="P120" s="12"/>
      <c r="Q120" s="12"/>
      <c r="R120" s="16"/>
      <c r="S120" s="12"/>
      <c r="T120" s="13" t="str">
        <f aca="true">IF(C120="","",IF(Q120&lt;&gt;"",Q120-C120,TODAY()-C120))</f>
        <v/>
      </c>
      <c r="U120" s="14" t="str">
        <f aca="true">IF(OR(P120="",Q120&lt;&gt;"",N120="キャンセル"),"",P120-TODAY())</f>
        <v/>
      </c>
      <c r="V120" s="15" t="str">
        <f aca="true">IF(D120="","",IF(OR(N120="開通済",Q120&lt;&gt;""),"完了",IF(N120="キャンセル","―",IF(AND(S120&lt;&gt;"",S120&lt;TODAY()),"対応期限超過",IF(AND(P120&lt;&gt;"",P120&lt;TODAY()),"開通予定日超過",IF(AND(S120&lt;&gt;"",S120=TODAY()),"本日対応",IF(AND(P120&lt;&gt;"",P120-TODAY()&lt;=3),"開通間近","")))))))</f>
        <v/>
      </c>
      <c r="W120" s="16"/>
      <c r="X120" s="16"/>
    </row>
    <row r="121" customFormat="false" ht="15" hidden="false" customHeight="false" outlineLevel="0" collapsed="false">
      <c r="A121" s="7" t="str">
        <f aca="false">IF(D121="","",ROW()-3)</f>
        <v/>
      </c>
      <c r="B121" s="16"/>
      <c r="C121" s="12"/>
      <c r="D121" s="16"/>
      <c r="E121" s="16"/>
      <c r="F121" s="17"/>
      <c r="G121" s="16"/>
      <c r="H121" s="16"/>
      <c r="I121" s="12"/>
      <c r="J121" s="16"/>
      <c r="K121" s="16"/>
      <c r="L121" s="16"/>
      <c r="M121" s="16"/>
      <c r="N121" s="16"/>
      <c r="O121" s="12"/>
      <c r="P121" s="12"/>
      <c r="Q121" s="12"/>
      <c r="R121" s="16"/>
      <c r="S121" s="12"/>
      <c r="T121" s="13" t="str">
        <f aca="true">IF(C121="","",IF(Q121&lt;&gt;"",Q121-C121,TODAY()-C121))</f>
        <v/>
      </c>
      <c r="U121" s="14" t="str">
        <f aca="true">IF(OR(P121="",Q121&lt;&gt;"",N121="キャンセル"),"",P121-TODAY())</f>
        <v/>
      </c>
      <c r="V121" s="15" t="str">
        <f aca="true">IF(D121="","",IF(OR(N121="開通済",Q121&lt;&gt;""),"完了",IF(N121="キャンセル","―",IF(AND(S121&lt;&gt;"",S121&lt;TODAY()),"対応期限超過",IF(AND(P121&lt;&gt;"",P121&lt;TODAY()),"開通予定日超過",IF(AND(S121&lt;&gt;"",S121=TODAY()),"本日対応",IF(AND(P121&lt;&gt;"",P121-TODAY()&lt;=3),"開通間近","")))))))</f>
        <v/>
      </c>
      <c r="W121" s="16"/>
      <c r="X121" s="16"/>
    </row>
    <row r="122" customFormat="false" ht="15" hidden="false" customHeight="false" outlineLevel="0" collapsed="false">
      <c r="A122" s="7" t="str">
        <f aca="false">IF(D122="","",ROW()-3)</f>
        <v/>
      </c>
      <c r="B122" s="16"/>
      <c r="C122" s="12"/>
      <c r="D122" s="16"/>
      <c r="E122" s="16"/>
      <c r="F122" s="17"/>
      <c r="G122" s="16"/>
      <c r="H122" s="16"/>
      <c r="I122" s="12"/>
      <c r="J122" s="16"/>
      <c r="K122" s="16"/>
      <c r="L122" s="16"/>
      <c r="M122" s="16"/>
      <c r="N122" s="16"/>
      <c r="O122" s="12"/>
      <c r="P122" s="12"/>
      <c r="Q122" s="12"/>
      <c r="R122" s="16"/>
      <c r="S122" s="12"/>
      <c r="T122" s="13" t="str">
        <f aca="true">IF(C122="","",IF(Q122&lt;&gt;"",Q122-C122,TODAY()-C122))</f>
        <v/>
      </c>
      <c r="U122" s="14" t="str">
        <f aca="true">IF(OR(P122="",Q122&lt;&gt;"",N122="キャンセル"),"",P122-TODAY())</f>
        <v/>
      </c>
      <c r="V122" s="15" t="str">
        <f aca="true">IF(D122="","",IF(OR(N122="開通済",Q122&lt;&gt;""),"完了",IF(N122="キャンセル","―",IF(AND(S122&lt;&gt;"",S122&lt;TODAY()),"対応期限超過",IF(AND(P122&lt;&gt;"",P122&lt;TODAY()),"開通予定日超過",IF(AND(S122&lt;&gt;"",S122=TODAY()),"本日対応",IF(AND(P122&lt;&gt;"",P122-TODAY()&lt;=3),"開通間近","")))))))</f>
        <v/>
      </c>
      <c r="W122" s="16"/>
      <c r="X122" s="16"/>
    </row>
    <row r="123" customFormat="false" ht="15" hidden="false" customHeight="false" outlineLevel="0" collapsed="false">
      <c r="A123" s="7" t="str">
        <f aca="false">IF(D123="","",ROW()-3)</f>
        <v/>
      </c>
      <c r="B123" s="16"/>
      <c r="C123" s="12"/>
      <c r="D123" s="16"/>
      <c r="E123" s="16"/>
      <c r="F123" s="17"/>
      <c r="G123" s="16"/>
      <c r="H123" s="16"/>
      <c r="I123" s="12"/>
      <c r="J123" s="16"/>
      <c r="K123" s="16"/>
      <c r="L123" s="16"/>
      <c r="M123" s="16"/>
      <c r="N123" s="16"/>
      <c r="O123" s="12"/>
      <c r="P123" s="12"/>
      <c r="Q123" s="12"/>
      <c r="R123" s="16"/>
      <c r="S123" s="12"/>
      <c r="T123" s="13" t="str">
        <f aca="true">IF(C123="","",IF(Q123&lt;&gt;"",Q123-C123,TODAY()-C123))</f>
        <v/>
      </c>
      <c r="U123" s="14" t="str">
        <f aca="true">IF(OR(P123="",Q123&lt;&gt;"",N123="キャンセル"),"",P123-TODAY())</f>
        <v/>
      </c>
      <c r="V123" s="15" t="str">
        <f aca="true">IF(D123="","",IF(OR(N123="開通済",Q123&lt;&gt;""),"完了",IF(N123="キャンセル","―",IF(AND(S123&lt;&gt;"",S123&lt;TODAY()),"対応期限超過",IF(AND(P123&lt;&gt;"",P123&lt;TODAY()),"開通予定日超過",IF(AND(S123&lt;&gt;"",S123=TODAY()),"本日対応",IF(AND(P123&lt;&gt;"",P123-TODAY()&lt;=3),"開通間近","")))))))</f>
        <v/>
      </c>
      <c r="W123" s="16"/>
      <c r="X123" s="16"/>
    </row>
    <row r="124" customFormat="false" ht="15" hidden="false" customHeight="false" outlineLevel="0" collapsed="false">
      <c r="A124" s="7" t="str">
        <f aca="false">IF(D124="","",ROW()-3)</f>
        <v/>
      </c>
      <c r="B124" s="16"/>
      <c r="C124" s="12"/>
      <c r="D124" s="16"/>
      <c r="E124" s="16"/>
      <c r="F124" s="17"/>
      <c r="G124" s="16"/>
      <c r="H124" s="16"/>
      <c r="I124" s="12"/>
      <c r="J124" s="16"/>
      <c r="K124" s="16"/>
      <c r="L124" s="16"/>
      <c r="M124" s="16"/>
      <c r="N124" s="16"/>
      <c r="O124" s="12"/>
      <c r="P124" s="12"/>
      <c r="Q124" s="12"/>
      <c r="R124" s="16"/>
      <c r="S124" s="12"/>
      <c r="T124" s="13" t="str">
        <f aca="true">IF(C124="","",IF(Q124&lt;&gt;"",Q124-C124,TODAY()-C124))</f>
        <v/>
      </c>
      <c r="U124" s="14" t="str">
        <f aca="true">IF(OR(P124="",Q124&lt;&gt;"",N124="キャンセル"),"",P124-TODAY())</f>
        <v/>
      </c>
      <c r="V124" s="15" t="str">
        <f aca="true">IF(D124="","",IF(OR(N124="開通済",Q124&lt;&gt;""),"完了",IF(N124="キャンセル","―",IF(AND(S124&lt;&gt;"",S124&lt;TODAY()),"対応期限超過",IF(AND(P124&lt;&gt;"",P124&lt;TODAY()),"開通予定日超過",IF(AND(S124&lt;&gt;"",S124=TODAY()),"本日対応",IF(AND(P124&lt;&gt;"",P124-TODAY()&lt;=3),"開通間近","")))))))</f>
        <v/>
      </c>
      <c r="W124" s="16"/>
      <c r="X124" s="16"/>
    </row>
    <row r="125" customFormat="false" ht="15" hidden="false" customHeight="false" outlineLevel="0" collapsed="false">
      <c r="A125" s="7" t="str">
        <f aca="false">IF(D125="","",ROW()-3)</f>
        <v/>
      </c>
      <c r="B125" s="16"/>
      <c r="C125" s="12"/>
      <c r="D125" s="16"/>
      <c r="E125" s="16"/>
      <c r="F125" s="17"/>
      <c r="G125" s="16"/>
      <c r="H125" s="16"/>
      <c r="I125" s="12"/>
      <c r="J125" s="16"/>
      <c r="K125" s="16"/>
      <c r="L125" s="16"/>
      <c r="M125" s="16"/>
      <c r="N125" s="16"/>
      <c r="O125" s="12"/>
      <c r="P125" s="12"/>
      <c r="Q125" s="12"/>
      <c r="R125" s="16"/>
      <c r="S125" s="12"/>
      <c r="T125" s="13" t="str">
        <f aca="true">IF(C125="","",IF(Q125&lt;&gt;"",Q125-C125,TODAY()-C125))</f>
        <v/>
      </c>
      <c r="U125" s="14" t="str">
        <f aca="true">IF(OR(P125="",Q125&lt;&gt;"",N125="キャンセル"),"",P125-TODAY())</f>
        <v/>
      </c>
      <c r="V125" s="15" t="str">
        <f aca="true">IF(D125="","",IF(OR(N125="開通済",Q125&lt;&gt;""),"完了",IF(N125="キャンセル","―",IF(AND(S125&lt;&gt;"",S125&lt;TODAY()),"対応期限超過",IF(AND(P125&lt;&gt;"",P125&lt;TODAY()),"開通予定日超過",IF(AND(S125&lt;&gt;"",S125=TODAY()),"本日対応",IF(AND(P125&lt;&gt;"",P125-TODAY()&lt;=3),"開通間近","")))))))</f>
        <v/>
      </c>
      <c r="W125" s="16"/>
      <c r="X125" s="16"/>
    </row>
    <row r="126" customFormat="false" ht="15" hidden="false" customHeight="false" outlineLevel="0" collapsed="false">
      <c r="A126" s="7" t="str">
        <f aca="false">IF(D126="","",ROW()-3)</f>
        <v/>
      </c>
      <c r="B126" s="16"/>
      <c r="C126" s="12"/>
      <c r="D126" s="16"/>
      <c r="E126" s="16"/>
      <c r="F126" s="17"/>
      <c r="G126" s="16"/>
      <c r="H126" s="16"/>
      <c r="I126" s="12"/>
      <c r="J126" s="16"/>
      <c r="K126" s="16"/>
      <c r="L126" s="16"/>
      <c r="M126" s="16"/>
      <c r="N126" s="16"/>
      <c r="O126" s="12"/>
      <c r="P126" s="12"/>
      <c r="Q126" s="12"/>
      <c r="R126" s="16"/>
      <c r="S126" s="12"/>
      <c r="T126" s="13" t="str">
        <f aca="true">IF(C126="","",IF(Q126&lt;&gt;"",Q126-C126,TODAY()-C126))</f>
        <v/>
      </c>
      <c r="U126" s="14" t="str">
        <f aca="true">IF(OR(P126="",Q126&lt;&gt;"",N126="キャンセル"),"",P126-TODAY())</f>
        <v/>
      </c>
      <c r="V126" s="15" t="str">
        <f aca="true">IF(D126="","",IF(OR(N126="開通済",Q126&lt;&gt;""),"完了",IF(N126="キャンセル","―",IF(AND(S126&lt;&gt;"",S126&lt;TODAY()),"対応期限超過",IF(AND(P126&lt;&gt;"",P126&lt;TODAY()),"開通予定日超過",IF(AND(S126&lt;&gt;"",S126=TODAY()),"本日対応",IF(AND(P126&lt;&gt;"",P126-TODAY()&lt;=3),"開通間近","")))))))</f>
        <v/>
      </c>
      <c r="W126" s="16"/>
      <c r="X126" s="16"/>
    </row>
    <row r="127" customFormat="false" ht="15" hidden="false" customHeight="false" outlineLevel="0" collapsed="false">
      <c r="A127" s="7" t="str">
        <f aca="false">IF(D127="","",ROW()-3)</f>
        <v/>
      </c>
      <c r="B127" s="16"/>
      <c r="C127" s="12"/>
      <c r="D127" s="16"/>
      <c r="E127" s="16"/>
      <c r="F127" s="17"/>
      <c r="G127" s="16"/>
      <c r="H127" s="16"/>
      <c r="I127" s="12"/>
      <c r="J127" s="16"/>
      <c r="K127" s="16"/>
      <c r="L127" s="16"/>
      <c r="M127" s="16"/>
      <c r="N127" s="16"/>
      <c r="O127" s="12"/>
      <c r="P127" s="12"/>
      <c r="Q127" s="12"/>
      <c r="R127" s="16"/>
      <c r="S127" s="12"/>
      <c r="T127" s="13" t="str">
        <f aca="true">IF(C127="","",IF(Q127&lt;&gt;"",Q127-C127,TODAY()-C127))</f>
        <v/>
      </c>
      <c r="U127" s="14" t="str">
        <f aca="true">IF(OR(P127="",Q127&lt;&gt;"",N127="キャンセル"),"",P127-TODAY())</f>
        <v/>
      </c>
      <c r="V127" s="15" t="str">
        <f aca="true">IF(D127="","",IF(OR(N127="開通済",Q127&lt;&gt;""),"完了",IF(N127="キャンセル","―",IF(AND(S127&lt;&gt;"",S127&lt;TODAY()),"対応期限超過",IF(AND(P127&lt;&gt;"",P127&lt;TODAY()),"開通予定日超過",IF(AND(S127&lt;&gt;"",S127=TODAY()),"本日対応",IF(AND(P127&lt;&gt;"",P127-TODAY()&lt;=3),"開通間近","")))))))</f>
        <v/>
      </c>
      <c r="W127" s="16"/>
      <c r="X127" s="16"/>
    </row>
    <row r="128" customFormat="false" ht="15" hidden="false" customHeight="false" outlineLevel="0" collapsed="false">
      <c r="A128" s="7" t="str">
        <f aca="false">IF(D128="","",ROW()-3)</f>
        <v/>
      </c>
      <c r="B128" s="16"/>
      <c r="C128" s="12"/>
      <c r="D128" s="16"/>
      <c r="E128" s="16"/>
      <c r="F128" s="17"/>
      <c r="G128" s="16"/>
      <c r="H128" s="16"/>
      <c r="I128" s="12"/>
      <c r="J128" s="16"/>
      <c r="K128" s="16"/>
      <c r="L128" s="16"/>
      <c r="M128" s="16"/>
      <c r="N128" s="16"/>
      <c r="O128" s="12"/>
      <c r="P128" s="12"/>
      <c r="Q128" s="12"/>
      <c r="R128" s="16"/>
      <c r="S128" s="12"/>
      <c r="T128" s="13" t="str">
        <f aca="true">IF(C128="","",IF(Q128&lt;&gt;"",Q128-C128,TODAY()-C128))</f>
        <v/>
      </c>
      <c r="U128" s="14" t="str">
        <f aca="true">IF(OR(P128="",Q128&lt;&gt;"",N128="キャンセル"),"",P128-TODAY())</f>
        <v/>
      </c>
      <c r="V128" s="15" t="str">
        <f aca="true">IF(D128="","",IF(OR(N128="開通済",Q128&lt;&gt;""),"完了",IF(N128="キャンセル","―",IF(AND(S128&lt;&gt;"",S128&lt;TODAY()),"対応期限超過",IF(AND(P128&lt;&gt;"",P128&lt;TODAY()),"開通予定日超過",IF(AND(S128&lt;&gt;"",S128=TODAY()),"本日対応",IF(AND(P128&lt;&gt;"",P128-TODAY()&lt;=3),"開通間近","")))))))</f>
        <v/>
      </c>
      <c r="W128" s="16"/>
      <c r="X128" s="16"/>
    </row>
    <row r="129" customFormat="false" ht="15" hidden="false" customHeight="false" outlineLevel="0" collapsed="false">
      <c r="A129" s="7" t="str">
        <f aca="false">IF(D129="","",ROW()-3)</f>
        <v/>
      </c>
      <c r="B129" s="16"/>
      <c r="C129" s="12"/>
      <c r="D129" s="16"/>
      <c r="E129" s="16"/>
      <c r="F129" s="17"/>
      <c r="G129" s="16"/>
      <c r="H129" s="16"/>
      <c r="I129" s="12"/>
      <c r="J129" s="16"/>
      <c r="K129" s="16"/>
      <c r="L129" s="16"/>
      <c r="M129" s="16"/>
      <c r="N129" s="16"/>
      <c r="O129" s="12"/>
      <c r="P129" s="12"/>
      <c r="Q129" s="12"/>
      <c r="R129" s="16"/>
      <c r="S129" s="12"/>
      <c r="T129" s="13" t="str">
        <f aca="true">IF(C129="","",IF(Q129&lt;&gt;"",Q129-C129,TODAY()-C129))</f>
        <v/>
      </c>
      <c r="U129" s="14" t="str">
        <f aca="true">IF(OR(P129="",Q129&lt;&gt;"",N129="キャンセル"),"",P129-TODAY())</f>
        <v/>
      </c>
      <c r="V129" s="15" t="str">
        <f aca="true">IF(D129="","",IF(OR(N129="開通済",Q129&lt;&gt;""),"完了",IF(N129="キャンセル","―",IF(AND(S129&lt;&gt;"",S129&lt;TODAY()),"対応期限超過",IF(AND(P129&lt;&gt;"",P129&lt;TODAY()),"開通予定日超過",IF(AND(S129&lt;&gt;"",S129=TODAY()),"本日対応",IF(AND(P129&lt;&gt;"",P129-TODAY()&lt;=3),"開通間近","")))))))</f>
        <v/>
      </c>
      <c r="W129" s="16"/>
      <c r="X129" s="16"/>
    </row>
    <row r="130" customFormat="false" ht="15" hidden="false" customHeight="false" outlineLevel="0" collapsed="false">
      <c r="A130" s="7" t="str">
        <f aca="false">IF(D130="","",ROW()-3)</f>
        <v/>
      </c>
      <c r="B130" s="16"/>
      <c r="C130" s="12"/>
      <c r="D130" s="16"/>
      <c r="E130" s="16"/>
      <c r="F130" s="17"/>
      <c r="G130" s="16"/>
      <c r="H130" s="16"/>
      <c r="I130" s="12"/>
      <c r="J130" s="16"/>
      <c r="K130" s="16"/>
      <c r="L130" s="16"/>
      <c r="M130" s="16"/>
      <c r="N130" s="16"/>
      <c r="O130" s="12"/>
      <c r="P130" s="12"/>
      <c r="Q130" s="12"/>
      <c r="R130" s="16"/>
      <c r="S130" s="12"/>
      <c r="T130" s="13" t="str">
        <f aca="true">IF(C130="","",IF(Q130&lt;&gt;"",Q130-C130,TODAY()-C130))</f>
        <v/>
      </c>
      <c r="U130" s="14" t="str">
        <f aca="true">IF(OR(P130="",Q130&lt;&gt;"",N130="キャンセル"),"",P130-TODAY())</f>
        <v/>
      </c>
      <c r="V130" s="15" t="str">
        <f aca="true">IF(D130="","",IF(OR(N130="開通済",Q130&lt;&gt;""),"完了",IF(N130="キャンセル","―",IF(AND(S130&lt;&gt;"",S130&lt;TODAY()),"対応期限超過",IF(AND(P130&lt;&gt;"",P130&lt;TODAY()),"開通予定日超過",IF(AND(S130&lt;&gt;"",S130=TODAY()),"本日対応",IF(AND(P130&lt;&gt;"",P130-TODAY()&lt;=3),"開通間近","")))))))</f>
        <v/>
      </c>
      <c r="W130" s="16"/>
      <c r="X130" s="16"/>
    </row>
    <row r="131" customFormat="false" ht="15" hidden="false" customHeight="false" outlineLevel="0" collapsed="false">
      <c r="A131" s="7" t="str">
        <f aca="false">IF(D131="","",ROW()-3)</f>
        <v/>
      </c>
      <c r="B131" s="16"/>
      <c r="C131" s="12"/>
      <c r="D131" s="16"/>
      <c r="E131" s="16"/>
      <c r="F131" s="17"/>
      <c r="G131" s="16"/>
      <c r="H131" s="16"/>
      <c r="I131" s="12"/>
      <c r="J131" s="16"/>
      <c r="K131" s="16"/>
      <c r="L131" s="16"/>
      <c r="M131" s="16"/>
      <c r="N131" s="16"/>
      <c r="O131" s="12"/>
      <c r="P131" s="12"/>
      <c r="Q131" s="12"/>
      <c r="R131" s="16"/>
      <c r="S131" s="12"/>
      <c r="T131" s="13" t="str">
        <f aca="true">IF(C131="","",IF(Q131&lt;&gt;"",Q131-C131,TODAY()-C131))</f>
        <v/>
      </c>
      <c r="U131" s="14" t="str">
        <f aca="true">IF(OR(P131="",Q131&lt;&gt;"",N131="キャンセル"),"",P131-TODAY())</f>
        <v/>
      </c>
      <c r="V131" s="15" t="str">
        <f aca="true">IF(D131="","",IF(OR(N131="開通済",Q131&lt;&gt;""),"完了",IF(N131="キャンセル","―",IF(AND(S131&lt;&gt;"",S131&lt;TODAY()),"対応期限超過",IF(AND(P131&lt;&gt;"",P131&lt;TODAY()),"開通予定日超過",IF(AND(S131&lt;&gt;"",S131=TODAY()),"本日対応",IF(AND(P131&lt;&gt;"",P131-TODAY()&lt;=3),"開通間近","")))))))</f>
        <v/>
      </c>
      <c r="W131" s="16"/>
      <c r="X131" s="16"/>
    </row>
    <row r="132" customFormat="false" ht="15" hidden="false" customHeight="false" outlineLevel="0" collapsed="false">
      <c r="A132" s="7" t="str">
        <f aca="false">IF(D132="","",ROW()-3)</f>
        <v/>
      </c>
      <c r="B132" s="16"/>
      <c r="C132" s="12"/>
      <c r="D132" s="16"/>
      <c r="E132" s="16"/>
      <c r="F132" s="17"/>
      <c r="G132" s="16"/>
      <c r="H132" s="16"/>
      <c r="I132" s="12"/>
      <c r="J132" s="16"/>
      <c r="K132" s="16"/>
      <c r="L132" s="16"/>
      <c r="M132" s="16"/>
      <c r="N132" s="16"/>
      <c r="O132" s="12"/>
      <c r="P132" s="12"/>
      <c r="Q132" s="12"/>
      <c r="R132" s="16"/>
      <c r="S132" s="12"/>
      <c r="T132" s="13" t="str">
        <f aca="true">IF(C132="","",IF(Q132&lt;&gt;"",Q132-C132,TODAY()-C132))</f>
        <v/>
      </c>
      <c r="U132" s="14" t="str">
        <f aca="true">IF(OR(P132="",Q132&lt;&gt;"",N132="キャンセル"),"",P132-TODAY())</f>
        <v/>
      </c>
      <c r="V132" s="15" t="str">
        <f aca="true">IF(D132="","",IF(OR(N132="開通済",Q132&lt;&gt;""),"完了",IF(N132="キャンセル","―",IF(AND(S132&lt;&gt;"",S132&lt;TODAY()),"対応期限超過",IF(AND(P132&lt;&gt;"",P132&lt;TODAY()),"開通予定日超過",IF(AND(S132&lt;&gt;"",S132=TODAY()),"本日対応",IF(AND(P132&lt;&gt;"",P132-TODAY()&lt;=3),"開通間近","")))))))</f>
        <v/>
      </c>
      <c r="W132" s="16"/>
      <c r="X132" s="16"/>
    </row>
    <row r="133" customFormat="false" ht="15" hidden="false" customHeight="false" outlineLevel="0" collapsed="false">
      <c r="A133" s="7" t="str">
        <f aca="false">IF(D133="","",ROW()-3)</f>
        <v/>
      </c>
      <c r="B133" s="16"/>
      <c r="C133" s="12"/>
      <c r="D133" s="16"/>
      <c r="E133" s="16"/>
      <c r="F133" s="17"/>
      <c r="G133" s="16"/>
      <c r="H133" s="16"/>
      <c r="I133" s="12"/>
      <c r="J133" s="16"/>
      <c r="K133" s="16"/>
      <c r="L133" s="16"/>
      <c r="M133" s="16"/>
      <c r="N133" s="16"/>
      <c r="O133" s="12"/>
      <c r="P133" s="12"/>
      <c r="Q133" s="12"/>
      <c r="R133" s="16"/>
      <c r="S133" s="12"/>
      <c r="T133" s="13" t="str">
        <f aca="true">IF(C133="","",IF(Q133&lt;&gt;"",Q133-C133,TODAY()-C133))</f>
        <v/>
      </c>
      <c r="U133" s="14" t="str">
        <f aca="true">IF(OR(P133="",Q133&lt;&gt;"",N133="キャンセル"),"",P133-TODAY())</f>
        <v/>
      </c>
      <c r="V133" s="15" t="str">
        <f aca="true">IF(D133="","",IF(OR(N133="開通済",Q133&lt;&gt;""),"完了",IF(N133="キャンセル","―",IF(AND(S133&lt;&gt;"",S133&lt;TODAY()),"対応期限超過",IF(AND(P133&lt;&gt;"",P133&lt;TODAY()),"開通予定日超過",IF(AND(S133&lt;&gt;"",S133=TODAY()),"本日対応",IF(AND(P133&lt;&gt;"",P133-TODAY()&lt;=3),"開通間近","")))))))</f>
        <v/>
      </c>
      <c r="W133" s="16"/>
      <c r="X133" s="16"/>
    </row>
    <row r="134" customFormat="false" ht="15" hidden="false" customHeight="false" outlineLevel="0" collapsed="false">
      <c r="A134" s="7" t="str">
        <f aca="false">IF(D134="","",ROW()-3)</f>
        <v/>
      </c>
      <c r="B134" s="16"/>
      <c r="C134" s="12"/>
      <c r="D134" s="16"/>
      <c r="E134" s="16"/>
      <c r="F134" s="17"/>
      <c r="G134" s="16"/>
      <c r="H134" s="16"/>
      <c r="I134" s="12"/>
      <c r="J134" s="16"/>
      <c r="K134" s="16"/>
      <c r="L134" s="16"/>
      <c r="M134" s="16"/>
      <c r="N134" s="16"/>
      <c r="O134" s="12"/>
      <c r="P134" s="12"/>
      <c r="Q134" s="12"/>
      <c r="R134" s="16"/>
      <c r="S134" s="12"/>
      <c r="T134" s="13" t="str">
        <f aca="true">IF(C134="","",IF(Q134&lt;&gt;"",Q134-C134,TODAY()-C134))</f>
        <v/>
      </c>
      <c r="U134" s="14" t="str">
        <f aca="true">IF(OR(P134="",Q134&lt;&gt;"",N134="キャンセル"),"",P134-TODAY())</f>
        <v/>
      </c>
      <c r="V134" s="15" t="str">
        <f aca="true">IF(D134="","",IF(OR(N134="開通済",Q134&lt;&gt;""),"完了",IF(N134="キャンセル","―",IF(AND(S134&lt;&gt;"",S134&lt;TODAY()),"対応期限超過",IF(AND(P134&lt;&gt;"",P134&lt;TODAY()),"開通予定日超過",IF(AND(S134&lt;&gt;"",S134=TODAY()),"本日対応",IF(AND(P134&lt;&gt;"",P134-TODAY()&lt;=3),"開通間近","")))))))</f>
        <v/>
      </c>
      <c r="W134" s="16"/>
      <c r="X134" s="16"/>
    </row>
    <row r="135" customFormat="false" ht="15" hidden="false" customHeight="false" outlineLevel="0" collapsed="false">
      <c r="A135" s="7" t="str">
        <f aca="false">IF(D135="","",ROW()-3)</f>
        <v/>
      </c>
      <c r="B135" s="16"/>
      <c r="C135" s="12"/>
      <c r="D135" s="16"/>
      <c r="E135" s="16"/>
      <c r="F135" s="17"/>
      <c r="G135" s="16"/>
      <c r="H135" s="16"/>
      <c r="I135" s="12"/>
      <c r="J135" s="16"/>
      <c r="K135" s="16"/>
      <c r="L135" s="16"/>
      <c r="M135" s="16"/>
      <c r="N135" s="16"/>
      <c r="O135" s="12"/>
      <c r="P135" s="12"/>
      <c r="Q135" s="12"/>
      <c r="R135" s="16"/>
      <c r="S135" s="12"/>
      <c r="T135" s="13" t="str">
        <f aca="true">IF(C135="","",IF(Q135&lt;&gt;"",Q135-C135,TODAY()-C135))</f>
        <v/>
      </c>
      <c r="U135" s="14" t="str">
        <f aca="true">IF(OR(P135="",Q135&lt;&gt;"",N135="キャンセル"),"",P135-TODAY())</f>
        <v/>
      </c>
      <c r="V135" s="15" t="str">
        <f aca="true">IF(D135="","",IF(OR(N135="開通済",Q135&lt;&gt;""),"完了",IF(N135="キャンセル","―",IF(AND(S135&lt;&gt;"",S135&lt;TODAY()),"対応期限超過",IF(AND(P135&lt;&gt;"",P135&lt;TODAY()),"開通予定日超過",IF(AND(S135&lt;&gt;"",S135=TODAY()),"本日対応",IF(AND(P135&lt;&gt;"",P135-TODAY()&lt;=3),"開通間近","")))))))</f>
        <v/>
      </c>
      <c r="W135" s="16"/>
      <c r="X135" s="16"/>
    </row>
    <row r="136" customFormat="false" ht="15" hidden="false" customHeight="false" outlineLevel="0" collapsed="false">
      <c r="A136" s="7" t="str">
        <f aca="false">IF(D136="","",ROW()-3)</f>
        <v/>
      </c>
      <c r="B136" s="16"/>
      <c r="C136" s="12"/>
      <c r="D136" s="16"/>
      <c r="E136" s="16"/>
      <c r="F136" s="17"/>
      <c r="G136" s="16"/>
      <c r="H136" s="16"/>
      <c r="I136" s="12"/>
      <c r="J136" s="16"/>
      <c r="K136" s="16"/>
      <c r="L136" s="16"/>
      <c r="M136" s="16"/>
      <c r="N136" s="16"/>
      <c r="O136" s="12"/>
      <c r="P136" s="12"/>
      <c r="Q136" s="12"/>
      <c r="R136" s="16"/>
      <c r="S136" s="12"/>
      <c r="T136" s="13" t="str">
        <f aca="true">IF(C136="","",IF(Q136&lt;&gt;"",Q136-C136,TODAY()-C136))</f>
        <v/>
      </c>
      <c r="U136" s="14" t="str">
        <f aca="true">IF(OR(P136="",Q136&lt;&gt;"",N136="キャンセル"),"",P136-TODAY())</f>
        <v/>
      </c>
      <c r="V136" s="15" t="str">
        <f aca="true">IF(D136="","",IF(OR(N136="開通済",Q136&lt;&gt;""),"完了",IF(N136="キャンセル","―",IF(AND(S136&lt;&gt;"",S136&lt;TODAY()),"対応期限超過",IF(AND(P136&lt;&gt;"",P136&lt;TODAY()),"開通予定日超過",IF(AND(S136&lt;&gt;"",S136=TODAY()),"本日対応",IF(AND(P136&lt;&gt;"",P136-TODAY()&lt;=3),"開通間近","")))))))</f>
        <v/>
      </c>
      <c r="W136" s="16"/>
      <c r="X136" s="16"/>
    </row>
    <row r="137" customFormat="false" ht="15" hidden="false" customHeight="false" outlineLevel="0" collapsed="false">
      <c r="A137" s="7" t="str">
        <f aca="false">IF(D137="","",ROW()-3)</f>
        <v/>
      </c>
      <c r="B137" s="16"/>
      <c r="C137" s="12"/>
      <c r="D137" s="16"/>
      <c r="E137" s="16"/>
      <c r="F137" s="17"/>
      <c r="G137" s="16"/>
      <c r="H137" s="16"/>
      <c r="I137" s="12"/>
      <c r="J137" s="16"/>
      <c r="K137" s="16"/>
      <c r="L137" s="16"/>
      <c r="M137" s="16"/>
      <c r="N137" s="16"/>
      <c r="O137" s="12"/>
      <c r="P137" s="12"/>
      <c r="Q137" s="12"/>
      <c r="R137" s="16"/>
      <c r="S137" s="12"/>
      <c r="T137" s="13" t="str">
        <f aca="true">IF(C137="","",IF(Q137&lt;&gt;"",Q137-C137,TODAY()-C137))</f>
        <v/>
      </c>
      <c r="U137" s="14" t="str">
        <f aca="true">IF(OR(P137="",Q137&lt;&gt;"",N137="キャンセル"),"",P137-TODAY())</f>
        <v/>
      </c>
      <c r="V137" s="15" t="str">
        <f aca="true">IF(D137="","",IF(OR(N137="開通済",Q137&lt;&gt;""),"完了",IF(N137="キャンセル","―",IF(AND(S137&lt;&gt;"",S137&lt;TODAY()),"対応期限超過",IF(AND(P137&lt;&gt;"",P137&lt;TODAY()),"開通予定日超過",IF(AND(S137&lt;&gt;"",S137=TODAY()),"本日対応",IF(AND(P137&lt;&gt;"",P137-TODAY()&lt;=3),"開通間近","")))))))</f>
        <v/>
      </c>
      <c r="W137" s="16"/>
      <c r="X137" s="16"/>
    </row>
    <row r="138" customFormat="false" ht="15" hidden="false" customHeight="false" outlineLevel="0" collapsed="false">
      <c r="A138" s="7" t="str">
        <f aca="false">IF(D138="","",ROW()-3)</f>
        <v/>
      </c>
      <c r="B138" s="16"/>
      <c r="C138" s="12"/>
      <c r="D138" s="16"/>
      <c r="E138" s="16"/>
      <c r="F138" s="17"/>
      <c r="G138" s="16"/>
      <c r="H138" s="16"/>
      <c r="I138" s="12"/>
      <c r="J138" s="16"/>
      <c r="K138" s="16"/>
      <c r="L138" s="16"/>
      <c r="M138" s="16"/>
      <c r="N138" s="16"/>
      <c r="O138" s="12"/>
      <c r="P138" s="12"/>
      <c r="Q138" s="12"/>
      <c r="R138" s="16"/>
      <c r="S138" s="12"/>
      <c r="T138" s="13" t="str">
        <f aca="true">IF(C138="","",IF(Q138&lt;&gt;"",Q138-C138,TODAY()-C138))</f>
        <v/>
      </c>
      <c r="U138" s="14" t="str">
        <f aca="true">IF(OR(P138="",Q138&lt;&gt;"",N138="キャンセル"),"",P138-TODAY())</f>
        <v/>
      </c>
      <c r="V138" s="15" t="str">
        <f aca="true">IF(D138="","",IF(OR(N138="開通済",Q138&lt;&gt;""),"完了",IF(N138="キャンセル","―",IF(AND(S138&lt;&gt;"",S138&lt;TODAY()),"対応期限超過",IF(AND(P138&lt;&gt;"",P138&lt;TODAY()),"開通予定日超過",IF(AND(S138&lt;&gt;"",S138=TODAY()),"本日対応",IF(AND(P138&lt;&gt;"",P138-TODAY()&lt;=3),"開通間近","")))))))</f>
        <v/>
      </c>
      <c r="W138" s="16"/>
      <c r="X138" s="16"/>
    </row>
    <row r="139" customFormat="false" ht="15" hidden="false" customHeight="false" outlineLevel="0" collapsed="false">
      <c r="A139" s="7" t="str">
        <f aca="false">IF(D139="","",ROW()-3)</f>
        <v/>
      </c>
      <c r="B139" s="16"/>
      <c r="C139" s="12"/>
      <c r="D139" s="16"/>
      <c r="E139" s="16"/>
      <c r="F139" s="17"/>
      <c r="G139" s="16"/>
      <c r="H139" s="16"/>
      <c r="I139" s="12"/>
      <c r="J139" s="16"/>
      <c r="K139" s="16"/>
      <c r="L139" s="16"/>
      <c r="M139" s="16"/>
      <c r="N139" s="16"/>
      <c r="O139" s="12"/>
      <c r="P139" s="12"/>
      <c r="Q139" s="12"/>
      <c r="R139" s="16"/>
      <c r="S139" s="12"/>
      <c r="T139" s="13" t="str">
        <f aca="true">IF(C139="","",IF(Q139&lt;&gt;"",Q139-C139,TODAY()-C139))</f>
        <v/>
      </c>
      <c r="U139" s="14" t="str">
        <f aca="true">IF(OR(P139="",Q139&lt;&gt;"",N139="キャンセル"),"",P139-TODAY())</f>
        <v/>
      </c>
      <c r="V139" s="15" t="str">
        <f aca="true">IF(D139="","",IF(OR(N139="開通済",Q139&lt;&gt;""),"完了",IF(N139="キャンセル","―",IF(AND(S139&lt;&gt;"",S139&lt;TODAY()),"対応期限超過",IF(AND(P139&lt;&gt;"",P139&lt;TODAY()),"開通予定日超過",IF(AND(S139&lt;&gt;"",S139=TODAY()),"本日対応",IF(AND(P139&lt;&gt;"",P139-TODAY()&lt;=3),"開通間近","")))))))</f>
        <v/>
      </c>
      <c r="W139" s="16"/>
      <c r="X139" s="16"/>
    </row>
    <row r="140" customFormat="false" ht="15" hidden="false" customHeight="false" outlineLevel="0" collapsed="false">
      <c r="A140" s="7" t="str">
        <f aca="false">IF(D140="","",ROW()-3)</f>
        <v/>
      </c>
      <c r="B140" s="16"/>
      <c r="C140" s="12"/>
      <c r="D140" s="16"/>
      <c r="E140" s="16"/>
      <c r="F140" s="17"/>
      <c r="G140" s="16"/>
      <c r="H140" s="16"/>
      <c r="I140" s="12"/>
      <c r="J140" s="16"/>
      <c r="K140" s="16"/>
      <c r="L140" s="16"/>
      <c r="M140" s="16"/>
      <c r="N140" s="16"/>
      <c r="O140" s="12"/>
      <c r="P140" s="12"/>
      <c r="Q140" s="12"/>
      <c r="R140" s="16"/>
      <c r="S140" s="12"/>
      <c r="T140" s="13" t="str">
        <f aca="true">IF(C140="","",IF(Q140&lt;&gt;"",Q140-C140,TODAY()-C140))</f>
        <v/>
      </c>
      <c r="U140" s="14" t="str">
        <f aca="true">IF(OR(P140="",Q140&lt;&gt;"",N140="キャンセル"),"",P140-TODAY())</f>
        <v/>
      </c>
      <c r="V140" s="15" t="str">
        <f aca="true">IF(D140="","",IF(OR(N140="開通済",Q140&lt;&gt;""),"完了",IF(N140="キャンセル","―",IF(AND(S140&lt;&gt;"",S140&lt;TODAY()),"対応期限超過",IF(AND(P140&lt;&gt;"",P140&lt;TODAY()),"開通予定日超過",IF(AND(S140&lt;&gt;"",S140=TODAY()),"本日対応",IF(AND(P140&lt;&gt;"",P140-TODAY()&lt;=3),"開通間近","")))))))</f>
        <v/>
      </c>
      <c r="W140" s="16"/>
      <c r="X140" s="16"/>
    </row>
    <row r="141" customFormat="false" ht="15" hidden="false" customHeight="false" outlineLevel="0" collapsed="false">
      <c r="A141" s="7" t="str">
        <f aca="false">IF(D141="","",ROW()-3)</f>
        <v/>
      </c>
      <c r="B141" s="16"/>
      <c r="C141" s="12"/>
      <c r="D141" s="16"/>
      <c r="E141" s="16"/>
      <c r="F141" s="17"/>
      <c r="G141" s="16"/>
      <c r="H141" s="16"/>
      <c r="I141" s="12"/>
      <c r="J141" s="16"/>
      <c r="K141" s="16"/>
      <c r="L141" s="16"/>
      <c r="M141" s="16"/>
      <c r="N141" s="16"/>
      <c r="O141" s="12"/>
      <c r="P141" s="12"/>
      <c r="Q141" s="12"/>
      <c r="R141" s="16"/>
      <c r="S141" s="12"/>
      <c r="T141" s="13" t="str">
        <f aca="true">IF(C141="","",IF(Q141&lt;&gt;"",Q141-C141,TODAY()-C141))</f>
        <v/>
      </c>
      <c r="U141" s="14" t="str">
        <f aca="true">IF(OR(P141="",Q141&lt;&gt;"",N141="キャンセル"),"",P141-TODAY())</f>
        <v/>
      </c>
      <c r="V141" s="15" t="str">
        <f aca="true">IF(D141="","",IF(OR(N141="開通済",Q141&lt;&gt;""),"完了",IF(N141="キャンセル","―",IF(AND(S141&lt;&gt;"",S141&lt;TODAY()),"対応期限超過",IF(AND(P141&lt;&gt;"",P141&lt;TODAY()),"開通予定日超過",IF(AND(S141&lt;&gt;"",S141=TODAY()),"本日対応",IF(AND(P141&lt;&gt;"",P141-TODAY()&lt;=3),"開通間近","")))))))</f>
        <v/>
      </c>
      <c r="W141" s="16"/>
      <c r="X141" s="16"/>
    </row>
    <row r="142" customFormat="false" ht="15" hidden="false" customHeight="false" outlineLevel="0" collapsed="false">
      <c r="A142" s="7" t="str">
        <f aca="false">IF(D142="","",ROW()-3)</f>
        <v/>
      </c>
      <c r="B142" s="16"/>
      <c r="C142" s="12"/>
      <c r="D142" s="16"/>
      <c r="E142" s="16"/>
      <c r="F142" s="17"/>
      <c r="G142" s="16"/>
      <c r="H142" s="16"/>
      <c r="I142" s="12"/>
      <c r="J142" s="16"/>
      <c r="K142" s="16"/>
      <c r="L142" s="16"/>
      <c r="M142" s="16"/>
      <c r="N142" s="16"/>
      <c r="O142" s="12"/>
      <c r="P142" s="12"/>
      <c r="Q142" s="12"/>
      <c r="R142" s="16"/>
      <c r="S142" s="12"/>
      <c r="T142" s="13" t="str">
        <f aca="true">IF(C142="","",IF(Q142&lt;&gt;"",Q142-C142,TODAY()-C142))</f>
        <v/>
      </c>
      <c r="U142" s="14" t="str">
        <f aca="true">IF(OR(P142="",Q142&lt;&gt;"",N142="キャンセル"),"",P142-TODAY())</f>
        <v/>
      </c>
      <c r="V142" s="15" t="str">
        <f aca="true">IF(D142="","",IF(OR(N142="開通済",Q142&lt;&gt;""),"完了",IF(N142="キャンセル","―",IF(AND(S142&lt;&gt;"",S142&lt;TODAY()),"対応期限超過",IF(AND(P142&lt;&gt;"",P142&lt;TODAY()),"開通予定日超過",IF(AND(S142&lt;&gt;"",S142=TODAY()),"本日対応",IF(AND(P142&lt;&gt;"",P142-TODAY()&lt;=3),"開通間近","")))))))</f>
        <v/>
      </c>
      <c r="W142" s="16"/>
      <c r="X142" s="16"/>
    </row>
    <row r="143" customFormat="false" ht="15" hidden="false" customHeight="false" outlineLevel="0" collapsed="false">
      <c r="A143" s="7" t="str">
        <f aca="false">IF(D143="","",ROW()-3)</f>
        <v/>
      </c>
      <c r="B143" s="16"/>
      <c r="C143" s="12"/>
      <c r="D143" s="16"/>
      <c r="E143" s="16"/>
      <c r="F143" s="17"/>
      <c r="G143" s="16"/>
      <c r="H143" s="16"/>
      <c r="I143" s="12"/>
      <c r="J143" s="16"/>
      <c r="K143" s="16"/>
      <c r="L143" s="16"/>
      <c r="M143" s="16"/>
      <c r="N143" s="16"/>
      <c r="O143" s="12"/>
      <c r="P143" s="12"/>
      <c r="Q143" s="12"/>
      <c r="R143" s="16"/>
      <c r="S143" s="12"/>
      <c r="T143" s="13" t="str">
        <f aca="true">IF(C143="","",IF(Q143&lt;&gt;"",Q143-C143,TODAY()-C143))</f>
        <v/>
      </c>
      <c r="U143" s="14" t="str">
        <f aca="true">IF(OR(P143="",Q143&lt;&gt;"",N143="キャンセル"),"",P143-TODAY())</f>
        <v/>
      </c>
      <c r="V143" s="15" t="str">
        <f aca="true">IF(D143="","",IF(OR(N143="開通済",Q143&lt;&gt;""),"完了",IF(N143="キャンセル","―",IF(AND(S143&lt;&gt;"",S143&lt;TODAY()),"対応期限超過",IF(AND(P143&lt;&gt;"",P143&lt;TODAY()),"開通予定日超過",IF(AND(S143&lt;&gt;"",S143=TODAY()),"本日対応",IF(AND(P143&lt;&gt;"",P143-TODAY()&lt;=3),"開通間近","")))))))</f>
        <v/>
      </c>
      <c r="W143" s="16"/>
      <c r="X143" s="16"/>
    </row>
    <row r="144" customFormat="false" ht="15" hidden="false" customHeight="false" outlineLevel="0" collapsed="false">
      <c r="A144" s="7" t="str">
        <f aca="false">IF(D144="","",ROW()-3)</f>
        <v/>
      </c>
      <c r="B144" s="16"/>
      <c r="C144" s="12"/>
      <c r="D144" s="16"/>
      <c r="E144" s="16"/>
      <c r="F144" s="17"/>
      <c r="G144" s="16"/>
      <c r="H144" s="16"/>
      <c r="I144" s="12"/>
      <c r="J144" s="16"/>
      <c r="K144" s="16"/>
      <c r="L144" s="16"/>
      <c r="M144" s="16"/>
      <c r="N144" s="16"/>
      <c r="O144" s="12"/>
      <c r="P144" s="12"/>
      <c r="Q144" s="12"/>
      <c r="R144" s="16"/>
      <c r="S144" s="12"/>
      <c r="T144" s="13" t="str">
        <f aca="true">IF(C144="","",IF(Q144&lt;&gt;"",Q144-C144,TODAY()-C144))</f>
        <v/>
      </c>
      <c r="U144" s="14" t="str">
        <f aca="true">IF(OR(P144="",Q144&lt;&gt;"",N144="キャンセル"),"",P144-TODAY())</f>
        <v/>
      </c>
      <c r="V144" s="15" t="str">
        <f aca="true">IF(D144="","",IF(OR(N144="開通済",Q144&lt;&gt;""),"完了",IF(N144="キャンセル","―",IF(AND(S144&lt;&gt;"",S144&lt;TODAY()),"対応期限超過",IF(AND(P144&lt;&gt;"",P144&lt;TODAY()),"開通予定日超過",IF(AND(S144&lt;&gt;"",S144=TODAY()),"本日対応",IF(AND(P144&lt;&gt;"",P144-TODAY()&lt;=3),"開通間近","")))))))</f>
        <v/>
      </c>
      <c r="W144" s="16"/>
      <c r="X144" s="16"/>
    </row>
    <row r="145" customFormat="false" ht="15" hidden="false" customHeight="false" outlineLevel="0" collapsed="false">
      <c r="A145" s="7" t="str">
        <f aca="false">IF(D145="","",ROW()-3)</f>
        <v/>
      </c>
      <c r="B145" s="16"/>
      <c r="C145" s="12"/>
      <c r="D145" s="16"/>
      <c r="E145" s="16"/>
      <c r="F145" s="17"/>
      <c r="G145" s="16"/>
      <c r="H145" s="16"/>
      <c r="I145" s="12"/>
      <c r="J145" s="16"/>
      <c r="K145" s="16"/>
      <c r="L145" s="16"/>
      <c r="M145" s="16"/>
      <c r="N145" s="16"/>
      <c r="O145" s="12"/>
      <c r="P145" s="12"/>
      <c r="Q145" s="12"/>
      <c r="R145" s="16"/>
      <c r="S145" s="12"/>
      <c r="T145" s="13" t="str">
        <f aca="true">IF(C145="","",IF(Q145&lt;&gt;"",Q145-C145,TODAY()-C145))</f>
        <v/>
      </c>
      <c r="U145" s="14" t="str">
        <f aca="true">IF(OR(P145="",Q145&lt;&gt;"",N145="キャンセル"),"",P145-TODAY())</f>
        <v/>
      </c>
      <c r="V145" s="15" t="str">
        <f aca="true">IF(D145="","",IF(OR(N145="開通済",Q145&lt;&gt;""),"完了",IF(N145="キャンセル","―",IF(AND(S145&lt;&gt;"",S145&lt;TODAY()),"対応期限超過",IF(AND(P145&lt;&gt;"",P145&lt;TODAY()),"開通予定日超過",IF(AND(S145&lt;&gt;"",S145=TODAY()),"本日対応",IF(AND(P145&lt;&gt;"",P145-TODAY()&lt;=3),"開通間近","")))))))</f>
        <v/>
      </c>
      <c r="W145" s="16"/>
      <c r="X145" s="16"/>
    </row>
    <row r="146" customFormat="false" ht="15" hidden="false" customHeight="false" outlineLevel="0" collapsed="false">
      <c r="A146" s="7" t="str">
        <f aca="false">IF(D146="","",ROW()-3)</f>
        <v/>
      </c>
      <c r="B146" s="16"/>
      <c r="C146" s="12"/>
      <c r="D146" s="16"/>
      <c r="E146" s="16"/>
      <c r="F146" s="17"/>
      <c r="G146" s="16"/>
      <c r="H146" s="16"/>
      <c r="I146" s="12"/>
      <c r="J146" s="16"/>
      <c r="K146" s="16"/>
      <c r="L146" s="16"/>
      <c r="M146" s="16"/>
      <c r="N146" s="16"/>
      <c r="O146" s="12"/>
      <c r="P146" s="12"/>
      <c r="Q146" s="12"/>
      <c r="R146" s="16"/>
      <c r="S146" s="12"/>
      <c r="T146" s="13" t="str">
        <f aca="true">IF(C146="","",IF(Q146&lt;&gt;"",Q146-C146,TODAY()-C146))</f>
        <v/>
      </c>
      <c r="U146" s="14" t="str">
        <f aca="true">IF(OR(P146="",Q146&lt;&gt;"",N146="キャンセル"),"",P146-TODAY())</f>
        <v/>
      </c>
      <c r="V146" s="15" t="str">
        <f aca="true">IF(D146="","",IF(OR(N146="開通済",Q146&lt;&gt;""),"完了",IF(N146="キャンセル","―",IF(AND(S146&lt;&gt;"",S146&lt;TODAY()),"対応期限超過",IF(AND(P146&lt;&gt;"",P146&lt;TODAY()),"開通予定日超過",IF(AND(S146&lt;&gt;"",S146=TODAY()),"本日対応",IF(AND(P146&lt;&gt;"",P146-TODAY()&lt;=3),"開通間近","")))))))</f>
        <v/>
      </c>
      <c r="W146" s="16"/>
      <c r="X146" s="16"/>
    </row>
    <row r="147" customFormat="false" ht="15" hidden="false" customHeight="false" outlineLevel="0" collapsed="false">
      <c r="A147" s="7" t="str">
        <f aca="false">IF(D147="","",ROW()-3)</f>
        <v/>
      </c>
      <c r="B147" s="16"/>
      <c r="C147" s="12"/>
      <c r="D147" s="16"/>
      <c r="E147" s="16"/>
      <c r="F147" s="17"/>
      <c r="G147" s="16"/>
      <c r="H147" s="16"/>
      <c r="I147" s="12"/>
      <c r="J147" s="16"/>
      <c r="K147" s="16"/>
      <c r="L147" s="16"/>
      <c r="M147" s="16"/>
      <c r="N147" s="16"/>
      <c r="O147" s="12"/>
      <c r="P147" s="12"/>
      <c r="Q147" s="12"/>
      <c r="R147" s="16"/>
      <c r="S147" s="12"/>
      <c r="T147" s="13" t="str">
        <f aca="true">IF(C147="","",IF(Q147&lt;&gt;"",Q147-C147,TODAY()-C147))</f>
        <v/>
      </c>
      <c r="U147" s="14" t="str">
        <f aca="true">IF(OR(P147="",Q147&lt;&gt;"",N147="キャンセル"),"",P147-TODAY())</f>
        <v/>
      </c>
      <c r="V147" s="15" t="str">
        <f aca="true">IF(D147="","",IF(OR(N147="開通済",Q147&lt;&gt;""),"完了",IF(N147="キャンセル","―",IF(AND(S147&lt;&gt;"",S147&lt;TODAY()),"対応期限超過",IF(AND(P147&lt;&gt;"",P147&lt;TODAY()),"開通予定日超過",IF(AND(S147&lt;&gt;"",S147=TODAY()),"本日対応",IF(AND(P147&lt;&gt;"",P147-TODAY()&lt;=3),"開通間近","")))))))</f>
        <v/>
      </c>
      <c r="W147" s="16"/>
      <c r="X147" s="16"/>
    </row>
    <row r="148" customFormat="false" ht="15" hidden="false" customHeight="false" outlineLevel="0" collapsed="false">
      <c r="A148" s="7" t="str">
        <f aca="false">IF(D148="","",ROW()-3)</f>
        <v/>
      </c>
      <c r="B148" s="16"/>
      <c r="C148" s="12"/>
      <c r="D148" s="16"/>
      <c r="E148" s="16"/>
      <c r="F148" s="17"/>
      <c r="G148" s="16"/>
      <c r="H148" s="16"/>
      <c r="I148" s="12"/>
      <c r="J148" s="16"/>
      <c r="K148" s="16"/>
      <c r="L148" s="16"/>
      <c r="M148" s="16"/>
      <c r="N148" s="16"/>
      <c r="O148" s="12"/>
      <c r="P148" s="12"/>
      <c r="Q148" s="12"/>
      <c r="R148" s="16"/>
      <c r="S148" s="12"/>
      <c r="T148" s="13" t="str">
        <f aca="true">IF(C148="","",IF(Q148&lt;&gt;"",Q148-C148,TODAY()-C148))</f>
        <v/>
      </c>
      <c r="U148" s="14" t="str">
        <f aca="true">IF(OR(P148="",Q148&lt;&gt;"",N148="キャンセル"),"",P148-TODAY())</f>
        <v/>
      </c>
      <c r="V148" s="15" t="str">
        <f aca="true">IF(D148="","",IF(OR(N148="開通済",Q148&lt;&gt;""),"完了",IF(N148="キャンセル","―",IF(AND(S148&lt;&gt;"",S148&lt;TODAY()),"対応期限超過",IF(AND(P148&lt;&gt;"",P148&lt;TODAY()),"開通予定日超過",IF(AND(S148&lt;&gt;"",S148=TODAY()),"本日対応",IF(AND(P148&lt;&gt;"",P148-TODAY()&lt;=3),"開通間近","")))))))</f>
        <v/>
      </c>
      <c r="W148" s="16"/>
      <c r="X148" s="16"/>
    </row>
    <row r="149" customFormat="false" ht="15" hidden="false" customHeight="false" outlineLevel="0" collapsed="false">
      <c r="A149" s="7" t="str">
        <f aca="false">IF(D149="","",ROW()-3)</f>
        <v/>
      </c>
      <c r="B149" s="16"/>
      <c r="C149" s="12"/>
      <c r="D149" s="16"/>
      <c r="E149" s="16"/>
      <c r="F149" s="17"/>
      <c r="G149" s="16"/>
      <c r="H149" s="16"/>
      <c r="I149" s="12"/>
      <c r="J149" s="16"/>
      <c r="K149" s="16"/>
      <c r="L149" s="16"/>
      <c r="M149" s="16"/>
      <c r="N149" s="16"/>
      <c r="O149" s="12"/>
      <c r="P149" s="12"/>
      <c r="Q149" s="12"/>
      <c r="R149" s="16"/>
      <c r="S149" s="12"/>
      <c r="T149" s="13" t="str">
        <f aca="true">IF(C149="","",IF(Q149&lt;&gt;"",Q149-C149,TODAY()-C149))</f>
        <v/>
      </c>
      <c r="U149" s="14" t="str">
        <f aca="true">IF(OR(P149="",Q149&lt;&gt;"",N149="キャンセル"),"",P149-TODAY())</f>
        <v/>
      </c>
      <c r="V149" s="15" t="str">
        <f aca="true">IF(D149="","",IF(OR(N149="開通済",Q149&lt;&gt;""),"完了",IF(N149="キャンセル","―",IF(AND(S149&lt;&gt;"",S149&lt;TODAY()),"対応期限超過",IF(AND(P149&lt;&gt;"",P149&lt;TODAY()),"開通予定日超過",IF(AND(S149&lt;&gt;"",S149=TODAY()),"本日対応",IF(AND(P149&lt;&gt;"",P149-TODAY()&lt;=3),"開通間近","")))))))</f>
        <v/>
      </c>
      <c r="W149" s="16"/>
      <c r="X149" s="16"/>
    </row>
    <row r="150" customFormat="false" ht="15" hidden="false" customHeight="false" outlineLevel="0" collapsed="false">
      <c r="A150" s="7" t="str">
        <f aca="false">IF(D150="","",ROW()-3)</f>
        <v/>
      </c>
      <c r="B150" s="16"/>
      <c r="C150" s="12"/>
      <c r="D150" s="16"/>
      <c r="E150" s="16"/>
      <c r="F150" s="17"/>
      <c r="G150" s="16"/>
      <c r="H150" s="16"/>
      <c r="I150" s="12"/>
      <c r="J150" s="16"/>
      <c r="K150" s="16"/>
      <c r="L150" s="16"/>
      <c r="M150" s="16"/>
      <c r="N150" s="16"/>
      <c r="O150" s="12"/>
      <c r="P150" s="12"/>
      <c r="Q150" s="12"/>
      <c r="R150" s="16"/>
      <c r="S150" s="12"/>
      <c r="T150" s="13" t="str">
        <f aca="true">IF(C150="","",IF(Q150&lt;&gt;"",Q150-C150,TODAY()-C150))</f>
        <v/>
      </c>
      <c r="U150" s="14" t="str">
        <f aca="true">IF(OR(P150="",Q150&lt;&gt;"",N150="キャンセル"),"",P150-TODAY())</f>
        <v/>
      </c>
      <c r="V150" s="15" t="str">
        <f aca="true">IF(D150="","",IF(OR(N150="開通済",Q150&lt;&gt;""),"完了",IF(N150="キャンセル","―",IF(AND(S150&lt;&gt;"",S150&lt;TODAY()),"対応期限超過",IF(AND(P150&lt;&gt;"",P150&lt;TODAY()),"開通予定日超過",IF(AND(S150&lt;&gt;"",S150=TODAY()),"本日対応",IF(AND(P150&lt;&gt;"",P150-TODAY()&lt;=3),"開通間近","")))))))</f>
        <v/>
      </c>
      <c r="W150" s="16"/>
      <c r="X150" s="16"/>
    </row>
    <row r="151" customFormat="false" ht="15" hidden="false" customHeight="false" outlineLevel="0" collapsed="false">
      <c r="A151" s="7" t="str">
        <f aca="false">IF(D151="","",ROW()-3)</f>
        <v/>
      </c>
      <c r="B151" s="16"/>
      <c r="C151" s="12"/>
      <c r="D151" s="16"/>
      <c r="E151" s="16"/>
      <c r="F151" s="17"/>
      <c r="G151" s="16"/>
      <c r="H151" s="16"/>
      <c r="I151" s="12"/>
      <c r="J151" s="16"/>
      <c r="K151" s="16"/>
      <c r="L151" s="16"/>
      <c r="M151" s="16"/>
      <c r="N151" s="16"/>
      <c r="O151" s="12"/>
      <c r="P151" s="12"/>
      <c r="Q151" s="12"/>
      <c r="R151" s="16"/>
      <c r="S151" s="12"/>
      <c r="T151" s="13" t="str">
        <f aca="true">IF(C151="","",IF(Q151&lt;&gt;"",Q151-C151,TODAY()-C151))</f>
        <v/>
      </c>
      <c r="U151" s="14" t="str">
        <f aca="true">IF(OR(P151="",Q151&lt;&gt;"",N151="キャンセル"),"",P151-TODAY())</f>
        <v/>
      </c>
      <c r="V151" s="15" t="str">
        <f aca="true">IF(D151="","",IF(OR(N151="開通済",Q151&lt;&gt;""),"完了",IF(N151="キャンセル","―",IF(AND(S151&lt;&gt;"",S151&lt;TODAY()),"対応期限超過",IF(AND(P151&lt;&gt;"",P151&lt;TODAY()),"開通予定日超過",IF(AND(S151&lt;&gt;"",S151=TODAY()),"本日対応",IF(AND(P151&lt;&gt;"",P151-TODAY()&lt;=3),"開通間近","")))))))</f>
        <v/>
      </c>
      <c r="W151" s="16"/>
      <c r="X151" s="16"/>
    </row>
    <row r="152" customFormat="false" ht="15" hidden="false" customHeight="false" outlineLevel="0" collapsed="false">
      <c r="A152" s="7" t="str">
        <f aca="false">IF(D152="","",ROW()-3)</f>
        <v/>
      </c>
      <c r="B152" s="16"/>
      <c r="C152" s="12"/>
      <c r="D152" s="16"/>
      <c r="E152" s="16"/>
      <c r="F152" s="17"/>
      <c r="G152" s="16"/>
      <c r="H152" s="16"/>
      <c r="I152" s="12"/>
      <c r="J152" s="16"/>
      <c r="K152" s="16"/>
      <c r="L152" s="16"/>
      <c r="M152" s="16"/>
      <c r="N152" s="16"/>
      <c r="O152" s="12"/>
      <c r="P152" s="12"/>
      <c r="Q152" s="12"/>
      <c r="R152" s="16"/>
      <c r="S152" s="12"/>
      <c r="T152" s="13" t="str">
        <f aca="true">IF(C152="","",IF(Q152&lt;&gt;"",Q152-C152,TODAY()-C152))</f>
        <v/>
      </c>
      <c r="U152" s="14" t="str">
        <f aca="true">IF(OR(P152="",Q152&lt;&gt;"",N152="キャンセル"),"",P152-TODAY())</f>
        <v/>
      </c>
      <c r="V152" s="15" t="str">
        <f aca="true">IF(D152="","",IF(OR(N152="開通済",Q152&lt;&gt;""),"完了",IF(N152="キャンセル","―",IF(AND(S152&lt;&gt;"",S152&lt;TODAY()),"対応期限超過",IF(AND(P152&lt;&gt;"",P152&lt;TODAY()),"開通予定日超過",IF(AND(S152&lt;&gt;"",S152=TODAY()),"本日対応",IF(AND(P152&lt;&gt;"",P152-TODAY()&lt;=3),"開通間近","")))))))</f>
        <v/>
      </c>
      <c r="W152" s="16"/>
      <c r="X152" s="16"/>
    </row>
    <row r="153" customFormat="false" ht="15" hidden="false" customHeight="false" outlineLevel="0" collapsed="false">
      <c r="A153" s="7" t="str">
        <f aca="false">IF(D153="","",ROW()-3)</f>
        <v/>
      </c>
      <c r="B153" s="16"/>
      <c r="C153" s="12"/>
      <c r="D153" s="16"/>
      <c r="E153" s="16"/>
      <c r="F153" s="17"/>
      <c r="G153" s="16"/>
      <c r="H153" s="16"/>
      <c r="I153" s="12"/>
      <c r="J153" s="16"/>
      <c r="K153" s="16"/>
      <c r="L153" s="16"/>
      <c r="M153" s="16"/>
      <c r="N153" s="16"/>
      <c r="O153" s="12"/>
      <c r="P153" s="12"/>
      <c r="Q153" s="12"/>
      <c r="R153" s="16"/>
      <c r="S153" s="12"/>
      <c r="T153" s="13" t="str">
        <f aca="true">IF(C153="","",IF(Q153&lt;&gt;"",Q153-C153,TODAY()-C153))</f>
        <v/>
      </c>
      <c r="U153" s="14" t="str">
        <f aca="true">IF(OR(P153="",Q153&lt;&gt;"",N153="キャンセル"),"",P153-TODAY())</f>
        <v/>
      </c>
      <c r="V153" s="15" t="str">
        <f aca="true">IF(D153="","",IF(OR(N153="開通済",Q153&lt;&gt;""),"完了",IF(N153="キャンセル","―",IF(AND(S153&lt;&gt;"",S153&lt;TODAY()),"対応期限超過",IF(AND(P153&lt;&gt;"",P153&lt;TODAY()),"開通予定日超過",IF(AND(S153&lt;&gt;"",S153=TODAY()),"本日対応",IF(AND(P153&lt;&gt;"",P153-TODAY()&lt;=3),"開通間近","")))))))</f>
        <v/>
      </c>
      <c r="W153" s="16"/>
      <c r="X153" s="16"/>
    </row>
    <row r="154" customFormat="false" ht="15" hidden="false" customHeight="false" outlineLevel="0" collapsed="false">
      <c r="A154" s="7" t="str">
        <f aca="false">IF(D154="","",ROW()-3)</f>
        <v/>
      </c>
      <c r="B154" s="16"/>
      <c r="C154" s="12"/>
      <c r="D154" s="16"/>
      <c r="E154" s="16"/>
      <c r="F154" s="17"/>
      <c r="G154" s="16"/>
      <c r="H154" s="16"/>
      <c r="I154" s="12"/>
      <c r="J154" s="16"/>
      <c r="K154" s="16"/>
      <c r="L154" s="16"/>
      <c r="M154" s="16"/>
      <c r="N154" s="16"/>
      <c r="O154" s="12"/>
      <c r="P154" s="12"/>
      <c r="Q154" s="12"/>
      <c r="R154" s="16"/>
      <c r="S154" s="12"/>
      <c r="T154" s="13" t="str">
        <f aca="true">IF(C154="","",IF(Q154&lt;&gt;"",Q154-C154,TODAY()-C154))</f>
        <v/>
      </c>
      <c r="U154" s="14" t="str">
        <f aca="true">IF(OR(P154="",Q154&lt;&gt;"",N154="キャンセル"),"",P154-TODAY())</f>
        <v/>
      </c>
      <c r="V154" s="15" t="str">
        <f aca="true">IF(D154="","",IF(OR(N154="開通済",Q154&lt;&gt;""),"完了",IF(N154="キャンセル","―",IF(AND(S154&lt;&gt;"",S154&lt;TODAY()),"対応期限超過",IF(AND(P154&lt;&gt;"",P154&lt;TODAY()),"開通予定日超過",IF(AND(S154&lt;&gt;"",S154=TODAY()),"本日対応",IF(AND(P154&lt;&gt;"",P154-TODAY()&lt;=3),"開通間近","")))))))</f>
        <v/>
      </c>
      <c r="W154" s="16"/>
      <c r="X154" s="16"/>
    </row>
    <row r="155" customFormat="false" ht="15" hidden="false" customHeight="false" outlineLevel="0" collapsed="false">
      <c r="A155" s="7" t="str">
        <f aca="false">IF(D155="","",ROW()-3)</f>
        <v/>
      </c>
      <c r="B155" s="16"/>
      <c r="C155" s="12"/>
      <c r="D155" s="16"/>
      <c r="E155" s="16"/>
      <c r="F155" s="17"/>
      <c r="G155" s="16"/>
      <c r="H155" s="16"/>
      <c r="I155" s="12"/>
      <c r="J155" s="16"/>
      <c r="K155" s="16"/>
      <c r="L155" s="16"/>
      <c r="M155" s="16"/>
      <c r="N155" s="16"/>
      <c r="O155" s="12"/>
      <c r="P155" s="12"/>
      <c r="Q155" s="12"/>
      <c r="R155" s="16"/>
      <c r="S155" s="12"/>
      <c r="T155" s="13" t="str">
        <f aca="true">IF(C155="","",IF(Q155&lt;&gt;"",Q155-C155,TODAY()-C155))</f>
        <v/>
      </c>
      <c r="U155" s="14" t="str">
        <f aca="true">IF(OR(P155="",Q155&lt;&gt;"",N155="キャンセル"),"",P155-TODAY())</f>
        <v/>
      </c>
      <c r="V155" s="15" t="str">
        <f aca="true">IF(D155="","",IF(OR(N155="開通済",Q155&lt;&gt;""),"完了",IF(N155="キャンセル","―",IF(AND(S155&lt;&gt;"",S155&lt;TODAY()),"対応期限超過",IF(AND(P155&lt;&gt;"",P155&lt;TODAY()),"開通予定日超過",IF(AND(S155&lt;&gt;"",S155=TODAY()),"本日対応",IF(AND(P155&lt;&gt;"",P155-TODAY()&lt;=3),"開通間近","")))))))</f>
        <v/>
      </c>
      <c r="W155" s="16"/>
      <c r="X155" s="16"/>
    </row>
    <row r="156" customFormat="false" ht="15" hidden="false" customHeight="false" outlineLevel="0" collapsed="false">
      <c r="A156" s="7" t="str">
        <f aca="false">IF(D156="","",ROW()-3)</f>
        <v/>
      </c>
      <c r="B156" s="16"/>
      <c r="C156" s="12"/>
      <c r="D156" s="16"/>
      <c r="E156" s="16"/>
      <c r="F156" s="17"/>
      <c r="G156" s="16"/>
      <c r="H156" s="16"/>
      <c r="I156" s="12"/>
      <c r="J156" s="16"/>
      <c r="K156" s="16"/>
      <c r="L156" s="16"/>
      <c r="M156" s="16"/>
      <c r="N156" s="16"/>
      <c r="O156" s="12"/>
      <c r="P156" s="12"/>
      <c r="Q156" s="12"/>
      <c r="R156" s="16"/>
      <c r="S156" s="12"/>
      <c r="T156" s="13" t="str">
        <f aca="true">IF(C156="","",IF(Q156&lt;&gt;"",Q156-C156,TODAY()-C156))</f>
        <v/>
      </c>
      <c r="U156" s="14" t="str">
        <f aca="true">IF(OR(P156="",Q156&lt;&gt;"",N156="キャンセル"),"",P156-TODAY())</f>
        <v/>
      </c>
      <c r="V156" s="15" t="str">
        <f aca="true">IF(D156="","",IF(OR(N156="開通済",Q156&lt;&gt;""),"完了",IF(N156="キャンセル","―",IF(AND(S156&lt;&gt;"",S156&lt;TODAY()),"対応期限超過",IF(AND(P156&lt;&gt;"",P156&lt;TODAY()),"開通予定日超過",IF(AND(S156&lt;&gt;"",S156=TODAY()),"本日対応",IF(AND(P156&lt;&gt;"",P156-TODAY()&lt;=3),"開通間近","")))))))</f>
        <v/>
      </c>
      <c r="W156" s="16"/>
      <c r="X156" s="16"/>
    </row>
    <row r="157" customFormat="false" ht="15" hidden="false" customHeight="false" outlineLevel="0" collapsed="false">
      <c r="A157" s="7" t="str">
        <f aca="false">IF(D157="","",ROW()-3)</f>
        <v/>
      </c>
      <c r="B157" s="16"/>
      <c r="C157" s="12"/>
      <c r="D157" s="16"/>
      <c r="E157" s="16"/>
      <c r="F157" s="17"/>
      <c r="G157" s="16"/>
      <c r="H157" s="16"/>
      <c r="I157" s="12"/>
      <c r="J157" s="16"/>
      <c r="K157" s="16"/>
      <c r="L157" s="16"/>
      <c r="M157" s="16"/>
      <c r="N157" s="16"/>
      <c r="O157" s="12"/>
      <c r="P157" s="12"/>
      <c r="Q157" s="12"/>
      <c r="R157" s="16"/>
      <c r="S157" s="12"/>
      <c r="T157" s="13" t="str">
        <f aca="true">IF(C157="","",IF(Q157&lt;&gt;"",Q157-C157,TODAY()-C157))</f>
        <v/>
      </c>
      <c r="U157" s="14" t="str">
        <f aca="true">IF(OR(P157="",Q157&lt;&gt;"",N157="キャンセル"),"",P157-TODAY())</f>
        <v/>
      </c>
      <c r="V157" s="15" t="str">
        <f aca="true">IF(D157="","",IF(OR(N157="開通済",Q157&lt;&gt;""),"完了",IF(N157="キャンセル","―",IF(AND(S157&lt;&gt;"",S157&lt;TODAY()),"対応期限超過",IF(AND(P157&lt;&gt;"",P157&lt;TODAY()),"開通予定日超過",IF(AND(S157&lt;&gt;"",S157=TODAY()),"本日対応",IF(AND(P157&lt;&gt;"",P157-TODAY()&lt;=3),"開通間近","")))))))</f>
        <v/>
      </c>
      <c r="W157" s="16"/>
      <c r="X157" s="16"/>
    </row>
    <row r="158" customFormat="false" ht="15" hidden="false" customHeight="false" outlineLevel="0" collapsed="false">
      <c r="A158" s="7" t="str">
        <f aca="false">IF(D158="","",ROW()-3)</f>
        <v/>
      </c>
      <c r="B158" s="16"/>
      <c r="C158" s="12"/>
      <c r="D158" s="16"/>
      <c r="E158" s="16"/>
      <c r="F158" s="17"/>
      <c r="G158" s="16"/>
      <c r="H158" s="16"/>
      <c r="I158" s="12"/>
      <c r="J158" s="16"/>
      <c r="K158" s="16"/>
      <c r="L158" s="16"/>
      <c r="M158" s="16"/>
      <c r="N158" s="16"/>
      <c r="O158" s="12"/>
      <c r="P158" s="12"/>
      <c r="Q158" s="12"/>
      <c r="R158" s="16"/>
      <c r="S158" s="12"/>
      <c r="T158" s="13" t="str">
        <f aca="true">IF(C158="","",IF(Q158&lt;&gt;"",Q158-C158,TODAY()-C158))</f>
        <v/>
      </c>
      <c r="U158" s="14" t="str">
        <f aca="true">IF(OR(P158="",Q158&lt;&gt;"",N158="キャンセル"),"",P158-TODAY())</f>
        <v/>
      </c>
      <c r="V158" s="15" t="str">
        <f aca="true">IF(D158="","",IF(OR(N158="開通済",Q158&lt;&gt;""),"完了",IF(N158="キャンセル","―",IF(AND(S158&lt;&gt;"",S158&lt;TODAY()),"対応期限超過",IF(AND(P158&lt;&gt;"",P158&lt;TODAY()),"開通予定日超過",IF(AND(S158&lt;&gt;"",S158=TODAY()),"本日対応",IF(AND(P158&lt;&gt;"",P158-TODAY()&lt;=3),"開通間近","")))))))</f>
        <v/>
      </c>
      <c r="W158" s="16"/>
      <c r="X158" s="16"/>
    </row>
    <row r="159" customFormat="false" ht="15" hidden="false" customHeight="false" outlineLevel="0" collapsed="false">
      <c r="A159" s="7" t="str">
        <f aca="false">IF(D159="","",ROW()-3)</f>
        <v/>
      </c>
      <c r="B159" s="16"/>
      <c r="C159" s="12"/>
      <c r="D159" s="16"/>
      <c r="E159" s="16"/>
      <c r="F159" s="17"/>
      <c r="G159" s="16"/>
      <c r="H159" s="16"/>
      <c r="I159" s="12"/>
      <c r="J159" s="16"/>
      <c r="K159" s="16"/>
      <c r="L159" s="16"/>
      <c r="M159" s="16"/>
      <c r="N159" s="16"/>
      <c r="O159" s="12"/>
      <c r="P159" s="12"/>
      <c r="Q159" s="12"/>
      <c r="R159" s="16"/>
      <c r="S159" s="12"/>
      <c r="T159" s="13" t="str">
        <f aca="true">IF(C159="","",IF(Q159&lt;&gt;"",Q159-C159,TODAY()-C159))</f>
        <v/>
      </c>
      <c r="U159" s="14" t="str">
        <f aca="true">IF(OR(P159="",Q159&lt;&gt;"",N159="キャンセル"),"",P159-TODAY())</f>
        <v/>
      </c>
      <c r="V159" s="15" t="str">
        <f aca="true">IF(D159="","",IF(OR(N159="開通済",Q159&lt;&gt;""),"完了",IF(N159="キャンセル","―",IF(AND(S159&lt;&gt;"",S159&lt;TODAY()),"対応期限超過",IF(AND(P159&lt;&gt;"",P159&lt;TODAY()),"開通予定日超過",IF(AND(S159&lt;&gt;"",S159=TODAY()),"本日対応",IF(AND(P159&lt;&gt;"",P159-TODAY()&lt;=3),"開通間近","")))))))</f>
        <v/>
      </c>
      <c r="W159" s="16"/>
      <c r="X159" s="16"/>
    </row>
    <row r="160" customFormat="false" ht="15" hidden="false" customHeight="false" outlineLevel="0" collapsed="false">
      <c r="A160" s="7" t="str">
        <f aca="false">IF(D160="","",ROW()-3)</f>
        <v/>
      </c>
      <c r="B160" s="16"/>
      <c r="C160" s="12"/>
      <c r="D160" s="16"/>
      <c r="E160" s="16"/>
      <c r="F160" s="17"/>
      <c r="G160" s="16"/>
      <c r="H160" s="16"/>
      <c r="I160" s="12"/>
      <c r="J160" s="16"/>
      <c r="K160" s="16"/>
      <c r="L160" s="16"/>
      <c r="M160" s="16"/>
      <c r="N160" s="16"/>
      <c r="O160" s="12"/>
      <c r="P160" s="12"/>
      <c r="Q160" s="12"/>
      <c r="R160" s="16"/>
      <c r="S160" s="12"/>
      <c r="T160" s="13" t="str">
        <f aca="true">IF(C160="","",IF(Q160&lt;&gt;"",Q160-C160,TODAY()-C160))</f>
        <v/>
      </c>
      <c r="U160" s="14" t="str">
        <f aca="true">IF(OR(P160="",Q160&lt;&gt;"",N160="キャンセル"),"",P160-TODAY())</f>
        <v/>
      </c>
      <c r="V160" s="15" t="str">
        <f aca="true">IF(D160="","",IF(OR(N160="開通済",Q160&lt;&gt;""),"完了",IF(N160="キャンセル","―",IF(AND(S160&lt;&gt;"",S160&lt;TODAY()),"対応期限超過",IF(AND(P160&lt;&gt;"",P160&lt;TODAY()),"開通予定日超過",IF(AND(S160&lt;&gt;"",S160=TODAY()),"本日対応",IF(AND(P160&lt;&gt;"",P160-TODAY()&lt;=3),"開通間近","")))))))</f>
        <v/>
      </c>
      <c r="W160" s="16"/>
      <c r="X160" s="16"/>
    </row>
    <row r="161" customFormat="false" ht="15" hidden="false" customHeight="false" outlineLevel="0" collapsed="false">
      <c r="A161" s="7" t="str">
        <f aca="false">IF(D161="","",ROW()-3)</f>
        <v/>
      </c>
      <c r="B161" s="16"/>
      <c r="C161" s="12"/>
      <c r="D161" s="16"/>
      <c r="E161" s="16"/>
      <c r="F161" s="17"/>
      <c r="G161" s="16"/>
      <c r="H161" s="16"/>
      <c r="I161" s="12"/>
      <c r="J161" s="16"/>
      <c r="K161" s="16"/>
      <c r="L161" s="16"/>
      <c r="M161" s="16"/>
      <c r="N161" s="16"/>
      <c r="O161" s="12"/>
      <c r="P161" s="12"/>
      <c r="Q161" s="12"/>
      <c r="R161" s="16"/>
      <c r="S161" s="12"/>
      <c r="T161" s="13" t="str">
        <f aca="true">IF(C161="","",IF(Q161&lt;&gt;"",Q161-C161,TODAY()-C161))</f>
        <v/>
      </c>
      <c r="U161" s="14" t="str">
        <f aca="true">IF(OR(P161="",Q161&lt;&gt;"",N161="キャンセル"),"",P161-TODAY())</f>
        <v/>
      </c>
      <c r="V161" s="15" t="str">
        <f aca="true">IF(D161="","",IF(OR(N161="開通済",Q161&lt;&gt;""),"完了",IF(N161="キャンセル","―",IF(AND(S161&lt;&gt;"",S161&lt;TODAY()),"対応期限超過",IF(AND(P161&lt;&gt;"",P161&lt;TODAY()),"開通予定日超過",IF(AND(S161&lt;&gt;"",S161=TODAY()),"本日対応",IF(AND(P161&lt;&gt;"",P161-TODAY()&lt;=3),"開通間近","")))))))</f>
        <v/>
      </c>
      <c r="W161" s="16"/>
      <c r="X161" s="16"/>
    </row>
    <row r="162" customFormat="false" ht="15" hidden="false" customHeight="false" outlineLevel="0" collapsed="false">
      <c r="A162" s="7" t="str">
        <f aca="false">IF(D162="","",ROW()-3)</f>
        <v/>
      </c>
      <c r="B162" s="16"/>
      <c r="C162" s="12"/>
      <c r="D162" s="16"/>
      <c r="E162" s="16"/>
      <c r="F162" s="17"/>
      <c r="G162" s="16"/>
      <c r="H162" s="16"/>
      <c r="I162" s="12"/>
      <c r="J162" s="16"/>
      <c r="K162" s="16"/>
      <c r="L162" s="16"/>
      <c r="M162" s="16"/>
      <c r="N162" s="16"/>
      <c r="O162" s="12"/>
      <c r="P162" s="12"/>
      <c r="Q162" s="12"/>
      <c r="R162" s="16"/>
      <c r="S162" s="12"/>
      <c r="T162" s="13" t="str">
        <f aca="true">IF(C162="","",IF(Q162&lt;&gt;"",Q162-C162,TODAY()-C162))</f>
        <v/>
      </c>
      <c r="U162" s="14" t="str">
        <f aca="true">IF(OR(P162="",Q162&lt;&gt;"",N162="キャンセル"),"",P162-TODAY())</f>
        <v/>
      </c>
      <c r="V162" s="15" t="str">
        <f aca="true">IF(D162="","",IF(OR(N162="開通済",Q162&lt;&gt;""),"完了",IF(N162="キャンセル","―",IF(AND(S162&lt;&gt;"",S162&lt;TODAY()),"対応期限超過",IF(AND(P162&lt;&gt;"",P162&lt;TODAY()),"開通予定日超過",IF(AND(S162&lt;&gt;"",S162=TODAY()),"本日対応",IF(AND(P162&lt;&gt;"",P162-TODAY()&lt;=3),"開通間近","")))))))</f>
        <v/>
      </c>
      <c r="W162" s="16"/>
      <c r="X162" s="16"/>
    </row>
    <row r="163" customFormat="false" ht="15" hidden="false" customHeight="false" outlineLevel="0" collapsed="false">
      <c r="A163" s="7" t="str">
        <f aca="false">IF(D163="","",ROW()-3)</f>
        <v/>
      </c>
      <c r="B163" s="16"/>
      <c r="C163" s="12"/>
      <c r="D163" s="16"/>
      <c r="E163" s="16"/>
      <c r="F163" s="17"/>
      <c r="G163" s="16"/>
      <c r="H163" s="16"/>
      <c r="I163" s="12"/>
      <c r="J163" s="16"/>
      <c r="K163" s="16"/>
      <c r="L163" s="16"/>
      <c r="M163" s="16"/>
      <c r="N163" s="16"/>
      <c r="O163" s="12"/>
      <c r="P163" s="12"/>
      <c r="Q163" s="12"/>
      <c r="R163" s="16"/>
      <c r="S163" s="12"/>
      <c r="T163" s="13" t="str">
        <f aca="true">IF(C163="","",IF(Q163&lt;&gt;"",Q163-C163,TODAY()-C163))</f>
        <v/>
      </c>
      <c r="U163" s="14" t="str">
        <f aca="true">IF(OR(P163="",Q163&lt;&gt;"",N163="キャンセル"),"",P163-TODAY())</f>
        <v/>
      </c>
      <c r="V163" s="15" t="str">
        <f aca="true">IF(D163="","",IF(OR(N163="開通済",Q163&lt;&gt;""),"完了",IF(N163="キャンセル","―",IF(AND(S163&lt;&gt;"",S163&lt;TODAY()),"対応期限超過",IF(AND(P163&lt;&gt;"",P163&lt;TODAY()),"開通予定日超過",IF(AND(S163&lt;&gt;"",S163=TODAY()),"本日対応",IF(AND(P163&lt;&gt;"",P163-TODAY()&lt;=3),"開通間近","")))))))</f>
        <v/>
      </c>
      <c r="W163" s="16"/>
      <c r="X163" s="16"/>
    </row>
    <row r="164" customFormat="false" ht="15" hidden="false" customHeight="false" outlineLevel="0" collapsed="false">
      <c r="A164" s="7" t="str">
        <f aca="false">IF(D164="","",ROW()-3)</f>
        <v/>
      </c>
      <c r="B164" s="16"/>
      <c r="C164" s="12"/>
      <c r="D164" s="16"/>
      <c r="E164" s="16"/>
      <c r="F164" s="17"/>
      <c r="G164" s="16"/>
      <c r="H164" s="16"/>
      <c r="I164" s="12"/>
      <c r="J164" s="16"/>
      <c r="K164" s="16"/>
      <c r="L164" s="16"/>
      <c r="M164" s="16"/>
      <c r="N164" s="16"/>
      <c r="O164" s="12"/>
      <c r="P164" s="12"/>
      <c r="Q164" s="12"/>
      <c r="R164" s="16"/>
      <c r="S164" s="12"/>
      <c r="T164" s="13" t="str">
        <f aca="true">IF(C164="","",IF(Q164&lt;&gt;"",Q164-C164,TODAY()-C164))</f>
        <v/>
      </c>
      <c r="U164" s="14" t="str">
        <f aca="true">IF(OR(P164="",Q164&lt;&gt;"",N164="キャンセル"),"",P164-TODAY())</f>
        <v/>
      </c>
      <c r="V164" s="15" t="str">
        <f aca="true">IF(D164="","",IF(OR(N164="開通済",Q164&lt;&gt;""),"完了",IF(N164="キャンセル","―",IF(AND(S164&lt;&gt;"",S164&lt;TODAY()),"対応期限超過",IF(AND(P164&lt;&gt;"",P164&lt;TODAY()),"開通予定日超過",IF(AND(S164&lt;&gt;"",S164=TODAY()),"本日対応",IF(AND(P164&lt;&gt;"",P164-TODAY()&lt;=3),"開通間近","")))))))</f>
        <v/>
      </c>
      <c r="W164" s="16"/>
      <c r="X164" s="16"/>
    </row>
    <row r="165" customFormat="false" ht="15" hidden="false" customHeight="false" outlineLevel="0" collapsed="false">
      <c r="A165" s="7" t="str">
        <f aca="false">IF(D165="","",ROW()-3)</f>
        <v/>
      </c>
      <c r="B165" s="16"/>
      <c r="C165" s="12"/>
      <c r="D165" s="16"/>
      <c r="E165" s="16"/>
      <c r="F165" s="17"/>
      <c r="G165" s="16"/>
      <c r="H165" s="16"/>
      <c r="I165" s="12"/>
      <c r="J165" s="16"/>
      <c r="K165" s="16"/>
      <c r="L165" s="16"/>
      <c r="M165" s="16"/>
      <c r="N165" s="16"/>
      <c r="O165" s="12"/>
      <c r="P165" s="12"/>
      <c r="Q165" s="12"/>
      <c r="R165" s="16"/>
      <c r="S165" s="12"/>
      <c r="T165" s="13" t="str">
        <f aca="true">IF(C165="","",IF(Q165&lt;&gt;"",Q165-C165,TODAY()-C165))</f>
        <v/>
      </c>
      <c r="U165" s="14" t="str">
        <f aca="true">IF(OR(P165="",Q165&lt;&gt;"",N165="キャンセル"),"",P165-TODAY())</f>
        <v/>
      </c>
      <c r="V165" s="15" t="str">
        <f aca="true">IF(D165="","",IF(OR(N165="開通済",Q165&lt;&gt;""),"完了",IF(N165="キャンセル","―",IF(AND(S165&lt;&gt;"",S165&lt;TODAY()),"対応期限超過",IF(AND(P165&lt;&gt;"",P165&lt;TODAY()),"開通予定日超過",IF(AND(S165&lt;&gt;"",S165=TODAY()),"本日対応",IF(AND(P165&lt;&gt;"",P165-TODAY()&lt;=3),"開通間近","")))))))</f>
        <v/>
      </c>
      <c r="W165" s="16"/>
      <c r="X165" s="16"/>
    </row>
    <row r="166" customFormat="false" ht="15" hidden="false" customHeight="false" outlineLevel="0" collapsed="false">
      <c r="A166" s="7" t="str">
        <f aca="false">IF(D166="","",ROW()-3)</f>
        <v/>
      </c>
      <c r="B166" s="16"/>
      <c r="C166" s="12"/>
      <c r="D166" s="16"/>
      <c r="E166" s="16"/>
      <c r="F166" s="17"/>
      <c r="G166" s="16"/>
      <c r="H166" s="16"/>
      <c r="I166" s="12"/>
      <c r="J166" s="16"/>
      <c r="K166" s="16"/>
      <c r="L166" s="16"/>
      <c r="M166" s="16"/>
      <c r="N166" s="16"/>
      <c r="O166" s="12"/>
      <c r="P166" s="12"/>
      <c r="Q166" s="12"/>
      <c r="R166" s="16"/>
      <c r="S166" s="12"/>
      <c r="T166" s="13" t="str">
        <f aca="true">IF(C166="","",IF(Q166&lt;&gt;"",Q166-C166,TODAY()-C166))</f>
        <v/>
      </c>
      <c r="U166" s="14" t="str">
        <f aca="true">IF(OR(P166="",Q166&lt;&gt;"",N166="キャンセル"),"",P166-TODAY())</f>
        <v/>
      </c>
      <c r="V166" s="15" t="str">
        <f aca="true">IF(D166="","",IF(OR(N166="開通済",Q166&lt;&gt;""),"完了",IF(N166="キャンセル","―",IF(AND(S166&lt;&gt;"",S166&lt;TODAY()),"対応期限超過",IF(AND(P166&lt;&gt;"",P166&lt;TODAY()),"開通予定日超過",IF(AND(S166&lt;&gt;"",S166=TODAY()),"本日対応",IF(AND(P166&lt;&gt;"",P166-TODAY()&lt;=3),"開通間近","")))))))</f>
        <v/>
      </c>
      <c r="W166" s="16"/>
      <c r="X166" s="16"/>
    </row>
    <row r="167" customFormat="false" ht="15" hidden="false" customHeight="false" outlineLevel="0" collapsed="false">
      <c r="A167" s="7" t="str">
        <f aca="false">IF(D167="","",ROW()-3)</f>
        <v/>
      </c>
      <c r="B167" s="16"/>
      <c r="C167" s="12"/>
      <c r="D167" s="16"/>
      <c r="E167" s="16"/>
      <c r="F167" s="17"/>
      <c r="G167" s="16"/>
      <c r="H167" s="16"/>
      <c r="I167" s="12"/>
      <c r="J167" s="16"/>
      <c r="K167" s="16"/>
      <c r="L167" s="16"/>
      <c r="M167" s="16"/>
      <c r="N167" s="16"/>
      <c r="O167" s="12"/>
      <c r="P167" s="12"/>
      <c r="Q167" s="12"/>
      <c r="R167" s="16"/>
      <c r="S167" s="12"/>
      <c r="T167" s="13" t="str">
        <f aca="true">IF(C167="","",IF(Q167&lt;&gt;"",Q167-C167,TODAY()-C167))</f>
        <v/>
      </c>
      <c r="U167" s="14" t="str">
        <f aca="true">IF(OR(P167="",Q167&lt;&gt;"",N167="キャンセル"),"",P167-TODAY())</f>
        <v/>
      </c>
      <c r="V167" s="15" t="str">
        <f aca="true">IF(D167="","",IF(OR(N167="開通済",Q167&lt;&gt;""),"完了",IF(N167="キャンセル","―",IF(AND(S167&lt;&gt;"",S167&lt;TODAY()),"対応期限超過",IF(AND(P167&lt;&gt;"",P167&lt;TODAY()),"開通予定日超過",IF(AND(S167&lt;&gt;"",S167=TODAY()),"本日対応",IF(AND(P167&lt;&gt;"",P167-TODAY()&lt;=3),"開通間近","")))))))</f>
        <v/>
      </c>
      <c r="W167" s="16"/>
      <c r="X167" s="16"/>
    </row>
    <row r="168" customFormat="false" ht="15" hidden="false" customHeight="false" outlineLevel="0" collapsed="false">
      <c r="A168" s="7" t="str">
        <f aca="false">IF(D168="","",ROW()-3)</f>
        <v/>
      </c>
      <c r="B168" s="16"/>
      <c r="C168" s="12"/>
      <c r="D168" s="16"/>
      <c r="E168" s="16"/>
      <c r="F168" s="17"/>
      <c r="G168" s="16"/>
      <c r="H168" s="16"/>
      <c r="I168" s="12"/>
      <c r="J168" s="16"/>
      <c r="K168" s="16"/>
      <c r="L168" s="16"/>
      <c r="M168" s="16"/>
      <c r="N168" s="16"/>
      <c r="O168" s="12"/>
      <c r="P168" s="12"/>
      <c r="Q168" s="12"/>
      <c r="R168" s="16"/>
      <c r="S168" s="12"/>
      <c r="T168" s="13" t="str">
        <f aca="true">IF(C168="","",IF(Q168&lt;&gt;"",Q168-C168,TODAY()-C168))</f>
        <v/>
      </c>
      <c r="U168" s="14" t="str">
        <f aca="true">IF(OR(P168="",Q168&lt;&gt;"",N168="キャンセル"),"",P168-TODAY())</f>
        <v/>
      </c>
      <c r="V168" s="15" t="str">
        <f aca="true">IF(D168="","",IF(OR(N168="開通済",Q168&lt;&gt;""),"完了",IF(N168="キャンセル","―",IF(AND(S168&lt;&gt;"",S168&lt;TODAY()),"対応期限超過",IF(AND(P168&lt;&gt;"",P168&lt;TODAY()),"開通予定日超過",IF(AND(S168&lt;&gt;"",S168=TODAY()),"本日対応",IF(AND(P168&lt;&gt;"",P168-TODAY()&lt;=3),"開通間近","")))))))</f>
        <v/>
      </c>
      <c r="W168" s="16"/>
      <c r="X168" s="16"/>
    </row>
    <row r="169" customFormat="false" ht="15" hidden="false" customHeight="false" outlineLevel="0" collapsed="false">
      <c r="A169" s="7" t="str">
        <f aca="false">IF(D169="","",ROW()-3)</f>
        <v/>
      </c>
      <c r="B169" s="16"/>
      <c r="C169" s="12"/>
      <c r="D169" s="16"/>
      <c r="E169" s="16"/>
      <c r="F169" s="17"/>
      <c r="G169" s="16"/>
      <c r="H169" s="16"/>
      <c r="I169" s="12"/>
      <c r="J169" s="16"/>
      <c r="K169" s="16"/>
      <c r="L169" s="16"/>
      <c r="M169" s="16"/>
      <c r="N169" s="16"/>
      <c r="O169" s="12"/>
      <c r="P169" s="12"/>
      <c r="Q169" s="12"/>
      <c r="R169" s="16"/>
      <c r="S169" s="12"/>
      <c r="T169" s="13" t="str">
        <f aca="true">IF(C169="","",IF(Q169&lt;&gt;"",Q169-C169,TODAY()-C169))</f>
        <v/>
      </c>
      <c r="U169" s="14" t="str">
        <f aca="true">IF(OR(P169="",Q169&lt;&gt;"",N169="キャンセル"),"",P169-TODAY())</f>
        <v/>
      </c>
      <c r="V169" s="15" t="str">
        <f aca="true">IF(D169="","",IF(OR(N169="開通済",Q169&lt;&gt;""),"完了",IF(N169="キャンセル","―",IF(AND(S169&lt;&gt;"",S169&lt;TODAY()),"対応期限超過",IF(AND(P169&lt;&gt;"",P169&lt;TODAY()),"開通予定日超過",IF(AND(S169&lt;&gt;"",S169=TODAY()),"本日対応",IF(AND(P169&lt;&gt;"",P169-TODAY()&lt;=3),"開通間近","")))))))</f>
        <v/>
      </c>
      <c r="W169" s="16"/>
      <c r="X169" s="16"/>
    </row>
    <row r="170" customFormat="false" ht="15" hidden="false" customHeight="false" outlineLevel="0" collapsed="false">
      <c r="A170" s="7" t="str">
        <f aca="false">IF(D170="","",ROW()-3)</f>
        <v/>
      </c>
      <c r="B170" s="16"/>
      <c r="C170" s="12"/>
      <c r="D170" s="16"/>
      <c r="E170" s="16"/>
      <c r="F170" s="17"/>
      <c r="G170" s="16"/>
      <c r="H170" s="16"/>
      <c r="I170" s="12"/>
      <c r="J170" s="16"/>
      <c r="K170" s="16"/>
      <c r="L170" s="16"/>
      <c r="M170" s="16"/>
      <c r="N170" s="16"/>
      <c r="O170" s="12"/>
      <c r="P170" s="12"/>
      <c r="Q170" s="12"/>
      <c r="R170" s="16"/>
      <c r="S170" s="12"/>
      <c r="T170" s="13" t="str">
        <f aca="true">IF(C170="","",IF(Q170&lt;&gt;"",Q170-C170,TODAY()-C170))</f>
        <v/>
      </c>
      <c r="U170" s="14" t="str">
        <f aca="true">IF(OR(P170="",Q170&lt;&gt;"",N170="キャンセル"),"",P170-TODAY())</f>
        <v/>
      </c>
      <c r="V170" s="15" t="str">
        <f aca="true">IF(D170="","",IF(OR(N170="開通済",Q170&lt;&gt;""),"完了",IF(N170="キャンセル","―",IF(AND(S170&lt;&gt;"",S170&lt;TODAY()),"対応期限超過",IF(AND(P170&lt;&gt;"",P170&lt;TODAY()),"開通予定日超過",IF(AND(S170&lt;&gt;"",S170=TODAY()),"本日対応",IF(AND(P170&lt;&gt;"",P170-TODAY()&lt;=3),"開通間近","")))))))</f>
        <v/>
      </c>
      <c r="W170" s="16"/>
      <c r="X170" s="16"/>
    </row>
    <row r="171" customFormat="false" ht="15" hidden="false" customHeight="false" outlineLevel="0" collapsed="false">
      <c r="A171" s="7" t="str">
        <f aca="false">IF(D171="","",ROW()-3)</f>
        <v/>
      </c>
      <c r="B171" s="16"/>
      <c r="C171" s="12"/>
      <c r="D171" s="16"/>
      <c r="E171" s="16"/>
      <c r="F171" s="17"/>
      <c r="G171" s="16"/>
      <c r="H171" s="16"/>
      <c r="I171" s="12"/>
      <c r="J171" s="16"/>
      <c r="K171" s="16"/>
      <c r="L171" s="16"/>
      <c r="M171" s="16"/>
      <c r="N171" s="16"/>
      <c r="O171" s="12"/>
      <c r="P171" s="12"/>
      <c r="Q171" s="12"/>
      <c r="R171" s="16"/>
      <c r="S171" s="12"/>
      <c r="T171" s="13" t="str">
        <f aca="true">IF(C171="","",IF(Q171&lt;&gt;"",Q171-C171,TODAY()-C171))</f>
        <v/>
      </c>
      <c r="U171" s="14" t="str">
        <f aca="true">IF(OR(P171="",Q171&lt;&gt;"",N171="キャンセル"),"",P171-TODAY())</f>
        <v/>
      </c>
      <c r="V171" s="15" t="str">
        <f aca="true">IF(D171="","",IF(OR(N171="開通済",Q171&lt;&gt;""),"完了",IF(N171="キャンセル","―",IF(AND(S171&lt;&gt;"",S171&lt;TODAY()),"対応期限超過",IF(AND(P171&lt;&gt;"",P171&lt;TODAY()),"開通予定日超過",IF(AND(S171&lt;&gt;"",S171=TODAY()),"本日対応",IF(AND(P171&lt;&gt;"",P171-TODAY()&lt;=3),"開通間近","")))))))</f>
        <v/>
      </c>
      <c r="W171" s="16"/>
      <c r="X171" s="16"/>
    </row>
    <row r="172" customFormat="false" ht="15" hidden="false" customHeight="false" outlineLevel="0" collapsed="false">
      <c r="A172" s="7" t="str">
        <f aca="false">IF(D172="","",ROW()-3)</f>
        <v/>
      </c>
      <c r="B172" s="16"/>
      <c r="C172" s="12"/>
      <c r="D172" s="16"/>
      <c r="E172" s="16"/>
      <c r="F172" s="17"/>
      <c r="G172" s="16"/>
      <c r="H172" s="16"/>
      <c r="I172" s="12"/>
      <c r="J172" s="16"/>
      <c r="K172" s="16"/>
      <c r="L172" s="16"/>
      <c r="M172" s="16"/>
      <c r="N172" s="16"/>
      <c r="O172" s="12"/>
      <c r="P172" s="12"/>
      <c r="Q172" s="12"/>
      <c r="R172" s="16"/>
      <c r="S172" s="12"/>
      <c r="T172" s="13" t="str">
        <f aca="true">IF(C172="","",IF(Q172&lt;&gt;"",Q172-C172,TODAY()-C172))</f>
        <v/>
      </c>
      <c r="U172" s="14" t="str">
        <f aca="true">IF(OR(P172="",Q172&lt;&gt;"",N172="キャンセル"),"",P172-TODAY())</f>
        <v/>
      </c>
      <c r="V172" s="15" t="str">
        <f aca="true">IF(D172="","",IF(OR(N172="開通済",Q172&lt;&gt;""),"完了",IF(N172="キャンセル","―",IF(AND(S172&lt;&gt;"",S172&lt;TODAY()),"対応期限超過",IF(AND(P172&lt;&gt;"",P172&lt;TODAY()),"開通予定日超過",IF(AND(S172&lt;&gt;"",S172=TODAY()),"本日対応",IF(AND(P172&lt;&gt;"",P172-TODAY()&lt;=3),"開通間近","")))))))</f>
        <v/>
      </c>
      <c r="W172" s="16"/>
      <c r="X172" s="16"/>
    </row>
    <row r="173" customFormat="false" ht="15" hidden="false" customHeight="false" outlineLevel="0" collapsed="false">
      <c r="A173" s="7" t="str">
        <f aca="false">IF(D173="","",ROW()-3)</f>
        <v/>
      </c>
      <c r="B173" s="16"/>
      <c r="C173" s="12"/>
      <c r="D173" s="16"/>
      <c r="E173" s="16"/>
      <c r="F173" s="17"/>
      <c r="G173" s="16"/>
      <c r="H173" s="16"/>
      <c r="I173" s="12"/>
      <c r="J173" s="16"/>
      <c r="K173" s="16"/>
      <c r="L173" s="16"/>
      <c r="M173" s="16"/>
      <c r="N173" s="16"/>
      <c r="O173" s="12"/>
      <c r="P173" s="12"/>
      <c r="Q173" s="12"/>
      <c r="R173" s="16"/>
      <c r="S173" s="12"/>
      <c r="T173" s="13" t="str">
        <f aca="true">IF(C173="","",IF(Q173&lt;&gt;"",Q173-C173,TODAY()-C173))</f>
        <v/>
      </c>
      <c r="U173" s="14" t="str">
        <f aca="true">IF(OR(P173="",Q173&lt;&gt;"",N173="キャンセル"),"",P173-TODAY())</f>
        <v/>
      </c>
      <c r="V173" s="15" t="str">
        <f aca="true">IF(D173="","",IF(OR(N173="開通済",Q173&lt;&gt;""),"完了",IF(N173="キャンセル","―",IF(AND(S173&lt;&gt;"",S173&lt;TODAY()),"対応期限超過",IF(AND(P173&lt;&gt;"",P173&lt;TODAY()),"開通予定日超過",IF(AND(S173&lt;&gt;"",S173=TODAY()),"本日対応",IF(AND(P173&lt;&gt;"",P173-TODAY()&lt;=3),"開通間近","")))))))</f>
        <v/>
      </c>
      <c r="W173" s="16"/>
      <c r="X173" s="16"/>
    </row>
    <row r="174" customFormat="false" ht="15" hidden="false" customHeight="false" outlineLevel="0" collapsed="false">
      <c r="A174" s="7" t="str">
        <f aca="false">IF(D174="","",ROW()-3)</f>
        <v/>
      </c>
      <c r="B174" s="16"/>
      <c r="C174" s="12"/>
      <c r="D174" s="16"/>
      <c r="E174" s="16"/>
      <c r="F174" s="17"/>
      <c r="G174" s="16"/>
      <c r="H174" s="16"/>
      <c r="I174" s="12"/>
      <c r="J174" s="16"/>
      <c r="K174" s="16"/>
      <c r="L174" s="16"/>
      <c r="M174" s="16"/>
      <c r="N174" s="16"/>
      <c r="O174" s="12"/>
      <c r="P174" s="12"/>
      <c r="Q174" s="12"/>
      <c r="R174" s="16"/>
      <c r="S174" s="12"/>
      <c r="T174" s="13" t="str">
        <f aca="true">IF(C174="","",IF(Q174&lt;&gt;"",Q174-C174,TODAY()-C174))</f>
        <v/>
      </c>
      <c r="U174" s="14" t="str">
        <f aca="true">IF(OR(P174="",Q174&lt;&gt;"",N174="キャンセル"),"",P174-TODAY())</f>
        <v/>
      </c>
      <c r="V174" s="15" t="str">
        <f aca="true">IF(D174="","",IF(OR(N174="開通済",Q174&lt;&gt;""),"完了",IF(N174="キャンセル","―",IF(AND(S174&lt;&gt;"",S174&lt;TODAY()),"対応期限超過",IF(AND(P174&lt;&gt;"",P174&lt;TODAY()),"開通予定日超過",IF(AND(S174&lt;&gt;"",S174=TODAY()),"本日対応",IF(AND(P174&lt;&gt;"",P174-TODAY()&lt;=3),"開通間近","")))))))</f>
        <v/>
      </c>
      <c r="W174" s="16"/>
      <c r="X174" s="16"/>
    </row>
    <row r="175" customFormat="false" ht="15" hidden="false" customHeight="false" outlineLevel="0" collapsed="false">
      <c r="A175" s="7" t="str">
        <f aca="false">IF(D175="","",ROW()-3)</f>
        <v/>
      </c>
      <c r="B175" s="16"/>
      <c r="C175" s="12"/>
      <c r="D175" s="16"/>
      <c r="E175" s="16"/>
      <c r="F175" s="17"/>
      <c r="G175" s="16"/>
      <c r="H175" s="16"/>
      <c r="I175" s="12"/>
      <c r="J175" s="16"/>
      <c r="K175" s="16"/>
      <c r="L175" s="16"/>
      <c r="M175" s="16"/>
      <c r="N175" s="16"/>
      <c r="O175" s="12"/>
      <c r="P175" s="12"/>
      <c r="Q175" s="12"/>
      <c r="R175" s="16"/>
      <c r="S175" s="12"/>
      <c r="T175" s="13" t="str">
        <f aca="true">IF(C175="","",IF(Q175&lt;&gt;"",Q175-C175,TODAY()-C175))</f>
        <v/>
      </c>
      <c r="U175" s="14" t="str">
        <f aca="true">IF(OR(P175="",Q175&lt;&gt;"",N175="キャンセル"),"",P175-TODAY())</f>
        <v/>
      </c>
      <c r="V175" s="15" t="str">
        <f aca="true">IF(D175="","",IF(OR(N175="開通済",Q175&lt;&gt;""),"完了",IF(N175="キャンセル","―",IF(AND(S175&lt;&gt;"",S175&lt;TODAY()),"対応期限超過",IF(AND(P175&lt;&gt;"",P175&lt;TODAY()),"開通予定日超過",IF(AND(S175&lt;&gt;"",S175=TODAY()),"本日対応",IF(AND(P175&lt;&gt;"",P175-TODAY()&lt;=3),"開通間近","")))))))</f>
        <v/>
      </c>
      <c r="W175" s="16"/>
      <c r="X175" s="16"/>
    </row>
    <row r="176" customFormat="false" ht="15" hidden="false" customHeight="false" outlineLevel="0" collapsed="false">
      <c r="A176" s="7" t="str">
        <f aca="false">IF(D176="","",ROW()-3)</f>
        <v/>
      </c>
      <c r="B176" s="16"/>
      <c r="C176" s="12"/>
      <c r="D176" s="16"/>
      <c r="E176" s="16"/>
      <c r="F176" s="17"/>
      <c r="G176" s="16"/>
      <c r="H176" s="16"/>
      <c r="I176" s="12"/>
      <c r="J176" s="16"/>
      <c r="K176" s="16"/>
      <c r="L176" s="16"/>
      <c r="M176" s="16"/>
      <c r="N176" s="16"/>
      <c r="O176" s="12"/>
      <c r="P176" s="12"/>
      <c r="Q176" s="12"/>
      <c r="R176" s="16"/>
      <c r="S176" s="12"/>
      <c r="T176" s="13" t="str">
        <f aca="true">IF(C176="","",IF(Q176&lt;&gt;"",Q176-C176,TODAY()-C176))</f>
        <v/>
      </c>
      <c r="U176" s="14" t="str">
        <f aca="true">IF(OR(P176="",Q176&lt;&gt;"",N176="キャンセル"),"",P176-TODAY())</f>
        <v/>
      </c>
      <c r="V176" s="15" t="str">
        <f aca="true">IF(D176="","",IF(OR(N176="開通済",Q176&lt;&gt;""),"完了",IF(N176="キャンセル","―",IF(AND(S176&lt;&gt;"",S176&lt;TODAY()),"対応期限超過",IF(AND(P176&lt;&gt;"",P176&lt;TODAY()),"開通予定日超過",IF(AND(S176&lt;&gt;"",S176=TODAY()),"本日対応",IF(AND(P176&lt;&gt;"",P176-TODAY()&lt;=3),"開通間近","")))))))</f>
        <v/>
      </c>
      <c r="W176" s="16"/>
      <c r="X176" s="16"/>
    </row>
    <row r="177" customFormat="false" ht="15" hidden="false" customHeight="false" outlineLevel="0" collapsed="false">
      <c r="A177" s="7" t="str">
        <f aca="false">IF(D177="","",ROW()-3)</f>
        <v/>
      </c>
      <c r="B177" s="16"/>
      <c r="C177" s="12"/>
      <c r="D177" s="16"/>
      <c r="E177" s="16"/>
      <c r="F177" s="17"/>
      <c r="G177" s="16"/>
      <c r="H177" s="16"/>
      <c r="I177" s="12"/>
      <c r="J177" s="16"/>
      <c r="K177" s="16"/>
      <c r="L177" s="16"/>
      <c r="M177" s="16"/>
      <c r="N177" s="16"/>
      <c r="O177" s="12"/>
      <c r="P177" s="12"/>
      <c r="Q177" s="12"/>
      <c r="R177" s="16"/>
      <c r="S177" s="12"/>
      <c r="T177" s="13" t="str">
        <f aca="true">IF(C177="","",IF(Q177&lt;&gt;"",Q177-C177,TODAY()-C177))</f>
        <v/>
      </c>
      <c r="U177" s="14" t="str">
        <f aca="true">IF(OR(P177="",Q177&lt;&gt;"",N177="キャンセル"),"",P177-TODAY())</f>
        <v/>
      </c>
      <c r="V177" s="15" t="str">
        <f aca="true">IF(D177="","",IF(OR(N177="開通済",Q177&lt;&gt;""),"完了",IF(N177="キャンセル","―",IF(AND(S177&lt;&gt;"",S177&lt;TODAY()),"対応期限超過",IF(AND(P177&lt;&gt;"",P177&lt;TODAY()),"開通予定日超過",IF(AND(S177&lt;&gt;"",S177=TODAY()),"本日対応",IF(AND(P177&lt;&gt;"",P177-TODAY()&lt;=3),"開通間近","")))))))</f>
        <v/>
      </c>
      <c r="W177" s="16"/>
      <c r="X177" s="16"/>
    </row>
    <row r="178" customFormat="false" ht="15" hidden="false" customHeight="false" outlineLevel="0" collapsed="false">
      <c r="A178" s="7" t="str">
        <f aca="false">IF(D178="","",ROW()-3)</f>
        <v/>
      </c>
      <c r="B178" s="16"/>
      <c r="C178" s="12"/>
      <c r="D178" s="16"/>
      <c r="E178" s="16"/>
      <c r="F178" s="17"/>
      <c r="G178" s="16"/>
      <c r="H178" s="16"/>
      <c r="I178" s="12"/>
      <c r="J178" s="16"/>
      <c r="K178" s="16"/>
      <c r="L178" s="16"/>
      <c r="M178" s="16"/>
      <c r="N178" s="16"/>
      <c r="O178" s="12"/>
      <c r="P178" s="12"/>
      <c r="Q178" s="12"/>
      <c r="R178" s="16"/>
      <c r="S178" s="12"/>
      <c r="T178" s="13" t="str">
        <f aca="true">IF(C178="","",IF(Q178&lt;&gt;"",Q178-C178,TODAY()-C178))</f>
        <v/>
      </c>
      <c r="U178" s="14" t="str">
        <f aca="true">IF(OR(P178="",Q178&lt;&gt;"",N178="キャンセル"),"",P178-TODAY())</f>
        <v/>
      </c>
      <c r="V178" s="15" t="str">
        <f aca="true">IF(D178="","",IF(OR(N178="開通済",Q178&lt;&gt;""),"完了",IF(N178="キャンセル","―",IF(AND(S178&lt;&gt;"",S178&lt;TODAY()),"対応期限超過",IF(AND(P178&lt;&gt;"",P178&lt;TODAY()),"開通予定日超過",IF(AND(S178&lt;&gt;"",S178=TODAY()),"本日対応",IF(AND(P178&lt;&gt;"",P178-TODAY()&lt;=3),"開通間近","")))))))</f>
        <v/>
      </c>
      <c r="W178" s="16"/>
      <c r="X178" s="16"/>
    </row>
    <row r="179" customFormat="false" ht="15" hidden="false" customHeight="false" outlineLevel="0" collapsed="false">
      <c r="A179" s="7" t="str">
        <f aca="false">IF(D179="","",ROW()-3)</f>
        <v/>
      </c>
      <c r="B179" s="16"/>
      <c r="C179" s="12"/>
      <c r="D179" s="16"/>
      <c r="E179" s="16"/>
      <c r="F179" s="17"/>
      <c r="G179" s="16"/>
      <c r="H179" s="16"/>
      <c r="I179" s="12"/>
      <c r="J179" s="16"/>
      <c r="K179" s="16"/>
      <c r="L179" s="16"/>
      <c r="M179" s="16"/>
      <c r="N179" s="16"/>
      <c r="O179" s="12"/>
      <c r="P179" s="12"/>
      <c r="Q179" s="12"/>
      <c r="R179" s="16"/>
      <c r="S179" s="12"/>
      <c r="T179" s="13" t="str">
        <f aca="true">IF(C179="","",IF(Q179&lt;&gt;"",Q179-C179,TODAY()-C179))</f>
        <v/>
      </c>
      <c r="U179" s="14" t="str">
        <f aca="true">IF(OR(P179="",Q179&lt;&gt;"",N179="キャンセル"),"",P179-TODAY())</f>
        <v/>
      </c>
      <c r="V179" s="15" t="str">
        <f aca="true">IF(D179="","",IF(OR(N179="開通済",Q179&lt;&gt;""),"完了",IF(N179="キャンセル","―",IF(AND(S179&lt;&gt;"",S179&lt;TODAY()),"対応期限超過",IF(AND(P179&lt;&gt;"",P179&lt;TODAY()),"開通予定日超過",IF(AND(S179&lt;&gt;"",S179=TODAY()),"本日対応",IF(AND(P179&lt;&gt;"",P179-TODAY()&lt;=3),"開通間近","")))))))</f>
        <v/>
      </c>
      <c r="W179" s="16"/>
      <c r="X179" s="16"/>
    </row>
    <row r="180" customFormat="false" ht="15" hidden="false" customHeight="false" outlineLevel="0" collapsed="false">
      <c r="A180" s="7" t="str">
        <f aca="false">IF(D180="","",ROW()-3)</f>
        <v/>
      </c>
      <c r="B180" s="16"/>
      <c r="C180" s="12"/>
      <c r="D180" s="16"/>
      <c r="E180" s="16"/>
      <c r="F180" s="17"/>
      <c r="G180" s="16"/>
      <c r="H180" s="16"/>
      <c r="I180" s="12"/>
      <c r="J180" s="16"/>
      <c r="K180" s="16"/>
      <c r="L180" s="16"/>
      <c r="M180" s="16"/>
      <c r="N180" s="16"/>
      <c r="O180" s="12"/>
      <c r="P180" s="12"/>
      <c r="Q180" s="12"/>
      <c r="R180" s="16"/>
      <c r="S180" s="12"/>
      <c r="T180" s="13" t="str">
        <f aca="true">IF(C180="","",IF(Q180&lt;&gt;"",Q180-C180,TODAY()-C180))</f>
        <v/>
      </c>
      <c r="U180" s="14" t="str">
        <f aca="true">IF(OR(P180="",Q180&lt;&gt;"",N180="キャンセル"),"",P180-TODAY())</f>
        <v/>
      </c>
      <c r="V180" s="15" t="str">
        <f aca="true">IF(D180="","",IF(OR(N180="開通済",Q180&lt;&gt;""),"完了",IF(N180="キャンセル","―",IF(AND(S180&lt;&gt;"",S180&lt;TODAY()),"対応期限超過",IF(AND(P180&lt;&gt;"",P180&lt;TODAY()),"開通予定日超過",IF(AND(S180&lt;&gt;"",S180=TODAY()),"本日対応",IF(AND(P180&lt;&gt;"",P180-TODAY()&lt;=3),"開通間近","")))))))</f>
        <v/>
      </c>
      <c r="W180" s="16"/>
      <c r="X180" s="16"/>
    </row>
    <row r="181" customFormat="false" ht="15" hidden="false" customHeight="false" outlineLevel="0" collapsed="false">
      <c r="A181" s="7" t="str">
        <f aca="false">IF(D181="","",ROW()-3)</f>
        <v/>
      </c>
      <c r="B181" s="16"/>
      <c r="C181" s="12"/>
      <c r="D181" s="16"/>
      <c r="E181" s="16"/>
      <c r="F181" s="17"/>
      <c r="G181" s="16"/>
      <c r="H181" s="16"/>
      <c r="I181" s="12"/>
      <c r="J181" s="16"/>
      <c r="K181" s="16"/>
      <c r="L181" s="16"/>
      <c r="M181" s="16"/>
      <c r="N181" s="16"/>
      <c r="O181" s="12"/>
      <c r="P181" s="12"/>
      <c r="Q181" s="12"/>
      <c r="R181" s="16"/>
      <c r="S181" s="12"/>
      <c r="T181" s="13" t="str">
        <f aca="true">IF(C181="","",IF(Q181&lt;&gt;"",Q181-C181,TODAY()-C181))</f>
        <v/>
      </c>
      <c r="U181" s="14" t="str">
        <f aca="true">IF(OR(P181="",Q181&lt;&gt;"",N181="キャンセル"),"",P181-TODAY())</f>
        <v/>
      </c>
      <c r="V181" s="15" t="str">
        <f aca="true">IF(D181="","",IF(OR(N181="開通済",Q181&lt;&gt;""),"完了",IF(N181="キャンセル","―",IF(AND(S181&lt;&gt;"",S181&lt;TODAY()),"対応期限超過",IF(AND(P181&lt;&gt;"",P181&lt;TODAY()),"開通予定日超過",IF(AND(S181&lt;&gt;"",S181=TODAY()),"本日対応",IF(AND(P181&lt;&gt;"",P181-TODAY()&lt;=3),"開通間近","")))))))</f>
        <v/>
      </c>
      <c r="W181" s="16"/>
      <c r="X181" s="16"/>
    </row>
    <row r="182" customFormat="false" ht="15" hidden="false" customHeight="false" outlineLevel="0" collapsed="false">
      <c r="A182" s="7" t="str">
        <f aca="false">IF(D182="","",ROW()-3)</f>
        <v/>
      </c>
      <c r="B182" s="16"/>
      <c r="C182" s="12"/>
      <c r="D182" s="16"/>
      <c r="E182" s="16"/>
      <c r="F182" s="17"/>
      <c r="G182" s="16"/>
      <c r="H182" s="16"/>
      <c r="I182" s="12"/>
      <c r="J182" s="16"/>
      <c r="K182" s="16"/>
      <c r="L182" s="16"/>
      <c r="M182" s="16"/>
      <c r="N182" s="16"/>
      <c r="O182" s="12"/>
      <c r="P182" s="12"/>
      <c r="Q182" s="12"/>
      <c r="R182" s="16"/>
      <c r="S182" s="12"/>
      <c r="T182" s="13" t="str">
        <f aca="true">IF(C182="","",IF(Q182&lt;&gt;"",Q182-C182,TODAY()-C182))</f>
        <v/>
      </c>
      <c r="U182" s="14" t="str">
        <f aca="true">IF(OR(P182="",Q182&lt;&gt;"",N182="キャンセル"),"",P182-TODAY())</f>
        <v/>
      </c>
      <c r="V182" s="15" t="str">
        <f aca="true">IF(D182="","",IF(OR(N182="開通済",Q182&lt;&gt;""),"完了",IF(N182="キャンセル","―",IF(AND(S182&lt;&gt;"",S182&lt;TODAY()),"対応期限超過",IF(AND(P182&lt;&gt;"",P182&lt;TODAY()),"開通予定日超過",IF(AND(S182&lt;&gt;"",S182=TODAY()),"本日対応",IF(AND(P182&lt;&gt;"",P182-TODAY()&lt;=3),"開通間近","")))))))</f>
        <v/>
      </c>
      <c r="W182" s="16"/>
      <c r="X182" s="16"/>
    </row>
    <row r="183" customFormat="false" ht="15" hidden="false" customHeight="false" outlineLevel="0" collapsed="false">
      <c r="A183" s="7" t="str">
        <f aca="false">IF(D183="","",ROW()-3)</f>
        <v/>
      </c>
      <c r="B183" s="16"/>
      <c r="C183" s="12"/>
      <c r="D183" s="16"/>
      <c r="E183" s="16"/>
      <c r="F183" s="17"/>
      <c r="G183" s="16"/>
      <c r="H183" s="16"/>
      <c r="I183" s="12"/>
      <c r="J183" s="16"/>
      <c r="K183" s="16"/>
      <c r="L183" s="16"/>
      <c r="M183" s="16"/>
      <c r="N183" s="16"/>
      <c r="O183" s="12"/>
      <c r="P183" s="12"/>
      <c r="Q183" s="12"/>
      <c r="R183" s="16"/>
      <c r="S183" s="12"/>
      <c r="T183" s="13" t="str">
        <f aca="true">IF(C183="","",IF(Q183&lt;&gt;"",Q183-C183,TODAY()-C183))</f>
        <v/>
      </c>
      <c r="U183" s="14" t="str">
        <f aca="true">IF(OR(P183="",Q183&lt;&gt;"",N183="キャンセル"),"",P183-TODAY())</f>
        <v/>
      </c>
      <c r="V183" s="15" t="str">
        <f aca="true">IF(D183="","",IF(OR(N183="開通済",Q183&lt;&gt;""),"完了",IF(N183="キャンセル","―",IF(AND(S183&lt;&gt;"",S183&lt;TODAY()),"対応期限超過",IF(AND(P183&lt;&gt;"",P183&lt;TODAY()),"開通予定日超過",IF(AND(S183&lt;&gt;"",S183=TODAY()),"本日対応",IF(AND(P183&lt;&gt;"",P183-TODAY()&lt;=3),"開通間近","")))))))</f>
        <v/>
      </c>
      <c r="W183" s="16"/>
      <c r="X183" s="16"/>
    </row>
    <row r="184" customFormat="false" ht="15" hidden="false" customHeight="false" outlineLevel="0" collapsed="false">
      <c r="A184" s="7" t="str">
        <f aca="false">IF(D184="","",ROW()-3)</f>
        <v/>
      </c>
      <c r="B184" s="16"/>
      <c r="C184" s="12"/>
      <c r="D184" s="16"/>
      <c r="E184" s="16"/>
      <c r="F184" s="17"/>
      <c r="G184" s="16"/>
      <c r="H184" s="16"/>
      <c r="I184" s="12"/>
      <c r="J184" s="16"/>
      <c r="K184" s="16"/>
      <c r="L184" s="16"/>
      <c r="M184" s="16"/>
      <c r="N184" s="16"/>
      <c r="O184" s="12"/>
      <c r="P184" s="12"/>
      <c r="Q184" s="12"/>
      <c r="R184" s="16"/>
      <c r="S184" s="12"/>
      <c r="T184" s="13" t="str">
        <f aca="true">IF(C184="","",IF(Q184&lt;&gt;"",Q184-C184,TODAY()-C184))</f>
        <v/>
      </c>
      <c r="U184" s="14" t="str">
        <f aca="true">IF(OR(P184="",Q184&lt;&gt;"",N184="キャンセル"),"",P184-TODAY())</f>
        <v/>
      </c>
      <c r="V184" s="15" t="str">
        <f aca="true">IF(D184="","",IF(OR(N184="開通済",Q184&lt;&gt;""),"完了",IF(N184="キャンセル","―",IF(AND(S184&lt;&gt;"",S184&lt;TODAY()),"対応期限超過",IF(AND(P184&lt;&gt;"",P184&lt;TODAY()),"開通予定日超過",IF(AND(S184&lt;&gt;"",S184=TODAY()),"本日対応",IF(AND(P184&lt;&gt;"",P184-TODAY()&lt;=3),"開通間近","")))))))</f>
        <v/>
      </c>
      <c r="W184" s="16"/>
      <c r="X184" s="16"/>
    </row>
    <row r="185" customFormat="false" ht="15" hidden="false" customHeight="false" outlineLevel="0" collapsed="false">
      <c r="A185" s="7" t="str">
        <f aca="false">IF(D185="","",ROW()-3)</f>
        <v/>
      </c>
      <c r="B185" s="16"/>
      <c r="C185" s="12"/>
      <c r="D185" s="16"/>
      <c r="E185" s="16"/>
      <c r="F185" s="17"/>
      <c r="G185" s="16"/>
      <c r="H185" s="16"/>
      <c r="I185" s="12"/>
      <c r="J185" s="16"/>
      <c r="K185" s="16"/>
      <c r="L185" s="16"/>
      <c r="M185" s="16"/>
      <c r="N185" s="16"/>
      <c r="O185" s="12"/>
      <c r="P185" s="12"/>
      <c r="Q185" s="12"/>
      <c r="R185" s="16"/>
      <c r="S185" s="12"/>
      <c r="T185" s="13" t="str">
        <f aca="true">IF(C185="","",IF(Q185&lt;&gt;"",Q185-C185,TODAY()-C185))</f>
        <v/>
      </c>
      <c r="U185" s="14" t="str">
        <f aca="true">IF(OR(P185="",Q185&lt;&gt;"",N185="キャンセル"),"",P185-TODAY())</f>
        <v/>
      </c>
      <c r="V185" s="15" t="str">
        <f aca="true">IF(D185="","",IF(OR(N185="開通済",Q185&lt;&gt;""),"完了",IF(N185="キャンセル","―",IF(AND(S185&lt;&gt;"",S185&lt;TODAY()),"対応期限超過",IF(AND(P185&lt;&gt;"",P185&lt;TODAY()),"開通予定日超過",IF(AND(S185&lt;&gt;"",S185=TODAY()),"本日対応",IF(AND(P185&lt;&gt;"",P185-TODAY()&lt;=3),"開通間近","")))))))</f>
        <v/>
      </c>
      <c r="W185" s="16"/>
      <c r="X185" s="16"/>
    </row>
    <row r="186" customFormat="false" ht="15" hidden="false" customHeight="false" outlineLevel="0" collapsed="false">
      <c r="A186" s="7" t="str">
        <f aca="false">IF(D186="","",ROW()-3)</f>
        <v/>
      </c>
      <c r="B186" s="16"/>
      <c r="C186" s="12"/>
      <c r="D186" s="16"/>
      <c r="E186" s="16"/>
      <c r="F186" s="17"/>
      <c r="G186" s="16"/>
      <c r="H186" s="16"/>
      <c r="I186" s="12"/>
      <c r="J186" s="16"/>
      <c r="K186" s="16"/>
      <c r="L186" s="16"/>
      <c r="M186" s="16"/>
      <c r="N186" s="16"/>
      <c r="O186" s="12"/>
      <c r="P186" s="12"/>
      <c r="Q186" s="12"/>
      <c r="R186" s="16"/>
      <c r="S186" s="12"/>
      <c r="T186" s="13" t="str">
        <f aca="true">IF(C186="","",IF(Q186&lt;&gt;"",Q186-C186,TODAY()-C186))</f>
        <v/>
      </c>
      <c r="U186" s="14" t="str">
        <f aca="true">IF(OR(P186="",Q186&lt;&gt;"",N186="キャンセル"),"",P186-TODAY())</f>
        <v/>
      </c>
      <c r="V186" s="15" t="str">
        <f aca="true">IF(D186="","",IF(OR(N186="開通済",Q186&lt;&gt;""),"完了",IF(N186="キャンセル","―",IF(AND(S186&lt;&gt;"",S186&lt;TODAY()),"対応期限超過",IF(AND(P186&lt;&gt;"",P186&lt;TODAY()),"開通予定日超過",IF(AND(S186&lt;&gt;"",S186=TODAY()),"本日対応",IF(AND(P186&lt;&gt;"",P186-TODAY()&lt;=3),"開通間近","")))))))</f>
        <v/>
      </c>
      <c r="W186" s="16"/>
      <c r="X186" s="16"/>
    </row>
    <row r="187" customFormat="false" ht="15" hidden="false" customHeight="false" outlineLevel="0" collapsed="false">
      <c r="A187" s="7" t="str">
        <f aca="false">IF(D187="","",ROW()-3)</f>
        <v/>
      </c>
      <c r="B187" s="16"/>
      <c r="C187" s="12"/>
      <c r="D187" s="16"/>
      <c r="E187" s="16"/>
      <c r="F187" s="17"/>
      <c r="G187" s="16"/>
      <c r="H187" s="16"/>
      <c r="I187" s="12"/>
      <c r="J187" s="16"/>
      <c r="K187" s="16"/>
      <c r="L187" s="16"/>
      <c r="M187" s="16"/>
      <c r="N187" s="16"/>
      <c r="O187" s="12"/>
      <c r="P187" s="12"/>
      <c r="Q187" s="12"/>
      <c r="R187" s="16"/>
      <c r="S187" s="12"/>
      <c r="T187" s="13" t="str">
        <f aca="true">IF(C187="","",IF(Q187&lt;&gt;"",Q187-C187,TODAY()-C187))</f>
        <v/>
      </c>
      <c r="U187" s="14" t="str">
        <f aca="true">IF(OR(P187="",Q187&lt;&gt;"",N187="キャンセル"),"",P187-TODAY())</f>
        <v/>
      </c>
      <c r="V187" s="15" t="str">
        <f aca="true">IF(D187="","",IF(OR(N187="開通済",Q187&lt;&gt;""),"完了",IF(N187="キャンセル","―",IF(AND(S187&lt;&gt;"",S187&lt;TODAY()),"対応期限超過",IF(AND(P187&lt;&gt;"",P187&lt;TODAY()),"開通予定日超過",IF(AND(S187&lt;&gt;"",S187=TODAY()),"本日対応",IF(AND(P187&lt;&gt;"",P187-TODAY()&lt;=3),"開通間近","")))))))</f>
        <v/>
      </c>
      <c r="W187" s="16"/>
      <c r="X187" s="16"/>
    </row>
    <row r="188" customFormat="false" ht="15" hidden="false" customHeight="false" outlineLevel="0" collapsed="false">
      <c r="A188" s="7" t="str">
        <f aca="false">IF(D188="","",ROW()-3)</f>
        <v/>
      </c>
      <c r="B188" s="16"/>
      <c r="C188" s="12"/>
      <c r="D188" s="16"/>
      <c r="E188" s="16"/>
      <c r="F188" s="17"/>
      <c r="G188" s="16"/>
      <c r="H188" s="16"/>
      <c r="I188" s="12"/>
      <c r="J188" s="16"/>
      <c r="K188" s="16"/>
      <c r="L188" s="16"/>
      <c r="M188" s="16"/>
      <c r="N188" s="16"/>
      <c r="O188" s="12"/>
      <c r="P188" s="12"/>
      <c r="Q188" s="12"/>
      <c r="R188" s="16"/>
      <c r="S188" s="12"/>
      <c r="T188" s="13" t="str">
        <f aca="true">IF(C188="","",IF(Q188&lt;&gt;"",Q188-C188,TODAY()-C188))</f>
        <v/>
      </c>
      <c r="U188" s="14" t="str">
        <f aca="true">IF(OR(P188="",Q188&lt;&gt;"",N188="キャンセル"),"",P188-TODAY())</f>
        <v/>
      </c>
      <c r="V188" s="15" t="str">
        <f aca="true">IF(D188="","",IF(OR(N188="開通済",Q188&lt;&gt;""),"完了",IF(N188="キャンセル","―",IF(AND(S188&lt;&gt;"",S188&lt;TODAY()),"対応期限超過",IF(AND(P188&lt;&gt;"",P188&lt;TODAY()),"開通予定日超過",IF(AND(S188&lt;&gt;"",S188=TODAY()),"本日対応",IF(AND(P188&lt;&gt;"",P188-TODAY()&lt;=3),"開通間近","")))))))</f>
        <v/>
      </c>
      <c r="W188" s="16"/>
      <c r="X188" s="16"/>
    </row>
    <row r="189" customFormat="false" ht="15" hidden="false" customHeight="false" outlineLevel="0" collapsed="false">
      <c r="A189" s="7" t="str">
        <f aca="false">IF(D189="","",ROW()-3)</f>
        <v/>
      </c>
      <c r="B189" s="16"/>
      <c r="C189" s="12"/>
      <c r="D189" s="16"/>
      <c r="E189" s="16"/>
      <c r="F189" s="17"/>
      <c r="G189" s="16"/>
      <c r="H189" s="16"/>
      <c r="I189" s="12"/>
      <c r="J189" s="16"/>
      <c r="K189" s="16"/>
      <c r="L189" s="16"/>
      <c r="M189" s="16"/>
      <c r="N189" s="16"/>
      <c r="O189" s="12"/>
      <c r="P189" s="12"/>
      <c r="Q189" s="12"/>
      <c r="R189" s="16"/>
      <c r="S189" s="12"/>
      <c r="T189" s="13" t="str">
        <f aca="true">IF(C189="","",IF(Q189&lt;&gt;"",Q189-C189,TODAY()-C189))</f>
        <v/>
      </c>
      <c r="U189" s="14" t="str">
        <f aca="true">IF(OR(P189="",Q189&lt;&gt;"",N189="キャンセル"),"",P189-TODAY())</f>
        <v/>
      </c>
      <c r="V189" s="15" t="str">
        <f aca="true">IF(D189="","",IF(OR(N189="開通済",Q189&lt;&gt;""),"完了",IF(N189="キャンセル","―",IF(AND(S189&lt;&gt;"",S189&lt;TODAY()),"対応期限超過",IF(AND(P189&lt;&gt;"",P189&lt;TODAY()),"開通予定日超過",IF(AND(S189&lt;&gt;"",S189=TODAY()),"本日対応",IF(AND(P189&lt;&gt;"",P189-TODAY()&lt;=3),"開通間近","")))))))</f>
        <v/>
      </c>
      <c r="W189" s="16"/>
      <c r="X189" s="16"/>
    </row>
    <row r="190" customFormat="false" ht="15" hidden="false" customHeight="false" outlineLevel="0" collapsed="false">
      <c r="A190" s="7" t="str">
        <f aca="false">IF(D190="","",ROW()-3)</f>
        <v/>
      </c>
      <c r="B190" s="16"/>
      <c r="C190" s="12"/>
      <c r="D190" s="16"/>
      <c r="E190" s="16"/>
      <c r="F190" s="17"/>
      <c r="G190" s="16"/>
      <c r="H190" s="16"/>
      <c r="I190" s="12"/>
      <c r="J190" s="16"/>
      <c r="K190" s="16"/>
      <c r="L190" s="16"/>
      <c r="M190" s="16"/>
      <c r="N190" s="16"/>
      <c r="O190" s="12"/>
      <c r="P190" s="12"/>
      <c r="Q190" s="12"/>
      <c r="R190" s="16"/>
      <c r="S190" s="12"/>
      <c r="T190" s="13" t="str">
        <f aca="true">IF(C190="","",IF(Q190&lt;&gt;"",Q190-C190,TODAY()-C190))</f>
        <v/>
      </c>
      <c r="U190" s="14" t="str">
        <f aca="true">IF(OR(P190="",Q190&lt;&gt;"",N190="キャンセル"),"",P190-TODAY())</f>
        <v/>
      </c>
      <c r="V190" s="15" t="str">
        <f aca="true">IF(D190="","",IF(OR(N190="開通済",Q190&lt;&gt;""),"完了",IF(N190="キャンセル","―",IF(AND(S190&lt;&gt;"",S190&lt;TODAY()),"対応期限超過",IF(AND(P190&lt;&gt;"",P190&lt;TODAY()),"開通予定日超過",IF(AND(S190&lt;&gt;"",S190=TODAY()),"本日対応",IF(AND(P190&lt;&gt;"",P190-TODAY()&lt;=3),"開通間近","")))))))</f>
        <v/>
      </c>
      <c r="W190" s="16"/>
      <c r="X190" s="16"/>
    </row>
    <row r="191" customFormat="false" ht="15" hidden="false" customHeight="false" outlineLevel="0" collapsed="false">
      <c r="A191" s="7" t="str">
        <f aca="false">IF(D191="","",ROW()-3)</f>
        <v/>
      </c>
      <c r="B191" s="16"/>
      <c r="C191" s="12"/>
      <c r="D191" s="16"/>
      <c r="E191" s="16"/>
      <c r="F191" s="17"/>
      <c r="G191" s="16"/>
      <c r="H191" s="16"/>
      <c r="I191" s="12"/>
      <c r="J191" s="16"/>
      <c r="K191" s="16"/>
      <c r="L191" s="16"/>
      <c r="M191" s="16"/>
      <c r="N191" s="16"/>
      <c r="O191" s="12"/>
      <c r="P191" s="12"/>
      <c r="Q191" s="12"/>
      <c r="R191" s="16"/>
      <c r="S191" s="12"/>
      <c r="T191" s="13" t="str">
        <f aca="true">IF(C191="","",IF(Q191&lt;&gt;"",Q191-C191,TODAY()-C191))</f>
        <v/>
      </c>
      <c r="U191" s="14" t="str">
        <f aca="true">IF(OR(P191="",Q191&lt;&gt;"",N191="キャンセル"),"",P191-TODAY())</f>
        <v/>
      </c>
      <c r="V191" s="15" t="str">
        <f aca="true">IF(D191="","",IF(OR(N191="開通済",Q191&lt;&gt;""),"完了",IF(N191="キャンセル","―",IF(AND(S191&lt;&gt;"",S191&lt;TODAY()),"対応期限超過",IF(AND(P191&lt;&gt;"",P191&lt;TODAY()),"開通予定日超過",IF(AND(S191&lt;&gt;"",S191=TODAY()),"本日対応",IF(AND(P191&lt;&gt;"",P191-TODAY()&lt;=3),"開通間近","")))))))</f>
        <v/>
      </c>
      <c r="W191" s="16"/>
      <c r="X191" s="16"/>
    </row>
    <row r="192" customFormat="false" ht="15" hidden="false" customHeight="false" outlineLevel="0" collapsed="false">
      <c r="A192" s="7" t="str">
        <f aca="false">IF(D192="","",ROW()-3)</f>
        <v/>
      </c>
      <c r="B192" s="16"/>
      <c r="C192" s="12"/>
      <c r="D192" s="16"/>
      <c r="E192" s="16"/>
      <c r="F192" s="17"/>
      <c r="G192" s="16"/>
      <c r="H192" s="16"/>
      <c r="I192" s="12"/>
      <c r="J192" s="16"/>
      <c r="K192" s="16"/>
      <c r="L192" s="16"/>
      <c r="M192" s="16"/>
      <c r="N192" s="16"/>
      <c r="O192" s="12"/>
      <c r="P192" s="12"/>
      <c r="Q192" s="12"/>
      <c r="R192" s="16"/>
      <c r="S192" s="12"/>
      <c r="T192" s="13" t="str">
        <f aca="true">IF(C192="","",IF(Q192&lt;&gt;"",Q192-C192,TODAY()-C192))</f>
        <v/>
      </c>
      <c r="U192" s="14" t="str">
        <f aca="true">IF(OR(P192="",Q192&lt;&gt;"",N192="キャンセル"),"",P192-TODAY())</f>
        <v/>
      </c>
      <c r="V192" s="15" t="str">
        <f aca="true">IF(D192="","",IF(OR(N192="開通済",Q192&lt;&gt;""),"完了",IF(N192="キャンセル","―",IF(AND(S192&lt;&gt;"",S192&lt;TODAY()),"対応期限超過",IF(AND(P192&lt;&gt;"",P192&lt;TODAY()),"開通予定日超過",IF(AND(S192&lt;&gt;"",S192=TODAY()),"本日対応",IF(AND(P192&lt;&gt;"",P192-TODAY()&lt;=3),"開通間近","")))))))</f>
        <v/>
      </c>
      <c r="W192" s="16"/>
      <c r="X192" s="16"/>
    </row>
    <row r="193" customFormat="false" ht="15" hidden="false" customHeight="false" outlineLevel="0" collapsed="false">
      <c r="A193" s="7" t="str">
        <f aca="false">IF(D193="","",ROW()-3)</f>
        <v/>
      </c>
      <c r="B193" s="16"/>
      <c r="C193" s="12"/>
      <c r="D193" s="16"/>
      <c r="E193" s="16"/>
      <c r="F193" s="17"/>
      <c r="G193" s="16"/>
      <c r="H193" s="16"/>
      <c r="I193" s="12"/>
      <c r="J193" s="16"/>
      <c r="K193" s="16"/>
      <c r="L193" s="16"/>
      <c r="M193" s="16"/>
      <c r="N193" s="16"/>
      <c r="O193" s="12"/>
      <c r="P193" s="12"/>
      <c r="Q193" s="12"/>
      <c r="R193" s="16"/>
      <c r="S193" s="12"/>
      <c r="T193" s="13" t="str">
        <f aca="true">IF(C193="","",IF(Q193&lt;&gt;"",Q193-C193,TODAY()-C193))</f>
        <v/>
      </c>
      <c r="U193" s="14" t="str">
        <f aca="true">IF(OR(P193="",Q193&lt;&gt;"",N193="キャンセル"),"",P193-TODAY())</f>
        <v/>
      </c>
      <c r="V193" s="15" t="str">
        <f aca="true">IF(D193="","",IF(OR(N193="開通済",Q193&lt;&gt;""),"完了",IF(N193="キャンセル","―",IF(AND(S193&lt;&gt;"",S193&lt;TODAY()),"対応期限超過",IF(AND(P193&lt;&gt;"",P193&lt;TODAY()),"開通予定日超過",IF(AND(S193&lt;&gt;"",S193=TODAY()),"本日対応",IF(AND(P193&lt;&gt;"",P193-TODAY()&lt;=3),"開通間近","")))))))</f>
        <v/>
      </c>
      <c r="W193" s="16"/>
      <c r="X193" s="16"/>
    </row>
    <row r="194" customFormat="false" ht="15" hidden="false" customHeight="false" outlineLevel="0" collapsed="false">
      <c r="A194" s="7" t="str">
        <f aca="false">IF(D194="","",ROW()-3)</f>
        <v/>
      </c>
      <c r="B194" s="16"/>
      <c r="C194" s="12"/>
      <c r="D194" s="16"/>
      <c r="E194" s="16"/>
      <c r="F194" s="17"/>
      <c r="G194" s="16"/>
      <c r="H194" s="16"/>
      <c r="I194" s="12"/>
      <c r="J194" s="16"/>
      <c r="K194" s="16"/>
      <c r="L194" s="16"/>
      <c r="M194" s="16"/>
      <c r="N194" s="16"/>
      <c r="O194" s="12"/>
      <c r="P194" s="12"/>
      <c r="Q194" s="12"/>
      <c r="R194" s="16"/>
      <c r="S194" s="12"/>
      <c r="T194" s="13" t="str">
        <f aca="true">IF(C194="","",IF(Q194&lt;&gt;"",Q194-C194,TODAY()-C194))</f>
        <v/>
      </c>
      <c r="U194" s="14" t="str">
        <f aca="true">IF(OR(P194="",Q194&lt;&gt;"",N194="キャンセル"),"",P194-TODAY())</f>
        <v/>
      </c>
      <c r="V194" s="15" t="str">
        <f aca="true">IF(D194="","",IF(OR(N194="開通済",Q194&lt;&gt;""),"完了",IF(N194="キャンセル","―",IF(AND(S194&lt;&gt;"",S194&lt;TODAY()),"対応期限超過",IF(AND(P194&lt;&gt;"",P194&lt;TODAY()),"開通予定日超過",IF(AND(S194&lt;&gt;"",S194=TODAY()),"本日対応",IF(AND(P194&lt;&gt;"",P194-TODAY()&lt;=3),"開通間近","")))))))</f>
        <v/>
      </c>
      <c r="W194" s="16"/>
      <c r="X194" s="16"/>
    </row>
    <row r="195" customFormat="false" ht="15" hidden="false" customHeight="false" outlineLevel="0" collapsed="false">
      <c r="A195" s="7" t="str">
        <f aca="false">IF(D195="","",ROW()-3)</f>
        <v/>
      </c>
      <c r="B195" s="16"/>
      <c r="C195" s="12"/>
      <c r="D195" s="16"/>
      <c r="E195" s="16"/>
      <c r="F195" s="17"/>
      <c r="G195" s="16"/>
      <c r="H195" s="16"/>
      <c r="I195" s="12"/>
      <c r="J195" s="16"/>
      <c r="K195" s="16"/>
      <c r="L195" s="16"/>
      <c r="M195" s="16"/>
      <c r="N195" s="16"/>
      <c r="O195" s="12"/>
      <c r="P195" s="12"/>
      <c r="Q195" s="12"/>
      <c r="R195" s="16"/>
      <c r="S195" s="12"/>
      <c r="T195" s="13" t="str">
        <f aca="true">IF(C195="","",IF(Q195&lt;&gt;"",Q195-C195,TODAY()-C195))</f>
        <v/>
      </c>
      <c r="U195" s="14" t="str">
        <f aca="true">IF(OR(P195="",Q195&lt;&gt;"",N195="キャンセル"),"",P195-TODAY())</f>
        <v/>
      </c>
      <c r="V195" s="15" t="str">
        <f aca="true">IF(D195="","",IF(OR(N195="開通済",Q195&lt;&gt;""),"完了",IF(N195="キャンセル","―",IF(AND(S195&lt;&gt;"",S195&lt;TODAY()),"対応期限超過",IF(AND(P195&lt;&gt;"",P195&lt;TODAY()),"開通予定日超過",IF(AND(S195&lt;&gt;"",S195=TODAY()),"本日対応",IF(AND(P195&lt;&gt;"",P195-TODAY()&lt;=3),"開通間近","")))))))</f>
        <v/>
      </c>
      <c r="W195" s="16"/>
      <c r="X195" s="16"/>
    </row>
    <row r="196" customFormat="false" ht="15" hidden="false" customHeight="false" outlineLevel="0" collapsed="false">
      <c r="A196" s="7" t="str">
        <f aca="false">IF(D196="","",ROW()-3)</f>
        <v/>
      </c>
      <c r="B196" s="16"/>
      <c r="C196" s="12"/>
      <c r="D196" s="16"/>
      <c r="E196" s="16"/>
      <c r="F196" s="17"/>
      <c r="G196" s="16"/>
      <c r="H196" s="16"/>
      <c r="I196" s="12"/>
      <c r="J196" s="16"/>
      <c r="K196" s="16"/>
      <c r="L196" s="16"/>
      <c r="M196" s="16"/>
      <c r="N196" s="16"/>
      <c r="O196" s="12"/>
      <c r="P196" s="12"/>
      <c r="Q196" s="12"/>
      <c r="R196" s="16"/>
      <c r="S196" s="12"/>
      <c r="T196" s="13" t="str">
        <f aca="true">IF(C196="","",IF(Q196&lt;&gt;"",Q196-C196,TODAY()-C196))</f>
        <v/>
      </c>
      <c r="U196" s="14" t="str">
        <f aca="true">IF(OR(P196="",Q196&lt;&gt;"",N196="キャンセル"),"",P196-TODAY())</f>
        <v/>
      </c>
      <c r="V196" s="15" t="str">
        <f aca="true">IF(D196="","",IF(OR(N196="開通済",Q196&lt;&gt;""),"完了",IF(N196="キャンセル","―",IF(AND(S196&lt;&gt;"",S196&lt;TODAY()),"対応期限超過",IF(AND(P196&lt;&gt;"",P196&lt;TODAY()),"開通予定日超過",IF(AND(S196&lt;&gt;"",S196=TODAY()),"本日対応",IF(AND(P196&lt;&gt;"",P196-TODAY()&lt;=3),"開通間近","")))))))</f>
        <v/>
      </c>
      <c r="W196" s="16"/>
      <c r="X196" s="16"/>
    </row>
    <row r="197" customFormat="false" ht="15" hidden="false" customHeight="false" outlineLevel="0" collapsed="false">
      <c r="A197" s="7" t="str">
        <f aca="false">IF(D197="","",ROW()-3)</f>
        <v/>
      </c>
      <c r="B197" s="16"/>
      <c r="C197" s="12"/>
      <c r="D197" s="16"/>
      <c r="E197" s="16"/>
      <c r="F197" s="17"/>
      <c r="G197" s="16"/>
      <c r="H197" s="16"/>
      <c r="I197" s="12"/>
      <c r="J197" s="16"/>
      <c r="K197" s="16"/>
      <c r="L197" s="16"/>
      <c r="M197" s="16"/>
      <c r="N197" s="16"/>
      <c r="O197" s="12"/>
      <c r="P197" s="12"/>
      <c r="Q197" s="12"/>
      <c r="R197" s="16"/>
      <c r="S197" s="12"/>
      <c r="T197" s="13" t="str">
        <f aca="true">IF(C197="","",IF(Q197&lt;&gt;"",Q197-C197,TODAY()-C197))</f>
        <v/>
      </c>
      <c r="U197" s="14" t="str">
        <f aca="true">IF(OR(P197="",Q197&lt;&gt;"",N197="キャンセル"),"",P197-TODAY())</f>
        <v/>
      </c>
      <c r="V197" s="15" t="str">
        <f aca="true">IF(D197="","",IF(OR(N197="開通済",Q197&lt;&gt;""),"完了",IF(N197="キャンセル","―",IF(AND(S197&lt;&gt;"",S197&lt;TODAY()),"対応期限超過",IF(AND(P197&lt;&gt;"",P197&lt;TODAY()),"開通予定日超過",IF(AND(S197&lt;&gt;"",S197=TODAY()),"本日対応",IF(AND(P197&lt;&gt;"",P197-TODAY()&lt;=3),"開通間近","")))))))</f>
        <v/>
      </c>
      <c r="W197" s="16"/>
      <c r="X197" s="16"/>
    </row>
    <row r="198" customFormat="false" ht="15" hidden="false" customHeight="false" outlineLevel="0" collapsed="false">
      <c r="A198" s="7" t="str">
        <f aca="false">IF(D198="","",ROW()-3)</f>
        <v/>
      </c>
      <c r="B198" s="16"/>
      <c r="C198" s="12"/>
      <c r="D198" s="16"/>
      <c r="E198" s="16"/>
      <c r="F198" s="17"/>
      <c r="G198" s="16"/>
      <c r="H198" s="16"/>
      <c r="I198" s="12"/>
      <c r="J198" s="16"/>
      <c r="K198" s="16"/>
      <c r="L198" s="16"/>
      <c r="M198" s="16"/>
      <c r="N198" s="16"/>
      <c r="O198" s="12"/>
      <c r="P198" s="12"/>
      <c r="Q198" s="12"/>
      <c r="R198" s="16"/>
      <c r="S198" s="12"/>
      <c r="T198" s="13" t="str">
        <f aca="true">IF(C198="","",IF(Q198&lt;&gt;"",Q198-C198,TODAY()-C198))</f>
        <v/>
      </c>
      <c r="U198" s="14" t="str">
        <f aca="true">IF(OR(P198="",Q198&lt;&gt;"",N198="キャンセル"),"",P198-TODAY())</f>
        <v/>
      </c>
      <c r="V198" s="15" t="str">
        <f aca="true">IF(D198="","",IF(OR(N198="開通済",Q198&lt;&gt;""),"完了",IF(N198="キャンセル","―",IF(AND(S198&lt;&gt;"",S198&lt;TODAY()),"対応期限超過",IF(AND(P198&lt;&gt;"",P198&lt;TODAY()),"開通予定日超過",IF(AND(S198&lt;&gt;"",S198=TODAY()),"本日対応",IF(AND(P198&lt;&gt;"",P198-TODAY()&lt;=3),"開通間近","")))))))</f>
        <v/>
      </c>
      <c r="W198" s="16"/>
      <c r="X198" s="16"/>
    </row>
    <row r="199" customFormat="false" ht="15" hidden="false" customHeight="false" outlineLevel="0" collapsed="false">
      <c r="A199" s="7" t="str">
        <f aca="false">IF(D199="","",ROW()-3)</f>
        <v/>
      </c>
      <c r="B199" s="16"/>
      <c r="C199" s="12"/>
      <c r="D199" s="16"/>
      <c r="E199" s="16"/>
      <c r="F199" s="17"/>
      <c r="G199" s="16"/>
      <c r="H199" s="16"/>
      <c r="I199" s="12"/>
      <c r="J199" s="16"/>
      <c r="K199" s="16"/>
      <c r="L199" s="16"/>
      <c r="M199" s="16"/>
      <c r="N199" s="16"/>
      <c r="O199" s="12"/>
      <c r="P199" s="12"/>
      <c r="Q199" s="12"/>
      <c r="R199" s="16"/>
      <c r="S199" s="12"/>
      <c r="T199" s="13" t="str">
        <f aca="true">IF(C199="","",IF(Q199&lt;&gt;"",Q199-C199,TODAY()-C199))</f>
        <v/>
      </c>
      <c r="U199" s="14" t="str">
        <f aca="true">IF(OR(P199="",Q199&lt;&gt;"",N199="キャンセル"),"",P199-TODAY())</f>
        <v/>
      </c>
      <c r="V199" s="15" t="str">
        <f aca="true">IF(D199="","",IF(OR(N199="開通済",Q199&lt;&gt;""),"完了",IF(N199="キャンセル","―",IF(AND(S199&lt;&gt;"",S199&lt;TODAY()),"対応期限超過",IF(AND(P199&lt;&gt;"",P199&lt;TODAY()),"開通予定日超過",IF(AND(S199&lt;&gt;"",S199=TODAY()),"本日対応",IF(AND(P199&lt;&gt;"",P199-TODAY()&lt;=3),"開通間近","")))))))</f>
        <v/>
      </c>
      <c r="W199" s="16"/>
      <c r="X199" s="16"/>
    </row>
    <row r="200" customFormat="false" ht="15" hidden="false" customHeight="false" outlineLevel="0" collapsed="false">
      <c r="A200" s="7" t="str">
        <f aca="false">IF(D200="","",ROW()-3)</f>
        <v/>
      </c>
      <c r="B200" s="16"/>
      <c r="C200" s="12"/>
      <c r="D200" s="16"/>
      <c r="E200" s="16"/>
      <c r="F200" s="17"/>
      <c r="G200" s="16"/>
      <c r="H200" s="16"/>
      <c r="I200" s="12"/>
      <c r="J200" s="16"/>
      <c r="K200" s="16"/>
      <c r="L200" s="16"/>
      <c r="M200" s="16"/>
      <c r="N200" s="16"/>
      <c r="O200" s="12"/>
      <c r="P200" s="12"/>
      <c r="Q200" s="12"/>
      <c r="R200" s="16"/>
      <c r="S200" s="12"/>
      <c r="T200" s="13" t="str">
        <f aca="true">IF(C200="","",IF(Q200&lt;&gt;"",Q200-C200,TODAY()-C200))</f>
        <v/>
      </c>
      <c r="U200" s="14" t="str">
        <f aca="true">IF(OR(P200="",Q200&lt;&gt;"",N200="キャンセル"),"",P200-TODAY())</f>
        <v/>
      </c>
      <c r="V200" s="15" t="str">
        <f aca="true">IF(D200="","",IF(OR(N200="開通済",Q200&lt;&gt;""),"完了",IF(N200="キャンセル","―",IF(AND(S200&lt;&gt;"",S200&lt;TODAY()),"対応期限超過",IF(AND(P200&lt;&gt;"",P200&lt;TODAY()),"開通予定日超過",IF(AND(S200&lt;&gt;"",S200=TODAY()),"本日対応",IF(AND(P200&lt;&gt;"",P200-TODAY()&lt;=3),"開通間近","")))))))</f>
        <v/>
      </c>
      <c r="W200" s="16"/>
      <c r="X200" s="16"/>
    </row>
    <row r="201" customFormat="false" ht="15" hidden="false" customHeight="false" outlineLevel="0" collapsed="false">
      <c r="A201" s="7" t="str">
        <f aca="false">IF(D201="","",ROW()-3)</f>
        <v/>
      </c>
      <c r="B201" s="16"/>
      <c r="C201" s="12"/>
      <c r="D201" s="16"/>
      <c r="E201" s="16"/>
      <c r="F201" s="17"/>
      <c r="G201" s="16"/>
      <c r="H201" s="16"/>
      <c r="I201" s="12"/>
      <c r="J201" s="16"/>
      <c r="K201" s="16"/>
      <c r="L201" s="16"/>
      <c r="M201" s="16"/>
      <c r="N201" s="16"/>
      <c r="O201" s="12"/>
      <c r="P201" s="12"/>
      <c r="Q201" s="12"/>
      <c r="R201" s="16"/>
      <c r="S201" s="12"/>
      <c r="T201" s="13" t="str">
        <f aca="true">IF(C201="","",IF(Q201&lt;&gt;"",Q201-C201,TODAY()-C201))</f>
        <v/>
      </c>
      <c r="U201" s="14" t="str">
        <f aca="true">IF(OR(P201="",Q201&lt;&gt;"",N201="キャンセル"),"",P201-TODAY())</f>
        <v/>
      </c>
      <c r="V201" s="15" t="str">
        <f aca="true">IF(D201="","",IF(OR(N201="開通済",Q201&lt;&gt;""),"完了",IF(N201="キャンセル","―",IF(AND(S201&lt;&gt;"",S201&lt;TODAY()),"対応期限超過",IF(AND(P201&lt;&gt;"",P201&lt;TODAY()),"開通予定日超過",IF(AND(S201&lt;&gt;"",S201=TODAY()),"本日対応",IF(AND(P201&lt;&gt;"",P201-TODAY()&lt;=3),"開通間近","")))))))</f>
        <v/>
      </c>
      <c r="W201" s="16"/>
      <c r="X201" s="16"/>
    </row>
    <row r="202" customFormat="false" ht="15" hidden="false" customHeight="false" outlineLevel="0" collapsed="false">
      <c r="A202" s="7" t="str">
        <f aca="false">IF(D202="","",ROW()-3)</f>
        <v/>
      </c>
      <c r="B202" s="16"/>
      <c r="C202" s="12"/>
      <c r="D202" s="16"/>
      <c r="E202" s="16"/>
      <c r="F202" s="17"/>
      <c r="G202" s="16"/>
      <c r="H202" s="16"/>
      <c r="I202" s="12"/>
      <c r="J202" s="16"/>
      <c r="K202" s="16"/>
      <c r="L202" s="16"/>
      <c r="M202" s="16"/>
      <c r="N202" s="16"/>
      <c r="O202" s="12"/>
      <c r="P202" s="12"/>
      <c r="Q202" s="12"/>
      <c r="R202" s="16"/>
      <c r="S202" s="12"/>
      <c r="T202" s="13" t="str">
        <f aca="true">IF(C202="","",IF(Q202&lt;&gt;"",Q202-C202,TODAY()-C202))</f>
        <v/>
      </c>
      <c r="U202" s="14" t="str">
        <f aca="true">IF(OR(P202="",Q202&lt;&gt;"",N202="キャンセル"),"",P202-TODAY())</f>
        <v/>
      </c>
      <c r="V202" s="15" t="str">
        <f aca="true">IF(D202="","",IF(OR(N202="開通済",Q202&lt;&gt;""),"完了",IF(N202="キャンセル","―",IF(AND(S202&lt;&gt;"",S202&lt;TODAY()),"対応期限超過",IF(AND(P202&lt;&gt;"",P202&lt;TODAY()),"開通予定日超過",IF(AND(S202&lt;&gt;"",S202=TODAY()),"本日対応",IF(AND(P202&lt;&gt;"",P202-TODAY()&lt;=3),"開通間近","")))))))</f>
        <v/>
      </c>
      <c r="W202" s="16"/>
      <c r="X202" s="16"/>
    </row>
    <row r="203" customFormat="false" ht="15" hidden="false" customHeight="false" outlineLevel="0" collapsed="false">
      <c r="A203" s="7" t="str">
        <f aca="false">IF(D203="","",ROW()-3)</f>
        <v/>
      </c>
      <c r="B203" s="16"/>
      <c r="C203" s="12"/>
      <c r="D203" s="16"/>
      <c r="E203" s="16"/>
      <c r="F203" s="17"/>
      <c r="G203" s="16"/>
      <c r="H203" s="16"/>
      <c r="I203" s="12"/>
      <c r="J203" s="16"/>
      <c r="K203" s="16"/>
      <c r="L203" s="16"/>
      <c r="M203" s="16"/>
      <c r="N203" s="16"/>
      <c r="O203" s="12"/>
      <c r="P203" s="12"/>
      <c r="Q203" s="12"/>
      <c r="R203" s="16"/>
      <c r="S203" s="12"/>
      <c r="T203" s="13" t="str">
        <f aca="true">IF(C203="","",IF(Q203&lt;&gt;"",Q203-C203,TODAY()-C203))</f>
        <v/>
      </c>
      <c r="U203" s="14" t="str">
        <f aca="true">IF(OR(P203="",Q203&lt;&gt;"",N203="キャンセル"),"",P203-TODAY())</f>
        <v/>
      </c>
      <c r="V203" s="15" t="str">
        <f aca="true">IF(D203="","",IF(OR(N203="開通済",Q203&lt;&gt;""),"完了",IF(N203="キャンセル","―",IF(AND(S203&lt;&gt;"",S203&lt;TODAY()),"対応期限超過",IF(AND(P203&lt;&gt;"",P203&lt;TODAY()),"開通予定日超過",IF(AND(S203&lt;&gt;"",S203=TODAY()),"本日対応",IF(AND(P203&lt;&gt;"",P203-TODAY()&lt;=3),"開通間近","")))))))</f>
        <v/>
      </c>
      <c r="W203" s="16"/>
      <c r="X203" s="16"/>
    </row>
    <row r="204" customFormat="false" ht="15" hidden="false" customHeight="false" outlineLevel="0" collapsed="false">
      <c r="A204" s="7" t="str">
        <f aca="false">IF(D204="","",ROW()-3)</f>
        <v/>
      </c>
      <c r="B204" s="16"/>
      <c r="C204" s="12"/>
      <c r="D204" s="16"/>
      <c r="E204" s="16"/>
      <c r="F204" s="17"/>
      <c r="G204" s="16"/>
      <c r="H204" s="16"/>
      <c r="I204" s="12"/>
      <c r="J204" s="16"/>
      <c r="K204" s="16"/>
      <c r="L204" s="16"/>
      <c r="M204" s="16"/>
      <c r="N204" s="16"/>
      <c r="O204" s="12"/>
      <c r="P204" s="12"/>
      <c r="Q204" s="12"/>
      <c r="R204" s="16"/>
      <c r="S204" s="12"/>
      <c r="T204" s="13" t="str">
        <f aca="true">IF(C204="","",IF(Q204&lt;&gt;"",Q204-C204,TODAY()-C204))</f>
        <v/>
      </c>
      <c r="U204" s="14" t="str">
        <f aca="true">IF(OR(P204="",Q204&lt;&gt;"",N204="キャンセル"),"",P204-TODAY())</f>
        <v/>
      </c>
      <c r="V204" s="15" t="str">
        <f aca="true">IF(D204="","",IF(OR(N204="開通済",Q204&lt;&gt;""),"完了",IF(N204="キャンセル","―",IF(AND(S204&lt;&gt;"",S204&lt;TODAY()),"対応期限超過",IF(AND(P204&lt;&gt;"",P204&lt;TODAY()),"開通予定日超過",IF(AND(S204&lt;&gt;"",S204=TODAY()),"本日対応",IF(AND(P204&lt;&gt;"",P204-TODAY()&lt;=3),"開通間近","")))))))</f>
        <v/>
      </c>
      <c r="W204" s="16"/>
      <c r="X204" s="16"/>
    </row>
    <row r="205" customFormat="false" ht="15" hidden="false" customHeight="false" outlineLevel="0" collapsed="false">
      <c r="A205" s="7" t="str">
        <f aca="false">IF(D205="","",ROW()-3)</f>
        <v/>
      </c>
      <c r="B205" s="16"/>
      <c r="C205" s="12"/>
      <c r="D205" s="16"/>
      <c r="E205" s="16"/>
      <c r="F205" s="17"/>
      <c r="G205" s="16"/>
      <c r="H205" s="16"/>
      <c r="I205" s="12"/>
      <c r="J205" s="16"/>
      <c r="K205" s="16"/>
      <c r="L205" s="16"/>
      <c r="M205" s="16"/>
      <c r="N205" s="16"/>
      <c r="O205" s="12"/>
      <c r="P205" s="12"/>
      <c r="Q205" s="12"/>
      <c r="R205" s="16"/>
      <c r="S205" s="12"/>
      <c r="T205" s="13" t="str">
        <f aca="true">IF(C205="","",IF(Q205&lt;&gt;"",Q205-C205,TODAY()-C205))</f>
        <v/>
      </c>
      <c r="U205" s="14" t="str">
        <f aca="true">IF(OR(P205="",Q205&lt;&gt;"",N205="キャンセル"),"",P205-TODAY())</f>
        <v/>
      </c>
      <c r="V205" s="15" t="str">
        <f aca="true">IF(D205="","",IF(OR(N205="開通済",Q205&lt;&gt;""),"完了",IF(N205="キャンセル","―",IF(AND(S205&lt;&gt;"",S205&lt;TODAY()),"対応期限超過",IF(AND(P205&lt;&gt;"",P205&lt;TODAY()),"開通予定日超過",IF(AND(S205&lt;&gt;"",S205=TODAY()),"本日対応",IF(AND(P205&lt;&gt;"",P205-TODAY()&lt;=3),"開通間近","")))))))</f>
        <v/>
      </c>
      <c r="W205" s="16"/>
      <c r="X205" s="16"/>
    </row>
    <row r="206" customFormat="false" ht="15" hidden="false" customHeight="false" outlineLevel="0" collapsed="false">
      <c r="A206" s="7" t="str">
        <f aca="false">IF(D206="","",ROW()-3)</f>
        <v/>
      </c>
      <c r="B206" s="16"/>
      <c r="C206" s="12"/>
      <c r="D206" s="16"/>
      <c r="E206" s="16"/>
      <c r="F206" s="17"/>
      <c r="G206" s="16"/>
      <c r="H206" s="16"/>
      <c r="I206" s="12"/>
      <c r="J206" s="16"/>
      <c r="K206" s="16"/>
      <c r="L206" s="16"/>
      <c r="M206" s="16"/>
      <c r="N206" s="16"/>
      <c r="O206" s="12"/>
      <c r="P206" s="12"/>
      <c r="Q206" s="12"/>
      <c r="R206" s="16"/>
      <c r="S206" s="12"/>
      <c r="T206" s="13" t="str">
        <f aca="true">IF(C206="","",IF(Q206&lt;&gt;"",Q206-C206,TODAY()-C206))</f>
        <v/>
      </c>
      <c r="U206" s="14" t="str">
        <f aca="true">IF(OR(P206="",Q206&lt;&gt;"",N206="キャンセル"),"",P206-TODAY())</f>
        <v/>
      </c>
      <c r="V206" s="15" t="str">
        <f aca="true">IF(D206="","",IF(OR(N206="開通済",Q206&lt;&gt;""),"完了",IF(N206="キャンセル","―",IF(AND(S206&lt;&gt;"",S206&lt;TODAY()),"対応期限超過",IF(AND(P206&lt;&gt;"",P206&lt;TODAY()),"開通予定日超過",IF(AND(S206&lt;&gt;"",S206=TODAY()),"本日対応",IF(AND(P206&lt;&gt;"",P206-TODAY()&lt;=3),"開通間近","")))))))</f>
        <v/>
      </c>
      <c r="W206" s="16"/>
      <c r="X206" s="16"/>
    </row>
    <row r="207" customFormat="false" ht="15" hidden="false" customHeight="false" outlineLevel="0" collapsed="false">
      <c r="A207" s="7" t="str">
        <f aca="false">IF(D207="","",ROW()-3)</f>
        <v/>
      </c>
      <c r="B207" s="16"/>
      <c r="C207" s="12"/>
      <c r="D207" s="16"/>
      <c r="E207" s="16"/>
      <c r="F207" s="17"/>
      <c r="G207" s="16"/>
      <c r="H207" s="16"/>
      <c r="I207" s="12"/>
      <c r="J207" s="16"/>
      <c r="K207" s="16"/>
      <c r="L207" s="16"/>
      <c r="M207" s="16"/>
      <c r="N207" s="16"/>
      <c r="O207" s="12"/>
      <c r="P207" s="12"/>
      <c r="Q207" s="12"/>
      <c r="R207" s="16"/>
      <c r="S207" s="12"/>
      <c r="T207" s="13" t="str">
        <f aca="true">IF(C207="","",IF(Q207&lt;&gt;"",Q207-C207,TODAY()-C207))</f>
        <v/>
      </c>
      <c r="U207" s="14" t="str">
        <f aca="true">IF(OR(P207="",Q207&lt;&gt;"",N207="キャンセル"),"",P207-TODAY())</f>
        <v/>
      </c>
      <c r="V207" s="15" t="str">
        <f aca="true">IF(D207="","",IF(OR(N207="開通済",Q207&lt;&gt;""),"完了",IF(N207="キャンセル","―",IF(AND(S207&lt;&gt;"",S207&lt;TODAY()),"対応期限超過",IF(AND(P207&lt;&gt;"",P207&lt;TODAY()),"開通予定日超過",IF(AND(S207&lt;&gt;"",S207=TODAY()),"本日対応",IF(AND(P207&lt;&gt;"",P207-TODAY()&lt;=3),"開通間近","")))))))</f>
        <v/>
      </c>
      <c r="W207" s="16"/>
      <c r="X207" s="16"/>
    </row>
    <row r="208" customFormat="false" ht="15" hidden="false" customHeight="false" outlineLevel="0" collapsed="false">
      <c r="A208" s="7" t="str">
        <f aca="false">IF(D208="","",ROW()-3)</f>
        <v/>
      </c>
      <c r="B208" s="16"/>
      <c r="C208" s="12"/>
      <c r="D208" s="16"/>
      <c r="E208" s="16"/>
      <c r="F208" s="17"/>
      <c r="G208" s="16"/>
      <c r="H208" s="16"/>
      <c r="I208" s="12"/>
      <c r="J208" s="16"/>
      <c r="K208" s="16"/>
      <c r="L208" s="16"/>
      <c r="M208" s="16"/>
      <c r="N208" s="16"/>
      <c r="O208" s="12"/>
      <c r="P208" s="12"/>
      <c r="Q208" s="12"/>
      <c r="R208" s="16"/>
      <c r="S208" s="12"/>
      <c r="T208" s="13" t="str">
        <f aca="true">IF(C208="","",IF(Q208&lt;&gt;"",Q208-C208,TODAY()-C208))</f>
        <v/>
      </c>
      <c r="U208" s="14" t="str">
        <f aca="true">IF(OR(P208="",Q208&lt;&gt;"",N208="キャンセル"),"",P208-TODAY())</f>
        <v/>
      </c>
      <c r="V208" s="15" t="str">
        <f aca="true">IF(D208="","",IF(OR(N208="開通済",Q208&lt;&gt;""),"完了",IF(N208="キャンセル","―",IF(AND(S208&lt;&gt;"",S208&lt;TODAY()),"対応期限超過",IF(AND(P208&lt;&gt;"",P208&lt;TODAY()),"開通予定日超過",IF(AND(S208&lt;&gt;"",S208=TODAY()),"本日対応",IF(AND(P208&lt;&gt;"",P208-TODAY()&lt;=3),"開通間近","")))))))</f>
        <v/>
      </c>
      <c r="W208" s="16"/>
      <c r="X208" s="16"/>
    </row>
    <row r="209" customFormat="false" ht="15" hidden="false" customHeight="false" outlineLevel="0" collapsed="false">
      <c r="A209" s="7" t="str">
        <f aca="false">IF(D209="","",ROW()-3)</f>
        <v/>
      </c>
      <c r="B209" s="16"/>
      <c r="C209" s="12"/>
      <c r="D209" s="16"/>
      <c r="E209" s="16"/>
      <c r="F209" s="17"/>
      <c r="G209" s="16"/>
      <c r="H209" s="16"/>
      <c r="I209" s="12"/>
      <c r="J209" s="16"/>
      <c r="K209" s="16"/>
      <c r="L209" s="16"/>
      <c r="M209" s="16"/>
      <c r="N209" s="16"/>
      <c r="O209" s="12"/>
      <c r="P209" s="12"/>
      <c r="Q209" s="12"/>
      <c r="R209" s="16"/>
      <c r="S209" s="12"/>
      <c r="T209" s="13" t="str">
        <f aca="true">IF(C209="","",IF(Q209&lt;&gt;"",Q209-C209,TODAY()-C209))</f>
        <v/>
      </c>
      <c r="U209" s="14" t="str">
        <f aca="true">IF(OR(P209="",Q209&lt;&gt;"",N209="キャンセル"),"",P209-TODAY())</f>
        <v/>
      </c>
      <c r="V209" s="15" t="str">
        <f aca="true">IF(D209="","",IF(OR(N209="開通済",Q209&lt;&gt;""),"完了",IF(N209="キャンセル","―",IF(AND(S209&lt;&gt;"",S209&lt;TODAY()),"対応期限超過",IF(AND(P209&lt;&gt;"",P209&lt;TODAY()),"開通予定日超過",IF(AND(S209&lt;&gt;"",S209=TODAY()),"本日対応",IF(AND(P209&lt;&gt;"",P209-TODAY()&lt;=3),"開通間近","")))))))</f>
        <v/>
      </c>
      <c r="W209" s="16"/>
      <c r="X209" s="16"/>
    </row>
    <row r="210" customFormat="false" ht="15" hidden="false" customHeight="false" outlineLevel="0" collapsed="false">
      <c r="A210" s="7" t="str">
        <f aca="false">IF(D210="","",ROW()-3)</f>
        <v/>
      </c>
      <c r="B210" s="16"/>
      <c r="C210" s="12"/>
      <c r="D210" s="16"/>
      <c r="E210" s="16"/>
      <c r="F210" s="17"/>
      <c r="G210" s="16"/>
      <c r="H210" s="16"/>
      <c r="I210" s="12"/>
      <c r="J210" s="16"/>
      <c r="K210" s="16"/>
      <c r="L210" s="16"/>
      <c r="M210" s="16"/>
      <c r="N210" s="16"/>
      <c r="O210" s="12"/>
      <c r="P210" s="12"/>
      <c r="Q210" s="12"/>
      <c r="R210" s="16"/>
      <c r="S210" s="12"/>
      <c r="T210" s="13" t="str">
        <f aca="true">IF(C210="","",IF(Q210&lt;&gt;"",Q210-C210,TODAY()-C210))</f>
        <v/>
      </c>
      <c r="U210" s="14" t="str">
        <f aca="true">IF(OR(P210="",Q210&lt;&gt;"",N210="キャンセル"),"",P210-TODAY())</f>
        <v/>
      </c>
      <c r="V210" s="15" t="str">
        <f aca="true">IF(D210="","",IF(OR(N210="開通済",Q210&lt;&gt;""),"完了",IF(N210="キャンセル","―",IF(AND(S210&lt;&gt;"",S210&lt;TODAY()),"対応期限超過",IF(AND(P210&lt;&gt;"",P210&lt;TODAY()),"開通予定日超過",IF(AND(S210&lt;&gt;"",S210=TODAY()),"本日対応",IF(AND(P210&lt;&gt;"",P210-TODAY()&lt;=3),"開通間近","")))))))</f>
        <v/>
      </c>
      <c r="W210" s="16"/>
      <c r="X210" s="16"/>
    </row>
    <row r="211" customFormat="false" ht="15" hidden="false" customHeight="false" outlineLevel="0" collapsed="false">
      <c r="A211" s="7" t="str">
        <f aca="false">IF(D211="","",ROW()-3)</f>
        <v/>
      </c>
      <c r="B211" s="16"/>
      <c r="C211" s="12"/>
      <c r="D211" s="16"/>
      <c r="E211" s="16"/>
      <c r="F211" s="17"/>
      <c r="G211" s="16"/>
      <c r="H211" s="16"/>
      <c r="I211" s="12"/>
      <c r="J211" s="16"/>
      <c r="K211" s="16"/>
      <c r="L211" s="16"/>
      <c r="M211" s="16"/>
      <c r="N211" s="16"/>
      <c r="O211" s="12"/>
      <c r="P211" s="12"/>
      <c r="Q211" s="12"/>
      <c r="R211" s="16"/>
      <c r="S211" s="12"/>
      <c r="T211" s="13" t="str">
        <f aca="true">IF(C211="","",IF(Q211&lt;&gt;"",Q211-C211,TODAY()-C211))</f>
        <v/>
      </c>
      <c r="U211" s="14" t="str">
        <f aca="true">IF(OR(P211="",Q211&lt;&gt;"",N211="キャンセル"),"",P211-TODAY())</f>
        <v/>
      </c>
      <c r="V211" s="15" t="str">
        <f aca="true">IF(D211="","",IF(OR(N211="開通済",Q211&lt;&gt;""),"完了",IF(N211="キャンセル","―",IF(AND(S211&lt;&gt;"",S211&lt;TODAY()),"対応期限超過",IF(AND(P211&lt;&gt;"",P211&lt;TODAY()),"開通予定日超過",IF(AND(S211&lt;&gt;"",S211=TODAY()),"本日対応",IF(AND(P211&lt;&gt;"",P211-TODAY()&lt;=3),"開通間近","")))))))</f>
        <v/>
      </c>
      <c r="W211" s="16"/>
      <c r="X211" s="16"/>
    </row>
    <row r="212" customFormat="false" ht="15" hidden="false" customHeight="false" outlineLevel="0" collapsed="false">
      <c r="A212" s="7" t="str">
        <f aca="false">IF(D212="","",ROW()-3)</f>
        <v/>
      </c>
      <c r="B212" s="16"/>
      <c r="C212" s="12"/>
      <c r="D212" s="16"/>
      <c r="E212" s="16"/>
      <c r="F212" s="17"/>
      <c r="G212" s="16"/>
      <c r="H212" s="16"/>
      <c r="I212" s="12"/>
      <c r="J212" s="16"/>
      <c r="K212" s="16"/>
      <c r="L212" s="16"/>
      <c r="M212" s="16"/>
      <c r="N212" s="16"/>
      <c r="O212" s="12"/>
      <c r="P212" s="12"/>
      <c r="Q212" s="12"/>
      <c r="R212" s="16"/>
      <c r="S212" s="12"/>
      <c r="T212" s="13" t="str">
        <f aca="true">IF(C212="","",IF(Q212&lt;&gt;"",Q212-C212,TODAY()-C212))</f>
        <v/>
      </c>
      <c r="U212" s="14" t="str">
        <f aca="true">IF(OR(P212="",Q212&lt;&gt;"",N212="キャンセル"),"",P212-TODAY())</f>
        <v/>
      </c>
      <c r="V212" s="15" t="str">
        <f aca="true">IF(D212="","",IF(OR(N212="開通済",Q212&lt;&gt;""),"完了",IF(N212="キャンセル","―",IF(AND(S212&lt;&gt;"",S212&lt;TODAY()),"対応期限超過",IF(AND(P212&lt;&gt;"",P212&lt;TODAY()),"開通予定日超過",IF(AND(S212&lt;&gt;"",S212=TODAY()),"本日対応",IF(AND(P212&lt;&gt;"",P212-TODAY()&lt;=3),"開通間近","")))))))</f>
        <v/>
      </c>
      <c r="W212" s="16"/>
      <c r="X212" s="16"/>
    </row>
    <row r="213" customFormat="false" ht="15" hidden="false" customHeight="false" outlineLevel="0" collapsed="false">
      <c r="A213" s="7" t="str">
        <f aca="false">IF(D213="","",ROW()-3)</f>
        <v/>
      </c>
      <c r="B213" s="16"/>
      <c r="C213" s="12"/>
      <c r="D213" s="16"/>
      <c r="E213" s="16"/>
      <c r="F213" s="17"/>
      <c r="G213" s="16"/>
      <c r="H213" s="16"/>
      <c r="I213" s="12"/>
      <c r="J213" s="16"/>
      <c r="K213" s="16"/>
      <c r="L213" s="16"/>
      <c r="M213" s="16"/>
      <c r="N213" s="16"/>
      <c r="O213" s="12"/>
      <c r="P213" s="12"/>
      <c r="Q213" s="12"/>
      <c r="R213" s="16"/>
      <c r="S213" s="12"/>
      <c r="T213" s="13" t="str">
        <f aca="true">IF(C213="","",IF(Q213&lt;&gt;"",Q213-C213,TODAY()-C213))</f>
        <v/>
      </c>
      <c r="U213" s="14" t="str">
        <f aca="true">IF(OR(P213="",Q213&lt;&gt;"",N213="キャンセル"),"",P213-TODAY())</f>
        <v/>
      </c>
      <c r="V213" s="15" t="str">
        <f aca="true">IF(D213="","",IF(OR(N213="開通済",Q213&lt;&gt;""),"完了",IF(N213="キャンセル","―",IF(AND(S213&lt;&gt;"",S213&lt;TODAY()),"対応期限超過",IF(AND(P213&lt;&gt;"",P213&lt;TODAY()),"開通予定日超過",IF(AND(S213&lt;&gt;"",S213=TODAY()),"本日対応",IF(AND(P213&lt;&gt;"",P213-TODAY()&lt;=3),"開通間近","")))))))</f>
        <v/>
      </c>
      <c r="W213" s="16"/>
      <c r="X213" s="16"/>
    </row>
    <row r="214" customFormat="false" ht="15" hidden="false" customHeight="false" outlineLevel="0" collapsed="false">
      <c r="A214" s="7" t="str">
        <f aca="false">IF(D214="","",ROW()-3)</f>
        <v/>
      </c>
      <c r="B214" s="16"/>
      <c r="C214" s="12"/>
      <c r="D214" s="16"/>
      <c r="E214" s="16"/>
      <c r="F214" s="17"/>
      <c r="G214" s="16"/>
      <c r="H214" s="16"/>
      <c r="I214" s="12"/>
      <c r="J214" s="16"/>
      <c r="K214" s="16"/>
      <c r="L214" s="16"/>
      <c r="M214" s="16"/>
      <c r="N214" s="16"/>
      <c r="O214" s="12"/>
      <c r="P214" s="12"/>
      <c r="Q214" s="12"/>
      <c r="R214" s="16"/>
      <c r="S214" s="12"/>
      <c r="T214" s="13" t="str">
        <f aca="true">IF(C214="","",IF(Q214&lt;&gt;"",Q214-C214,TODAY()-C214))</f>
        <v/>
      </c>
      <c r="U214" s="14" t="str">
        <f aca="true">IF(OR(P214="",Q214&lt;&gt;"",N214="キャンセル"),"",P214-TODAY())</f>
        <v/>
      </c>
      <c r="V214" s="15" t="str">
        <f aca="true">IF(D214="","",IF(OR(N214="開通済",Q214&lt;&gt;""),"完了",IF(N214="キャンセル","―",IF(AND(S214&lt;&gt;"",S214&lt;TODAY()),"対応期限超過",IF(AND(P214&lt;&gt;"",P214&lt;TODAY()),"開通予定日超過",IF(AND(S214&lt;&gt;"",S214=TODAY()),"本日対応",IF(AND(P214&lt;&gt;"",P214-TODAY()&lt;=3),"開通間近","")))))))</f>
        <v/>
      </c>
      <c r="W214" s="16"/>
      <c r="X214" s="16"/>
    </row>
    <row r="215" customFormat="false" ht="15" hidden="false" customHeight="false" outlineLevel="0" collapsed="false">
      <c r="A215" s="7" t="str">
        <f aca="false">IF(D215="","",ROW()-3)</f>
        <v/>
      </c>
      <c r="B215" s="16"/>
      <c r="C215" s="12"/>
      <c r="D215" s="16"/>
      <c r="E215" s="16"/>
      <c r="F215" s="17"/>
      <c r="G215" s="16"/>
      <c r="H215" s="16"/>
      <c r="I215" s="12"/>
      <c r="J215" s="16"/>
      <c r="K215" s="16"/>
      <c r="L215" s="16"/>
      <c r="M215" s="16"/>
      <c r="N215" s="16"/>
      <c r="O215" s="12"/>
      <c r="P215" s="12"/>
      <c r="Q215" s="12"/>
      <c r="R215" s="16"/>
      <c r="S215" s="12"/>
      <c r="T215" s="13" t="str">
        <f aca="true">IF(C215="","",IF(Q215&lt;&gt;"",Q215-C215,TODAY()-C215))</f>
        <v/>
      </c>
      <c r="U215" s="14" t="str">
        <f aca="true">IF(OR(P215="",Q215&lt;&gt;"",N215="キャンセル"),"",P215-TODAY())</f>
        <v/>
      </c>
      <c r="V215" s="15" t="str">
        <f aca="true">IF(D215="","",IF(OR(N215="開通済",Q215&lt;&gt;""),"完了",IF(N215="キャンセル","―",IF(AND(S215&lt;&gt;"",S215&lt;TODAY()),"対応期限超過",IF(AND(P215&lt;&gt;"",P215&lt;TODAY()),"開通予定日超過",IF(AND(S215&lt;&gt;"",S215=TODAY()),"本日対応",IF(AND(P215&lt;&gt;"",P215-TODAY()&lt;=3),"開通間近","")))))))</f>
        <v/>
      </c>
      <c r="W215" s="16"/>
      <c r="X215" s="16"/>
    </row>
    <row r="216" customFormat="false" ht="15" hidden="false" customHeight="false" outlineLevel="0" collapsed="false">
      <c r="A216" s="7" t="str">
        <f aca="false">IF(D216="","",ROW()-3)</f>
        <v/>
      </c>
      <c r="B216" s="16"/>
      <c r="C216" s="12"/>
      <c r="D216" s="16"/>
      <c r="E216" s="16"/>
      <c r="F216" s="17"/>
      <c r="G216" s="16"/>
      <c r="H216" s="16"/>
      <c r="I216" s="12"/>
      <c r="J216" s="16"/>
      <c r="K216" s="16"/>
      <c r="L216" s="16"/>
      <c r="M216" s="16"/>
      <c r="N216" s="16"/>
      <c r="O216" s="12"/>
      <c r="P216" s="12"/>
      <c r="Q216" s="12"/>
      <c r="R216" s="16"/>
      <c r="S216" s="12"/>
      <c r="T216" s="13" t="str">
        <f aca="true">IF(C216="","",IF(Q216&lt;&gt;"",Q216-C216,TODAY()-C216))</f>
        <v/>
      </c>
      <c r="U216" s="14" t="str">
        <f aca="true">IF(OR(P216="",Q216&lt;&gt;"",N216="キャンセル"),"",P216-TODAY())</f>
        <v/>
      </c>
      <c r="V216" s="15" t="str">
        <f aca="true">IF(D216="","",IF(OR(N216="開通済",Q216&lt;&gt;""),"完了",IF(N216="キャンセル","―",IF(AND(S216&lt;&gt;"",S216&lt;TODAY()),"対応期限超過",IF(AND(P216&lt;&gt;"",P216&lt;TODAY()),"開通予定日超過",IF(AND(S216&lt;&gt;"",S216=TODAY()),"本日対応",IF(AND(P216&lt;&gt;"",P216-TODAY()&lt;=3),"開通間近","")))))))</f>
        <v/>
      </c>
      <c r="W216" s="16"/>
      <c r="X216" s="16"/>
    </row>
    <row r="217" customFormat="false" ht="15" hidden="false" customHeight="false" outlineLevel="0" collapsed="false">
      <c r="A217" s="7" t="str">
        <f aca="false">IF(D217="","",ROW()-3)</f>
        <v/>
      </c>
      <c r="B217" s="16"/>
      <c r="C217" s="12"/>
      <c r="D217" s="16"/>
      <c r="E217" s="16"/>
      <c r="F217" s="17"/>
      <c r="G217" s="16"/>
      <c r="H217" s="16"/>
      <c r="I217" s="12"/>
      <c r="J217" s="16"/>
      <c r="K217" s="16"/>
      <c r="L217" s="16"/>
      <c r="M217" s="16"/>
      <c r="N217" s="16"/>
      <c r="O217" s="12"/>
      <c r="P217" s="12"/>
      <c r="Q217" s="12"/>
      <c r="R217" s="16"/>
      <c r="S217" s="12"/>
      <c r="T217" s="13" t="str">
        <f aca="true">IF(C217="","",IF(Q217&lt;&gt;"",Q217-C217,TODAY()-C217))</f>
        <v/>
      </c>
      <c r="U217" s="14" t="str">
        <f aca="true">IF(OR(P217="",Q217&lt;&gt;"",N217="キャンセル"),"",P217-TODAY())</f>
        <v/>
      </c>
      <c r="V217" s="15" t="str">
        <f aca="true">IF(D217="","",IF(OR(N217="開通済",Q217&lt;&gt;""),"完了",IF(N217="キャンセル","―",IF(AND(S217&lt;&gt;"",S217&lt;TODAY()),"対応期限超過",IF(AND(P217&lt;&gt;"",P217&lt;TODAY()),"開通予定日超過",IF(AND(S217&lt;&gt;"",S217=TODAY()),"本日対応",IF(AND(P217&lt;&gt;"",P217-TODAY()&lt;=3),"開通間近","")))))))</f>
        <v/>
      </c>
      <c r="W217" s="16"/>
      <c r="X217" s="16"/>
    </row>
    <row r="218" customFormat="false" ht="15" hidden="false" customHeight="false" outlineLevel="0" collapsed="false">
      <c r="A218" s="7" t="str">
        <f aca="false">IF(D218="","",ROW()-3)</f>
        <v/>
      </c>
      <c r="B218" s="16"/>
      <c r="C218" s="12"/>
      <c r="D218" s="16"/>
      <c r="E218" s="16"/>
      <c r="F218" s="17"/>
      <c r="G218" s="16"/>
      <c r="H218" s="16"/>
      <c r="I218" s="12"/>
      <c r="J218" s="16"/>
      <c r="K218" s="16"/>
      <c r="L218" s="16"/>
      <c r="M218" s="16"/>
      <c r="N218" s="16"/>
      <c r="O218" s="12"/>
      <c r="P218" s="12"/>
      <c r="Q218" s="12"/>
      <c r="R218" s="16"/>
      <c r="S218" s="12"/>
      <c r="T218" s="13" t="str">
        <f aca="true">IF(C218="","",IF(Q218&lt;&gt;"",Q218-C218,TODAY()-C218))</f>
        <v/>
      </c>
      <c r="U218" s="14" t="str">
        <f aca="true">IF(OR(P218="",Q218&lt;&gt;"",N218="キャンセル"),"",P218-TODAY())</f>
        <v/>
      </c>
      <c r="V218" s="15" t="str">
        <f aca="true">IF(D218="","",IF(OR(N218="開通済",Q218&lt;&gt;""),"完了",IF(N218="キャンセル","―",IF(AND(S218&lt;&gt;"",S218&lt;TODAY()),"対応期限超過",IF(AND(P218&lt;&gt;"",P218&lt;TODAY()),"開通予定日超過",IF(AND(S218&lt;&gt;"",S218=TODAY()),"本日対応",IF(AND(P218&lt;&gt;"",P218-TODAY()&lt;=3),"開通間近","")))))))</f>
        <v/>
      </c>
      <c r="W218" s="16"/>
      <c r="X218" s="16"/>
    </row>
    <row r="219" customFormat="false" ht="15" hidden="false" customHeight="false" outlineLevel="0" collapsed="false">
      <c r="A219" s="7" t="str">
        <f aca="false">IF(D219="","",ROW()-3)</f>
        <v/>
      </c>
      <c r="B219" s="16"/>
      <c r="C219" s="12"/>
      <c r="D219" s="16"/>
      <c r="E219" s="16"/>
      <c r="F219" s="17"/>
      <c r="G219" s="16"/>
      <c r="H219" s="16"/>
      <c r="I219" s="12"/>
      <c r="J219" s="16"/>
      <c r="K219" s="16"/>
      <c r="L219" s="16"/>
      <c r="M219" s="16"/>
      <c r="N219" s="16"/>
      <c r="O219" s="12"/>
      <c r="P219" s="12"/>
      <c r="Q219" s="12"/>
      <c r="R219" s="16"/>
      <c r="S219" s="12"/>
      <c r="T219" s="13" t="str">
        <f aca="true">IF(C219="","",IF(Q219&lt;&gt;"",Q219-C219,TODAY()-C219))</f>
        <v/>
      </c>
      <c r="U219" s="14" t="str">
        <f aca="true">IF(OR(P219="",Q219&lt;&gt;"",N219="キャンセル"),"",P219-TODAY())</f>
        <v/>
      </c>
      <c r="V219" s="15" t="str">
        <f aca="true">IF(D219="","",IF(OR(N219="開通済",Q219&lt;&gt;""),"完了",IF(N219="キャンセル","―",IF(AND(S219&lt;&gt;"",S219&lt;TODAY()),"対応期限超過",IF(AND(P219&lt;&gt;"",P219&lt;TODAY()),"開通予定日超過",IF(AND(S219&lt;&gt;"",S219=TODAY()),"本日対応",IF(AND(P219&lt;&gt;"",P219-TODAY()&lt;=3),"開通間近","")))))))</f>
        <v/>
      </c>
      <c r="W219" s="16"/>
      <c r="X219" s="16"/>
    </row>
    <row r="220" customFormat="false" ht="15" hidden="false" customHeight="false" outlineLevel="0" collapsed="false">
      <c r="A220" s="7" t="str">
        <f aca="false">IF(D220="","",ROW()-3)</f>
        <v/>
      </c>
      <c r="B220" s="16"/>
      <c r="C220" s="12"/>
      <c r="D220" s="16"/>
      <c r="E220" s="16"/>
      <c r="F220" s="17"/>
      <c r="G220" s="16"/>
      <c r="H220" s="16"/>
      <c r="I220" s="12"/>
      <c r="J220" s="16"/>
      <c r="K220" s="16"/>
      <c r="L220" s="16"/>
      <c r="M220" s="16"/>
      <c r="N220" s="16"/>
      <c r="O220" s="12"/>
      <c r="P220" s="12"/>
      <c r="Q220" s="12"/>
      <c r="R220" s="16"/>
      <c r="S220" s="12"/>
      <c r="T220" s="13" t="str">
        <f aca="true">IF(C220="","",IF(Q220&lt;&gt;"",Q220-C220,TODAY()-C220))</f>
        <v/>
      </c>
      <c r="U220" s="14" t="str">
        <f aca="true">IF(OR(P220="",Q220&lt;&gt;"",N220="キャンセル"),"",P220-TODAY())</f>
        <v/>
      </c>
      <c r="V220" s="15" t="str">
        <f aca="true">IF(D220="","",IF(OR(N220="開通済",Q220&lt;&gt;""),"完了",IF(N220="キャンセル","―",IF(AND(S220&lt;&gt;"",S220&lt;TODAY()),"対応期限超過",IF(AND(P220&lt;&gt;"",P220&lt;TODAY()),"開通予定日超過",IF(AND(S220&lt;&gt;"",S220=TODAY()),"本日対応",IF(AND(P220&lt;&gt;"",P220-TODAY()&lt;=3),"開通間近","")))))))</f>
        <v/>
      </c>
      <c r="W220" s="16"/>
      <c r="X220" s="16"/>
    </row>
    <row r="221" customFormat="false" ht="15" hidden="false" customHeight="false" outlineLevel="0" collapsed="false">
      <c r="A221" s="7" t="str">
        <f aca="false">IF(D221="","",ROW()-3)</f>
        <v/>
      </c>
      <c r="B221" s="16"/>
      <c r="C221" s="12"/>
      <c r="D221" s="16"/>
      <c r="E221" s="16"/>
      <c r="F221" s="17"/>
      <c r="G221" s="16"/>
      <c r="H221" s="16"/>
      <c r="I221" s="12"/>
      <c r="J221" s="16"/>
      <c r="K221" s="16"/>
      <c r="L221" s="16"/>
      <c r="M221" s="16"/>
      <c r="N221" s="16"/>
      <c r="O221" s="12"/>
      <c r="P221" s="12"/>
      <c r="Q221" s="12"/>
      <c r="R221" s="16"/>
      <c r="S221" s="12"/>
      <c r="T221" s="13" t="str">
        <f aca="true">IF(C221="","",IF(Q221&lt;&gt;"",Q221-C221,TODAY()-C221))</f>
        <v/>
      </c>
      <c r="U221" s="14" t="str">
        <f aca="true">IF(OR(P221="",Q221&lt;&gt;"",N221="キャンセル"),"",P221-TODAY())</f>
        <v/>
      </c>
      <c r="V221" s="15" t="str">
        <f aca="true">IF(D221="","",IF(OR(N221="開通済",Q221&lt;&gt;""),"完了",IF(N221="キャンセル","―",IF(AND(S221&lt;&gt;"",S221&lt;TODAY()),"対応期限超過",IF(AND(P221&lt;&gt;"",P221&lt;TODAY()),"開通予定日超過",IF(AND(S221&lt;&gt;"",S221=TODAY()),"本日対応",IF(AND(P221&lt;&gt;"",P221-TODAY()&lt;=3),"開通間近","")))))))</f>
        <v/>
      </c>
      <c r="W221" s="16"/>
      <c r="X221" s="16"/>
    </row>
    <row r="222" customFormat="false" ht="15" hidden="false" customHeight="false" outlineLevel="0" collapsed="false">
      <c r="A222" s="7" t="str">
        <f aca="false">IF(D222="","",ROW()-3)</f>
        <v/>
      </c>
      <c r="B222" s="16"/>
      <c r="C222" s="12"/>
      <c r="D222" s="16"/>
      <c r="E222" s="16"/>
      <c r="F222" s="17"/>
      <c r="G222" s="16"/>
      <c r="H222" s="16"/>
      <c r="I222" s="12"/>
      <c r="J222" s="16"/>
      <c r="K222" s="16"/>
      <c r="L222" s="16"/>
      <c r="M222" s="16"/>
      <c r="N222" s="16"/>
      <c r="O222" s="12"/>
      <c r="P222" s="12"/>
      <c r="Q222" s="12"/>
      <c r="R222" s="16"/>
      <c r="S222" s="12"/>
      <c r="T222" s="13" t="str">
        <f aca="true">IF(C222="","",IF(Q222&lt;&gt;"",Q222-C222,TODAY()-C222))</f>
        <v/>
      </c>
      <c r="U222" s="14" t="str">
        <f aca="true">IF(OR(P222="",Q222&lt;&gt;"",N222="キャンセル"),"",P222-TODAY())</f>
        <v/>
      </c>
      <c r="V222" s="15" t="str">
        <f aca="true">IF(D222="","",IF(OR(N222="開通済",Q222&lt;&gt;""),"完了",IF(N222="キャンセル","―",IF(AND(S222&lt;&gt;"",S222&lt;TODAY()),"対応期限超過",IF(AND(P222&lt;&gt;"",P222&lt;TODAY()),"開通予定日超過",IF(AND(S222&lt;&gt;"",S222=TODAY()),"本日対応",IF(AND(P222&lt;&gt;"",P222-TODAY()&lt;=3),"開通間近","")))))))</f>
        <v/>
      </c>
      <c r="W222" s="16"/>
      <c r="X222" s="16"/>
    </row>
    <row r="223" customFormat="false" ht="15" hidden="false" customHeight="false" outlineLevel="0" collapsed="false">
      <c r="A223" s="7" t="str">
        <f aca="false">IF(D223="","",ROW()-3)</f>
        <v/>
      </c>
      <c r="B223" s="16"/>
      <c r="C223" s="12"/>
      <c r="D223" s="16"/>
      <c r="E223" s="16"/>
      <c r="F223" s="17"/>
      <c r="G223" s="16"/>
      <c r="H223" s="16"/>
      <c r="I223" s="12"/>
      <c r="J223" s="16"/>
      <c r="K223" s="16"/>
      <c r="L223" s="16"/>
      <c r="M223" s="16"/>
      <c r="N223" s="16"/>
      <c r="O223" s="12"/>
      <c r="P223" s="12"/>
      <c r="Q223" s="12"/>
      <c r="R223" s="16"/>
      <c r="S223" s="12"/>
      <c r="T223" s="13" t="str">
        <f aca="true">IF(C223="","",IF(Q223&lt;&gt;"",Q223-C223,TODAY()-C223))</f>
        <v/>
      </c>
      <c r="U223" s="14" t="str">
        <f aca="true">IF(OR(P223="",Q223&lt;&gt;"",N223="キャンセル"),"",P223-TODAY())</f>
        <v/>
      </c>
      <c r="V223" s="15" t="str">
        <f aca="true">IF(D223="","",IF(OR(N223="開通済",Q223&lt;&gt;""),"完了",IF(N223="キャンセル","―",IF(AND(S223&lt;&gt;"",S223&lt;TODAY()),"対応期限超過",IF(AND(P223&lt;&gt;"",P223&lt;TODAY()),"開通予定日超過",IF(AND(S223&lt;&gt;"",S223=TODAY()),"本日対応",IF(AND(P223&lt;&gt;"",P223-TODAY()&lt;=3),"開通間近","")))))))</f>
        <v/>
      </c>
      <c r="W223" s="16"/>
      <c r="X223" s="16"/>
    </row>
    <row r="224" customFormat="false" ht="15" hidden="false" customHeight="false" outlineLevel="0" collapsed="false">
      <c r="A224" s="7" t="str">
        <f aca="false">IF(D224="","",ROW()-3)</f>
        <v/>
      </c>
      <c r="B224" s="16"/>
      <c r="C224" s="12"/>
      <c r="D224" s="16"/>
      <c r="E224" s="16"/>
      <c r="F224" s="17"/>
      <c r="G224" s="16"/>
      <c r="H224" s="16"/>
      <c r="I224" s="12"/>
      <c r="J224" s="16"/>
      <c r="K224" s="16"/>
      <c r="L224" s="16"/>
      <c r="M224" s="16"/>
      <c r="N224" s="16"/>
      <c r="O224" s="12"/>
      <c r="P224" s="12"/>
      <c r="Q224" s="12"/>
      <c r="R224" s="16"/>
      <c r="S224" s="12"/>
      <c r="T224" s="13" t="str">
        <f aca="true">IF(C224="","",IF(Q224&lt;&gt;"",Q224-C224,TODAY()-C224))</f>
        <v/>
      </c>
      <c r="U224" s="14" t="str">
        <f aca="true">IF(OR(P224="",Q224&lt;&gt;"",N224="キャンセル"),"",P224-TODAY())</f>
        <v/>
      </c>
      <c r="V224" s="15" t="str">
        <f aca="true">IF(D224="","",IF(OR(N224="開通済",Q224&lt;&gt;""),"完了",IF(N224="キャンセル","―",IF(AND(S224&lt;&gt;"",S224&lt;TODAY()),"対応期限超過",IF(AND(P224&lt;&gt;"",P224&lt;TODAY()),"開通予定日超過",IF(AND(S224&lt;&gt;"",S224=TODAY()),"本日対応",IF(AND(P224&lt;&gt;"",P224-TODAY()&lt;=3),"開通間近","")))))))</f>
        <v/>
      </c>
      <c r="W224" s="16"/>
      <c r="X224" s="16"/>
    </row>
    <row r="225" customFormat="false" ht="15" hidden="false" customHeight="false" outlineLevel="0" collapsed="false">
      <c r="A225" s="7" t="str">
        <f aca="false">IF(D225="","",ROW()-3)</f>
        <v/>
      </c>
      <c r="B225" s="16"/>
      <c r="C225" s="12"/>
      <c r="D225" s="16"/>
      <c r="E225" s="16"/>
      <c r="F225" s="17"/>
      <c r="G225" s="16"/>
      <c r="H225" s="16"/>
      <c r="I225" s="12"/>
      <c r="J225" s="16"/>
      <c r="K225" s="16"/>
      <c r="L225" s="16"/>
      <c r="M225" s="16"/>
      <c r="N225" s="16"/>
      <c r="O225" s="12"/>
      <c r="P225" s="12"/>
      <c r="Q225" s="12"/>
      <c r="R225" s="16"/>
      <c r="S225" s="12"/>
      <c r="T225" s="13" t="str">
        <f aca="true">IF(C225="","",IF(Q225&lt;&gt;"",Q225-C225,TODAY()-C225))</f>
        <v/>
      </c>
      <c r="U225" s="14" t="str">
        <f aca="true">IF(OR(P225="",Q225&lt;&gt;"",N225="キャンセル"),"",P225-TODAY())</f>
        <v/>
      </c>
      <c r="V225" s="15" t="str">
        <f aca="true">IF(D225="","",IF(OR(N225="開通済",Q225&lt;&gt;""),"完了",IF(N225="キャンセル","―",IF(AND(S225&lt;&gt;"",S225&lt;TODAY()),"対応期限超過",IF(AND(P225&lt;&gt;"",P225&lt;TODAY()),"開通予定日超過",IF(AND(S225&lt;&gt;"",S225=TODAY()),"本日対応",IF(AND(P225&lt;&gt;"",P225-TODAY()&lt;=3),"開通間近","")))))))</f>
        <v/>
      </c>
      <c r="W225" s="16"/>
      <c r="X225" s="16"/>
    </row>
    <row r="226" customFormat="false" ht="15" hidden="false" customHeight="false" outlineLevel="0" collapsed="false">
      <c r="A226" s="7" t="str">
        <f aca="false">IF(D226="","",ROW()-3)</f>
        <v/>
      </c>
      <c r="B226" s="16"/>
      <c r="C226" s="12"/>
      <c r="D226" s="16"/>
      <c r="E226" s="16"/>
      <c r="F226" s="17"/>
      <c r="G226" s="16"/>
      <c r="H226" s="16"/>
      <c r="I226" s="12"/>
      <c r="J226" s="16"/>
      <c r="K226" s="16"/>
      <c r="L226" s="16"/>
      <c r="M226" s="16"/>
      <c r="N226" s="16"/>
      <c r="O226" s="12"/>
      <c r="P226" s="12"/>
      <c r="Q226" s="12"/>
      <c r="R226" s="16"/>
      <c r="S226" s="12"/>
      <c r="T226" s="13" t="str">
        <f aca="true">IF(C226="","",IF(Q226&lt;&gt;"",Q226-C226,TODAY()-C226))</f>
        <v/>
      </c>
      <c r="U226" s="14" t="str">
        <f aca="true">IF(OR(P226="",Q226&lt;&gt;"",N226="キャンセル"),"",P226-TODAY())</f>
        <v/>
      </c>
      <c r="V226" s="15" t="str">
        <f aca="true">IF(D226="","",IF(OR(N226="開通済",Q226&lt;&gt;""),"完了",IF(N226="キャンセル","―",IF(AND(S226&lt;&gt;"",S226&lt;TODAY()),"対応期限超過",IF(AND(P226&lt;&gt;"",P226&lt;TODAY()),"開通予定日超過",IF(AND(S226&lt;&gt;"",S226=TODAY()),"本日対応",IF(AND(P226&lt;&gt;"",P226-TODAY()&lt;=3),"開通間近","")))))))</f>
        <v/>
      </c>
      <c r="W226" s="16"/>
      <c r="X226" s="16"/>
    </row>
    <row r="227" customFormat="false" ht="15" hidden="false" customHeight="false" outlineLevel="0" collapsed="false">
      <c r="A227" s="7" t="str">
        <f aca="false">IF(D227="","",ROW()-3)</f>
        <v/>
      </c>
      <c r="B227" s="16"/>
      <c r="C227" s="12"/>
      <c r="D227" s="16"/>
      <c r="E227" s="16"/>
      <c r="F227" s="17"/>
      <c r="G227" s="16"/>
      <c r="H227" s="16"/>
      <c r="I227" s="12"/>
      <c r="J227" s="16"/>
      <c r="K227" s="16"/>
      <c r="L227" s="16"/>
      <c r="M227" s="16"/>
      <c r="N227" s="16"/>
      <c r="O227" s="12"/>
      <c r="P227" s="12"/>
      <c r="Q227" s="12"/>
      <c r="R227" s="16"/>
      <c r="S227" s="12"/>
      <c r="T227" s="13" t="str">
        <f aca="true">IF(C227="","",IF(Q227&lt;&gt;"",Q227-C227,TODAY()-C227))</f>
        <v/>
      </c>
      <c r="U227" s="14" t="str">
        <f aca="true">IF(OR(P227="",Q227&lt;&gt;"",N227="キャンセル"),"",P227-TODAY())</f>
        <v/>
      </c>
      <c r="V227" s="15" t="str">
        <f aca="true">IF(D227="","",IF(OR(N227="開通済",Q227&lt;&gt;""),"完了",IF(N227="キャンセル","―",IF(AND(S227&lt;&gt;"",S227&lt;TODAY()),"対応期限超過",IF(AND(P227&lt;&gt;"",P227&lt;TODAY()),"開通予定日超過",IF(AND(S227&lt;&gt;"",S227=TODAY()),"本日対応",IF(AND(P227&lt;&gt;"",P227-TODAY()&lt;=3),"開通間近","")))))))</f>
        <v/>
      </c>
      <c r="W227" s="16"/>
      <c r="X227" s="16"/>
    </row>
    <row r="228" customFormat="false" ht="15" hidden="false" customHeight="false" outlineLevel="0" collapsed="false">
      <c r="A228" s="7" t="str">
        <f aca="false">IF(D228="","",ROW()-3)</f>
        <v/>
      </c>
      <c r="B228" s="16"/>
      <c r="C228" s="12"/>
      <c r="D228" s="16"/>
      <c r="E228" s="16"/>
      <c r="F228" s="17"/>
      <c r="G228" s="16"/>
      <c r="H228" s="16"/>
      <c r="I228" s="12"/>
      <c r="J228" s="16"/>
      <c r="K228" s="16"/>
      <c r="L228" s="16"/>
      <c r="M228" s="16"/>
      <c r="N228" s="16"/>
      <c r="O228" s="12"/>
      <c r="P228" s="12"/>
      <c r="Q228" s="12"/>
      <c r="R228" s="16"/>
      <c r="S228" s="12"/>
      <c r="T228" s="13" t="str">
        <f aca="true">IF(C228="","",IF(Q228&lt;&gt;"",Q228-C228,TODAY()-C228))</f>
        <v/>
      </c>
      <c r="U228" s="14" t="str">
        <f aca="true">IF(OR(P228="",Q228&lt;&gt;"",N228="キャンセル"),"",P228-TODAY())</f>
        <v/>
      </c>
      <c r="V228" s="15" t="str">
        <f aca="true">IF(D228="","",IF(OR(N228="開通済",Q228&lt;&gt;""),"完了",IF(N228="キャンセル","―",IF(AND(S228&lt;&gt;"",S228&lt;TODAY()),"対応期限超過",IF(AND(P228&lt;&gt;"",P228&lt;TODAY()),"開通予定日超過",IF(AND(S228&lt;&gt;"",S228=TODAY()),"本日対応",IF(AND(P228&lt;&gt;"",P228-TODAY()&lt;=3),"開通間近","")))))))</f>
        <v/>
      </c>
      <c r="W228" s="16"/>
      <c r="X228" s="16"/>
    </row>
    <row r="229" customFormat="false" ht="15" hidden="false" customHeight="false" outlineLevel="0" collapsed="false">
      <c r="A229" s="7" t="str">
        <f aca="false">IF(D229="","",ROW()-3)</f>
        <v/>
      </c>
      <c r="B229" s="16"/>
      <c r="C229" s="12"/>
      <c r="D229" s="16"/>
      <c r="E229" s="16"/>
      <c r="F229" s="17"/>
      <c r="G229" s="16"/>
      <c r="H229" s="16"/>
      <c r="I229" s="12"/>
      <c r="J229" s="16"/>
      <c r="K229" s="16"/>
      <c r="L229" s="16"/>
      <c r="M229" s="16"/>
      <c r="N229" s="16"/>
      <c r="O229" s="12"/>
      <c r="P229" s="12"/>
      <c r="Q229" s="12"/>
      <c r="R229" s="16"/>
      <c r="S229" s="12"/>
      <c r="T229" s="13" t="str">
        <f aca="true">IF(C229="","",IF(Q229&lt;&gt;"",Q229-C229,TODAY()-C229))</f>
        <v/>
      </c>
      <c r="U229" s="14" t="str">
        <f aca="true">IF(OR(P229="",Q229&lt;&gt;"",N229="キャンセル"),"",P229-TODAY())</f>
        <v/>
      </c>
      <c r="V229" s="15" t="str">
        <f aca="true">IF(D229="","",IF(OR(N229="開通済",Q229&lt;&gt;""),"完了",IF(N229="キャンセル","―",IF(AND(S229&lt;&gt;"",S229&lt;TODAY()),"対応期限超過",IF(AND(P229&lt;&gt;"",P229&lt;TODAY()),"開通予定日超過",IF(AND(S229&lt;&gt;"",S229=TODAY()),"本日対応",IF(AND(P229&lt;&gt;"",P229-TODAY()&lt;=3),"開通間近","")))))))</f>
        <v/>
      </c>
      <c r="W229" s="16"/>
      <c r="X229" s="16"/>
    </row>
    <row r="230" customFormat="false" ht="15" hidden="false" customHeight="false" outlineLevel="0" collapsed="false">
      <c r="A230" s="7" t="str">
        <f aca="false">IF(D230="","",ROW()-3)</f>
        <v/>
      </c>
      <c r="B230" s="16"/>
      <c r="C230" s="12"/>
      <c r="D230" s="16"/>
      <c r="E230" s="16"/>
      <c r="F230" s="17"/>
      <c r="G230" s="16"/>
      <c r="H230" s="16"/>
      <c r="I230" s="12"/>
      <c r="J230" s="16"/>
      <c r="K230" s="16"/>
      <c r="L230" s="16"/>
      <c r="M230" s="16"/>
      <c r="N230" s="16"/>
      <c r="O230" s="12"/>
      <c r="P230" s="12"/>
      <c r="Q230" s="12"/>
      <c r="R230" s="16"/>
      <c r="S230" s="12"/>
      <c r="T230" s="13" t="str">
        <f aca="true">IF(C230="","",IF(Q230&lt;&gt;"",Q230-C230,TODAY()-C230))</f>
        <v/>
      </c>
      <c r="U230" s="14" t="str">
        <f aca="true">IF(OR(P230="",Q230&lt;&gt;"",N230="キャンセル"),"",P230-TODAY())</f>
        <v/>
      </c>
      <c r="V230" s="15" t="str">
        <f aca="true">IF(D230="","",IF(OR(N230="開通済",Q230&lt;&gt;""),"完了",IF(N230="キャンセル","―",IF(AND(S230&lt;&gt;"",S230&lt;TODAY()),"対応期限超過",IF(AND(P230&lt;&gt;"",P230&lt;TODAY()),"開通予定日超過",IF(AND(S230&lt;&gt;"",S230=TODAY()),"本日対応",IF(AND(P230&lt;&gt;"",P230-TODAY()&lt;=3),"開通間近","")))))))</f>
        <v/>
      </c>
      <c r="W230" s="16"/>
      <c r="X230" s="16"/>
    </row>
    <row r="231" customFormat="false" ht="15" hidden="false" customHeight="false" outlineLevel="0" collapsed="false">
      <c r="A231" s="7" t="str">
        <f aca="false">IF(D231="","",ROW()-3)</f>
        <v/>
      </c>
      <c r="B231" s="16"/>
      <c r="C231" s="12"/>
      <c r="D231" s="16"/>
      <c r="E231" s="16"/>
      <c r="F231" s="17"/>
      <c r="G231" s="16"/>
      <c r="H231" s="16"/>
      <c r="I231" s="12"/>
      <c r="J231" s="16"/>
      <c r="K231" s="16"/>
      <c r="L231" s="16"/>
      <c r="M231" s="16"/>
      <c r="N231" s="16"/>
      <c r="O231" s="12"/>
      <c r="P231" s="12"/>
      <c r="Q231" s="12"/>
      <c r="R231" s="16"/>
      <c r="S231" s="12"/>
      <c r="T231" s="13" t="str">
        <f aca="true">IF(C231="","",IF(Q231&lt;&gt;"",Q231-C231,TODAY()-C231))</f>
        <v/>
      </c>
      <c r="U231" s="14" t="str">
        <f aca="true">IF(OR(P231="",Q231&lt;&gt;"",N231="キャンセル"),"",P231-TODAY())</f>
        <v/>
      </c>
      <c r="V231" s="15" t="str">
        <f aca="true">IF(D231="","",IF(OR(N231="開通済",Q231&lt;&gt;""),"完了",IF(N231="キャンセル","―",IF(AND(S231&lt;&gt;"",S231&lt;TODAY()),"対応期限超過",IF(AND(P231&lt;&gt;"",P231&lt;TODAY()),"開通予定日超過",IF(AND(S231&lt;&gt;"",S231=TODAY()),"本日対応",IF(AND(P231&lt;&gt;"",P231-TODAY()&lt;=3),"開通間近","")))))))</f>
        <v/>
      </c>
      <c r="W231" s="16"/>
      <c r="X231" s="16"/>
    </row>
    <row r="232" customFormat="false" ht="15" hidden="false" customHeight="false" outlineLevel="0" collapsed="false">
      <c r="A232" s="7" t="str">
        <f aca="false">IF(D232="","",ROW()-3)</f>
        <v/>
      </c>
      <c r="B232" s="16"/>
      <c r="C232" s="12"/>
      <c r="D232" s="16"/>
      <c r="E232" s="16"/>
      <c r="F232" s="17"/>
      <c r="G232" s="16"/>
      <c r="H232" s="16"/>
      <c r="I232" s="12"/>
      <c r="J232" s="16"/>
      <c r="K232" s="16"/>
      <c r="L232" s="16"/>
      <c r="M232" s="16"/>
      <c r="N232" s="16"/>
      <c r="O232" s="12"/>
      <c r="P232" s="12"/>
      <c r="Q232" s="12"/>
      <c r="R232" s="16"/>
      <c r="S232" s="12"/>
      <c r="T232" s="13" t="str">
        <f aca="true">IF(C232="","",IF(Q232&lt;&gt;"",Q232-C232,TODAY()-C232))</f>
        <v/>
      </c>
      <c r="U232" s="14" t="str">
        <f aca="true">IF(OR(P232="",Q232&lt;&gt;"",N232="キャンセル"),"",P232-TODAY())</f>
        <v/>
      </c>
      <c r="V232" s="15" t="str">
        <f aca="true">IF(D232="","",IF(OR(N232="開通済",Q232&lt;&gt;""),"完了",IF(N232="キャンセル","―",IF(AND(S232&lt;&gt;"",S232&lt;TODAY()),"対応期限超過",IF(AND(P232&lt;&gt;"",P232&lt;TODAY()),"開通予定日超過",IF(AND(S232&lt;&gt;"",S232=TODAY()),"本日対応",IF(AND(P232&lt;&gt;"",P232-TODAY()&lt;=3),"開通間近","")))))))</f>
        <v/>
      </c>
      <c r="W232" s="16"/>
      <c r="X232" s="16"/>
    </row>
    <row r="233" customFormat="false" ht="15" hidden="false" customHeight="false" outlineLevel="0" collapsed="false">
      <c r="A233" s="7" t="str">
        <f aca="false">IF(D233="","",ROW()-3)</f>
        <v/>
      </c>
      <c r="B233" s="16"/>
      <c r="C233" s="12"/>
      <c r="D233" s="16"/>
      <c r="E233" s="16"/>
      <c r="F233" s="17"/>
      <c r="G233" s="16"/>
      <c r="H233" s="16"/>
      <c r="I233" s="12"/>
      <c r="J233" s="16"/>
      <c r="K233" s="16"/>
      <c r="L233" s="16"/>
      <c r="M233" s="16"/>
      <c r="N233" s="16"/>
      <c r="O233" s="12"/>
      <c r="P233" s="12"/>
      <c r="Q233" s="12"/>
      <c r="R233" s="16"/>
      <c r="S233" s="12"/>
      <c r="T233" s="13" t="str">
        <f aca="true">IF(C233="","",IF(Q233&lt;&gt;"",Q233-C233,TODAY()-C233))</f>
        <v/>
      </c>
      <c r="U233" s="14" t="str">
        <f aca="true">IF(OR(P233="",Q233&lt;&gt;"",N233="キャンセル"),"",P233-TODAY())</f>
        <v/>
      </c>
      <c r="V233" s="15" t="str">
        <f aca="true">IF(D233="","",IF(OR(N233="開通済",Q233&lt;&gt;""),"完了",IF(N233="キャンセル","―",IF(AND(S233&lt;&gt;"",S233&lt;TODAY()),"対応期限超過",IF(AND(P233&lt;&gt;"",P233&lt;TODAY()),"開通予定日超過",IF(AND(S233&lt;&gt;"",S233=TODAY()),"本日対応",IF(AND(P233&lt;&gt;"",P233-TODAY()&lt;=3),"開通間近","")))))))</f>
        <v/>
      </c>
      <c r="W233" s="16"/>
      <c r="X233" s="16"/>
    </row>
    <row r="234" customFormat="false" ht="15" hidden="false" customHeight="false" outlineLevel="0" collapsed="false">
      <c r="A234" s="7" t="str">
        <f aca="false">IF(D234="","",ROW()-3)</f>
        <v/>
      </c>
      <c r="B234" s="16"/>
      <c r="C234" s="12"/>
      <c r="D234" s="16"/>
      <c r="E234" s="16"/>
      <c r="F234" s="17"/>
      <c r="G234" s="16"/>
      <c r="H234" s="16"/>
      <c r="I234" s="12"/>
      <c r="J234" s="16"/>
      <c r="K234" s="16"/>
      <c r="L234" s="16"/>
      <c r="M234" s="16"/>
      <c r="N234" s="16"/>
      <c r="O234" s="12"/>
      <c r="P234" s="12"/>
      <c r="Q234" s="12"/>
      <c r="R234" s="16"/>
      <c r="S234" s="12"/>
      <c r="T234" s="13" t="str">
        <f aca="true">IF(C234="","",IF(Q234&lt;&gt;"",Q234-C234,TODAY()-C234))</f>
        <v/>
      </c>
      <c r="U234" s="14" t="str">
        <f aca="true">IF(OR(P234="",Q234&lt;&gt;"",N234="キャンセル"),"",P234-TODAY())</f>
        <v/>
      </c>
      <c r="V234" s="15" t="str">
        <f aca="true">IF(D234="","",IF(OR(N234="開通済",Q234&lt;&gt;""),"完了",IF(N234="キャンセル","―",IF(AND(S234&lt;&gt;"",S234&lt;TODAY()),"対応期限超過",IF(AND(P234&lt;&gt;"",P234&lt;TODAY()),"開通予定日超過",IF(AND(S234&lt;&gt;"",S234=TODAY()),"本日対応",IF(AND(P234&lt;&gt;"",P234-TODAY()&lt;=3),"開通間近","")))))))</f>
        <v/>
      </c>
      <c r="W234" s="16"/>
      <c r="X234" s="16"/>
    </row>
    <row r="235" customFormat="false" ht="15" hidden="false" customHeight="false" outlineLevel="0" collapsed="false">
      <c r="A235" s="7" t="str">
        <f aca="false">IF(D235="","",ROW()-3)</f>
        <v/>
      </c>
      <c r="B235" s="16"/>
      <c r="C235" s="12"/>
      <c r="D235" s="16"/>
      <c r="E235" s="16"/>
      <c r="F235" s="17"/>
      <c r="G235" s="16"/>
      <c r="H235" s="16"/>
      <c r="I235" s="12"/>
      <c r="J235" s="16"/>
      <c r="K235" s="16"/>
      <c r="L235" s="16"/>
      <c r="M235" s="16"/>
      <c r="N235" s="16"/>
      <c r="O235" s="12"/>
      <c r="P235" s="12"/>
      <c r="Q235" s="12"/>
      <c r="R235" s="16"/>
      <c r="S235" s="12"/>
      <c r="T235" s="13" t="str">
        <f aca="true">IF(C235="","",IF(Q235&lt;&gt;"",Q235-C235,TODAY()-C235))</f>
        <v/>
      </c>
      <c r="U235" s="14" t="str">
        <f aca="true">IF(OR(P235="",Q235&lt;&gt;"",N235="キャンセル"),"",P235-TODAY())</f>
        <v/>
      </c>
      <c r="V235" s="15" t="str">
        <f aca="true">IF(D235="","",IF(OR(N235="開通済",Q235&lt;&gt;""),"完了",IF(N235="キャンセル","―",IF(AND(S235&lt;&gt;"",S235&lt;TODAY()),"対応期限超過",IF(AND(P235&lt;&gt;"",P235&lt;TODAY()),"開通予定日超過",IF(AND(S235&lt;&gt;"",S235=TODAY()),"本日対応",IF(AND(P235&lt;&gt;"",P235-TODAY()&lt;=3),"開通間近","")))))))</f>
        <v/>
      </c>
      <c r="W235" s="16"/>
      <c r="X235" s="16"/>
    </row>
    <row r="236" customFormat="false" ht="15" hidden="false" customHeight="false" outlineLevel="0" collapsed="false">
      <c r="A236" s="7" t="str">
        <f aca="false">IF(D236="","",ROW()-3)</f>
        <v/>
      </c>
      <c r="B236" s="16"/>
      <c r="C236" s="12"/>
      <c r="D236" s="16"/>
      <c r="E236" s="16"/>
      <c r="F236" s="17"/>
      <c r="G236" s="16"/>
      <c r="H236" s="16"/>
      <c r="I236" s="12"/>
      <c r="J236" s="16"/>
      <c r="K236" s="16"/>
      <c r="L236" s="16"/>
      <c r="M236" s="16"/>
      <c r="N236" s="16"/>
      <c r="O236" s="12"/>
      <c r="P236" s="12"/>
      <c r="Q236" s="12"/>
      <c r="R236" s="16"/>
      <c r="S236" s="12"/>
      <c r="T236" s="13" t="str">
        <f aca="true">IF(C236="","",IF(Q236&lt;&gt;"",Q236-C236,TODAY()-C236))</f>
        <v/>
      </c>
      <c r="U236" s="14" t="str">
        <f aca="true">IF(OR(P236="",Q236&lt;&gt;"",N236="キャンセル"),"",P236-TODAY())</f>
        <v/>
      </c>
      <c r="V236" s="15" t="str">
        <f aca="true">IF(D236="","",IF(OR(N236="開通済",Q236&lt;&gt;""),"完了",IF(N236="キャンセル","―",IF(AND(S236&lt;&gt;"",S236&lt;TODAY()),"対応期限超過",IF(AND(P236&lt;&gt;"",P236&lt;TODAY()),"開通予定日超過",IF(AND(S236&lt;&gt;"",S236=TODAY()),"本日対応",IF(AND(P236&lt;&gt;"",P236-TODAY()&lt;=3),"開通間近","")))))))</f>
        <v/>
      </c>
      <c r="W236" s="16"/>
      <c r="X236" s="16"/>
    </row>
    <row r="237" customFormat="false" ht="15" hidden="false" customHeight="false" outlineLevel="0" collapsed="false">
      <c r="A237" s="7" t="str">
        <f aca="false">IF(D237="","",ROW()-3)</f>
        <v/>
      </c>
      <c r="B237" s="16"/>
      <c r="C237" s="12"/>
      <c r="D237" s="16"/>
      <c r="E237" s="16"/>
      <c r="F237" s="17"/>
      <c r="G237" s="16"/>
      <c r="H237" s="16"/>
      <c r="I237" s="12"/>
      <c r="J237" s="16"/>
      <c r="K237" s="16"/>
      <c r="L237" s="16"/>
      <c r="M237" s="16"/>
      <c r="N237" s="16"/>
      <c r="O237" s="12"/>
      <c r="P237" s="12"/>
      <c r="Q237" s="12"/>
      <c r="R237" s="16"/>
      <c r="S237" s="12"/>
      <c r="T237" s="13" t="str">
        <f aca="true">IF(C237="","",IF(Q237&lt;&gt;"",Q237-C237,TODAY()-C237))</f>
        <v/>
      </c>
      <c r="U237" s="14" t="str">
        <f aca="true">IF(OR(P237="",Q237&lt;&gt;"",N237="キャンセル"),"",P237-TODAY())</f>
        <v/>
      </c>
      <c r="V237" s="15" t="str">
        <f aca="true">IF(D237="","",IF(OR(N237="開通済",Q237&lt;&gt;""),"完了",IF(N237="キャンセル","―",IF(AND(S237&lt;&gt;"",S237&lt;TODAY()),"対応期限超過",IF(AND(P237&lt;&gt;"",P237&lt;TODAY()),"開通予定日超過",IF(AND(S237&lt;&gt;"",S237=TODAY()),"本日対応",IF(AND(P237&lt;&gt;"",P237-TODAY()&lt;=3),"開通間近","")))))))</f>
        <v/>
      </c>
      <c r="W237" s="16"/>
      <c r="X237" s="16"/>
    </row>
    <row r="238" customFormat="false" ht="15" hidden="false" customHeight="false" outlineLevel="0" collapsed="false">
      <c r="A238" s="7" t="str">
        <f aca="false">IF(D238="","",ROW()-3)</f>
        <v/>
      </c>
      <c r="B238" s="16"/>
      <c r="C238" s="12"/>
      <c r="D238" s="16"/>
      <c r="E238" s="16"/>
      <c r="F238" s="17"/>
      <c r="G238" s="16"/>
      <c r="H238" s="16"/>
      <c r="I238" s="12"/>
      <c r="J238" s="16"/>
      <c r="K238" s="16"/>
      <c r="L238" s="16"/>
      <c r="M238" s="16"/>
      <c r="N238" s="16"/>
      <c r="O238" s="12"/>
      <c r="P238" s="12"/>
      <c r="Q238" s="12"/>
      <c r="R238" s="16"/>
      <c r="S238" s="12"/>
      <c r="T238" s="13" t="str">
        <f aca="true">IF(C238="","",IF(Q238&lt;&gt;"",Q238-C238,TODAY()-C238))</f>
        <v/>
      </c>
      <c r="U238" s="14" t="str">
        <f aca="true">IF(OR(P238="",Q238&lt;&gt;"",N238="キャンセル"),"",P238-TODAY())</f>
        <v/>
      </c>
      <c r="V238" s="15" t="str">
        <f aca="true">IF(D238="","",IF(OR(N238="開通済",Q238&lt;&gt;""),"完了",IF(N238="キャンセル","―",IF(AND(S238&lt;&gt;"",S238&lt;TODAY()),"対応期限超過",IF(AND(P238&lt;&gt;"",P238&lt;TODAY()),"開通予定日超過",IF(AND(S238&lt;&gt;"",S238=TODAY()),"本日対応",IF(AND(P238&lt;&gt;"",P238-TODAY()&lt;=3),"開通間近","")))))))</f>
        <v/>
      </c>
      <c r="W238" s="16"/>
      <c r="X238" s="16"/>
    </row>
    <row r="239" customFormat="false" ht="15" hidden="false" customHeight="false" outlineLevel="0" collapsed="false">
      <c r="A239" s="7" t="str">
        <f aca="false">IF(D239="","",ROW()-3)</f>
        <v/>
      </c>
      <c r="B239" s="16"/>
      <c r="C239" s="12"/>
      <c r="D239" s="16"/>
      <c r="E239" s="16"/>
      <c r="F239" s="17"/>
      <c r="G239" s="16"/>
      <c r="H239" s="16"/>
      <c r="I239" s="12"/>
      <c r="J239" s="16"/>
      <c r="K239" s="16"/>
      <c r="L239" s="16"/>
      <c r="M239" s="16"/>
      <c r="N239" s="16"/>
      <c r="O239" s="12"/>
      <c r="P239" s="12"/>
      <c r="Q239" s="12"/>
      <c r="R239" s="16"/>
      <c r="S239" s="12"/>
      <c r="T239" s="13" t="str">
        <f aca="true">IF(C239="","",IF(Q239&lt;&gt;"",Q239-C239,TODAY()-C239))</f>
        <v/>
      </c>
      <c r="U239" s="14" t="str">
        <f aca="true">IF(OR(P239="",Q239&lt;&gt;"",N239="キャンセル"),"",P239-TODAY())</f>
        <v/>
      </c>
      <c r="V239" s="15" t="str">
        <f aca="true">IF(D239="","",IF(OR(N239="開通済",Q239&lt;&gt;""),"完了",IF(N239="キャンセル","―",IF(AND(S239&lt;&gt;"",S239&lt;TODAY()),"対応期限超過",IF(AND(P239&lt;&gt;"",P239&lt;TODAY()),"開通予定日超過",IF(AND(S239&lt;&gt;"",S239=TODAY()),"本日対応",IF(AND(P239&lt;&gt;"",P239-TODAY()&lt;=3),"開通間近","")))))))</f>
        <v/>
      </c>
      <c r="W239" s="16"/>
      <c r="X239" s="16"/>
    </row>
    <row r="240" customFormat="false" ht="15" hidden="false" customHeight="false" outlineLevel="0" collapsed="false">
      <c r="A240" s="7" t="str">
        <f aca="false">IF(D240="","",ROW()-3)</f>
        <v/>
      </c>
      <c r="B240" s="16"/>
      <c r="C240" s="12"/>
      <c r="D240" s="16"/>
      <c r="E240" s="16"/>
      <c r="F240" s="17"/>
      <c r="G240" s="16"/>
      <c r="H240" s="16"/>
      <c r="I240" s="12"/>
      <c r="J240" s="16"/>
      <c r="K240" s="16"/>
      <c r="L240" s="16"/>
      <c r="M240" s="16"/>
      <c r="N240" s="16"/>
      <c r="O240" s="12"/>
      <c r="P240" s="12"/>
      <c r="Q240" s="12"/>
      <c r="R240" s="16"/>
      <c r="S240" s="12"/>
      <c r="T240" s="13" t="str">
        <f aca="true">IF(C240="","",IF(Q240&lt;&gt;"",Q240-C240,TODAY()-C240))</f>
        <v/>
      </c>
      <c r="U240" s="14" t="str">
        <f aca="true">IF(OR(P240="",Q240&lt;&gt;"",N240="キャンセル"),"",P240-TODAY())</f>
        <v/>
      </c>
      <c r="V240" s="15" t="str">
        <f aca="true">IF(D240="","",IF(OR(N240="開通済",Q240&lt;&gt;""),"完了",IF(N240="キャンセル","―",IF(AND(S240&lt;&gt;"",S240&lt;TODAY()),"対応期限超過",IF(AND(P240&lt;&gt;"",P240&lt;TODAY()),"開通予定日超過",IF(AND(S240&lt;&gt;"",S240=TODAY()),"本日対応",IF(AND(P240&lt;&gt;"",P240-TODAY()&lt;=3),"開通間近","")))))))</f>
        <v/>
      </c>
      <c r="W240" s="16"/>
      <c r="X240" s="16"/>
    </row>
    <row r="241" customFormat="false" ht="15" hidden="false" customHeight="false" outlineLevel="0" collapsed="false">
      <c r="A241" s="7" t="str">
        <f aca="false">IF(D241="","",ROW()-3)</f>
        <v/>
      </c>
      <c r="B241" s="16"/>
      <c r="C241" s="12"/>
      <c r="D241" s="16"/>
      <c r="E241" s="16"/>
      <c r="F241" s="17"/>
      <c r="G241" s="16"/>
      <c r="H241" s="16"/>
      <c r="I241" s="12"/>
      <c r="J241" s="16"/>
      <c r="K241" s="16"/>
      <c r="L241" s="16"/>
      <c r="M241" s="16"/>
      <c r="N241" s="16"/>
      <c r="O241" s="12"/>
      <c r="P241" s="12"/>
      <c r="Q241" s="12"/>
      <c r="R241" s="16"/>
      <c r="S241" s="12"/>
      <c r="T241" s="13" t="str">
        <f aca="true">IF(C241="","",IF(Q241&lt;&gt;"",Q241-C241,TODAY()-C241))</f>
        <v/>
      </c>
      <c r="U241" s="14" t="str">
        <f aca="true">IF(OR(P241="",Q241&lt;&gt;"",N241="キャンセル"),"",P241-TODAY())</f>
        <v/>
      </c>
      <c r="V241" s="15" t="str">
        <f aca="true">IF(D241="","",IF(OR(N241="開通済",Q241&lt;&gt;""),"完了",IF(N241="キャンセル","―",IF(AND(S241&lt;&gt;"",S241&lt;TODAY()),"対応期限超過",IF(AND(P241&lt;&gt;"",P241&lt;TODAY()),"開通予定日超過",IF(AND(S241&lt;&gt;"",S241=TODAY()),"本日対応",IF(AND(P241&lt;&gt;"",P241-TODAY()&lt;=3),"開通間近","")))))))</f>
        <v/>
      </c>
      <c r="W241" s="16"/>
      <c r="X241" s="16"/>
    </row>
    <row r="242" customFormat="false" ht="15" hidden="false" customHeight="false" outlineLevel="0" collapsed="false">
      <c r="A242" s="7" t="str">
        <f aca="false">IF(D242="","",ROW()-3)</f>
        <v/>
      </c>
      <c r="B242" s="16"/>
      <c r="C242" s="12"/>
      <c r="D242" s="16"/>
      <c r="E242" s="16"/>
      <c r="F242" s="17"/>
      <c r="G242" s="16"/>
      <c r="H242" s="16"/>
      <c r="I242" s="12"/>
      <c r="J242" s="16"/>
      <c r="K242" s="16"/>
      <c r="L242" s="16"/>
      <c r="M242" s="16"/>
      <c r="N242" s="16"/>
      <c r="O242" s="12"/>
      <c r="P242" s="12"/>
      <c r="Q242" s="12"/>
      <c r="R242" s="16"/>
      <c r="S242" s="12"/>
      <c r="T242" s="13" t="str">
        <f aca="true">IF(C242="","",IF(Q242&lt;&gt;"",Q242-C242,TODAY()-C242))</f>
        <v/>
      </c>
      <c r="U242" s="14" t="str">
        <f aca="true">IF(OR(P242="",Q242&lt;&gt;"",N242="キャンセル"),"",P242-TODAY())</f>
        <v/>
      </c>
      <c r="V242" s="15" t="str">
        <f aca="true">IF(D242="","",IF(OR(N242="開通済",Q242&lt;&gt;""),"完了",IF(N242="キャンセル","―",IF(AND(S242&lt;&gt;"",S242&lt;TODAY()),"対応期限超過",IF(AND(P242&lt;&gt;"",P242&lt;TODAY()),"開通予定日超過",IF(AND(S242&lt;&gt;"",S242=TODAY()),"本日対応",IF(AND(P242&lt;&gt;"",P242-TODAY()&lt;=3),"開通間近","")))))))</f>
        <v/>
      </c>
      <c r="W242" s="16"/>
      <c r="X242" s="16"/>
    </row>
    <row r="243" customFormat="false" ht="15" hidden="false" customHeight="false" outlineLevel="0" collapsed="false">
      <c r="A243" s="7" t="str">
        <f aca="false">IF(D243="","",ROW()-3)</f>
        <v/>
      </c>
      <c r="B243" s="16"/>
      <c r="C243" s="12"/>
      <c r="D243" s="16"/>
      <c r="E243" s="16"/>
      <c r="F243" s="17"/>
      <c r="G243" s="16"/>
      <c r="H243" s="16"/>
      <c r="I243" s="12"/>
      <c r="J243" s="16"/>
      <c r="K243" s="16"/>
      <c r="L243" s="16"/>
      <c r="M243" s="16"/>
      <c r="N243" s="16"/>
      <c r="O243" s="12"/>
      <c r="P243" s="12"/>
      <c r="Q243" s="12"/>
      <c r="R243" s="16"/>
      <c r="S243" s="12"/>
      <c r="T243" s="13" t="str">
        <f aca="true">IF(C243="","",IF(Q243&lt;&gt;"",Q243-C243,TODAY()-C243))</f>
        <v/>
      </c>
      <c r="U243" s="14" t="str">
        <f aca="true">IF(OR(P243="",Q243&lt;&gt;"",N243="キャンセル"),"",P243-TODAY())</f>
        <v/>
      </c>
      <c r="V243" s="15" t="str">
        <f aca="true">IF(D243="","",IF(OR(N243="開通済",Q243&lt;&gt;""),"完了",IF(N243="キャンセル","―",IF(AND(S243&lt;&gt;"",S243&lt;TODAY()),"対応期限超過",IF(AND(P243&lt;&gt;"",P243&lt;TODAY()),"開通予定日超過",IF(AND(S243&lt;&gt;"",S243=TODAY()),"本日対応",IF(AND(P243&lt;&gt;"",P243-TODAY()&lt;=3),"開通間近","")))))))</f>
        <v/>
      </c>
      <c r="W243" s="16"/>
      <c r="X243" s="16"/>
    </row>
    <row r="244" customFormat="false" ht="15" hidden="false" customHeight="false" outlineLevel="0" collapsed="false">
      <c r="A244" s="7" t="str">
        <f aca="false">IF(D244="","",ROW()-3)</f>
        <v/>
      </c>
      <c r="B244" s="16"/>
      <c r="C244" s="12"/>
      <c r="D244" s="16"/>
      <c r="E244" s="16"/>
      <c r="F244" s="17"/>
      <c r="G244" s="16"/>
      <c r="H244" s="16"/>
      <c r="I244" s="12"/>
      <c r="J244" s="16"/>
      <c r="K244" s="16"/>
      <c r="L244" s="16"/>
      <c r="M244" s="16"/>
      <c r="N244" s="16"/>
      <c r="O244" s="12"/>
      <c r="P244" s="12"/>
      <c r="Q244" s="12"/>
      <c r="R244" s="16"/>
      <c r="S244" s="12"/>
      <c r="T244" s="13" t="str">
        <f aca="true">IF(C244="","",IF(Q244&lt;&gt;"",Q244-C244,TODAY()-C244))</f>
        <v/>
      </c>
      <c r="U244" s="14" t="str">
        <f aca="true">IF(OR(P244="",Q244&lt;&gt;"",N244="キャンセル"),"",P244-TODAY())</f>
        <v/>
      </c>
      <c r="V244" s="15" t="str">
        <f aca="true">IF(D244="","",IF(OR(N244="開通済",Q244&lt;&gt;""),"完了",IF(N244="キャンセル","―",IF(AND(S244&lt;&gt;"",S244&lt;TODAY()),"対応期限超過",IF(AND(P244&lt;&gt;"",P244&lt;TODAY()),"開通予定日超過",IF(AND(S244&lt;&gt;"",S244=TODAY()),"本日対応",IF(AND(P244&lt;&gt;"",P244-TODAY()&lt;=3),"開通間近","")))))))</f>
        <v/>
      </c>
      <c r="W244" s="16"/>
      <c r="X244" s="16"/>
    </row>
    <row r="245" customFormat="false" ht="15" hidden="false" customHeight="false" outlineLevel="0" collapsed="false">
      <c r="A245" s="7" t="str">
        <f aca="false">IF(D245="","",ROW()-3)</f>
        <v/>
      </c>
      <c r="B245" s="16"/>
      <c r="C245" s="12"/>
      <c r="D245" s="16"/>
      <c r="E245" s="16"/>
      <c r="F245" s="17"/>
      <c r="G245" s="16"/>
      <c r="H245" s="16"/>
      <c r="I245" s="12"/>
      <c r="J245" s="16"/>
      <c r="K245" s="16"/>
      <c r="L245" s="16"/>
      <c r="M245" s="16"/>
      <c r="N245" s="16"/>
      <c r="O245" s="12"/>
      <c r="P245" s="12"/>
      <c r="Q245" s="12"/>
      <c r="R245" s="16"/>
      <c r="S245" s="12"/>
      <c r="T245" s="13" t="str">
        <f aca="true">IF(C245="","",IF(Q245&lt;&gt;"",Q245-C245,TODAY()-C245))</f>
        <v/>
      </c>
      <c r="U245" s="14" t="str">
        <f aca="true">IF(OR(P245="",Q245&lt;&gt;"",N245="キャンセル"),"",P245-TODAY())</f>
        <v/>
      </c>
      <c r="V245" s="15" t="str">
        <f aca="true">IF(D245="","",IF(OR(N245="開通済",Q245&lt;&gt;""),"完了",IF(N245="キャンセル","―",IF(AND(S245&lt;&gt;"",S245&lt;TODAY()),"対応期限超過",IF(AND(P245&lt;&gt;"",P245&lt;TODAY()),"開通予定日超過",IF(AND(S245&lt;&gt;"",S245=TODAY()),"本日対応",IF(AND(P245&lt;&gt;"",P245-TODAY()&lt;=3),"開通間近","")))))))</f>
        <v/>
      </c>
      <c r="W245" s="16"/>
      <c r="X245" s="16"/>
    </row>
    <row r="246" customFormat="false" ht="15" hidden="false" customHeight="false" outlineLevel="0" collapsed="false">
      <c r="A246" s="7" t="str">
        <f aca="false">IF(D246="","",ROW()-3)</f>
        <v/>
      </c>
      <c r="B246" s="16"/>
      <c r="C246" s="12"/>
      <c r="D246" s="16"/>
      <c r="E246" s="16"/>
      <c r="F246" s="17"/>
      <c r="G246" s="16"/>
      <c r="H246" s="16"/>
      <c r="I246" s="12"/>
      <c r="J246" s="16"/>
      <c r="K246" s="16"/>
      <c r="L246" s="16"/>
      <c r="M246" s="16"/>
      <c r="N246" s="16"/>
      <c r="O246" s="12"/>
      <c r="P246" s="12"/>
      <c r="Q246" s="12"/>
      <c r="R246" s="16"/>
      <c r="S246" s="12"/>
      <c r="T246" s="13" t="str">
        <f aca="true">IF(C246="","",IF(Q246&lt;&gt;"",Q246-C246,TODAY()-C246))</f>
        <v/>
      </c>
      <c r="U246" s="14" t="str">
        <f aca="true">IF(OR(P246="",Q246&lt;&gt;"",N246="キャンセル"),"",P246-TODAY())</f>
        <v/>
      </c>
      <c r="V246" s="15" t="str">
        <f aca="true">IF(D246="","",IF(OR(N246="開通済",Q246&lt;&gt;""),"完了",IF(N246="キャンセル","―",IF(AND(S246&lt;&gt;"",S246&lt;TODAY()),"対応期限超過",IF(AND(P246&lt;&gt;"",P246&lt;TODAY()),"開通予定日超過",IF(AND(S246&lt;&gt;"",S246=TODAY()),"本日対応",IF(AND(P246&lt;&gt;"",P246-TODAY()&lt;=3),"開通間近","")))))))</f>
        <v/>
      </c>
      <c r="W246" s="16"/>
      <c r="X246" s="16"/>
    </row>
    <row r="247" customFormat="false" ht="15" hidden="false" customHeight="false" outlineLevel="0" collapsed="false">
      <c r="A247" s="7" t="str">
        <f aca="false">IF(D247="","",ROW()-3)</f>
        <v/>
      </c>
      <c r="B247" s="16"/>
      <c r="C247" s="12"/>
      <c r="D247" s="16"/>
      <c r="E247" s="16"/>
      <c r="F247" s="17"/>
      <c r="G247" s="16"/>
      <c r="H247" s="16"/>
      <c r="I247" s="12"/>
      <c r="J247" s="16"/>
      <c r="K247" s="16"/>
      <c r="L247" s="16"/>
      <c r="M247" s="16"/>
      <c r="N247" s="16"/>
      <c r="O247" s="12"/>
      <c r="P247" s="12"/>
      <c r="Q247" s="12"/>
      <c r="R247" s="16"/>
      <c r="S247" s="12"/>
      <c r="T247" s="13" t="str">
        <f aca="true">IF(C247="","",IF(Q247&lt;&gt;"",Q247-C247,TODAY()-C247))</f>
        <v/>
      </c>
      <c r="U247" s="14" t="str">
        <f aca="true">IF(OR(P247="",Q247&lt;&gt;"",N247="キャンセル"),"",P247-TODAY())</f>
        <v/>
      </c>
      <c r="V247" s="15" t="str">
        <f aca="true">IF(D247="","",IF(OR(N247="開通済",Q247&lt;&gt;""),"完了",IF(N247="キャンセル","―",IF(AND(S247&lt;&gt;"",S247&lt;TODAY()),"対応期限超過",IF(AND(P247&lt;&gt;"",P247&lt;TODAY()),"開通予定日超過",IF(AND(S247&lt;&gt;"",S247=TODAY()),"本日対応",IF(AND(P247&lt;&gt;"",P247-TODAY()&lt;=3),"開通間近","")))))))</f>
        <v/>
      </c>
      <c r="W247" s="16"/>
      <c r="X247" s="16"/>
    </row>
    <row r="248" customFormat="false" ht="15" hidden="false" customHeight="false" outlineLevel="0" collapsed="false">
      <c r="A248" s="7" t="str">
        <f aca="false">IF(D248="","",ROW()-3)</f>
        <v/>
      </c>
      <c r="B248" s="16"/>
      <c r="C248" s="12"/>
      <c r="D248" s="16"/>
      <c r="E248" s="16"/>
      <c r="F248" s="17"/>
      <c r="G248" s="16"/>
      <c r="H248" s="16"/>
      <c r="I248" s="12"/>
      <c r="J248" s="16"/>
      <c r="K248" s="16"/>
      <c r="L248" s="16"/>
      <c r="M248" s="16"/>
      <c r="N248" s="16"/>
      <c r="O248" s="12"/>
      <c r="P248" s="12"/>
      <c r="Q248" s="12"/>
      <c r="R248" s="16"/>
      <c r="S248" s="12"/>
      <c r="T248" s="13" t="str">
        <f aca="true">IF(C248="","",IF(Q248&lt;&gt;"",Q248-C248,TODAY()-C248))</f>
        <v/>
      </c>
      <c r="U248" s="14" t="str">
        <f aca="true">IF(OR(P248="",Q248&lt;&gt;"",N248="キャンセル"),"",P248-TODAY())</f>
        <v/>
      </c>
      <c r="V248" s="15" t="str">
        <f aca="true">IF(D248="","",IF(OR(N248="開通済",Q248&lt;&gt;""),"完了",IF(N248="キャンセル","―",IF(AND(S248&lt;&gt;"",S248&lt;TODAY()),"対応期限超過",IF(AND(P248&lt;&gt;"",P248&lt;TODAY()),"開通予定日超過",IF(AND(S248&lt;&gt;"",S248=TODAY()),"本日対応",IF(AND(P248&lt;&gt;"",P248-TODAY()&lt;=3),"開通間近","")))))))</f>
        <v/>
      </c>
      <c r="W248" s="16"/>
      <c r="X248" s="16"/>
    </row>
    <row r="249" customFormat="false" ht="15" hidden="false" customHeight="false" outlineLevel="0" collapsed="false">
      <c r="A249" s="7" t="str">
        <f aca="false">IF(D249="","",ROW()-3)</f>
        <v/>
      </c>
      <c r="B249" s="16"/>
      <c r="C249" s="12"/>
      <c r="D249" s="16"/>
      <c r="E249" s="16"/>
      <c r="F249" s="17"/>
      <c r="G249" s="16"/>
      <c r="H249" s="16"/>
      <c r="I249" s="12"/>
      <c r="J249" s="16"/>
      <c r="K249" s="16"/>
      <c r="L249" s="16"/>
      <c r="M249" s="16"/>
      <c r="N249" s="16"/>
      <c r="O249" s="12"/>
      <c r="P249" s="12"/>
      <c r="Q249" s="12"/>
      <c r="R249" s="16"/>
      <c r="S249" s="12"/>
      <c r="T249" s="13" t="str">
        <f aca="true">IF(C249="","",IF(Q249&lt;&gt;"",Q249-C249,TODAY()-C249))</f>
        <v/>
      </c>
      <c r="U249" s="14" t="str">
        <f aca="true">IF(OR(P249="",Q249&lt;&gt;"",N249="キャンセル"),"",P249-TODAY())</f>
        <v/>
      </c>
      <c r="V249" s="15" t="str">
        <f aca="true">IF(D249="","",IF(OR(N249="開通済",Q249&lt;&gt;""),"完了",IF(N249="キャンセル","―",IF(AND(S249&lt;&gt;"",S249&lt;TODAY()),"対応期限超過",IF(AND(P249&lt;&gt;"",P249&lt;TODAY()),"開通予定日超過",IF(AND(S249&lt;&gt;"",S249=TODAY()),"本日対応",IF(AND(P249&lt;&gt;"",P249-TODAY()&lt;=3),"開通間近","")))))))</f>
        <v/>
      </c>
      <c r="W249" s="16"/>
      <c r="X249" s="16"/>
    </row>
    <row r="250" customFormat="false" ht="15" hidden="false" customHeight="false" outlineLevel="0" collapsed="false">
      <c r="A250" s="7" t="str">
        <f aca="false">IF(D250="","",ROW()-3)</f>
        <v/>
      </c>
      <c r="B250" s="16"/>
      <c r="C250" s="12"/>
      <c r="D250" s="16"/>
      <c r="E250" s="16"/>
      <c r="F250" s="17"/>
      <c r="G250" s="16"/>
      <c r="H250" s="16"/>
      <c r="I250" s="12"/>
      <c r="J250" s="16"/>
      <c r="K250" s="16"/>
      <c r="L250" s="16"/>
      <c r="M250" s="16"/>
      <c r="N250" s="16"/>
      <c r="O250" s="12"/>
      <c r="P250" s="12"/>
      <c r="Q250" s="12"/>
      <c r="R250" s="16"/>
      <c r="S250" s="12"/>
      <c r="T250" s="13" t="str">
        <f aca="true">IF(C250="","",IF(Q250&lt;&gt;"",Q250-C250,TODAY()-C250))</f>
        <v/>
      </c>
      <c r="U250" s="14" t="str">
        <f aca="true">IF(OR(P250="",Q250&lt;&gt;"",N250="キャンセル"),"",P250-TODAY())</f>
        <v/>
      </c>
      <c r="V250" s="15" t="str">
        <f aca="true">IF(D250="","",IF(OR(N250="開通済",Q250&lt;&gt;""),"完了",IF(N250="キャンセル","―",IF(AND(S250&lt;&gt;"",S250&lt;TODAY()),"対応期限超過",IF(AND(P250&lt;&gt;"",P250&lt;TODAY()),"開通予定日超過",IF(AND(S250&lt;&gt;"",S250=TODAY()),"本日対応",IF(AND(P250&lt;&gt;"",P250-TODAY()&lt;=3),"開通間近","")))))))</f>
        <v/>
      </c>
      <c r="W250" s="16"/>
      <c r="X250" s="16"/>
    </row>
    <row r="251" customFormat="false" ht="15" hidden="false" customHeight="false" outlineLevel="0" collapsed="false">
      <c r="A251" s="7" t="str">
        <f aca="false">IF(D251="","",ROW()-3)</f>
        <v/>
      </c>
      <c r="B251" s="16"/>
      <c r="C251" s="12"/>
      <c r="D251" s="16"/>
      <c r="E251" s="16"/>
      <c r="F251" s="17"/>
      <c r="G251" s="16"/>
      <c r="H251" s="16"/>
      <c r="I251" s="12"/>
      <c r="J251" s="16"/>
      <c r="K251" s="16"/>
      <c r="L251" s="16"/>
      <c r="M251" s="16"/>
      <c r="N251" s="16"/>
      <c r="O251" s="12"/>
      <c r="P251" s="12"/>
      <c r="Q251" s="12"/>
      <c r="R251" s="16"/>
      <c r="S251" s="12"/>
      <c r="T251" s="13" t="str">
        <f aca="true">IF(C251="","",IF(Q251&lt;&gt;"",Q251-C251,TODAY()-C251))</f>
        <v/>
      </c>
      <c r="U251" s="14" t="str">
        <f aca="true">IF(OR(P251="",Q251&lt;&gt;"",N251="キャンセル"),"",P251-TODAY())</f>
        <v/>
      </c>
      <c r="V251" s="15" t="str">
        <f aca="true">IF(D251="","",IF(OR(N251="開通済",Q251&lt;&gt;""),"完了",IF(N251="キャンセル","―",IF(AND(S251&lt;&gt;"",S251&lt;TODAY()),"対応期限超過",IF(AND(P251&lt;&gt;"",P251&lt;TODAY()),"開通予定日超過",IF(AND(S251&lt;&gt;"",S251=TODAY()),"本日対応",IF(AND(P251&lt;&gt;"",P251-TODAY()&lt;=3),"開通間近","")))))))</f>
        <v/>
      </c>
      <c r="W251" s="16"/>
      <c r="X251" s="16"/>
    </row>
    <row r="252" customFormat="false" ht="15" hidden="false" customHeight="false" outlineLevel="0" collapsed="false">
      <c r="A252" s="7" t="str">
        <f aca="false">IF(D252="","",ROW()-3)</f>
        <v/>
      </c>
      <c r="B252" s="16"/>
      <c r="C252" s="12"/>
      <c r="D252" s="16"/>
      <c r="E252" s="16"/>
      <c r="F252" s="17"/>
      <c r="G252" s="16"/>
      <c r="H252" s="16"/>
      <c r="I252" s="12"/>
      <c r="J252" s="16"/>
      <c r="K252" s="16"/>
      <c r="L252" s="16"/>
      <c r="M252" s="16"/>
      <c r="N252" s="16"/>
      <c r="O252" s="12"/>
      <c r="P252" s="12"/>
      <c r="Q252" s="12"/>
      <c r="R252" s="16"/>
      <c r="S252" s="12"/>
      <c r="T252" s="13" t="str">
        <f aca="true">IF(C252="","",IF(Q252&lt;&gt;"",Q252-C252,TODAY()-C252))</f>
        <v/>
      </c>
      <c r="U252" s="14" t="str">
        <f aca="true">IF(OR(P252="",Q252&lt;&gt;"",N252="キャンセル"),"",P252-TODAY())</f>
        <v/>
      </c>
      <c r="V252" s="15" t="str">
        <f aca="true">IF(D252="","",IF(OR(N252="開通済",Q252&lt;&gt;""),"完了",IF(N252="キャンセル","―",IF(AND(S252&lt;&gt;"",S252&lt;TODAY()),"対応期限超過",IF(AND(P252&lt;&gt;"",P252&lt;TODAY()),"開通予定日超過",IF(AND(S252&lt;&gt;"",S252=TODAY()),"本日対応",IF(AND(P252&lt;&gt;"",P252-TODAY()&lt;=3),"開通間近","")))))))</f>
        <v/>
      </c>
      <c r="W252" s="16"/>
      <c r="X252" s="16"/>
    </row>
    <row r="253" customFormat="false" ht="15" hidden="false" customHeight="false" outlineLevel="0" collapsed="false">
      <c r="A253" s="7" t="str">
        <f aca="false">IF(D253="","",ROW()-3)</f>
        <v/>
      </c>
      <c r="B253" s="16"/>
      <c r="C253" s="12"/>
      <c r="D253" s="16"/>
      <c r="E253" s="16"/>
      <c r="F253" s="17"/>
      <c r="G253" s="16"/>
      <c r="H253" s="16"/>
      <c r="I253" s="12"/>
      <c r="J253" s="16"/>
      <c r="K253" s="16"/>
      <c r="L253" s="16"/>
      <c r="M253" s="16"/>
      <c r="N253" s="16"/>
      <c r="O253" s="12"/>
      <c r="P253" s="12"/>
      <c r="Q253" s="12"/>
      <c r="R253" s="16"/>
      <c r="S253" s="12"/>
      <c r="T253" s="13" t="str">
        <f aca="true">IF(C253="","",IF(Q253&lt;&gt;"",Q253-C253,TODAY()-C253))</f>
        <v/>
      </c>
      <c r="U253" s="14" t="str">
        <f aca="true">IF(OR(P253="",Q253&lt;&gt;"",N253="キャンセル"),"",P253-TODAY())</f>
        <v/>
      </c>
      <c r="V253" s="15" t="str">
        <f aca="true">IF(D253="","",IF(OR(N253="開通済",Q253&lt;&gt;""),"完了",IF(N253="キャンセル","―",IF(AND(S253&lt;&gt;"",S253&lt;TODAY()),"対応期限超過",IF(AND(P253&lt;&gt;"",P253&lt;TODAY()),"開通予定日超過",IF(AND(S253&lt;&gt;"",S253=TODAY()),"本日対応",IF(AND(P253&lt;&gt;"",P253-TODAY()&lt;=3),"開通間近","")))))))</f>
        <v/>
      </c>
      <c r="W253" s="16"/>
      <c r="X253" s="16"/>
    </row>
    <row r="254" customFormat="false" ht="15" hidden="false" customHeight="false" outlineLevel="0" collapsed="false">
      <c r="A254" s="7" t="str">
        <f aca="false">IF(D254="","",ROW()-3)</f>
        <v/>
      </c>
      <c r="B254" s="16"/>
      <c r="C254" s="12"/>
      <c r="D254" s="16"/>
      <c r="E254" s="16"/>
      <c r="F254" s="17"/>
      <c r="G254" s="16"/>
      <c r="H254" s="16"/>
      <c r="I254" s="12"/>
      <c r="J254" s="16"/>
      <c r="K254" s="16"/>
      <c r="L254" s="16"/>
      <c r="M254" s="16"/>
      <c r="N254" s="16"/>
      <c r="O254" s="12"/>
      <c r="P254" s="12"/>
      <c r="Q254" s="12"/>
      <c r="R254" s="16"/>
      <c r="S254" s="12"/>
      <c r="T254" s="13" t="str">
        <f aca="true">IF(C254="","",IF(Q254&lt;&gt;"",Q254-C254,TODAY()-C254))</f>
        <v/>
      </c>
      <c r="U254" s="14" t="str">
        <f aca="true">IF(OR(P254="",Q254&lt;&gt;"",N254="キャンセル"),"",P254-TODAY())</f>
        <v/>
      </c>
      <c r="V254" s="15" t="str">
        <f aca="true">IF(D254="","",IF(OR(N254="開通済",Q254&lt;&gt;""),"完了",IF(N254="キャンセル","―",IF(AND(S254&lt;&gt;"",S254&lt;TODAY()),"対応期限超過",IF(AND(P254&lt;&gt;"",P254&lt;TODAY()),"開通予定日超過",IF(AND(S254&lt;&gt;"",S254=TODAY()),"本日対応",IF(AND(P254&lt;&gt;"",P254-TODAY()&lt;=3),"開通間近","")))))))</f>
        <v/>
      </c>
      <c r="W254" s="16"/>
      <c r="X254" s="16"/>
    </row>
    <row r="255" customFormat="false" ht="15" hidden="false" customHeight="false" outlineLevel="0" collapsed="false">
      <c r="A255" s="7" t="str">
        <f aca="false">IF(D255="","",ROW()-3)</f>
        <v/>
      </c>
      <c r="B255" s="16"/>
      <c r="C255" s="12"/>
      <c r="D255" s="16"/>
      <c r="E255" s="16"/>
      <c r="F255" s="17"/>
      <c r="G255" s="16"/>
      <c r="H255" s="16"/>
      <c r="I255" s="12"/>
      <c r="J255" s="16"/>
      <c r="K255" s="16"/>
      <c r="L255" s="16"/>
      <c r="M255" s="16"/>
      <c r="N255" s="16"/>
      <c r="O255" s="12"/>
      <c r="P255" s="12"/>
      <c r="Q255" s="12"/>
      <c r="R255" s="16"/>
      <c r="S255" s="12"/>
      <c r="T255" s="13" t="str">
        <f aca="true">IF(C255="","",IF(Q255&lt;&gt;"",Q255-C255,TODAY()-C255))</f>
        <v/>
      </c>
      <c r="U255" s="14" t="str">
        <f aca="true">IF(OR(P255="",Q255&lt;&gt;"",N255="キャンセル"),"",P255-TODAY())</f>
        <v/>
      </c>
      <c r="V255" s="15" t="str">
        <f aca="true">IF(D255="","",IF(OR(N255="開通済",Q255&lt;&gt;""),"完了",IF(N255="キャンセル","―",IF(AND(S255&lt;&gt;"",S255&lt;TODAY()),"対応期限超過",IF(AND(P255&lt;&gt;"",P255&lt;TODAY()),"開通予定日超過",IF(AND(S255&lt;&gt;"",S255=TODAY()),"本日対応",IF(AND(P255&lt;&gt;"",P255-TODAY()&lt;=3),"開通間近","")))))))</f>
        <v/>
      </c>
      <c r="W255" s="16"/>
      <c r="X255" s="16"/>
    </row>
    <row r="256" customFormat="false" ht="15" hidden="false" customHeight="false" outlineLevel="0" collapsed="false">
      <c r="A256" s="7" t="str">
        <f aca="false">IF(D256="","",ROW()-3)</f>
        <v/>
      </c>
      <c r="B256" s="16"/>
      <c r="C256" s="12"/>
      <c r="D256" s="16"/>
      <c r="E256" s="16"/>
      <c r="F256" s="17"/>
      <c r="G256" s="16"/>
      <c r="H256" s="16"/>
      <c r="I256" s="12"/>
      <c r="J256" s="16"/>
      <c r="K256" s="16"/>
      <c r="L256" s="16"/>
      <c r="M256" s="16"/>
      <c r="N256" s="16"/>
      <c r="O256" s="12"/>
      <c r="P256" s="12"/>
      <c r="Q256" s="12"/>
      <c r="R256" s="16"/>
      <c r="S256" s="12"/>
      <c r="T256" s="13" t="str">
        <f aca="true">IF(C256="","",IF(Q256&lt;&gt;"",Q256-C256,TODAY()-C256))</f>
        <v/>
      </c>
      <c r="U256" s="14" t="str">
        <f aca="true">IF(OR(P256="",Q256&lt;&gt;"",N256="キャンセル"),"",P256-TODAY())</f>
        <v/>
      </c>
      <c r="V256" s="15" t="str">
        <f aca="true">IF(D256="","",IF(OR(N256="開通済",Q256&lt;&gt;""),"完了",IF(N256="キャンセル","―",IF(AND(S256&lt;&gt;"",S256&lt;TODAY()),"対応期限超過",IF(AND(P256&lt;&gt;"",P256&lt;TODAY()),"開通予定日超過",IF(AND(S256&lt;&gt;"",S256=TODAY()),"本日対応",IF(AND(P256&lt;&gt;"",P256-TODAY()&lt;=3),"開通間近","")))))))</f>
        <v/>
      </c>
      <c r="W256" s="16"/>
      <c r="X256" s="16"/>
    </row>
    <row r="257" customFormat="false" ht="15" hidden="false" customHeight="false" outlineLevel="0" collapsed="false">
      <c r="A257" s="7" t="str">
        <f aca="false">IF(D257="","",ROW()-3)</f>
        <v/>
      </c>
      <c r="B257" s="16"/>
      <c r="C257" s="12"/>
      <c r="D257" s="16"/>
      <c r="E257" s="16"/>
      <c r="F257" s="17"/>
      <c r="G257" s="16"/>
      <c r="H257" s="16"/>
      <c r="I257" s="12"/>
      <c r="J257" s="16"/>
      <c r="K257" s="16"/>
      <c r="L257" s="16"/>
      <c r="M257" s="16"/>
      <c r="N257" s="16"/>
      <c r="O257" s="12"/>
      <c r="P257" s="12"/>
      <c r="Q257" s="12"/>
      <c r="R257" s="16"/>
      <c r="S257" s="12"/>
      <c r="T257" s="13" t="str">
        <f aca="true">IF(C257="","",IF(Q257&lt;&gt;"",Q257-C257,TODAY()-C257))</f>
        <v/>
      </c>
      <c r="U257" s="14" t="str">
        <f aca="true">IF(OR(P257="",Q257&lt;&gt;"",N257="キャンセル"),"",P257-TODAY())</f>
        <v/>
      </c>
      <c r="V257" s="15" t="str">
        <f aca="true">IF(D257="","",IF(OR(N257="開通済",Q257&lt;&gt;""),"完了",IF(N257="キャンセル","―",IF(AND(S257&lt;&gt;"",S257&lt;TODAY()),"対応期限超過",IF(AND(P257&lt;&gt;"",P257&lt;TODAY()),"開通予定日超過",IF(AND(S257&lt;&gt;"",S257=TODAY()),"本日対応",IF(AND(P257&lt;&gt;"",P257-TODAY()&lt;=3),"開通間近","")))))))</f>
        <v/>
      </c>
      <c r="W257" s="16"/>
      <c r="X257" s="16"/>
    </row>
    <row r="258" customFormat="false" ht="15" hidden="false" customHeight="false" outlineLevel="0" collapsed="false">
      <c r="A258" s="7" t="str">
        <f aca="false">IF(D258="","",ROW()-3)</f>
        <v/>
      </c>
      <c r="B258" s="16"/>
      <c r="C258" s="12"/>
      <c r="D258" s="16"/>
      <c r="E258" s="16"/>
      <c r="F258" s="17"/>
      <c r="G258" s="16"/>
      <c r="H258" s="16"/>
      <c r="I258" s="12"/>
      <c r="J258" s="16"/>
      <c r="K258" s="16"/>
      <c r="L258" s="16"/>
      <c r="M258" s="16"/>
      <c r="N258" s="16"/>
      <c r="O258" s="12"/>
      <c r="P258" s="12"/>
      <c r="Q258" s="12"/>
      <c r="R258" s="16"/>
      <c r="S258" s="12"/>
      <c r="T258" s="13" t="str">
        <f aca="true">IF(C258="","",IF(Q258&lt;&gt;"",Q258-C258,TODAY()-C258))</f>
        <v/>
      </c>
      <c r="U258" s="14" t="str">
        <f aca="true">IF(OR(P258="",Q258&lt;&gt;"",N258="キャンセル"),"",P258-TODAY())</f>
        <v/>
      </c>
      <c r="V258" s="15" t="str">
        <f aca="true">IF(D258="","",IF(OR(N258="開通済",Q258&lt;&gt;""),"完了",IF(N258="キャンセル","―",IF(AND(S258&lt;&gt;"",S258&lt;TODAY()),"対応期限超過",IF(AND(P258&lt;&gt;"",P258&lt;TODAY()),"開通予定日超過",IF(AND(S258&lt;&gt;"",S258=TODAY()),"本日対応",IF(AND(P258&lt;&gt;"",P258-TODAY()&lt;=3),"開通間近","")))))))</f>
        <v/>
      </c>
      <c r="W258" s="16"/>
      <c r="X258" s="16"/>
    </row>
    <row r="259" customFormat="false" ht="15" hidden="false" customHeight="false" outlineLevel="0" collapsed="false">
      <c r="A259" s="7" t="str">
        <f aca="false">IF(D259="","",ROW()-3)</f>
        <v/>
      </c>
      <c r="B259" s="16"/>
      <c r="C259" s="12"/>
      <c r="D259" s="16"/>
      <c r="E259" s="16"/>
      <c r="F259" s="17"/>
      <c r="G259" s="16"/>
      <c r="H259" s="16"/>
      <c r="I259" s="12"/>
      <c r="J259" s="16"/>
      <c r="K259" s="16"/>
      <c r="L259" s="16"/>
      <c r="M259" s="16"/>
      <c r="N259" s="16"/>
      <c r="O259" s="12"/>
      <c r="P259" s="12"/>
      <c r="Q259" s="12"/>
      <c r="R259" s="16"/>
      <c r="S259" s="12"/>
      <c r="T259" s="13" t="str">
        <f aca="true">IF(C259="","",IF(Q259&lt;&gt;"",Q259-C259,TODAY()-C259))</f>
        <v/>
      </c>
      <c r="U259" s="14" t="str">
        <f aca="true">IF(OR(P259="",Q259&lt;&gt;"",N259="キャンセル"),"",P259-TODAY())</f>
        <v/>
      </c>
      <c r="V259" s="15" t="str">
        <f aca="true">IF(D259="","",IF(OR(N259="開通済",Q259&lt;&gt;""),"完了",IF(N259="キャンセル","―",IF(AND(S259&lt;&gt;"",S259&lt;TODAY()),"対応期限超過",IF(AND(P259&lt;&gt;"",P259&lt;TODAY()),"開通予定日超過",IF(AND(S259&lt;&gt;"",S259=TODAY()),"本日対応",IF(AND(P259&lt;&gt;"",P259-TODAY()&lt;=3),"開通間近","")))))))</f>
        <v/>
      </c>
      <c r="W259" s="16"/>
      <c r="X259" s="16"/>
    </row>
    <row r="260" customFormat="false" ht="15" hidden="false" customHeight="false" outlineLevel="0" collapsed="false">
      <c r="A260" s="7" t="str">
        <f aca="false">IF(D260="","",ROW()-3)</f>
        <v/>
      </c>
      <c r="B260" s="16"/>
      <c r="C260" s="12"/>
      <c r="D260" s="16"/>
      <c r="E260" s="16"/>
      <c r="F260" s="17"/>
      <c r="G260" s="16"/>
      <c r="H260" s="16"/>
      <c r="I260" s="12"/>
      <c r="J260" s="16"/>
      <c r="K260" s="16"/>
      <c r="L260" s="16"/>
      <c r="M260" s="16"/>
      <c r="N260" s="16"/>
      <c r="O260" s="12"/>
      <c r="P260" s="12"/>
      <c r="Q260" s="12"/>
      <c r="R260" s="16"/>
      <c r="S260" s="12"/>
      <c r="T260" s="13" t="str">
        <f aca="true">IF(C260="","",IF(Q260&lt;&gt;"",Q260-C260,TODAY()-C260))</f>
        <v/>
      </c>
      <c r="U260" s="14" t="str">
        <f aca="true">IF(OR(P260="",Q260&lt;&gt;"",N260="キャンセル"),"",P260-TODAY())</f>
        <v/>
      </c>
      <c r="V260" s="15" t="str">
        <f aca="true">IF(D260="","",IF(OR(N260="開通済",Q260&lt;&gt;""),"完了",IF(N260="キャンセル","―",IF(AND(S260&lt;&gt;"",S260&lt;TODAY()),"対応期限超過",IF(AND(P260&lt;&gt;"",P260&lt;TODAY()),"開通予定日超過",IF(AND(S260&lt;&gt;"",S260=TODAY()),"本日対応",IF(AND(P260&lt;&gt;"",P260-TODAY()&lt;=3),"開通間近","")))))))</f>
        <v/>
      </c>
      <c r="W260" s="16"/>
      <c r="X260" s="16"/>
    </row>
    <row r="261" customFormat="false" ht="15" hidden="false" customHeight="false" outlineLevel="0" collapsed="false">
      <c r="A261" s="7" t="str">
        <f aca="false">IF(D261="","",ROW()-3)</f>
        <v/>
      </c>
      <c r="B261" s="16"/>
      <c r="C261" s="12"/>
      <c r="D261" s="16"/>
      <c r="E261" s="16"/>
      <c r="F261" s="17"/>
      <c r="G261" s="16"/>
      <c r="H261" s="16"/>
      <c r="I261" s="12"/>
      <c r="J261" s="16"/>
      <c r="K261" s="16"/>
      <c r="L261" s="16"/>
      <c r="M261" s="16"/>
      <c r="N261" s="16"/>
      <c r="O261" s="12"/>
      <c r="P261" s="12"/>
      <c r="Q261" s="12"/>
      <c r="R261" s="16"/>
      <c r="S261" s="12"/>
      <c r="T261" s="13" t="str">
        <f aca="true">IF(C261="","",IF(Q261&lt;&gt;"",Q261-C261,TODAY()-C261))</f>
        <v/>
      </c>
      <c r="U261" s="14" t="str">
        <f aca="true">IF(OR(P261="",Q261&lt;&gt;"",N261="キャンセル"),"",P261-TODAY())</f>
        <v/>
      </c>
      <c r="V261" s="15" t="str">
        <f aca="true">IF(D261="","",IF(OR(N261="開通済",Q261&lt;&gt;""),"完了",IF(N261="キャンセル","―",IF(AND(S261&lt;&gt;"",S261&lt;TODAY()),"対応期限超過",IF(AND(P261&lt;&gt;"",P261&lt;TODAY()),"開通予定日超過",IF(AND(S261&lt;&gt;"",S261=TODAY()),"本日対応",IF(AND(P261&lt;&gt;"",P261-TODAY()&lt;=3),"開通間近","")))))))</f>
        <v/>
      </c>
      <c r="W261" s="16"/>
      <c r="X261" s="16"/>
    </row>
    <row r="262" customFormat="false" ht="15" hidden="false" customHeight="false" outlineLevel="0" collapsed="false">
      <c r="A262" s="7" t="str">
        <f aca="false">IF(D262="","",ROW()-3)</f>
        <v/>
      </c>
      <c r="B262" s="16"/>
      <c r="C262" s="12"/>
      <c r="D262" s="16"/>
      <c r="E262" s="16"/>
      <c r="F262" s="17"/>
      <c r="G262" s="16"/>
      <c r="H262" s="16"/>
      <c r="I262" s="12"/>
      <c r="J262" s="16"/>
      <c r="K262" s="16"/>
      <c r="L262" s="16"/>
      <c r="M262" s="16"/>
      <c r="N262" s="16"/>
      <c r="O262" s="12"/>
      <c r="P262" s="12"/>
      <c r="Q262" s="12"/>
      <c r="R262" s="16"/>
      <c r="S262" s="12"/>
      <c r="T262" s="13" t="str">
        <f aca="true">IF(C262="","",IF(Q262&lt;&gt;"",Q262-C262,TODAY()-C262))</f>
        <v/>
      </c>
      <c r="U262" s="14" t="str">
        <f aca="true">IF(OR(P262="",Q262&lt;&gt;"",N262="キャンセル"),"",P262-TODAY())</f>
        <v/>
      </c>
      <c r="V262" s="15" t="str">
        <f aca="true">IF(D262="","",IF(OR(N262="開通済",Q262&lt;&gt;""),"完了",IF(N262="キャンセル","―",IF(AND(S262&lt;&gt;"",S262&lt;TODAY()),"対応期限超過",IF(AND(P262&lt;&gt;"",P262&lt;TODAY()),"開通予定日超過",IF(AND(S262&lt;&gt;"",S262=TODAY()),"本日対応",IF(AND(P262&lt;&gt;"",P262-TODAY()&lt;=3),"開通間近","")))))))</f>
        <v/>
      </c>
      <c r="W262" s="16"/>
      <c r="X262" s="16"/>
    </row>
    <row r="263" customFormat="false" ht="15" hidden="false" customHeight="false" outlineLevel="0" collapsed="false">
      <c r="A263" s="7" t="str">
        <f aca="false">IF(D263="","",ROW()-3)</f>
        <v/>
      </c>
      <c r="B263" s="16"/>
      <c r="C263" s="12"/>
      <c r="D263" s="16"/>
      <c r="E263" s="16"/>
      <c r="F263" s="17"/>
      <c r="G263" s="16"/>
      <c r="H263" s="16"/>
      <c r="I263" s="12"/>
      <c r="J263" s="16"/>
      <c r="K263" s="16"/>
      <c r="L263" s="16"/>
      <c r="M263" s="16"/>
      <c r="N263" s="16"/>
      <c r="O263" s="12"/>
      <c r="P263" s="12"/>
      <c r="Q263" s="12"/>
      <c r="R263" s="16"/>
      <c r="S263" s="12"/>
      <c r="T263" s="13" t="str">
        <f aca="true">IF(C263="","",IF(Q263&lt;&gt;"",Q263-C263,TODAY()-C263))</f>
        <v/>
      </c>
      <c r="U263" s="14" t="str">
        <f aca="true">IF(OR(P263="",Q263&lt;&gt;"",N263="キャンセル"),"",P263-TODAY())</f>
        <v/>
      </c>
      <c r="V263" s="15" t="str">
        <f aca="true">IF(D263="","",IF(OR(N263="開通済",Q263&lt;&gt;""),"完了",IF(N263="キャンセル","―",IF(AND(S263&lt;&gt;"",S263&lt;TODAY()),"対応期限超過",IF(AND(P263&lt;&gt;"",P263&lt;TODAY()),"開通予定日超過",IF(AND(S263&lt;&gt;"",S263=TODAY()),"本日対応",IF(AND(P263&lt;&gt;"",P263-TODAY()&lt;=3),"開通間近","")))))))</f>
        <v/>
      </c>
      <c r="W263" s="16"/>
      <c r="X263" s="16"/>
    </row>
    <row r="264" customFormat="false" ht="15" hidden="false" customHeight="false" outlineLevel="0" collapsed="false">
      <c r="A264" s="7" t="str">
        <f aca="false">IF(D264="","",ROW()-3)</f>
        <v/>
      </c>
      <c r="B264" s="16"/>
      <c r="C264" s="12"/>
      <c r="D264" s="16"/>
      <c r="E264" s="16"/>
      <c r="F264" s="17"/>
      <c r="G264" s="16"/>
      <c r="H264" s="16"/>
      <c r="I264" s="12"/>
      <c r="J264" s="16"/>
      <c r="K264" s="16"/>
      <c r="L264" s="16"/>
      <c r="M264" s="16"/>
      <c r="N264" s="16"/>
      <c r="O264" s="12"/>
      <c r="P264" s="12"/>
      <c r="Q264" s="12"/>
      <c r="R264" s="16"/>
      <c r="S264" s="12"/>
      <c r="T264" s="13" t="str">
        <f aca="true">IF(C264="","",IF(Q264&lt;&gt;"",Q264-C264,TODAY()-C264))</f>
        <v/>
      </c>
      <c r="U264" s="14" t="str">
        <f aca="true">IF(OR(P264="",Q264&lt;&gt;"",N264="キャンセル"),"",P264-TODAY())</f>
        <v/>
      </c>
      <c r="V264" s="15" t="str">
        <f aca="true">IF(D264="","",IF(OR(N264="開通済",Q264&lt;&gt;""),"完了",IF(N264="キャンセル","―",IF(AND(S264&lt;&gt;"",S264&lt;TODAY()),"対応期限超過",IF(AND(P264&lt;&gt;"",P264&lt;TODAY()),"開通予定日超過",IF(AND(S264&lt;&gt;"",S264=TODAY()),"本日対応",IF(AND(P264&lt;&gt;"",P264-TODAY()&lt;=3),"開通間近","")))))))</f>
        <v/>
      </c>
      <c r="W264" s="16"/>
      <c r="X264" s="16"/>
    </row>
    <row r="265" customFormat="false" ht="15" hidden="false" customHeight="false" outlineLevel="0" collapsed="false">
      <c r="A265" s="7" t="str">
        <f aca="false">IF(D265="","",ROW()-3)</f>
        <v/>
      </c>
      <c r="B265" s="16"/>
      <c r="C265" s="12"/>
      <c r="D265" s="16"/>
      <c r="E265" s="16"/>
      <c r="F265" s="17"/>
      <c r="G265" s="16"/>
      <c r="H265" s="16"/>
      <c r="I265" s="12"/>
      <c r="J265" s="16"/>
      <c r="K265" s="16"/>
      <c r="L265" s="16"/>
      <c r="M265" s="16"/>
      <c r="N265" s="16"/>
      <c r="O265" s="12"/>
      <c r="P265" s="12"/>
      <c r="Q265" s="12"/>
      <c r="R265" s="16"/>
      <c r="S265" s="12"/>
      <c r="T265" s="13" t="str">
        <f aca="true">IF(C265="","",IF(Q265&lt;&gt;"",Q265-C265,TODAY()-C265))</f>
        <v/>
      </c>
      <c r="U265" s="14" t="str">
        <f aca="true">IF(OR(P265="",Q265&lt;&gt;"",N265="キャンセル"),"",P265-TODAY())</f>
        <v/>
      </c>
      <c r="V265" s="15" t="str">
        <f aca="true">IF(D265="","",IF(OR(N265="開通済",Q265&lt;&gt;""),"完了",IF(N265="キャンセル","―",IF(AND(S265&lt;&gt;"",S265&lt;TODAY()),"対応期限超過",IF(AND(P265&lt;&gt;"",P265&lt;TODAY()),"開通予定日超過",IF(AND(S265&lt;&gt;"",S265=TODAY()),"本日対応",IF(AND(P265&lt;&gt;"",P265-TODAY()&lt;=3),"開通間近","")))))))</f>
        <v/>
      </c>
      <c r="W265" s="16"/>
      <c r="X265" s="16"/>
    </row>
    <row r="266" customFormat="false" ht="15" hidden="false" customHeight="false" outlineLevel="0" collapsed="false">
      <c r="A266" s="7" t="str">
        <f aca="false">IF(D266="","",ROW()-3)</f>
        <v/>
      </c>
      <c r="B266" s="16"/>
      <c r="C266" s="12"/>
      <c r="D266" s="16"/>
      <c r="E266" s="16"/>
      <c r="F266" s="17"/>
      <c r="G266" s="16"/>
      <c r="H266" s="16"/>
      <c r="I266" s="12"/>
      <c r="J266" s="16"/>
      <c r="K266" s="16"/>
      <c r="L266" s="16"/>
      <c r="M266" s="16"/>
      <c r="N266" s="16"/>
      <c r="O266" s="12"/>
      <c r="P266" s="12"/>
      <c r="Q266" s="12"/>
      <c r="R266" s="16"/>
      <c r="S266" s="12"/>
      <c r="T266" s="13" t="str">
        <f aca="true">IF(C266="","",IF(Q266&lt;&gt;"",Q266-C266,TODAY()-C266))</f>
        <v/>
      </c>
      <c r="U266" s="14" t="str">
        <f aca="true">IF(OR(P266="",Q266&lt;&gt;"",N266="キャンセル"),"",P266-TODAY())</f>
        <v/>
      </c>
      <c r="V266" s="15" t="str">
        <f aca="true">IF(D266="","",IF(OR(N266="開通済",Q266&lt;&gt;""),"完了",IF(N266="キャンセル","―",IF(AND(S266&lt;&gt;"",S266&lt;TODAY()),"対応期限超過",IF(AND(P266&lt;&gt;"",P266&lt;TODAY()),"開通予定日超過",IF(AND(S266&lt;&gt;"",S266=TODAY()),"本日対応",IF(AND(P266&lt;&gt;"",P266-TODAY()&lt;=3),"開通間近","")))))))</f>
        <v/>
      </c>
      <c r="W266" s="16"/>
      <c r="X266" s="16"/>
    </row>
    <row r="267" customFormat="false" ht="15" hidden="false" customHeight="false" outlineLevel="0" collapsed="false">
      <c r="A267" s="7" t="str">
        <f aca="false">IF(D267="","",ROW()-3)</f>
        <v/>
      </c>
      <c r="B267" s="16"/>
      <c r="C267" s="12"/>
      <c r="D267" s="16"/>
      <c r="E267" s="16"/>
      <c r="F267" s="17"/>
      <c r="G267" s="16"/>
      <c r="H267" s="16"/>
      <c r="I267" s="12"/>
      <c r="J267" s="16"/>
      <c r="K267" s="16"/>
      <c r="L267" s="16"/>
      <c r="M267" s="16"/>
      <c r="N267" s="16"/>
      <c r="O267" s="12"/>
      <c r="P267" s="12"/>
      <c r="Q267" s="12"/>
      <c r="R267" s="16"/>
      <c r="S267" s="12"/>
      <c r="T267" s="13" t="str">
        <f aca="true">IF(C267="","",IF(Q267&lt;&gt;"",Q267-C267,TODAY()-C267))</f>
        <v/>
      </c>
      <c r="U267" s="14" t="str">
        <f aca="true">IF(OR(P267="",Q267&lt;&gt;"",N267="キャンセル"),"",P267-TODAY())</f>
        <v/>
      </c>
      <c r="V267" s="15" t="str">
        <f aca="true">IF(D267="","",IF(OR(N267="開通済",Q267&lt;&gt;""),"完了",IF(N267="キャンセル","―",IF(AND(S267&lt;&gt;"",S267&lt;TODAY()),"対応期限超過",IF(AND(P267&lt;&gt;"",P267&lt;TODAY()),"開通予定日超過",IF(AND(S267&lt;&gt;"",S267=TODAY()),"本日対応",IF(AND(P267&lt;&gt;"",P267-TODAY()&lt;=3),"開通間近","")))))))</f>
        <v/>
      </c>
      <c r="W267" s="16"/>
      <c r="X267" s="16"/>
    </row>
    <row r="268" customFormat="false" ht="15" hidden="false" customHeight="false" outlineLevel="0" collapsed="false">
      <c r="A268" s="7" t="str">
        <f aca="false">IF(D268="","",ROW()-3)</f>
        <v/>
      </c>
      <c r="B268" s="16"/>
      <c r="C268" s="12"/>
      <c r="D268" s="16"/>
      <c r="E268" s="16"/>
      <c r="F268" s="17"/>
      <c r="G268" s="16"/>
      <c r="H268" s="16"/>
      <c r="I268" s="12"/>
      <c r="J268" s="16"/>
      <c r="K268" s="16"/>
      <c r="L268" s="16"/>
      <c r="M268" s="16"/>
      <c r="N268" s="16"/>
      <c r="O268" s="12"/>
      <c r="P268" s="12"/>
      <c r="Q268" s="12"/>
      <c r="R268" s="16"/>
      <c r="S268" s="12"/>
      <c r="T268" s="13" t="str">
        <f aca="true">IF(C268="","",IF(Q268&lt;&gt;"",Q268-C268,TODAY()-C268))</f>
        <v/>
      </c>
      <c r="U268" s="14" t="str">
        <f aca="true">IF(OR(P268="",Q268&lt;&gt;"",N268="キャンセル"),"",P268-TODAY())</f>
        <v/>
      </c>
      <c r="V268" s="15" t="str">
        <f aca="true">IF(D268="","",IF(OR(N268="開通済",Q268&lt;&gt;""),"完了",IF(N268="キャンセル","―",IF(AND(S268&lt;&gt;"",S268&lt;TODAY()),"対応期限超過",IF(AND(P268&lt;&gt;"",P268&lt;TODAY()),"開通予定日超過",IF(AND(S268&lt;&gt;"",S268=TODAY()),"本日対応",IF(AND(P268&lt;&gt;"",P268-TODAY()&lt;=3),"開通間近","")))))))</f>
        <v/>
      </c>
      <c r="W268" s="16"/>
      <c r="X268" s="16"/>
    </row>
    <row r="269" customFormat="false" ht="15" hidden="false" customHeight="false" outlineLevel="0" collapsed="false">
      <c r="A269" s="7" t="str">
        <f aca="false">IF(D269="","",ROW()-3)</f>
        <v/>
      </c>
      <c r="B269" s="16"/>
      <c r="C269" s="12"/>
      <c r="D269" s="16"/>
      <c r="E269" s="16"/>
      <c r="F269" s="17"/>
      <c r="G269" s="16"/>
      <c r="H269" s="16"/>
      <c r="I269" s="12"/>
      <c r="J269" s="16"/>
      <c r="K269" s="16"/>
      <c r="L269" s="16"/>
      <c r="M269" s="16"/>
      <c r="N269" s="16"/>
      <c r="O269" s="12"/>
      <c r="P269" s="12"/>
      <c r="Q269" s="12"/>
      <c r="R269" s="16"/>
      <c r="S269" s="12"/>
      <c r="T269" s="13" t="str">
        <f aca="true">IF(C269="","",IF(Q269&lt;&gt;"",Q269-C269,TODAY()-C269))</f>
        <v/>
      </c>
      <c r="U269" s="14" t="str">
        <f aca="true">IF(OR(P269="",Q269&lt;&gt;"",N269="キャンセル"),"",P269-TODAY())</f>
        <v/>
      </c>
      <c r="V269" s="15" t="str">
        <f aca="true">IF(D269="","",IF(OR(N269="開通済",Q269&lt;&gt;""),"完了",IF(N269="キャンセル","―",IF(AND(S269&lt;&gt;"",S269&lt;TODAY()),"対応期限超過",IF(AND(P269&lt;&gt;"",P269&lt;TODAY()),"開通予定日超過",IF(AND(S269&lt;&gt;"",S269=TODAY()),"本日対応",IF(AND(P269&lt;&gt;"",P269-TODAY()&lt;=3),"開通間近","")))))))</f>
        <v/>
      </c>
      <c r="W269" s="16"/>
      <c r="X269" s="16"/>
    </row>
    <row r="270" customFormat="false" ht="15" hidden="false" customHeight="false" outlineLevel="0" collapsed="false">
      <c r="A270" s="7" t="str">
        <f aca="false">IF(D270="","",ROW()-3)</f>
        <v/>
      </c>
      <c r="B270" s="16"/>
      <c r="C270" s="12"/>
      <c r="D270" s="16"/>
      <c r="E270" s="16"/>
      <c r="F270" s="17"/>
      <c r="G270" s="16"/>
      <c r="H270" s="16"/>
      <c r="I270" s="12"/>
      <c r="J270" s="16"/>
      <c r="K270" s="16"/>
      <c r="L270" s="16"/>
      <c r="M270" s="16"/>
      <c r="N270" s="16"/>
      <c r="O270" s="12"/>
      <c r="P270" s="12"/>
      <c r="Q270" s="12"/>
      <c r="R270" s="16"/>
      <c r="S270" s="12"/>
      <c r="T270" s="13" t="str">
        <f aca="true">IF(C270="","",IF(Q270&lt;&gt;"",Q270-C270,TODAY()-C270))</f>
        <v/>
      </c>
      <c r="U270" s="14" t="str">
        <f aca="true">IF(OR(P270="",Q270&lt;&gt;"",N270="キャンセル"),"",P270-TODAY())</f>
        <v/>
      </c>
      <c r="V270" s="15" t="str">
        <f aca="true">IF(D270="","",IF(OR(N270="開通済",Q270&lt;&gt;""),"完了",IF(N270="キャンセル","―",IF(AND(S270&lt;&gt;"",S270&lt;TODAY()),"対応期限超過",IF(AND(P270&lt;&gt;"",P270&lt;TODAY()),"開通予定日超過",IF(AND(S270&lt;&gt;"",S270=TODAY()),"本日対応",IF(AND(P270&lt;&gt;"",P270-TODAY()&lt;=3),"開通間近","")))))))</f>
        <v/>
      </c>
      <c r="W270" s="16"/>
      <c r="X270" s="16"/>
    </row>
    <row r="271" customFormat="false" ht="15" hidden="false" customHeight="false" outlineLevel="0" collapsed="false">
      <c r="A271" s="7" t="str">
        <f aca="false">IF(D271="","",ROW()-3)</f>
        <v/>
      </c>
      <c r="B271" s="16"/>
      <c r="C271" s="12"/>
      <c r="D271" s="16"/>
      <c r="E271" s="16"/>
      <c r="F271" s="17"/>
      <c r="G271" s="16"/>
      <c r="H271" s="16"/>
      <c r="I271" s="12"/>
      <c r="J271" s="16"/>
      <c r="K271" s="16"/>
      <c r="L271" s="16"/>
      <c r="M271" s="16"/>
      <c r="N271" s="16"/>
      <c r="O271" s="12"/>
      <c r="P271" s="12"/>
      <c r="Q271" s="12"/>
      <c r="R271" s="16"/>
      <c r="S271" s="12"/>
      <c r="T271" s="13" t="str">
        <f aca="true">IF(C271="","",IF(Q271&lt;&gt;"",Q271-C271,TODAY()-C271))</f>
        <v/>
      </c>
      <c r="U271" s="14" t="str">
        <f aca="true">IF(OR(P271="",Q271&lt;&gt;"",N271="キャンセル"),"",P271-TODAY())</f>
        <v/>
      </c>
      <c r="V271" s="15" t="str">
        <f aca="true">IF(D271="","",IF(OR(N271="開通済",Q271&lt;&gt;""),"完了",IF(N271="キャンセル","―",IF(AND(S271&lt;&gt;"",S271&lt;TODAY()),"対応期限超過",IF(AND(P271&lt;&gt;"",P271&lt;TODAY()),"開通予定日超過",IF(AND(S271&lt;&gt;"",S271=TODAY()),"本日対応",IF(AND(P271&lt;&gt;"",P271-TODAY()&lt;=3),"開通間近","")))))))</f>
        <v/>
      </c>
      <c r="W271" s="16"/>
      <c r="X271" s="16"/>
    </row>
    <row r="272" customFormat="false" ht="15" hidden="false" customHeight="false" outlineLevel="0" collapsed="false">
      <c r="A272" s="7" t="str">
        <f aca="false">IF(D272="","",ROW()-3)</f>
        <v/>
      </c>
      <c r="B272" s="16"/>
      <c r="C272" s="12"/>
      <c r="D272" s="16"/>
      <c r="E272" s="16"/>
      <c r="F272" s="17"/>
      <c r="G272" s="16"/>
      <c r="H272" s="16"/>
      <c r="I272" s="12"/>
      <c r="J272" s="16"/>
      <c r="K272" s="16"/>
      <c r="L272" s="16"/>
      <c r="M272" s="16"/>
      <c r="N272" s="16"/>
      <c r="O272" s="12"/>
      <c r="P272" s="12"/>
      <c r="Q272" s="12"/>
      <c r="R272" s="16"/>
      <c r="S272" s="12"/>
      <c r="T272" s="13" t="str">
        <f aca="true">IF(C272="","",IF(Q272&lt;&gt;"",Q272-C272,TODAY()-C272))</f>
        <v/>
      </c>
      <c r="U272" s="14" t="str">
        <f aca="true">IF(OR(P272="",Q272&lt;&gt;"",N272="キャンセル"),"",P272-TODAY())</f>
        <v/>
      </c>
      <c r="V272" s="15" t="str">
        <f aca="true">IF(D272="","",IF(OR(N272="開通済",Q272&lt;&gt;""),"完了",IF(N272="キャンセル","―",IF(AND(S272&lt;&gt;"",S272&lt;TODAY()),"対応期限超過",IF(AND(P272&lt;&gt;"",P272&lt;TODAY()),"開通予定日超過",IF(AND(S272&lt;&gt;"",S272=TODAY()),"本日対応",IF(AND(P272&lt;&gt;"",P272-TODAY()&lt;=3),"開通間近","")))))))</f>
        <v/>
      </c>
      <c r="W272" s="16"/>
      <c r="X272" s="16"/>
    </row>
    <row r="273" customFormat="false" ht="15" hidden="false" customHeight="false" outlineLevel="0" collapsed="false">
      <c r="A273" s="7" t="str">
        <f aca="false">IF(D273="","",ROW()-3)</f>
        <v/>
      </c>
      <c r="B273" s="16"/>
      <c r="C273" s="12"/>
      <c r="D273" s="16"/>
      <c r="E273" s="16"/>
      <c r="F273" s="17"/>
      <c r="G273" s="16"/>
      <c r="H273" s="16"/>
      <c r="I273" s="12"/>
      <c r="J273" s="16"/>
      <c r="K273" s="16"/>
      <c r="L273" s="16"/>
      <c r="M273" s="16"/>
      <c r="N273" s="16"/>
      <c r="O273" s="12"/>
      <c r="P273" s="12"/>
      <c r="Q273" s="12"/>
      <c r="R273" s="16"/>
      <c r="S273" s="12"/>
      <c r="T273" s="13" t="str">
        <f aca="true">IF(C273="","",IF(Q273&lt;&gt;"",Q273-C273,TODAY()-C273))</f>
        <v/>
      </c>
      <c r="U273" s="14" t="str">
        <f aca="true">IF(OR(P273="",Q273&lt;&gt;"",N273="キャンセル"),"",P273-TODAY())</f>
        <v/>
      </c>
      <c r="V273" s="15" t="str">
        <f aca="true">IF(D273="","",IF(OR(N273="開通済",Q273&lt;&gt;""),"完了",IF(N273="キャンセル","―",IF(AND(S273&lt;&gt;"",S273&lt;TODAY()),"対応期限超過",IF(AND(P273&lt;&gt;"",P273&lt;TODAY()),"開通予定日超過",IF(AND(S273&lt;&gt;"",S273=TODAY()),"本日対応",IF(AND(P273&lt;&gt;"",P273-TODAY()&lt;=3),"開通間近","")))))))</f>
        <v/>
      </c>
      <c r="W273" s="16"/>
      <c r="X273" s="16"/>
    </row>
    <row r="274" customFormat="false" ht="15" hidden="false" customHeight="false" outlineLevel="0" collapsed="false">
      <c r="A274" s="7" t="str">
        <f aca="false">IF(D274="","",ROW()-3)</f>
        <v/>
      </c>
      <c r="B274" s="16"/>
      <c r="C274" s="12"/>
      <c r="D274" s="16"/>
      <c r="E274" s="16"/>
      <c r="F274" s="17"/>
      <c r="G274" s="16"/>
      <c r="H274" s="16"/>
      <c r="I274" s="12"/>
      <c r="J274" s="16"/>
      <c r="K274" s="16"/>
      <c r="L274" s="16"/>
      <c r="M274" s="16"/>
      <c r="N274" s="16"/>
      <c r="O274" s="12"/>
      <c r="P274" s="12"/>
      <c r="Q274" s="12"/>
      <c r="R274" s="16"/>
      <c r="S274" s="12"/>
      <c r="T274" s="13" t="str">
        <f aca="true">IF(C274="","",IF(Q274&lt;&gt;"",Q274-C274,TODAY()-C274))</f>
        <v/>
      </c>
      <c r="U274" s="14" t="str">
        <f aca="true">IF(OR(P274="",Q274&lt;&gt;"",N274="キャンセル"),"",P274-TODAY())</f>
        <v/>
      </c>
      <c r="V274" s="15" t="str">
        <f aca="true">IF(D274="","",IF(OR(N274="開通済",Q274&lt;&gt;""),"完了",IF(N274="キャンセル","―",IF(AND(S274&lt;&gt;"",S274&lt;TODAY()),"対応期限超過",IF(AND(P274&lt;&gt;"",P274&lt;TODAY()),"開通予定日超過",IF(AND(S274&lt;&gt;"",S274=TODAY()),"本日対応",IF(AND(P274&lt;&gt;"",P274-TODAY()&lt;=3),"開通間近","")))))))</f>
        <v/>
      </c>
      <c r="W274" s="16"/>
      <c r="X274" s="16"/>
    </row>
    <row r="275" customFormat="false" ht="15" hidden="false" customHeight="false" outlineLevel="0" collapsed="false">
      <c r="A275" s="7" t="str">
        <f aca="false">IF(D275="","",ROW()-3)</f>
        <v/>
      </c>
      <c r="B275" s="16"/>
      <c r="C275" s="12"/>
      <c r="D275" s="16"/>
      <c r="E275" s="16"/>
      <c r="F275" s="17"/>
      <c r="G275" s="16"/>
      <c r="H275" s="16"/>
      <c r="I275" s="12"/>
      <c r="J275" s="16"/>
      <c r="K275" s="16"/>
      <c r="L275" s="16"/>
      <c r="M275" s="16"/>
      <c r="N275" s="16"/>
      <c r="O275" s="12"/>
      <c r="P275" s="12"/>
      <c r="Q275" s="12"/>
      <c r="R275" s="16"/>
      <c r="S275" s="12"/>
      <c r="T275" s="13" t="str">
        <f aca="true">IF(C275="","",IF(Q275&lt;&gt;"",Q275-C275,TODAY()-C275))</f>
        <v/>
      </c>
      <c r="U275" s="14" t="str">
        <f aca="true">IF(OR(P275="",Q275&lt;&gt;"",N275="キャンセル"),"",P275-TODAY())</f>
        <v/>
      </c>
      <c r="V275" s="15" t="str">
        <f aca="true">IF(D275="","",IF(OR(N275="開通済",Q275&lt;&gt;""),"完了",IF(N275="キャンセル","―",IF(AND(S275&lt;&gt;"",S275&lt;TODAY()),"対応期限超過",IF(AND(P275&lt;&gt;"",P275&lt;TODAY()),"開通予定日超過",IF(AND(S275&lt;&gt;"",S275=TODAY()),"本日対応",IF(AND(P275&lt;&gt;"",P275-TODAY()&lt;=3),"開通間近","")))))))</f>
        <v/>
      </c>
      <c r="W275" s="16"/>
      <c r="X275" s="16"/>
    </row>
    <row r="276" customFormat="false" ht="15" hidden="false" customHeight="false" outlineLevel="0" collapsed="false">
      <c r="A276" s="7" t="str">
        <f aca="false">IF(D276="","",ROW()-3)</f>
        <v/>
      </c>
      <c r="B276" s="16"/>
      <c r="C276" s="12"/>
      <c r="D276" s="16"/>
      <c r="E276" s="16"/>
      <c r="F276" s="17"/>
      <c r="G276" s="16"/>
      <c r="H276" s="16"/>
      <c r="I276" s="12"/>
      <c r="J276" s="16"/>
      <c r="K276" s="16"/>
      <c r="L276" s="16"/>
      <c r="M276" s="16"/>
      <c r="N276" s="16"/>
      <c r="O276" s="12"/>
      <c r="P276" s="12"/>
      <c r="Q276" s="12"/>
      <c r="R276" s="16"/>
      <c r="S276" s="12"/>
      <c r="T276" s="13" t="str">
        <f aca="true">IF(C276="","",IF(Q276&lt;&gt;"",Q276-C276,TODAY()-C276))</f>
        <v/>
      </c>
      <c r="U276" s="14" t="str">
        <f aca="true">IF(OR(P276="",Q276&lt;&gt;"",N276="キャンセル"),"",P276-TODAY())</f>
        <v/>
      </c>
      <c r="V276" s="15" t="str">
        <f aca="true">IF(D276="","",IF(OR(N276="開通済",Q276&lt;&gt;""),"完了",IF(N276="キャンセル","―",IF(AND(S276&lt;&gt;"",S276&lt;TODAY()),"対応期限超過",IF(AND(P276&lt;&gt;"",P276&lt;TODAY()),"開通予定日超過",IF(AND(S276&lt;&gt;"",S276=TODAY()),"本日対応",IF(AND(P276&lt;&gt;"",P276-TODAY()&lt;=3),"開通間近","")))))))</f>
        <v/>
      </c>
      <c r="W276" s="16"/>
      <c r="X276" s="16"/>
    </row>
    <row r="277" customFormat="false" ht="15" hidden="false" customHeight="false" outlineLevel="0" collapsed="false">
      <c r="A277" s="7" t="str">
        <f aca="false">IF(D277="","",ROW()-3)</f>
        <v/>
      </c>
      <c r="B277" s="16"/>
      <c r="C277" s="12"/>
      <c r="D277" s="16"/>
      <c r="E277" s="16"/>
      <c r="F277" s="17"/>
      <c r="G277" s="16"/>
      <c r="H277" s="16"/>
      <c r="I277" s="12"/>
      <c r="J277" s="16"/>
      <c r="K277" s="16"/>
      <c r="L277" s="16"/>
      <c r="M277" s="16"/>
      <c r="N277" s="16"/>
      <c r="O277" s="12"/>
      <c r="P277" s="12"/>
      <c r="Q277" s="12"/>
      <c r="R277" s="16"/>
      <c r="S277" s="12"/>
      <c r="T277" s="13" t="str">
        <f aca="true">IF(C277="","",IF(Q277&lt;&gt;"",Q277-C277,TODAY()-C277))</f>
        <v/>
      </c>
      <c r="U277" s="14" t="str">
        <f aca="true">IF(OR(P277="",Q277&lt;&gt;"",N277="キャンセル"),"",P277-TODAY())</f>
        <v/>
      </c>
      <c r="V277" s="15" t="str">
        <f aca="true">IF(D277="","",IF(OR(N277="開通済",Q277&lt;&gt;""),"完了",IF(N277="キャンセル","―",IF(AND(S277&lt;&gt;"",S277&lt;TODAY()),"対応期限超過",IF(AND(P277&lt;&gt;"",P277&lt;TODAY()),"開通予定日超過",IF(AND(S277&lt;&gt;"",S277=TODAY()),"本日対応",IF(AND(P277&lt;&gt;"",P277-TODAY()&lt;=3),"開通間近","")))))))</f>
        <v/>
      </c>
      <c r="W277" s="16"/>
      <c r="X277" s="16"/>
    </row>
    <row r="278" customFormat="false" ht="15" hidden="false" customHeight="false" outlineLevel="0" collapsed="false">
      <c r="A278" s="7" t="str">
        <f aca="false">IF(D278="","",ROW()-3)</f>
        <v/>
      </c>
      <c r="B278" s="16"/>
      <c r="C278" s="12"/>
      <c r="D278" s="16"/>
      <c r="E278" s="16"/>
      <c r="F278" s="17"/>
      <c r="G278" s="16"/>
      <c r="H278" s="16"/>
      <c r="I278" s="12"/>
      <c r="J278" s="16"/>
      <c r="K278" s="16"/>
      <c r="L278" s="16"/>
      <c r="M278" s="16"/>
      <c r="N278" s="16"/>
      <c r="O278" s="12"/>
      <c r="P278" s="12"/>
      <c r="Q278" s="12"/>
      <c r="R278" s="16"/>
      <c r="S278" s="12"/>
      <c r="T278" s="13" t="str">
        <f aca="true">IF(C278="","",IF(Q278&lt;&gt;"",Q278-C278,TODAY()-C278))</f>
        <v/>
      </c>
      <c r="U278" s="14" t="str">
        <f aca="true">IF(OR(P278="",Q278&lt;&gt;"",N278="キャンセル"),"",P278-TODAY())</f>
        <v/>
      </c>
      <c r="V278" s="15" t="str">
        <f aca="true">IF(D278="","",IF(OR(N278="開通済",Q278&lt;&gt;""),"完了",IF(N278="キャンセル","―",IF(AND(S278&lt;&gt;"",S278&lt;TODAY()),"対応期限超過",IF(AND(P278&lt;&gt;"",P278&lt;TODAY()),"開通予定日超過",IF(AND(S278&lt;&gt;"",S278=TODAY()),"本日対応",IF(AND(P278&lt;&gt;"",P278-TODAY()&lt;=3),"開通間近","")))))))</f>
        <v/>
      </c>
      <c r="W278" s="16"/>
      <c r="X278" s="16"/>
    </row>
    <row r="279" customFormat="false" ht="15" hidden="false" customHeight="false" outlineLevel="0" collapsed="false">
      <c r="A279" s="7" t="str">
        <f aca="false">IF(D279="","",ROW()-3)</f>
        <v/>
      </c>
      <c r="B279" s="16"/>
      <c r="C279" s="12"/>
      <c r="D279" s="16"/>
      <c r="E279" s="16"/>
      <c r="F279" s="17"/>
      <c r="G279" s="16"/>
      <c r="H279" s="16"/>
      <c r="I279" s="12"/>
      <c r="J279" s="16"/>
      <c r="K279" s="16"/>
      <c r="L279" s="16"/>
      <c r="M279" s="16"/>
      <c r="N279" s="16"/>
      <c r="O279" s="12"/>
      <c r="P279" s="12"/>
      <c r="Q279" s="12"/>
      <c r="R279" s="16"/>
      <c r="S279" s="12"/>
      <c r="T279" s="13" t="str">
        <f aca="true">IF(C279="","",IF(Q279&lt;&gt;"",Q279-C279,TODAY()-C279))</f>
        <v/>
      </c>
      <c r="U279" s="14" t="str">
        <f aca="true">IF(OR(P279="",Q279&lt;&gt;"",N279="キャンセル"),"",P279-TODAY())</f>
        <v/>
      </c>
      <c r="V279" s="15" t="str">
        <f aca="true">IF(D279="","",IF(OR(N279="開通済",Q279&lt;&gt;""),"完了",IF(N279="キャンセル","―",IF(AND(S279&lt;&gt;"",S279&lt;TODAY()),"対応期限超過",IF(AND(P279&lt;&gt;"",P279&lt;TODAY()),"開通予定日超過",IF(AND(S279&lt;&gt;"",S279=TODAY()),"本日対応",IF(AND(P279&lt;&gt;"",P279-TODAY()&lt;=3),"開通間近","")))))))</f>
        <v/>
      </c>
      <c r="W279" s="16"/>
      <c r="X279" s="16"/>
    </row>
    <row r="280" customFormat="false" ht="15" hidden="false" customHeight="false" outlineLevel="0" collapsed="false">
      <c r="A280" s="7" t="str">
        <f aca="false">IF(D280="","",ROW()-3)</f>
        <v/>
      </c>
      <c r="B280" s="16"/>
      <c r="C280" s="12"/>
      <c r="D280" s="16"/>
      <c r="E280" s="16"/>
      <c r="F280" s="17"/>
      <c r="G280" s="16"/>
      <c r="H280" s="16"/>
      <c r="I280" s="12"/>
      <c r="J280" s="16"/>
      <c r="K280" s="16"/>
      <c r="L280" s="16"/>
      <c r="M280" s="16"/>
      <c r="N280" s="16"/>
      <c r="O280" s="12"/>
      <c r="P280" s="12"/>
      <c r="Q280" s="12"/>
      <c r="R280" s="16"/>
      <c r="S280" s="12"/>
      <c r="T280" s="13" t="str">
        <f aca="true">IF(C280="","",IF(Q280&lt;&gt;"",Q280-C280,TODAY()-C280))</f>
        <v/>
      </c>
      <c r="U280" s="14" t="str">
        <f aca="true">IF(OR(P280="",Q280&lt;&gt;"",N280="キャンセル"),"",P280-TODAY())</f>
        <v/>
      </c>
      <c r="V280" s="15" t="str">
        <f aca="true">IF(D280="","",IF(OR(N280="開通済",Q280&lt;&gt;""),"完了",IF(N280="キャンセル","―",IF(AND(S280&lt;&gt;"",S280&lt;TODAY()),"対応期限超過",IF(AND(P280&lt;&gt;"",P280&lt;TODAY()),"開通予定日超過",IF(AND(S280&lt;&gt;"",S280=TODAY()),"本日対応",IF(AND(P280&lt;&gt;"",P280-TODAY()&lt;=3),"開通間近","")))))))</f>
        <v/>
      </c>
      <c r="W280" s="16"/>
      <c r="X280" s="16"/>
    </row>
    <row r="281" customFormat="false" ht="15" hidden="false" customHeight="false" outlineLevel="0" collapsed="false">
      <c r="A281" s="7" t="str">
        <f aca="false">IF(D281="","",ROW()-3)</f>
        <v/>
      </c>
      <c r="B281" s="16"/>
      <c r="C281" s="12"/>
      <c r="D281" s="16"/>
      <c r="E281" s="16"/>
      <c r="F281" s="17"/>
      <c r="G281" s="16"/>
      <c r="H281" s="16"/>
      <c r="I281" s="12"/>
      <c r="J281" s="16"/>
      <c r="K281" s="16"/>
      <c r="L281" s="16"/>
      <c r="M281" s="16"/>
      <c r="N281" s="16"/>
      <c r="O281" s="12"/>
      <c r="P281" s="12"/>
      <c r="Q281" s="12"/>
      <c r="R281" s="16"/>
      <c r="S281" s="12"/>
      <c r="T281" s="13" t="str">
        <f aca="true">IF(C281="","",IF(Q281&lt;&gt;"",Q281-C281,TODAY()-C281))</f>
        <v/>
      </c>
      <c r="U281" s="14" t="str">
        <f aca="true">IF(OR(P281="",Q281&lt;&gt;"",N281="キャンセル"),"",P281-TODAY())</f>
        <v/>
      </c>
      <c r="V281" s="15" t="str">
        <f aca="true">IF(D281="","",IF(OR(N281="開通済",Q281&lt;&gt;""),"完了",IF(N281="キャンセル","―",IF(AND(S281&lt;&gt;"",S281&lt;TODAY()),"対応期限超過",IF(AND(P281&lt;&gt;"",P281&lt;TODAY()),"開通予定日超過",IF(AND(S281&lt;&gt;"",S281=TODAY()),"本日対応",IF(AND(P281&lt;&gt;"",P281-TODAY()&lt;=3),"開通間近","")))))))</f>
        <v/>
      </c>
      <c r="W281" s="16"/>
      <c r="X281" s="16"/>
    </row>
    <row r="282" customFormat="false" ht="15" hidden="false" customHeight="false" outlineLevel="0" collapsed="false">
      <c r="A282" s="7" t="str">
        <f aca="false">IF(D282="","",ROW()-3)</f>
        <v/>
      </c>
      <c r="B282" s="16"/>
      <c r="C282" s="12"/>
      <c r="D282" s="16"/>
      <c r="E282" s="16"/>
      <c r="F282" s="17"/>
      <c r="G282" s="16"/>
      <c r="H282" s="16"/>
      <c r="I282" s="12"/>
      <c r="J282" s="16"/>
      <c r="K282" s="16"/>
      <c r="L282" s="16"/>
      <c r="M282" s="16"/>
      <c r="N282" s="16"/>
      <c r="O282" s="12"/>
      <c r="P282" s="12"/>
      <c r="Q282" s="12"/>
      <c r="R282" s="16"/>
      <c r="S282" s="12"/>
      <c r="T282" s="13" t="str">
        <f aca="true">IF(C282="","",IF(Q282&lt;&gt;"",Q282-C282,TODAY()-C282))</f>
        <v/>
      </c>
      <c r="U282" s="14" t="str">
        <f aca="true">IF(OR(P282="",Q282&lt;&gt;"",N282="キャンセル"),"",P282-TODAY())</f>
        <v/>
      </c>
      <c r="V282" s="15" t="str">
        <f aca="true">IF(D282="","",IF(OR(N282="開通済",Q282&lt;&gt;""),"完了",IF(N282="キャンセル","―",IF(AND(S282&lt;&gt;"",S282&lt;TODAY()),"対応期限超過",IF(AND(P282&lt;&gt;"",P282&lt;TODAY()),"開通予定日超過",IF(AND(S282&lt;&gt;"",S282=TODAY()),"本日対応",IF(AND(P282&lt;&gt;"",P282-TODAY()&lt;=3),"開通間近","")))))))</f>
        <v/>
      </c>
      <c r="W282" s="16"/>
      <c r="X282" s="16"/>
    </row>
    <row r="283" customFormat="false" ht="15" hidden="false" customHeight="false" outlineLevel="0" collapsed="false">
      <c r="A283" s="7" t="str">
        <f aca="false">IF(D283="","",ROW()-3)</f>
        <v/>
      </c>
      <c r="B283" s="16"/>
      <c r="C283" s="12"/>
      <c r="D283" s="16"/>
      <c r="E283" s="16"/>
      <c r="F283" s="17"/>
      <c r="G283" s="16"/>
      <c r="H283" s="16"/>
      <c r="I283" s="12"/>
      <c r="J283" s="16"/>
      <c r="K283" s="16"/>
      <c r="L283" s="16"/>
      <c r="M283" s="16"/>
      <c r="N283" s="16"/>
      <c r="O283" s="12"/>
      <c r="P283" s="12"/>
      <c r="Q283" s="12"/>
      <c r="R283" s="16"/>
      <c r="S283" s="12"/>
      <c r="T283" s="13" t="str">
        <f aca="true">IF(C283="","",IF(Q283&lt;&gt;"",Q283-C283,TODAY()-C283))</f>
        <v/>
      </c>
      <c r="U283" s="14" t="str">
        <f aca="true">IF(OR(P283="",Q283&lt;&gt;"",N283="キャンセル"),"",P283-TODAY())</f>
        <v/>
      </c>
      <c r="V283" s="15" t="str">
        <f aca="true">IF(D283="","",IF(OR(N283="開通済",Q283&lt;&gt;""),"完了",IF(N283="キャンセル","―",IF(AND(S283&lt;&gt;"",S283&lt;TODAY()),"対応期限超過",IF(AND(P283&lt;&gt;"",P283&lt;TODAY()),"開通予定日超過",IF(AND(S283&lt;&gt;"",S283=TODAY()),"本日対応",IF(AND(P283&lt;&gt;"",P283-TODAY()&lt;=3),"開通間近","")))))))</f>
        <v/>
      </c>
      <c r="W283" s="16"/>
      <c r="X283" s="16"/>
    </row>
    <row r="284" customFormat="false" ht="15" hidden="false" customHeight="false" outlineLevel="0" collapsed="false">
      <c r="A284" s="7" t="str">
        <f aca="false">IF(D284="","",ROW()-3)</f>
        <v/>
      </c>
      <c r="B284" s="16"/>
      <c r="C284" s="12"/>
      <c r="D284" s="16"/>
      <c r="E284" s="16"/>
      <c r="F284" s="17"/>
      <c r="G284" s="16"/>
      <c r="H284" s="16"/>
      <c r="I284" s="12"/>
      <c r="J284" s="16"/>
      <c r="K284" s="16"/>
      <c r="L284" s="16"/>
      <c r="M284" s="16"/>
      <c r="N284" s="16"/>
      <c r="O284" s="12"/>
      <c r="P284" s="12"/>
      <c r="Q284" s="12"/>
      <c r="R284" s="16"/>
      <c r="S284" s="12"/>
      <c r="T284" s="13" t="str">
        <f aca="true">IF(C284="","",IF(Q284&lt;&gt;"",Q284-C284,TODAY()-C284))</f>
        <v/>
      </c>
      <c r="U284" s="14" t="str">
        <f aca="true">IF(OR(P284="",Q284&lt;&gt;"",N284="キャンセル"),"",P284-TODAY())</f>
        <v/>
      </c>
      <c r="V284" s="15" t="str">
        <f aca="true">IF(D284="","",IF(OR(N284="開通済",Q284&lt;&gt;""),"完了",IF(N284="キャンセル","―",IF(AND(S284&lt;&gt;"",S284&lt;TODAY()),"対応期限超過",IF(AND(P284&lt;&gt;"",P284&lt;TODAY()),"開通予定日超過",IF(AND(S284&lt;&gt;"",S284=TODAY()),"本日対応",IF(AND(P284&lt;&gt;"",P284-TODAY()&lt;=3),"開通間近","")))))))</f>
        <v/>
      </c>
      <c r="W284" s="16"/>
      <c r="X284" s="16"/>
    </row>
    <row r="285" customFormat="false" ht="15" hidden="false" customHeight="false" outlineLevel="0" collapsed="false">
      <c r="A285" s="7" t="str">
        <f aca="false">IF(D285="","",ROW()-3)</f>
        <v/>
      </c>
      <c r="B285" s="16"/>
      <c r="C285" s="12"/>
      <c r="D285" s="16"/>
      <c r="E285" s="16"/>
      <c r="F285" s="17"/>
      <c r="G285" s="16"/>
      <c r="H285" s="16"/>
      <c r="I285" s="12"/>
      <c r="J285" s="16"/>
      <c r="K285" s="16"/>
      <c r="L285" s="16"/>
      <c r="M285" s="16"/>
      <c r="N285" s="16"/>
      <c r="O285" s="12"/>
      <c r="P285" s="12"/>
      <c r="Q285" s="12"/>
      <c r="R285" s="16"/>
      <c r="S285" s="12"/>
      <c r="T285" s="13" t="str">
        <f aca="true">IF(C285="","",IF(Q285&lt;&gt;"",Q285-C285,TODAY()-C285))</f>
        <v/>
      </c>
      <c r="U285" s="14" t="str">
        <f aca="true">IF(OR(P285="",Q285&lt;&gt;"",N285="キャンセル"),"",P285-TODAY())</f>
        <v/>
      </c>
      <c r="V285" s="15" t="str">
        <f aca="true">IF(D285="","",IF(OR(N285="開通済",Q285&lt;&gt;""),"完了",IF(N285="キャンセル","―",IF(AND(S285&lt;&gt;"",S285&lt;TODAY()),"対応期限超過",IF(AND(P285&lt;&gt;"",P285&lt;TODAY()),"開通予定日超過",IF(AND(S285&lt;&gt;"",S285=TODAY()),"本日対応",IF(AND(P285&lt;&gt;"",P285-TODAY()&lt;=3),"開通間近","")))))))</f>
        <v/>
      </c>
      <c r="W285" s="16"/>
      <c r="X285" s="16"/>
    </row>
    <row r="286" customFormat="false" ht="15" hidden="false" customHeight="false" outlineLevel="0" collapsed="false">
      <c r="A286" s="7" t="str">
        <f aca="false">IF(D286="","",ROW()-3)</f>
        <v/>
      </c>
      <c r="B286" s="16"/>
      <c r="C286" s="12"/>
      <c r="D286" s="16"/>
      <c r="E286" s="16"/>
      <c r="F286" s="17"/>
      <c r="G286" s="16"/>
      <c r="H286" s="16"/>
      <c r="I286" s="12"/>
      <c r="J286" s="16"/>
      <c r="K286" s="16"/>
      <c r="L286" s="16"/>
      <c r="M286" s="16"/>
      <c r="N286" s="16"/>
      <c r="O286" s="12"/>
      <c r="P286" s="12"/>
      <c r="Q286" s="12"/>
      <c r="R286" s="16"/>
      <c r="S286" s="12"/>
      <c r="T286" s="13" t="str">
        <f aca="true">IF(C286="","",IF(Q286&lt;&gt;"",Q286-C286,TODAY()-C286))</f>
        <v/>
      </c>
      <c r="U286" s="14" t="str">
        <f aca="true">IF(OR(P286="",Q286&lt;&gt;"",N286="キャンセル"),"",P286-TODAY())</f>
        <v/>
      </c>
      <c r="V286" s="15" t="str">
        <f aca="true">IF(D286="","",IF(OR(N286="開通済",Q286&lt;&gt;""),"完了",IF(N286="キャンセル","―",IF(AND(S286&lt;&gt;"",S286&lt;TODAY()),"対応期限超過",IF(AND(P286&lt;&gt;"",P286&lt;TODAY()),"開通予定日超過",IF(AND(S286&lt;&gt;"",S286=TODAY()),"本日対応",IF(AND(P286&lt;&gt;"",P286-TODAY()&lt;=3),"開通間近","")))))))</f>
        <v/>
      </c>
      <c r="W286" s="16"/>
      <c r="X286" s="16"/>
    </row>
    <row r="287" customFormat="false" ht="15" hidden="false" customHeight="false" outlineLevel="0" collapsed="false">
      <c r="A287" s="7" t="str">
        <f aca="false">IF(D287="","",ROW()-3)</f>
        <v/>
      </c>
      <c r="B287" s="16"/>
      <c r="C287" s="12"/>
      <c r="D287" s="16"/>
      <c r="E287" s="16"/>
      <c r="F287" s="17"/>
      <c r="G287" s="16"/>
      <c r="H287" s="16"/>
      <c r="I287" s="12"/>
      <c r="J287" s="16"/>
      <c r="K287" s="16"/>
      <c r="L287" s="16"/>
      <c r="M287" s="16"/>
      <c r="N287" s="16"/>
      <c r="O287" s="12"/>
      <c r="P287" s="12"/>
      <c r="Q287" s="12"/>
      <c r="R287" s="16"/>
      <c r="S287" s="12"/>
      <c r="T287" s="13" t="str">
        <f aca="true">IF(C287="","",IF(Q287&lt;&gt;"",Q287-C287,TODAY()-C287))</f>
        <v/>
      </c>
      <c r="U287" s="14" t="str">
        <f aca="true">IF(OR(P287="",Q287&lt;&gt;"",N287="キャンセル"),"",P287-TODAY())</f>
        <v/>
      </c>
      <c r="V287" s="15" t="str">
        <f aca="true">IF(D287="","",IF(OR(N287="開通済",Q287&lt;&gt;""),"完了",IF(N287="キャンセル","―",IF(AND(S287&lt;&gt;"",S287&lt;TODAY()),"対応期限超過",IF(AND(P287&lt;&gt;"",P287&lt;TODAY()),"開通予定日超過",IF(AND(S287&lt;&gt;"",S287=TODAY()),"本日対応",IF(AND(P287&lt;&gt;"",P287-TODAY()&lt;=3),"開通間近","")))))))</f>
        <v/>
      </c>
      <c r="W287" s="16"/>
      <c r="X287" s="16"/>
    </row>
    <row r="288" customFormat="false" ht="15" hidden="false" customHeight="false" outlineLevel="0" collapsed="false">
      <c r="A288" s="7" t="str">
        <f aca="false">IF(D288="","",ROW()-3)</f>
        <v/>
      </c>
      <c r="B288" s="16"/>
      <c r="C288" s="12"/>
      <c r="D288" s="16"/>
      <c r="E288" s="16"/>
      <c r="F288" s="17"/>
      <c r="G288" s="16"/>
      <c r="H288" s="16"/>
      <c r="I288" s="12"/>
      <c r="J288" s="16"/>
      <c r="K288" s="16"/>
      <c r="L288" s="16"/>
      <c r="M288" s="16"/>
      <c r="N288" s="16"/>
      <c r="O288" s="12"/>
      <c r="P288" s="12"/>
      <c r="Q288" s="12"/>
      <c r="R288" s="16"/>
      <c r="S288" s="12"/>
      <c r="T288" s="13" t="str">
        <f aca="true">IF(C288="","",IF(Q288&lt;&gt;"",Q288-C288,TODAY()-C288))</f>
        <v/>
      </c>
      <c r="U288" s="14" t="str">
        <f aca="true">IF(OR(P288="",Q288&lt;&gt;"",N288="キャンセル"),"",P288-TODAY())</f>
        <v/>
      </c>
      <c r="V288" s="15" t="str">
        <f aca="true">IF(D288="","",IF(OR(N288="開通済",Q288&lt;&gt;""),"完了",IF(N288="キャンセル","―",IF(AND(S288&lt;&gt;"",S288&lt;TODAY()),"対応期限超過",IF(AND(P288&lt;&gt;"",P288&lt;TODAY()),"開通予定日超過",IF(AND(S288&lt;&gt;"",S288=TODAY()),"本日対応",IF(AND(P288&lt;&gt;"",P288-TODAY()&lt;=3),"開通間近","")))))))</f>
        <v/>
      </c>
      <c r="W288" s="16"/>
      <c r="X288" s="16"/>
    </row>
    <row r="289" customFormat="false" ht="15" hidden="false" customHeight="false" outlineLevel="0" collapsed="false">
      <c r="A289" s="7" t="str">
        <f aca="false">IF(D289="","",ROW()-3)</f>
        <v/>
      </c>
      <c r="B289" s="16"/>
      <c r="C289" s="12"/>
      <c r="D289" s="16"/>
      <c r="E289" s="16"/>
      <c r="F289" s="17"/>
      <c r="G289" s="16"/>
      <c r="H289" s="16"/>
      <c r="I289" s="12"/>
      <c r="J289" s="16"/>
      <c r="K289" s="16"/>
      <c r="L289" s="16"/>
      <c r="M289" s="16"/>
      <c r="N289" s="16"/>
      <c r="O289" s="12"/>
      <c r="P289" s="12"/>
      <c r="Q289" s="12"/>
      <c r="R289" s="16"/>
      <c r="S289" s="12"/>
      <c r="T289" s="13" t="str">
        <f aca="true">IF(C289="","",IF(Q289&lt;&gt;"",Q289-C289,TODAY()-C289))</f>
        <v/>
      </c>
      <c r="U289" s="14" t="str">
        <f aca="true">IF(OR(P289="",Q289&lt;&gt;"",N289="キャンセル"),"",P289-TODAY())</f>
        <v/>
      </c>
      <c r="V289" s="15" t="str">
        <f aca="true">IF(D289="","",IF(OR(N289="開通済",Q289&lt;&gt;""),"完了",IF(N289="キャンセル","―",IF(AND(S289&lt;&gt;"",S289&lt;TODAY()),"対応期限超過",IF(AND(P289&lt;&gt;"",P289&lt;TODAY()),"開通予定日超過",IF(AND(S289&lt;&gt;"",S289=TODAY()),"本日対応",IF(AND(P289&lt;&gt;"",P289-TODAY()&lt;=3),"開通間近","")))))))</f>
        <v/>
      </c>
      <c r="W289" s="16"/>
      <c r="X289" s="16"/>
    </row>
    <row r="290" customFormat="false" ht="15" hidden="false" customHeight="false" outlineLevel="0" collapsed="false">
      <c r="A290" s="7" t="str">
        <f aca="false">IF(D290="","",ROW()-3)</f>
        <v/>
      </c>
      <c r="B290" s="16"/>
      <c r="C290" s="12"/>
      <c r="D290" s="16"/>
      <c r="E290" s="16"/>
      <c r="F290" s="17"/>
      <c r="G290" s="16"/>
      <c r="H290" s="16"/>
      <c r="I290" s="12"/>
      <c r="J290" s="16"/>
      <c r="K290" s="16"/>
      <c r="L290" s="16"/>
      <c r="M290" s="16"/>
      <c r="N290" s="16"/>
      <c r="O290" s="12"/>
      <c r="P290" s="12"/>
      <c r="Q290" s="12"/>
      <c r="R290" s="16"/>
      <c r="S290" s="12"/>
      <c r="T290" s="13" t="str">
        <f aca="true">IF(C290="","",IF(Q290&lt;&gt;"",Q290-C290,TODAY()-C290))</f>
        <v/>
      </c>
      <c r="U290" s="14" t="str">
        <f aca="true">IF(OR(P290="",Q290&lt;&gt;"",N290="キャンセル"),"",P290-TODAY())</f>
        <v/>
      </c>
      <c r="V290" s="15" t="str">
        <f aca="true">IF(D290="","",IF(OR(N290="開通済",Q290&lt;&gt;""),"完了",IF(N290="キャンセル","―",IF(AND(S290&lt;&gt;"",S290&lt;TODAY()),"対応期限超過",IF(AND(P290&lt;&gt;"",P290&lt;TODAY()),"開通予定日超過",IF(AND(S290&lt;&gt;"",S290=TODAY()),"本日対応",IF(AND(P290&lt;&gt;"",P290-TODAY()&lt;=3),"開通間近","")))))))</f>
        <v/>
      </c>
      <c r="W290" s="16"/>
      <c r="X290" s="16"/>
    </row>
    <row r="291" customFormat="false" ht="15" hidden="false" customHeight="false" outlineLevel="0" collapsed="false">
      <c r="A291" s="7" t="str">
        <f aca="false">IF(D291="","",ROW()-3)</f>
        <v/>
      </c>
      <c r="B291" s="16"/>
      <c r="C291" s="12"/>
      <c r="D291" s="16"/>
      <c r="E291" s="16"/>
      <c r="F291" s="17"/>
      <c r="G291" s="16"/>
      <c r="H291" s="16"/>
      <c r="I291" s="12"/>
      <c r="J291" s="16"/>
      <c r="K291" s="16"/>
      <c r="L291" s="16"/>
      <c r="M291" s="16"/>
      <c r="N291" s="16"/>
      <c r="O291" s="12"/>
      <c r="P291" s="12"/>
      <c r="Q291" s="12"/>
      <c r="R291" s="16"/>
      <c r="S291" s="12"/>
      <c r="T291" s="13" t="str">
        <f aca="true">IF(C291="","",IF(Q291&lt;&gt;"",Q291-C291,TODAY()-C291))</f>
        <v/>
      </c>
      <c r="U291" s="14" t="str">
        <f aca="true">IF(OR(P291="",Q291&lt;&gt;"",N291="キャンセル"),"",P291-TODAY())</f>
        <v/>
      </c>
      <c r="V291" s="15" t="str">
        <f aca="true">IF(D291="","",IF(OR(N291="開通済",Q291&lt;&gt;""),"完了",IF(N291="キャンセル","―",IF(AND(S291&lt;&gt;"",S291&lt;TODAY()),"対応期限超過",IF(AND(P291&lt;&gt;"",P291&lt;TODAY()),"開通予定日超過",IF(AND(S291&lt;&gt;"",S291=TODAY()),"本日対応",IF(AND(P291&lt;&gt;"",P291-TODAY()&lt;=3),"開通間近","")))))))</f>
        <v/>
      </c>
      <c r="W291" s="16"/>
      <c r="X291" s="16"/>
    </row>
    <row r="292" customFormat="false" ht="15" hidden="false" customHeight="false" outlineLevel="0" collapsed="false">
      <c r="A292" s="7" t="str">
        <f aca="false">IF(D292="","",ROW()-3)</f>
        <v/>
      </c>
      <c r="B292" s="16"/>
      <c r="C292" s="12"/>
      <c r="D292" s="16"/>
      <c r="E292" s="16"/>
      <c r="F292" s="17"/>
      <c r="G292" s="16"/>
      <c r="H292" s="16"/>
      <c r="I292" s="12"/>
      <c r="J292" s="16"/>
      <c r="K292" s="16"/>
      <c r="L292" s="16"/>
      <c r="M292" s="16"/>
      <c r="N292" s="16"/>
      <c r="O292" s="12"/>
      <c r="P292" s="12"/>
      <c r="Q292" s="12"/>
      <c r="R292" s="16"/>
      <c r="S292" s="12"/>
      <c r="T292" s="13" t="str">
        <f aca="true">IF(C292="","",IF(Q292&lt;&gt;"",Q292-C292,TODAY()-C292))</f>
        <v/>
      </c>
      <c r="U292" s="14" t="str">
        <f aca="true">IF(OR(P292="",Q292&lt;&gt;"",N292="キャンセル"),"",P292-TODAY())</f>
        <v/>
      </c>
      <c r="V292" s="15" t="str">
        <f aca="true">IF(D292="","",IF(OR(N292="開通済",Q292&lt;&gt;""),"完了",IF(N292="キャンセル","―",IF(AND(S292&lt;&gt;"",S292&lt;TODAY()),"対応期限超過",IF(AND(P292&lt;&gt;"",P292&lt;TODAY()),"開通予定日超過",IF(AND(S292&lt;&gt;"",S292=TODAY()),"本日対応",IF(AND(P292&lt;&gt;"",P292-TODAY()&lt;=3),"開通間近","")))))))</f>
        <v/>
      </c>
      <c r="W292" s="16"/>
      <c r="X292" s="16"/>
    </row>
    <row r="293" customFormat="false" ht="15" hidden="false" customHeight="false" outlineLevel="0" collapsed="false">
      <c r="A293" s="7" t="str">
        <f aca="false">IF(D293="","",ROW()-3)</f>
        <v/>
      </c>
      <c r="B293" s="16"/>
      <c r="C293" s="12"/>
      <c r="D293" s="16"/>
      <c r="E293" s="16"/>
      <c r="F293" s="17"/>
      <c r="G293" s="16"/>
      <c r="H293" s="16"/>
      <c r="I293" s="12"/>
      <c r="J293" s="16"/>
      <c r="K293" s="16"/>
      <c r="L293" s="16"/>
      <c r="M293" s="16"/>
      <c r="N293" s="16"/>
      <c r="O293" s="12"/>
      <c r="P293" s="12"/>
      <c r="Q293" s="12"/>
      <c r="R293" s="16"/>
      <c r="S293" s="12"/>
      <c r="T293" s="13" t="str">
        <f aca="true">IF(C293="","",IF(Q293&lt;&gt;"",Q293-C293,TODAY()-C293))</f>
        <v/>
      </c>
      <c r="U293" s="14" t="str">
        <f aca="true">IF(OR(P293="",Q293&lt;&gt;"",N293="キャンセル"),"",P293-TODAY())</f>
        <v/>
      </c>
      <c r="V293" s="15" t="str">
        <f aca="true">IF(D293="","",IF(OR(N293="開通済",Q293&lt;&gt;""),"完了",IF(N293="キャンセル","―",IF(AND(S293&lt;&gt;"",S293&lt;TODAY()),"対応期限超過",IF(AND(P293&lt;&gt;"",P293&lt;TODAY()),"開通予定日超過",IF(AND(S293&lt;&gt;"",S293=TODAY()),"本日対応",IF(AND(P293&lt;&gt;"",P293-TODAY()&lt;=3),"開通間近","")))))))</f>
        <v/>
      </c>
      <c r="W293" s="16"/>
      <c r="X293" s="16"/>
    </row>
    <row r="294" customFormat="false" ht="15" hidden="false" customHeight="false" outlineLevel="0" collapsed="false">
      <c r="A294" s="7" t="str">
        <f aca="false">IF(D294="","",ROW()-3)</f>
        <v/>
      </c>
      <c r="B294" s="16"/>
      <c r="C294" s="12"/>
      <c r="D294" s="16"/>
      <c r="E294" s="16"/>
      <c r="F294" s="17"/>
      <c r="G294" s="16"/>
      <c r="H294" s="16"/>
      <c r="I294" s="12"/>
      <c r="J294" s="16"/>
      <c r="K294" s="16"/>
      <c r="L294" s="16"/>
      <c r="M294" s="16"/>
      <c r="N294" s="16"/>
      <c r="O294" s="12"/>
      <c r="P294" s="12"/>
      <c r="Q294" s="12"/>
      <c r="R294" s="16"/>
      <c r="S294" s="12"/>
      <c r="T294" s="13" t="str">
        <f aca="true">IF(C294="","",IF(Q294&lt;&gt;"",Q294-C294,TODAY()-C294))</f>
        <v/>
      </c>
      <c r="U294" s="14" t="str">
        <f aca="true">IF(OR(P294="",Q294&lt;&gt;"",N294="キャンセル"),"",P294-TODAY())</f>
        <v/>
      </c>
      <c r="V294" s="15" t="str">
        <f aca="true">IF(D294="","",IF(OR(N294="開通済",Q294&lt;&gt;""),"完了",IF(N294="キャンセル","―",IF(AND(S294&lt;&gt;"",S294&lt;TODAY()),"対応期限超過",IF(AND(P294&lt;&gt;"",P294&lt;TODAY()),"開通予定日超過",IF(AND(S294&lt;&gt;"",S294=TODAY()),"本日対応",IF(AND(P294&lt;&gt;"",P294-TODAY()&lt;=3),"開通間近","")))))))</f>
        <v/>
      </c>
      <c r="W294" s="16"/>
      <c r="X294" s="16"/>
    </row>
    <row r="295" customFormat="false" ht="15" hidden="false" customHeight="false" outlineLevel="0" collapsed="false">
      <c r="A295" s="7" t="str">
        <f aca="false">IF(D295="","",ROW()-3)</f>
        <v/>
      </c>
      <c r="B295" s="16"/>
      <c r="C295" s="12"/>
      <c r="D295" s="16"/>
      <c r="E295" s="16"/>
      <c r="F295" s="17"/>
      <c r="G295" s="16"/>
      <c r="H295" s="16"/>
      <c r="I295" s="12"/>
      <c r="J295" s="16"/>
      <c r="K295" s="16"/>
      <c r="L295" s="16"/>
      <c r="M295" s="16"/>
      <c r="N295" s="16"/>
      <c r="O295" s="12"/>
      <c r="P295" s="12"/>
      <c r="Q295" s="12"/>
      <c r="R295" s="16"/>
      <c r="S295" s="12"/>
      <c r="T295" s="13" t="str">
        <f aca="true">IF(C295="","",IF(Q295&lt;&gt;"",Q295-C295,TODAY()-C295))</f>
        <v/>
      </c>
      <c r="U295" s="14" t="str">
        <f aca="true">IF(OR(P295="",Q295&lt;&gt;"",N295="キャンセル"),"",P295-TODAY())</f>
        <v/>
      </c>
      <c r="V295" s="15" t="str">
        <f aca="true">IF(D295="","",IF(OR(N295="開通済",Q295&lt;&gt;""),"完了",IF(N295="キャンセル","―",IF(AND(S295&lt;&gt;"",S295&lt;TODAY()),"対応期限超過",IF(AND(P295&lt;&gt;"",P295&lt;TODAY()),"開通予定日超過",IF(AND(S295&lt;&gt;"",S295=TODAY()),"本日対応",IF(AND(P295&lt;&gt;"",P295-TODAY()&lt;=3),"開通間近","")))))))</f>
        <v/>
      </c>
      <c r="W295" s="16"/>
      <c r="X295" s="16"/>
    </row>
    <row r="296" customFormat="false" ht="15" hidden="false" customHeight="false" outlineLevel="0" collapsed="false">
      <c r="A296" s="7" t="str">
        <f aca="false">IF(D296="","",ROW()-3)</f>
        <v/>
      </c>
      <c r="B296" s="16"/>
      <c r="C296" s="12"/>
      <c r="D296" s="16"/>
      <c r="E296" s="16"/>
      <c r="F296" s="17"/>
      <c r="G296" s="16"/>
      <c r="H296" s="16"/>
      <c r="I296" s="12"/>
      <c r="J296" s="16"/>
      <c r="K296" s="16"/>
      <c r="L296" s="16"/>
      <c r="M296" s="16"/>
      <c r="N296" s="16"/>
      <c r="O296" s="12"/>
      <c r="P296" s="12"/>
      <c r="Q296" s="12"/>
      <c r="R296" s="16"/>
      <c r="S296" s="12"/>
      <c r="T296" s="13" t="str">
        <f aca="true">IF(C296="","",IF(Q296&lt;&gt;"",Q296-C296,TODAY()-C296))</f>
        <v/>
      </c>
      <c r="U296" s="14" t="str">
        <f aca="true">IF(OR(P296="",Q296&lt;&gt;"",N296="キャンセル"),"",P296-TODAY())</f>
        <v/>
      </c>
      <c r="V296" s="15" t="str">
        <f aca="true">IF(D296="","",IF(OR(N296="開通済",Q296&lt;&gt;""),"完了",IF(N296="キャンセル","―",IF(AND(S296&lt;&gt;"",S296&lt;TODAY()),"対応期限超過",IF(AND(P296&lt;&gt;"",P296&lt;TODAY()),"開通予定日超過",IF(AND(S296&lt;&gt;"",S296=TODAY()),"本日対応",IF(AND(P296&lt;&gt;"",P296-TODAY()&lt;=3),"開通間近","")))))))</f>
        <v/>
      </c>
      <c r="W296" s="16"/>
      <c r="X296" s="16"/>
    </row>
    <row r="297" customFormat="false" ht="15" hidden="false" customHeight="false" outlineLevel="0" collapsed="false">
      <c r="A297" s="7" t="str">
        <f aca="false">IF(D297="","",ROW()-3)</f>
        <v/>
      </c>
      <c r="B297" s="16"/>
      <c r="C297" s="12"/>
      <c r="D297" s="16"/>
      <c r="E297" s="16"/>
      <c r="F297" s="17"/>
      <c r="G297" s="16"/>
      <c r="H297" s="16"/>
      <c r="I297" s="12"/>
      <c r="J297" s="16"/>
      <c r="K297" s="16"/>
      <c r="L297" s="16"/>
      <c r="M297" s="16"/>
      <c r="N297" s="16"/>
      <c r="O297" s="12"/>
      <c r="P297" s="12"/>
      <c r="Q297" s="12"/>
      <c r="R297" s="16"/>
      <c r="S297" s="12"/>
      <c r="T297" s="13" t="str">
        <f aca="true">IF(C297="","",IF(Q297&lt;&gt;"",Q297-C297,TODAY()-C297))</f>
        <v/>
      </c>
      <c r="U297" s="14" t="str">
        <f aca="true">IF(OR(P297="",Q297&lt;&gt;"",N297="キャンセル"),"",P297-TODAY())</f>
        <v/>
      </c>
      <c r="V297" s="15" t="str">
        <f aca="true">IF(D297="","",IF(OR(N297="開通済",Q297&lt;&gt;""),"完了",IF(N297="キャンセル","―",IF(AND(S297&lt;&gt;"",S297&lt;TODAY()),"対応期限超過",IF(AND(P297&lt;&gt;"",P297&lt;TODAY()),"開通予定日超過",IF(AND(S297&lt;&gt;"",S297=TODAY()),"本日対応",IF(AND(P297&lt;&gt;"",P297-TODAY()&lt;=3),"開通間近","")))))))</f>
        <v/>
      </c>
      <c r="W297" s="16"/>
      <c r="X297" s="16"/>
    </row>
    <row r="298" customFormat="false" ht="15" hidden="false" customHeight="false" outlineLevel="0" collapsed="false">
      <c r="A298" s="7" t="str">
        <f aca="false">IF(D298="","",ROW()-3)</f>
        <v/>
      </c>
      <c r="B298" s="16"/>
      <c r="C298" s="12"/>
      <c r="D298" s="16"/>
      <c r="E298" s="16"/>
      <c r="F298" s="17"/>
      <c r="G298" s="16"/>
      <c r="H298" s="16"/>
      <c r="I298" s="12"/>
      <c r="J298" s="16"/>
      <c r="K298" s="16"/>
      <c r="L298" s="16"/>
      <c r="M298" s="16"/>
      <c r="N298" s="16"/>
      <c r="O298" s="12"/>
      <c r="P298" s="12"/>
      <c r="Q298" s="12"/>
      <c r="R298" s="16"/>
      <c r="S298" s="12"/>
      <c r="T298" s="13" t="str">
        <f aca="true">IF(C298="","",IF(Q298&lt;&gt;"",Q298-C298,TODAY()-C298))</f>
        <v/>
      </c>
      <c r="U298" s="14" t="str">
        <f aca="true">IF(OR(P298="",Q298&lt;&gt;"",N298="キャンセル"),"",P298-TODAY())</f>
        <v/>
      </c>
      <c r="V298" s="15" t="str">
        <f aca="true">IF(D298="","",IF(OR(N298="開通済",Q298&lt;&gt;""),"完了",IF(N298="キャンセル","―",IF(AND(S298&lt;&gt;"",S298&lt;TODAY()),"対応期限超過",IF(AND(P298&lt;&gt;"",P298&lt;TODAY()),"開通予定日超過",IF(AND(S298&lt;&gt;"",S298=TODAY()),"本日対応",IF(AND(P298&lt;&gt;"",P298-TODAY()&lt;=3),"開通間近","")))))))</f>
        <v/>
      </c>
      <c r="W298" s="16"/>
      <c r="X298" s="16"/>
    </row>
    <row r="299" customFormat="false" ht="15" hidden="false" customHeight="false" outlineLevel="0" collapsed="false">
      <c r="A299" s="7" t="str">
        <f aca="false">IF(D299="","",ROW()-3)</f>
        <v/>
      </c>
      <c r="B299" s="16"/>
      <c r="C299" s="12"/>
      <c r="D299" s="16"/>
      <c r="E299" s="16"/>
      <c r="F299" s="17"/>
      <c r="G299" s="16"/>
      <c r="H299" s="16"/>
      <c r="I299" s="12"/>
      <c r="J299" s="16"/>
      <c r="K299" s="16"/>
      <c r="L299" s="16"/>
      <c r="M299" s="16"/>
      <c r="N299" s="16"/>
      <c r="O299" s="12"/>
      <c r="P299" s="12"/>
      <c r="Q299" s="12"/>
      <c r="R299" s="16"/>
      <c r="S299" s="12"/>
      <c r="T299" s="13" t="str">
        <f aca="true">IF(C299="","",IF(Q299&lt;&gt;"",Q299-C299,TODAY()-C299))</f>
        <v/>
      </c>
      <c r="U299" s="14" t="str">
        <f aca="true">IF(OR(P299="",Q299&lt;&gt;"",N299="キャンセル"),"",P299-TODAY())</f>
        <v/>
      </c>
      <c r="V299" s="15" t="str">
        <f aca="true">IF(D299="","",IF(OR(N299="開通済",Q299&lt;&gt;""),"完了",IF(N299="キャンセル","―",IF(AND(S299&lt;&gt;"",S299&lt;TODAY()),"対応期限超過",IF(AND(P299&lt;&gt;"",P299&lt;TODAY()),"開通予定日超過",IF(AND(S299&lt;&gt;"",S299=TODAY()),"本日対応",IF(AND(P299&lt;&gt;"",P299-TODAY()&lt;=3),"開通間近","")))))))</f>
        <v/>
      </c>
      <c r="W299" s="16"/>
      <c r="X299" s="16"/>
    </row>
    <row r="300" customFormat="false" ht="15" hidden="false" customHeight="false" outlineLevel="0" collapsed="false">
      <c r="A300" s="7" t="str">
        <f aca="false">IF(D300="","",ROW()-3)</f>
        <v/>
      </c>
      <c r="B300" s="16"/>
      <c r="C300" s="12"/>
      <c r="D300" s="16"/>
      <c r="E300" s="16"/>
      <c r="F300" s="17"/>
      <c r="G300" s="16"/>
      <c r="H300" s="16"/>
      <c r="I300" s="12"/>
      <c r="J300" s="16"/>
      <c r="K300" s="16"/>
      <c r="L300" s="16"/>
      <c r="M300" s="16"/>
      <c r="N300" s="16"/>
      <c r="O300" s="12"/>
      <c r="P300" s="12"/>
      <c r="Q300" s="12"/>
      <c r="R300" s="16"/>
      <c r="S300" s="12"/>
      <c r="T300" s="13" t="str">
        <f aca="true">IF(C300="","",IF(Q300&lt;&gt;"",Q300-C300,TODAY()-C300))</f>
        <v/>
      </c>
      <c r="U300" s="14" t="str">
        <f aca="true">IF(OR(P300="",Q300&lt;&gt;"",N300="キャンセル"),"",P300-TODAY())</f>
        <v/>
      </c>
      <c r="V300" s="15" t="str">
        <f aca="true">IF(D300="","",IF(OR(N300="開通済",Q300&lt;&gt;""),"完了",IF(N300="キャンセル","―",IF(AND(S300&lt;&gt;"",S300&lt;TODAY()),"対応期限超過",IF(AND(P300&lt;&gt;"",P300&lt;TODAY()),"開通予定日超過",IF(AND(S300&lt;&gt;"",S300=TODAY()),"本日対応",IF(AND(P300&lt;&gt;"",P300-TODAY()&lt;=3),"開通間近","")))))))</f>
        <v/>
      </c>
      <c r="W300" s="16"/>
      <c r="X300" s="16"/>
    </row>
    <row r="301" customFormat="false" ht="15" hidden="false" customHeight="false" outlineLevel="0" collapsed="false">
      <c r="A301" s="7" t="str">
        <f aca="false">IF(D301="","",ROW()-3)</f>
        <v/>
      </c>
      <c r="B301" s="16"/>
      <c r="C301" s="12"/>
      <c r="D301" s="16"/>
      <c r="E301" s="16"/>
      <c r="F301" s="17"/>
      <c r="G301" s="16"/>
      <c r="H301" s="16"/>
      <c r="I301" s="12"/>
      <c r="J301" s="16"/>
      <c r="K301" s="16"/>
      <c r="L301" s="16"/>
      <c r="M301" s="16"/>
      <c r="N301" s="16"/>
      <c r="O301" s="12"/>
      <c r="P301" s="12"/>
      <c r="Q301" s="12"/>
      <c r="R301" s="16"/>
      <c r="S301" s="12"/>
      <c r="T301" s="13" t="str">
        <f aca="true">IF(C301="","",IF(Q301&lt;&gt;"",Q301-C301,TODAY()-C301))</f>
        <v/>
      </c>
      <c r="U301" s="14" t="str">
        <f aca="true">IF(OR(P301="",Q301&lt;&gt;"",N301="キャンセル"),"",P301-TODAY())</f>
        <v/>
      </c>
      <c r="V301" s="15" t="str">
        <f aca="true">IF(D301="","",IF(OR(N301="開通済",Q301&lt;&gt;""),"完了",IF(N301="キャンセル","―",IF(AND(S301&lt;&gt;"",S301&lt;TODAY()),"対応期限超過",IF(AND(P301&lt;&gt;"",P301&lt;TODAY()),"開通予定日超過",IF(AND(S301&lt;&gt;"",S301=TODAY()),"本日対応",IF(AND(P301&lt;&gt;"",P301-TODAY()&lt;=3),"開通間近","")))))))</f>
        <v/>
      </c>
      <c r="W301" s="16"/>
      <c r="X301" s="16"/>
    </row>
    <row r="302" customFormat="false" ht="15" hidden="false" customHeight="false" outlineLevel="0" collapsed="false">
      <c r="A302" s="7" t="str">
        <f aca="false">IF(D302="","",ROW()-3)</f>
        <v/>
      </c>
      <c r="B302" s="16"/>
      <c r="C302" s="12"/>
      <c r="D302" s="16"/>
      <c r="E302" s="16"/>
      <c r="F302" s="17"/>
      <c r="G302" s="16"/>
      <c r="H302" s="16"/>
      <c r="I302" s="12"/>
      <c r="J302" s="16"/>
      <c r="K302" s="16"/>
      <c r="L302" s="16"/>
      <c r="M302" s="16"/>
      <c r="N302" s="16"/>
      <c r="O302" s="12"/>
      <c r="P302" s="12"/>
      <c r="Q302" s="12"/>
      <c r="R302" s="16"/>
      <c r="S302" s="12"/>
      <c r="T302" s="13" t="str">
        <f aca="true">IF(C302="","",IF(Q302&lt;&gt;"",Q302-C302,TODAY()-C302))</f>
        <v/>
      </c>
      <c r="U302" s="14" t="str">
        <f aca="true">IF(OR(P302="",Q302&lt;&gt;"",N302="キャンセル"),"",P302-TODAY())</f>
        <v/>
      </c>
      <c r="V302" s="15" t="str">
        <f aca="true">IF(D302="","",IF(OR(N302="開通済",Q302&lt;&gt;""),"完了",IF(N302="キャンセル","―",IF(AND(S302&lt;&gt;"",S302&lt;TODAY()),"対応期限超過",IF(AND(P302&lt;&gt;"",P302&lt;TODAY()),"開通予定日超過",IF(AND(S302&lt;&gt;"",S302=TODAY()),"本日対応",IF(AND(P302&lt;&gt;"",P302-TODAY()&lt;=3),"開通間近","")))))))</f>
        <v/>
      </c>
      <c r="W302" s="16"/>
      <c r="X302" s="16"/>
    </row>
    <row r="303" customFormat="false" ht="15" hidden="false" customHeight="false" outlineLevel="0" collapsed="false">
      <c r="A303" s="7" t="str">
        <f aca="false">IF(D303="","",ROW()-3)</f>
        <v/>
      </c>
      <c r="B303" s="16"/>
      <c r="C303" s="12"/>
      <c r="D303" s="16"/>
      <c r="E303" s="16"/>
      <c r="F303" s="17"/>
      <c r="G303" s="16"/>
      <c r="H303" s="16"/>
      <c r="I303" s="12"/>
      <c r="J303" s="16"/>
      <c r="K303" s="16"/>
      <c r="L303" s="16"/>
      <c r="M303" s="16"/>
      <c r="N303" s="16"/>
      <c r="O303" s="12"/>
      <c r="P303" s="12"/>
      <c r="Q303" s="12"/>
      <c r="R303" s="16"/>
      <c r="S303" s="12"/>
      <c r="T303" s="13" t="str">
        <f aca="true">IF(C303="","",IF(Q303&lt;&gt;"",Q303-C303,TODAY()-C303))</f>
        <v/>
      </c>
      <c r="U303" s="14" t="str">
        <f aca="true">IF(OR(P303="",Q303&lt;&gt;"",N303="キャンセル"),"",P303-TODAY())</f>
        <v/>
      </c>
      <c r="V303" s="15" t="str">
        <f aca="true">IF(D303="","",IF(OR(N303="開通済",Q303&lt;&gt;""),"完了",IF(N303="キャンセル","―",IF(AND(S303&lt;&gt;"",S303&lt;TODAY()),"対応期限超過",IF(AND(P303&lt;&gt;"",P303&lt;TODAY()),"開通予定日超過",IF(AND(S303&lt;&gt;"",S303=TODAY()),"本日対応",IF(AND(P303&lt;&gt;"",P303-TODAY()&lt;=3),"開通間近","")))))))</f>
        <v/>
      </c>
      <c r="W303" s="16"/>
      <c r="X303" s="16"/>
    </row>
    <row r="304" customFormat="false" ht="15" hidden="false" customHeight="false" outlineLevel="0" collapsed="false">
      <c r="A304" s="7" t="str">
        <f aca="false">IF(D304="","",ROW()-3)</f>
        <v/>
      </c>
      <c r="B304" s="16"/>
      <c r="C304" s="12"/>
      <c r="D304" s="16"/>
      <c r="E304" s="16"/>
      <c r="F304" s="17"/>
      <c r="G304" s="16"/>
      <c r="H304" s="16"/>
      <c r="I304" s="12"/>
      <c r="J304" s="16"/>
      <c r="K304" s="16"/>
      <c r="L304" s="16"/>
      <c r="M304" s="16"/>
      <c r="N304" s="16"/>
      <c r="O304" s="12"/>
      <c r="P304" s="12"/>
      <c r="Q304" s="12"/>
      <c r="R304" s="16"/>
      <c r="S304" s="12"/>
      <c r="T304" s="13" t="str">
        <f aca="true">IF(C304="","",IF(Q304&lt;&gt;"",Q304-C304,TODAY()-C304))</f>
        <v/>
      </c>
      <c r="U304" s="14" t="str">
        <f aca="true">IF(OR(P304="",Q304&lt;&gt;"",N304="キャンセル"),"",P304-TODAY())</f>
        <v/>
      </c>
      <c r="V304" s="15" t="str">
        <f aca="true">IF(D304="","",IF(OR(N304="開通済",Q304&lt;&gt;""),"完了",IF(N304="キャンセル","―",IF(AND(S304&lt;&gt;"",S304&lt;TODAY()),"対応期限超過",IF(AND(P304&lt;&gt;"",P304&lt;TODAY()),"開通予定日超過",IF(AND(S304&lt;&gt;"",S304=TODAY()),"本日対応",IF(AND(P304&lt;&gt;"",P304-TODAY()&lt;=3),"開通間近","")))))))</f>
        <v/>
      </c>
      <c r="W304" s="16"/>
      <c r="X304" s="16"/>
    </row>
    <row r="305" customFormat="false" ht="15" hidden="false" customHeight="false" outlineLevel="0" collapsed="false">
      <c r="A305" s="7" t="str">
        <f aca="false">IF(D305="","",ROW()-3)</f>
        <v/>
      </c>
      <c r="B305" s="16"/>
      <c r="C305" s="12"/>
      <c r="D305" s="16"/>
      <c r="E305" s="16"/>
      <c r="F305" s="17"/>
      <c r="G305" s="16"/>
      <c r="H305" s="16"/>
      <c r="I305" s="12"/>
      <c r="J305" s="16"/>
      <c r="K305" s="16"/>
      <c r="L305" s="16"/>
      <c r="M305" s="16"/>
      <c r="N305" s="16"/>
      <c r="O305" s="12"/>
      <c r="P305" s="12"/>
      <c r="Q305" s="12"/>
      <c r="R305" s="16"/>
      <c r="S305" s="12"/>
      <c r="T305" s="13" t="str">
        <f aca="true">IF(C305="","",IF(Q305&lt;&gt;"",Q305-C305,TODAY()-C305))</f>
        <v/>
      </c>
      <c r="U305" s="14" t="str">
        <f aca="true">IF(OR(P305="",Q305&lt;&gt;"",N305="キャンセル"),"",P305-TODAY())</f>
        <v/>
      </c>
      <c r="V305" s="15" t="str">
        <f aca="true">IF(D305="","",IF(OR(N305="開通済",Q305&lt;&gt;""),"完了",IF(N305="キャンセル","―",IF(AND(S305&lt;&gt;"",S305&lt;TODAY()),"対応期限超過",IF(AND(P305&lt;&gt;"",P305&lt;TODAY()),"開通予定日超過",IF(AND(S305&lt;&gt;"",S305=TODAY()),"本日対応",IF(AND(P305&lt;&gt;"",P305-TODAY()&lt;=3),"開通間近","")))))))</f>
        <v/>
      </c>
      <c r="W305" s="16"/>
      <c r="X305" s="16"/>
    </row>
    <row r="306" customFormat="false" ht="15" hidden="false" customHeight="false" outlineLevel="0" collapsed="false">
      <c r="A306" s="7" t="str">
        <f aca="false">IF(D306="","",ROW()-3)</f>
        <v/>
      </c>
      <c r="B306" s="16"/>
      <c r="C306" s="12"/>
      <c r="D306" s="16"/>
      <c r="E306" s="16"/>
      <c r="F306" s="17"/>
      <c r="G306" s="16"/>
      <c r="H306" s="16"/>
      <c r="I306" s="12"/>
      <c r="J306" s="16"/>
      <c r="K306" s="16"/>
      <c r="L306" s="16"/>
      <c r="M306" s="16"/>
      <c r="N306" s="16"/>
      <c r="O306" s="12"/>
      <c r="P306" s="12"/>
      <c r="Q306" s="12"/>
      <c r="R306" s="16"/>
      <c r="S306" s="12"/>
      <c r="T306" s="13" t="str">
        <f aca="true">IF(C306="","",IF(Q306&lt;&gt;"",Q306-C306,TODAY()-C306))</f>
        <v/>
      </c>
      <c r="U306" s="14" t="str">
        <f aca="true">IF(OR(P306="",Q306&lt;&gt;"",N306="キャンセル"),"",P306-TODAY())</f>
        <v/>
      </c>
      <c r="V306" s="15" t="str">
        <f aca="true">IF(D306="","",IF(OR(N306="開通済",Q306&lt;&gt;""),"完了",IF(N306="キャンセル","―",IF(AND(S306&lt;&gt;"",S306&lt;TODAY()),"対応期限超過",IF(AND(P306&lt;&gt;"",P306&lt;TODAY()),"開通予定日超過",IF(AND(S306&lt;&gt;"",S306=TODAY()),"本日対応",IF(AND(P306&lt;&gt;"",P306-TODAY()&lt;=3),"開通間近","")))))))</f>
        <v/>
      </c>
      <c r="W306" s="16"/>
      <c r="X306" s="16"/>
    </row>
    <row r="307" customFormat="false" ht="15" hidden="false" customHeight="false" outlineLevel="0" collapsed="false">
      <c r="A307" s="7" t="str">
        <f aca="false">IF(D307="","",ROW()-3)</f>
        <v/>
      </c>
      <c r="B307" s="16"/>
      <c r="C307" s="12"/>
      <c r="D307" s="16"/>
      <c r="E307" s="16"/>
      <c r="F307" s="17"/>
      <c r="G307" s="16"/>
      <c r="H307" s="16"/>
      <c r="I307" s="12"/>
      <c r="J307" s="16"/>
      <c r="K307" s="16"/>
      <c r="L307" s="16"/>
      <c r="M307" s="16"/>
      <c r="N307" s="16"/>
      <c r="O307" s="12"/>
      <c r="P307" s="12"/>
      <c r="Q307" s="12"/>
      <c r="R307" s="16"/>
      <c r="S307" s="12"/>
      <c r="T307" s="13" t="str">
        <f aca="true">IF(C307="","",IF(Q307&lt;&gt;"",Q307-C307,TODAY()-C307))</f>
        <v/>
      </c>
      <c r="U307" s="14" t="str">
        <f aca="true">IF(OR(P307="",Q307&lt;&gt;"",N307="キャンセル"),"",P307-TODAY())</f>
        <v/>
      </c>
      <c r="V307" s="15" t="str">
        <f aca="true">IF(D307="","",IF(OR(N307="開通済",Q307&lt;&gt;""),"完了",IF(N307="キャンセル","―",IF(AND(S307&lt;&gt;"",S307&lt;TODAY()),"対応期限超過",IF(AND(P307&lt;&gt;"",P307&lt;TODAY()),"開通予定日超過",IF(AND(S307&lt;&gt;"",S307=TODAY()),"本日対応",IF(AND(P307&lt;&gt;"",P307-TODAY()&lt;=3),"開通間近","")))))))</f>
        <v/>
      </c>
      <c r="W307" s="16"/>
      <c r="X307" s="16"/>
    </row>
    <row r="308" customFormat="false" ht="15" hidden="false" customHeight="false" outlineLevel="0" collapsed="false">
      <c r="A308" s="7" t="str">
        <f aca="false">IF(D308="","",ROW()-3)</f>
        <v/>
      </c>
      <c r="B308" s="16"/>
      <c r="C308" s="12"/>
      <c r="D308" s="16"/>
      <c r="E308" s="16"/>
      <c r="F308" s="17"/>
      <c r="G308" s="16"/>
      <c r="H308" s="16"/>
      <c r="I308" s="12"/>
      <c r="J308" s="16"/>
      <c r="K308" s="16"/>
      <c r="L308" s="16"/>
      <c r="M308" s="16"/>
      <c r="N308" s="16"/>
      <c r="O308" s="12"/>
      <c r="P308" s="12"/>
      <c r="Q308" s="12"/>
      <c r="R308" s="16"/>
      <c r="S308" s="12"/>
      <c r="T308" s="13" t="str">
        <f aca="true">IF(C308="","",IF(Q308&lt;&gt;"",Q308-C308,TODAY()-C308))</f>
        <v/>
      </c>
      <c r="U308" s="14" t="str">
        <f aca="true">IF(OR(P308="",Q308&lt;&gt;"",N308="キャンセル"),"",P308-TODAY())</f>
        <v/>
      </c>
      <c r="V308" s="15" t="str">
        <f aca="true">IF(D308="","",IF(OR(N308="開通済",Q308&lt;&gt;""),"完了",IF(N308="キャンセル","―",IF(AND(S308&lt;&gt;"",S308&lt;TODAY()),"対応期限超過",IF(AND(P308&lt;&gt;"",P308&lt;TODAY()),"開通予定日超過",IF(AND(S308&lt;&gt;"",S308=TODAY()),"本日対応",IF(AND(P308&lt;&gt;"",P308-TODAY()&lt;=3),"開通間近","")))))))</f>
        <v/>
      </c>
      <c r="W308" s="16"/>
      <c r="X308" s="16"/>
    </row>
    <row r="309" customFormat="false" ht="15" hidden="false" customHeight="false" outlineLevel="0" collapsed="false">
      <c r="A309" s="7" t="str">
        <f aca="false">IF(D309="","",ROW()-3)</f>
        <v/>
      </c>
      <c r="B309" s="16"/>
      <c r="C309" s="12"/>
      <c r="D309" s="16"/>
      <c r="E309" s="16"/>
      <c r="F309" s="17"/>
      <c r="G309" s="16"/>
      <c r="H309" s="16"/>
      <c r="I309" s="12"/>
      <c r="J309" s="16"/>
      <c r="K309" s="16"/>
      <c r="L309" s="16"/>
      <c r="M309" s="16"/>
      <c r="N309" s="16"/>
      <c r="O309" s="12"/>
      <c r="P309" s="12"/>
      <c r="Q309" s="12"/>
      <c r="R309" s="16"/>
      <c r="S309" s="12"/>
      <c r="T309" s="13" t="str">
        <f aca="true">IF(C309="","",IF(Q309&lt;&gt;"",Q309-C309,TODAY()-C309))</f>
        <v/>
      </c>
      <c r="U309" s="14" t="str">
        <f aca="true">IF(OR(P309="",Q309&lt;&gt;"",N309="キャンセル"),"",P309-TODAY())</f>
        <v/>
      </c>
      <c r="V309" s="15" t="str">
        <f aca="true">IF(D309="","",IF(OR(N309="開通済",Q309&lt;&gt;""),"完了",IF(N309="キャンセル","―",IF(AND(S309&lt;&gt;"",S309&lt;TODAY()),"対応期限超過",IF(AND(P309&lt;&gt;"",P309&lt;TODAY()),"開通予定日超過",IF(AND(S309&lt;&gt;"",S309=TODAY()),"本日対応",IF(AND(P309&lt;&gt;"",P309-TODAY()&lt;=3),"開通間近","")))))))</f>
        <v/>
      </c>
      <c r="W309" s="16"/>
      <c r="X309" s="16"/>
    </row>
    <row r="310" customFormat="false" ht="15" hidden="false" customHeight="false" outlineLevel="0" collapsed="false">
      <c r="A310" s="7" t="str">
        <f aca="false">IF(D310="","",ROW()-3)</f>
        <v/>
      </c>
      <c r="B310" s="16"/>
      <c r="C310" s="12"/>
      <c r="D310" s="16"/>
      <c r="E310" s="16"/>
      <c r="F310" s="17"/>
      <c r="G310" s="16"/>
      <c r="H310" s="16"/>
      <c r="I310" s="12"/>
      <c r="J310" s="16"/>
      <c r="K310" s="16"/>
      <c r="L310" s="16"/>
      <c r="M310" s="16"/>
      <c r="N310" s="16"/>
      <c r="O310" s="12"/>
      <c r="P310" s="12"/>
      <c r="Q310" s="12"/>
      <c r="R310" s="16"/>
      <c r="S310" s="12"/>
      <c r="T310" s="13" t="str">
        <f aca="true">IF(C310="","",IF(Q310&lt;&gt;"",Q310-C310,TODAY()-C310))</f>
        <v/>
      </c>
      <c r="U310" s="14" t="str">
        <f aca="true">IF(OR(P310="",Q310&lt;&gt;"",N310="キャンセル"),"",P310-TODAY())</f>
        <v/>
      </c>
      <c r="V310" s="15" t="str">
        <f aca="true">IF(D310="","",IF(OR(N310="開通済",Q310&lt;&gt;""),"完了",IF(N310="キャンセル","―",IF(AND(S310&lt;&gt;"",S310&lt;TODAY()),"対応期限超過",IF(AND(P310&lt;&gt;"",P310&lt;TODAY()),"開通予定日超過",IF(AND(S310&lt;&gt;"",S310=TODAY()),"本日対応",IF(AND(P310&lt;&gt;"",P310-TODAY()&lt;=3),"開通間近","")))))))</f>
        <v/>
      </c>
      <c r="W310" s="16"/>
      <c r="X310" s="16"/>
    </row>
    <row r="311" customFormat="false" ht="15" hidden="false" customHeight="false" outlineLevel="0" collapsed="false">
      <c r="A311" s="7" t="str">
        <f aca="false">IF(D311="","",ROW()-3)</f>
        <v/>
      </c>
      <c r="B311" s="16"/>
      <c r="C311" s="12"/>
      <c r="D311" s="16"/>
      <c r="E311" s="16"/>
      <c r="F311" s="17"/>
      <c r="G311" s="16"/>
      <c r="H311" s="16"/>
      <c r="I311" s="12"/>
      <c r="J311" s="16"/>
      <c r="K311" s="16"/>
      <c r="L311" s="16"/>
      <c r="M311" s="16"/>
      <c r="N311" s="16"/>
      <c r="O311" s="12"/>
      <c r="P311" s="12"/>
      <c r="Q311" s="12"/>
      <c r="R311" s="16"/>
      <c r="S311" s="12"/>
      <c r="T311" s="13" t="str">
        <f aca="true">IF(C311="","",IF(Q311&lt;&gt;"",Q311-C311,TODAY()-C311))</f>
        <v/>
      </c>
      <c r="U311" s="14" t="str">
        <f aca="true">IF(OR(P311="",Q311&lt;&gt;"",N311="キャンセル"),"",P311-TODAY())</f>
        <v/>
      </c>
      <c r="V311" s="15" t="str">
        <f aca="true">IF(D311="","",IF(OR(N311="開通済",Q311&lt;&gt;""),"完了",IF(N311="キャンセル","―",IF(AND(S311&lt;&gt;"",S311&lt;TODAY()),"対応期限超過",IF(AND(P311&lt;&gt;"",P311&lt;TODAY()),"開通予定日超過",IF(AND(S311&lt;&gt;"",S311=TODAY()),"本日対応",IF(AND(P311&lt;&gt;"",P311-TODAY()&lt;=3),"開通間近","")))))))</f>
        <v/>
      </c>
      <c r="W311" s="16"/>
      <c r="X311" s="16"/>
    </row>
    <row r="312" customFormat="false" ht="15" hidden="false" customHeight="false" outlineLevel="0" collapsed="false">
      <c r="A312" s="7" t="str">
        <f aca="false">IF(D312="","",ROW()-3)</f>
        <v/>
      </c>
      <c r="B312" s="16"/>
      <c r="C312" s="12"/>
      <c r="D312" s="16"/>
      <c r="E312" s="16"/>
      <c r="F312" s="17"/>
      <c r="G312" s="16"/>
      <c r="H312" s="16"/>
      <c r="I312" s="12"/>
      <c r="J312" s="16"/>
      <c r="K312" s="16"/>
      <c r="L312" s="16"/>
      <c r="M312" s="16"/>
      <c r="N312" s="16"/>
      <c r="O312" s="12"/>
      <c r="P312" s="12"/>
      <c r="Q312" s="12"/>
      <c r="R312" s="16"/>
      <c r="S312" s="12"/>
      <c r="T312" s="13" t="str">
        <f aca="true">IF(C312="","",IF(Q312&lt;&gt;"",Q312-C312,TODAY()-C312))</f>
        <v/>
      </c>
      <c r="U312" s="14" t="str">
        <f aca="true">IF(OR(P312="",Q312&lt;&gt;"",N312="キャンセル"),"",P312-TODAY())</f>
        <v/>
      </c>
      <c r="V312" s="15" t="str">
        <f aca="true">IF(D312="","",IF(OR(N312="開通済",Q312&lt;&gt;""),"完了",IF(N312="キャンセル","―",IF(AND(S312&lt;&gt;"",S312&lt;TODAY()),"対応期限超過",IF(AND(P312&lt;&gt;"",P312&lt;TODAY()),"開通予定日超過",IF(AND(S312&lt;&gt;"",S312=TODAY()),"本日対応",IF(AND(P312&lt;&gt;"",P312-TODAY()&lt;=3),"開通間近","")))))))</f>
        <v/>
      </c>
      <c r="W312" s="16"/>
      <c r="X312" s="16"/>
    </row>
    <row r="313" customFormat="false" ht="15" hidden="false" customHeight="false" outlineLevel="0" collapsed="false">
      <c r="A313" s="7" t="str">
        <f aca="false">IF(D313="","",ROW()-3)</f>
        <v/>
      </c>
      <c r="B313" s="16"/>
      <c r="C313" s="12"/>
      <c r="D313" s="16"/>
      <c r="E313" s="16"/>
      <c r="F313" s="17"/>
      <c r="G313" s="16"/>
      <c r="H313" s="16"/>
      <c r="I313" s="12"/>
      <c r="J313" s="16"/>
      <c r="K313" s="16"/>
      <c r="L313" s="16"/>
      <c r="M313" s="16"/>
      <c r="N313" s="16"/>
      <c r="O313" s="12"/>
      <c r="P313" s="12"/>
      <c r="Q313" s="12"/>
      <c r="R313" s="16"/>
      <c r="S313" s="12"/>
      <c r="T313" s="13" t="str">
        <f aca="true">IF(C313="","",IF(Q313&lt;&gt;"",Q313-C313,TODAY()-C313))</f>
        <v/>
      </c>
      <c r="U313" s="14" t="str">
        <f aca="true">IF(OR(P313="",Q313&lt;&gt;"",N313="キャンセル"),"",P313-TODAY())</f>
        <v/>
      </c>
      <c r="V313" s="15" t="str">
        <f aca="true">IF(D313="","",IF(OR(N313="開通済",Q313&lt;&gt;""),"完了",IF(N313="キャンセル","―",IF(AND(S313&lt;&gt;"",S313&lt;TODAY()),"対応期限超過",IF(AND(P313&lt;&gt;"",P313&lt;TODAY()),"開通予定日超過",IF(AND(S313&lt;&gt;"",S313=TODAY()),"本日対応",IF(AND(P313&lt;&gt;"",P313-TODAY()&lt;=3),"開通間近","")))))))</f>
        <v/>
      </c>
      <c r="W313" s="16"/>
      <c r="X313" s="16"/>
    </row>
    <row r="314" customFormat="false" ht="15" hidden="false" customHeight="false" outlineLevel="0" collapsed="false">
      <c r="A314" s="7" t="str">
        <f aca="false">IF(D314="","",ROW()-3)</f>
        <v/>
      </c>
      <c r="B314" s="16"/>
      <c r="C314" s="12"/>
      <c r="D314" s="16"/>
      <c r="E314" s="16"/>
      <c r="F314" s="17"/>
      <c r="G314" s="16"/>
      <c r="H314" s="16"/>
      <c r="I314" s="12"/>
      <c r="J314" s="16"/>
      <c r="K314" s="16"/>
      <c r="L314" s="16"/>
      <c r="M314" s="16"/>
      <c r="N314" s="16"/>
      <c r="O314" s="12"/>
      <c r="P314" s="12"/>
      <c r="Q314" s="12"/>
      <c r="R314" s="16"/>
      <c r="S314" s="12"/>
      <c r="T314" s="13" t="str">
        <f aca="true">IF(C314="","",IF(Q314&lt;&gt;"",Q314-C314,TODAY()-C314))</f>
        <v/>
      </c>
      <c r="U314" s="14" t="str">
        <f aca="true">IF(OR(P314="",Q314&lt;&gt;"",N314="キャンセル"),"",P314-TODAY())</f>
        <v/>
      </c>
      <c r="V314" s="15" t="str">
        <f aca="true">IF(D314="","",IF(OR(N314="開通済",Q314&lt;&gt;""),"完了",IF(N314="キャンセル","―",IF(AND(S314&lt;&gt;"",S314&lt;TODAY()),"対応期限超過",IF(AND(P314&lt;&gt;"",P314&lt;TODAY()),"開通予定日超過",IF(AND(S314&lt;&gt;"",S314=TODAY()),"本日対応",IF(AND(P314&lt;&gt;"",P314-TODAY()&lt;=3),"開通間近","")))))))</f>
        <v/>
      </c>
      <c r="W314" s="16"/>
      <c r="X314" s="16"/>
    </row>
    <row r="315" customFormat="false" ht="15" hidden="false" customHeight="false" outlineLevel="0" collapsed="false">
      <c r="A315" s="7" t="str">
        <f aca="false">IF(D315="","",ROW()-3)</f>
        <v/>
      </c>
      <c r="B315" s="16"/>
      <c r="C315" s="12"/>
      <c r="D315" s="16"/>
      <c r="E315" s="16"/>
      <c r="F315" s="17"/>
      <c r="G315" s="16"/>
      <c r="H315" s="16"/>
      <c r="I315" s="12"/>
      <c r="J315" s="16"/>
      <c r="K315" s="16"/>
      <c r="L315" s="16"/>
      <c r="M315" s="16"/>
      <c r="N315" s="16"/>
      <c r="O315" s="12"/>
      <c r="P315" s="12"/>
      <c r="Q315" s="12"/>
      <c r="R315" s="16"/>
      <c r="S315" s="12"/>
      <c r="T315" s="13" t="str">
        <f aca="true">IF(C315="","",IF(Q315&lt;&gt;"",Q315-C315,TODAY()-C315))</f>
        <v/>
      </c>
      <c r="U315" s="14" t="str">
        <f aca="true">IF(OR(P315="",Q315&lt;&gt;"",N315="キャンセル"),"",P315-TODAY())</f>
        <v/>
      </c>
      <c r="V315" s="15" t="str">
        <f aca="true">IF(D315="","",IF(OR(N315="開通済",Q315&lt;&gt;""),"完了",IF(N315="キャンセル","―",IF(AND(S315&lt;&gt;"",S315&lt;TODAY()),"対応期限超過",IF(AND(P315&lt;&gt;"",P315&lt;TODAY()),"開通予定日超過",IF(AND(S315&lt;&gt;"",S315=TODAY()),"本日対応",IF(AND(P315&lt;&gt;"",P315-TODAY()&lt;=3),"開通間近","")))))))</f>
        <v/>
      </c>
      <c r="W315" s="16"/>
      <c r="X315" s="16"/>
    </row>
    <row r="316" customFormat="false" ht="15" hidden="false" customHeight="false" outlineLevel="0" collapsed="false">
      <c r="A316" s="7" t="str">
        <f aca="false">IF(D316="","",ROW()-3)</f>
        <v/>
      </c>
      <c r="B316" s="16"/>
      <c r="C316" s="12"/>
      <c r="D316" s="16"/>
      <c r="E316" s="16"/>
      <c r="F316" s="17"/>
      <c r="G316" s="16"/>
      <c r="H316" s="16"/>
      <c r="I316" s="12"/>
      <c r="J316" s="16"/>
      <c r="K316" s="16"/>
      <c r="L316" s="16"/>
      <c r="M316" s="16"/>
      <c r="N316" s="16"/>
      <c r="O316" s="12"/>
      <c r="P316" s="12"/>
      <c r="Q316" s="12"/>
      <c r="R316" s="16"/>
      <c r="S316" s="12"/>
      <c r="T316" s="13" t="str">
        <f aca="true">IF(C316="","",IF(Q316&lt;&gt;"",Q316-C316,TODAY()-C316))</f>
        <v/>
      </c>
      <c r="U316" s="14" t="str">
        <f aca="true">IF(OR(P316="",Q316&lt;&gt;"",N316="キャンセル"),"",P316-TODAY())</f>
        <v/>
      </c>
      <c r="V316" s="15" t="str">
        <f aca="true">IF(D316="","",IF(OR(N316="開通済",Q316&lt;&gt;""),"完了",IF(N316="キャンセル","―",IF(AND(S316&lt;&gt;"",S316&lt;TODAY()),"対応期限超過",IF(AND(P316&lt;&gt;"",P316&lt;TODAY()),"開通予定日超過",IF(AND(S316&lt;&gt;"",S316=TODAY()),"本日対応",IF(AND(P316&lt;&gt;"",P316-TODAY()&lt;=3),"開通間近","")))))))</f>
        <v/>
      </c>
      <c r="W316" s="16"/>
      <c r="X316" s="16"/>
    </row>
    <row r="317" customFormat="false" ht="15" hidden="false" customHeight="false" outlineLevel="0" collapsed="false">
      <c r="A317" s="7" t="str">
        <f aca="false">IF(D317="","",ROW()-3)</f>
        <v/>
      </c>
      <c r="B317" s="16"/>
      <c r="C317" s="12"/>
      <c r="D317" s="16"/>
      <c r="E317" s="16"/>
      <c r="F317" s="17"/>
      <c r="G317" s="16"/>
      <c r="H317" s="16"/>
      <c r="I317" s="12"/>
      <c r="J317" s="16"/>
      <c r="K317" s="16"/>
      <c r="L317" s="16"/>
      <c r="M317" s="16"/>
      <c r="N317" s="16"/>
      <c r="O317" s="12"/>
      <c r="P317" s="12"/>
      <c r="Q317" s="12"/>
      <c r="R317" s="16"/>
      <c r="S317" s="12"/>
      <c r="T317" s="13" t="str">
        <f aca="true">IF(C317="","",IF(Q317&lt;&gt;"",Q317-C317,TODAY()-C317))</f>
        <v/>
      </c>
      <c r="U317" s="14" t="str">
        <f aca="true">IF(OR(P317="",Q317&lt;&gt;"",N317="キャンセル"),"",P317-TODAY())</f>
        <v/>
      </c>
      <c r="V317" s="15" t="str">
        <f aca="true">IF(D317="","",IF(OR(N317="開通済",Q317&lt;&gt;""),"完了",IF(N317="キャンセル","―",IF(AND(S317&lt;&gt;"",S317&lt;TODAY()),"対応期限超過",IF(AND(P317&lt;&gt;"",P317&lt;TODAY()),"開通予定日超過",IF(AND(S317&lt;&gt;"",S317=TODAY()),"本日対応",IF(AND(P317&lt;&gt;"",P317-TODAY()&lt;=3),"開通間近","")))))))</f>
        <v/>
      </c>
      <c r="W317" s="16"/>
      <c r="X317" s="16"/>
    </row>
    <row r="318" customFormat="false" ht="15" hidden="false" customHeight="false" outlineLevel="0" collapsed="false">
      <c r="A318" s="7" t="str">
        <f aca="false">IF(D318="","",ROW()-3)</f>
        <v/>
      </c>
      <c r="B318" s="16"/>
      <c r="C318" s="12"/>
      <c r="D318" s="16"/>
      <c r="E318" s="16"/>
      <c r="F318" s="17"/>
      <c r="G318" s="16"/>
      <c r="H318" s="16"/>
      <c r="I318" s="12"/>
      <c r="J318" s="16"/>
      <c r="K318" s="16"/>
      <c r="L318" s="16"/>
      <c r="M318" s="16"/>
      <c r="N318" s="16"/>
      <c r="O318" s="12"/>
      <c r="P318" s="12"/>
      <c r="Q318" s="12"/>
      <c r="R318" s="16"/>
      <c r="S318" s="12"/>
      <c r="T318" s="13" t="str">
        <f aca="true">IF(C318="","",IF(Q318&lt;&gt;"",Q318-C318,TODAY()-C318))</f>
        <v/>
      </c>
      <c r="U318" s="14" t="str">
        <f aca="true">IF(OR(P318="",Q318&lt;&gt;"",N318="キャンセル"),"",P318-TODAY())</f>
        <v/>
      </c>
      <c r="V318" s="15" t="str">
        <f aca="true">IF(D318="","",IF(OR(N318="開通済",Q318&lt;&gt;""),"完了",IF(N318="キャンセル","―",IF(AND(S318&lt;&gt;"",S318&lt;TODAY()),"対応期限超過",IF(AND(P318&lt;&gt;"",P318&lt;TODAY()),"開通予定日超過",IF(AND(S318&lt;&gt;"",S318=TODAY()),"本日対応",IF(AND(P318&lt;&gt;"",P318-TODAY()&lt;=3),"開通間近","")))))))</f>
        <v/>
      </c>
      <c r="W318" s="16"/>
      <c r="X318" s="16"/>
    </row>
    <row r="319" customFormat="false" ht="15" hidden="false" customHeight="false" outlineLevel="0" collapsed="false">
      <c r="A319" s="7" t="str">
        <f aca="false">IF(D319="","",ROW()-3)</f>
        <v/>
      </c>
      <c r="B319" s="16"/>
      <c r="C319" s="12"/>
      <c r="D319" s="16"/>
      <c r="E319" s="16"/>
      <c r="F319" s="17"/>
      <c r="G319" s="16"/>
      <c r="H319" s="16"/>
      <c r="I319" s="12"/>
      <c r="J319" s="16"/>
      <c r="K319" s="16"/>
      <c r="L319" s="16"/>
      <c r="M319" s="16"/>
      <c r="N319" s="16"/>
      <c r="O319" s="12"/>
      <c r="P319" s="12"/>
      <c r="Q319" s="12"/>
      <c r="R319" s="16"/>
      <c r="S319" s="12"/>
      <c r="T319" s="13" t="str">
        <f aca="true">IF(C319="","",IF(Q319&lt;&gt;"",Q319-C319,TODAY()-C319))</f>
        <v/>
      </c>
      <c r="U319" s="14" t="str">
        <f aca="true">IF(OR(P319="",Q319&lt;&gt;"",N319="キャンセル"),"",P319-TODAY())</f>
        <v/>
      </c>
      <c r="V319" s="15" t="str">
        <f aca="true">IF(D319="","",IF(OR(N319="開通済",Q319&lt;&gt;""),"完了",IF(N319="キャンセル","―",IF(AND(S319&lt;&gt;"",S319&lt;TODAY()),"対応期限超過",IF(AND(P319&lt;&gt;"",P319&lt;TODAY()),"開通予定日超過",IF(AND(S319&lt;&gt;"",S319=TODAY()),"本日対応",IF(AND(P319&lt;&gt;"",P319-TODAY()&lt;=3),"開通間近","")))))))</f>
        <v/>
      </c>
      <c r="W319" s="16"/>
      <c r="X319" s="16"/>
    </row>
    <row r="320" customFormat="false" ht="15" hidden="false" customHeight="false" outlineLevel="0" collapsed="false">
      <c r="A320" s="7" t="str">
        <f aca="false">IF(D320="","",ROW()-3)</f>
        <v/>
      </c>
      <c r="B320" s="16"/>
      <c r="C320" s="12"/>
      <c r="D320" s="16"/>
      <c r="E320" s="16"/>
      <c r="F320" s="17"/>
      <c r="G320" s="16"/>
      <c r="H320" s="16"/>
      <c r="I320" s="12"/>
      <c r="J320" s="16"/>
      <c r="K320" s="16"/>
      <c r="L320" s="16"/>
      <c r="M320" s="16"/>
      <c r="N320" s="16"/>
      <c r="O320" s="12"/>
      <c r="P320" s="12"/>
      <c r="Q320" s="12"/>
      <c r="R320" s="16"/>
      <c r="S320" s="12"/>
      <c r="T320" s="13" t="str">
        <f aca="true">IF(C320="","",IF(Q320&lt;&gt;"",Q320-C320,TODAY()-C320))</f>
        <v/>
      </c>
      <c r="U320" s="14" t="str">
        <f aca="true">IF(OR(P320="",Q320&lt;&gt;"",N320="キャンセル"),"",P320-TODAY())</f>
        <v/>
      </c>
      <c r="V320" s="15" t="str">
        <f aca="true">IF(D320="","",IF(OR(N320="開通済",Q320&lt;&gt;""),"完了",IF(N320="キャンセル","―",IF(AND(S320&lt;&gt;"",S320&lt;TODAY()),"対応期限超過",IF(AND(P320&lt;&gt;"",P320&lt;TODAY()),"開通予定日超過",IF(AND(S320&lt;&gt;"",S320=TODAY()),"本日対応",IF(AND(P320&lt;&gt;"",P320-TODAY()&lt;=3),"開通間近","")))))))</f>
        <v/>
      </c>
      <c r="W320" s="16"/>
      <c r="X320" s="16"/>
    </row>
    <row r="321" customFormat="false" ht="15" hidden="false" customHeight="false" outlineLevel="0" collapsed="false">
      <c r="A321" s="7" t="str">
        <f aca="false">IF(D321="","",ROW()-3)</f>
        <v/>
      </c>
      <c r="B321" s="16"/>
      <c r="C321" s="12"/>
      <c r="D321" s="16"/>
      <c r="E321" s="16"/>
      <c r="F321" s="17"/>
      <c r="G321" s="16"/>
      <c r="H321" s="16"/>
      <c r="I321" s="12"/>
      <c r="J321" s="16"/>
      <c r="K321" s="16"/>
      <c r="L321" s="16"/>
      <c r="M321" s="16"/>
      <c r="N321" s="16"/>
      <c r="O321" s="12"/>
      <c r="P321" s="12"/>
      <c r="Q321" s="12"/>
      <c r="R321" s="16"/>
      <c r="S321" s="12"/>
      <c r="T321" s="13" t="str">
        <f aca="true">IF(C321="","",IF(Q321&lt;&gt;"",Q321-C321,TODAY()-C321))</f>
        <v/>
      </c>
      <c r="U321" s="14" t="str">
        <f aca="true">IF(OR(P321="",Q321&lt;&gt;"",N321="キャンセル"),"",P321-TODAY())</f>
        <v/>
      </c>
      <c r="V321" s="15" t="str">
        <f aca="true">IF(D321="","",IF(OR(N321="開通済",Q321&lt;&gt;""),"完了",IF(N321="キャンセル","―",IF(AND(S321&lt;&gt;"",S321&lt;TODAY()),"対応期限超過",IF(AND(P321&lt;&gt;"",P321&lt;TODAY()),"開通予定日超過",IF(AND(S321&lt;&gt;"",S321=TODAY()),"本日対応",IF(AND(P321&lt;&gt;"",P321-TODAY()&lt;=3),"開通間近","")))))))</f>
        <v/>
      </c>
      <c r="W321" s="16"/>
      <c r="X321" s="16"/>
    </row>
    <row r="322" customFormat="false" ht="15" hidden="false" customHeight="false" outlineLevel="0" collapsed="false">
      <c r="A322" s="7" t="str">
        <f aca="false">IF(D322="","",ROW()-3)</f>
        <v/>
      </c>
      <c r="B322" s="16"/>
      <c r="C322" s="12"/>
      <c r="D322" s="16"/>
      <c r="E322" s="16"/>
      <c r="F322" s="17"/>
      <c r="G322" s="16"/>
      <c r="H322" s="16"/>
      <c r="I322" s="12"/>
      <c r="J322" s="16"/>
      <c r="K322" s="16"/>
      <c r="L322" s="16"/>
      <c r="M322" s="16"/>
      <c r="N322" s="16"/>
      <c r="O322" s="12"/>
      <c r="P322" s="12"/>
      <c r="Q322" s="12"/>
      <c r="R322" s="16"/>
      <c r="S322" s="12"/>
      <c r="T322" s="13" t="str">
        <f aca="true">IF(C322="","",IF(Q322&lt;&gt;"",Q322-C322,TODAY()-C322))</f>
        <v/>
      </c>
      <c r="U322" s="14" t="str">
        <f aca="true">IF(OR(P322="",Q322&lt;&gt;"",N322="キャンセル"),"",P322-TODAY())</f>
        <v/>
      </c>
      <c r="V322" s="15" t="str">
        <f aca="true">IF(D322="","",IF(OR(N322="開通済",Q322&lt;&gt;""),"完了",IF(N322="キャンセル","―",IF(AND(S322&lt;&gt;"",S322&lt;TODAY()),"対応期限超過",IF(AND(P322&lt;&gt;"",P322&lt;TODAY()),"開通予定日超過",IF(AND(S322&lt;&gt;"",S322=TODAY()),"本日対応",IF(AND(P322&lt;&gt;"",P322-TODAY()&lt;=3),"開通間近","")))))))</f>
        <v/>
      </c>
      <c r="W322" s="16"/>
      <c r="X322" s="16"/>
    </row>
    <row r="323" customFormat="false" ht="15" hidden="false" customHeight="false" outlineLevel="0" collapsed="false">
      <c r="A323" s="7" t="str">
        <f aca="false">IF(D323="","",ROW()-3)</f>
        <v/>
      </c>
      <c r="B323" s="16"/>
      <c r="C323" s="12"/>
      <c r="D323" s="16"/>
      <c r="E323" s="16"/>
      <c r="F323" s="17"/>
      <c r="G323" s="16"/>
      <c r="H323" s="16"/>
      <c r="I323" s="12"/>
      <c r="J323" s="16"/>
      <c r="K323" s="16"/>
      <c r="L323" s="16"/>
      <c r="M323" s="16"/>
      <c r="N323" s="16"/>
      <c r="O323" s="12"/>
      <c r="P323" s="12"/>
      <c r="Q323" s="12"/>
      <c r="R323" s="16"/>
      <c r="S323" s="12"/>
      <c r="T323" s="13" t="str">
        <f aca="true">IF(C323="","",IF(Q323&lt;&gt;"",Q323-C323,TODAY()-C323))</f>
        <v/>
      </c>
      <c r="U323" s="14" t="str">
        <f aca="true">IF(OR(P323="",Q323&lt;&gt;"",N323="キャンセル"),"",P323-TODAY())</f>
        <v/>
      </c>
      <c r="V323" s="15" t="str">
        <f aca="true">IF(D323="","",IF(OR(N323="開通済",Q323&lt;&gt;""),"完了",IF(N323="キャンセル","―",IF(AND(S323&lt;&gt;"",S323&lt;TODAY()),"対応期限超過",IF(AND(P323&lt;&gt;"",P323&lt;TODAY()),"開通予定日超過",IF(AND(S323&lt;&gt;"",S323=TODAY()),"本日対応",IF(AND(P323&lt;&gt;"",P323-TODAY()&lt;=3),"開通間近","")))))))</f>
        <v/>
      </c>
      <c r="W323" s="16"/>
      <c r="X323" s="16"/>
    </row>
    <row r="324" customFormat="false" ht="15" hidden="false" customHeight="false" outlineLevel="0" collapsed="false">
      <c r="A324" s="7" t="str">
        <f aca="false">IF(D324="","",ROW()-3)</f>
        <v/>
      </c>
      <c r="B324" s="16"/>
      <c r="C324" s="12"/>
      <c r="D324" s="16"/>
      <c r="E324" s="16"/>
      <c r="F324" s="17"/>
      <c r="G324" s="16"/>
      <c r="H324" s="16"/>
      <c r="I324" s="12"/>
      <c r="J324" s="16"/>
      <c r="K324" s="16"/>
      <c r="L324" s="16"/>
      <c r="M324" s="16"/>
      <c r="N324" s="16"/>
      <c r="O324" s="12"/>
      <c r="P324" s="12"/>
      <c r="Q324" s="12"/>
      <c r="R324" s="16"/>
      <c r="S324" s="12"/>
      <c r="T324" s="13" t="str">
        <f aca="true">IF(C324="","",IF(Q324&lt;&gt;"",Q324-C324,TODAY()-C324))</f>
        <v/>
      </c>
      <c r="U324" s="14" t="str">
        <f aca="true">IF(OR(P324="",Q324&lt;&gt;"",N324="キャンセル"),"",P324-TODAY())</f>
        <v/>
      </c>
      <c r="V324" s="15" t="str">
        <f aca="true">IF(D324="","",IF(OR(N324="開通済",Q324&lt;&gt;""),"完了",IF(N324="キャンセル","―",IF(AND(S324&lt;&gt;"",S324&lt;TODAY()),"対応期限超過",IF(AND(P324&lt;&gt;"",P324&lt;TODAY()),"開通予定日超過",IF(AND(S324&lt;&gt;"",S324=TODAY()),"本日対応",IF(AND(P324&lt;&gt;"",P324-TODAY()&lt;=3),"開通間近","")))))))</f>
        <v/>
      </c>
      <c r="W324" s="16"/>
      <c r="X324" s="16"/>
    </row>
    <row r="325" customFormat="false" ht="15" hidden="false" customHeight="false" outlineLevel="0" collapsed="false">
      <c r="A325" s="7" t="str">
        <f aca="false">IF(D325="","",ROW()-3)</f>
        <v/>
      </c>
      <c r="B325" s="16"/>
      <c r="C325" s="12"/>
      <c r="D325" s="16"/>
      <c r="E325" s="16"/>
      <c r="F325" s="17"/>
      <c r="G325" s="16"/>
      <c r="H325" s="16"/>
      <c r="I325" s="12"/>
      <c r="J325" s="16"/>
      <c r="K325" s="16"/>
      <c r="L325" s="16"/>
      <c r="M325" s="16"/>
      <c r="N325" s="16"/>
      <c r="O325" s="12"/>
      <c r="P325" s="12"/>
      <c r="Q325" s="12"/>
      <c r="R325" s="16"/>
      <c r="S325" s="12"/>
      <c r="T325" s="13" t="str">
        <f aca="true">IF(C325="","",IF(Q325&lt;&gt;"",Q325-C325,TODAY()-C325))</f>
        <v/>
      </c>
      <c r="U325" s="14" t="str">
        <f aca="true">IF(OR(P325="",Q325&lt;&gt;"",N325="キャンセル"),"",P325-TODAY())</f>
        <v/>
      </c>
      <c r="V325" s="15" t="str">
        <f aca="true">IF(D325="","",IF(OR(N325="開通済",Q325&lt;&gt;""),"完了",IF(N325="キャンセル","―",IF(AND(S325&lt;&gt;"",S325&lt;TODAY()),"対応期限超過",IF(AND(P325&lt;&gt;"",P325&lt;TODAY()),"開通予定日超過",IF(AND(S325&lt;&gt;"",S325=TODAY()),"本日対応",IF(AND(P325&lt;&gt;"",P325-TODAY()&lt;=3),"開通間近","")))))))</f>
        <v/>
      </c>
      <c r="W325" s="16"/>
      <c r="X325" s="16"/>
    </row>
    <row r="326" customFormat="false" ht="15" hidden="false" customHeight="false" outlineLevel="0" collapsed="false">
      <c r="A326" s="7" t="str">
        <f aca="false">IF(D326="","",ROW()-3)</f>
        <v/>
      </c>
      <c r="B326" s="16"/>
      <c r="C326" s="12"/>
      <c r="D326" s="16"/>
      <c r="E326" s="16"/>
      <c r="F326" s="17"/>
      <c r="G326" s="16"/>
      <c r="H326" s="16"/>
      <c r="I326" s="12"/>
      <c r="J326" s="16"/>
      <c r="K326" s="16"/>
      <c r="L326" s="16"/>
      <c r="M326" s="16"/>
      <c r="N326" s="16"/>
      <c r="O326" s="12"/>
      <c r="P326" s="12"/>
      <c r="Q326" s="12"/>
      <c r="R326" s="16"/>
      <c r="S326" s="12"/>
      <c r="T326" s="13" t="str">
        <f aca="true">IF(C326="","",IF(Q326&lt;&gt;"",Q326-C326,TODAY()-C326))</f>
        <v/>
      </c>
      <c r="U326" s="14" t="str">
        <f aca="true">IF(OR(P326="",Q326&lt;&gt;"",N326="キャンセル"),"",P326-TODAY())</f>
        <v/>
      </c>
      <c r="V326" s="15" t="str">
        <f aca="true">IF(D326="","",IF(OR(N326="開通済",Q326&lt;&gt;""),"完了",IF(N326="キャンセル","―",IF(AND(S326&lt;&gt;"",S326&lt;TODAY()),"対応期限超過",IF(AND(P326&lt;&gt;"",P326&lt;TODAY()),"開通予定日超過",IF(AND(S326&lt;&gt;"",S326=TODAY()),"本日対応",IF(AND(P326&lt;&gt;"",P326-TODAY()&lt;=3),"開通間近","")))))))</f>
        <v/>
      </c>
      <c r="W326" s="16"/>
      <c r="X326" s="16"/>
    </row>
    <row r="327" customFormat="false" ht="15" hidden="false" customHeight="false" outlineLevel="0" collapsed="false">
      <c r="A327" s="7" t="str">
        <f aca="false">IF(D327="","",ROW()-3)</f>
        <v/>
      </c>
      <c r="B327" s="16"/>
      <c r="C327" s="12"/>
      <c r="D327" s="16"/>
      <c r="E327" s="16"/>
      <c r="F327" s="17"/>
      <c r="G327" s="16"/>
      <c r="H327" s="16"/>
      <c r="I327" s="12"/>
      <c r="J327" s="16"/>
      <c r="K327" s="16"/>
      <c r="L327" s="16"/>
      <c r="M327" s="16"/>
      <c r="N327" s="16"/>
      <c r="O327" s="12"/>
      <c r="P327" s="12"/>
      <c r="Q327" s="12"/>
      <c r="R327" s="16"/>
      <c r="S327" s="12"/>
      <c r="T327" s="13" t="str">
        <f aca="true">IF(C327="","",IF(Q327&lt;&gt;"",Q327-C327,TODAY()-C327))</f>
        <v/>
      </c>
      <c r="U327" s="14" t="str">
        <f aca="true">IF(OR(P327="",Q327&lt;&gt;"",N327="キャンセル"),"",P327-TODAY())</f>
        <v/>
      </c>
      <c r="V327" s="15" t="str">
        <f aca="true">IF(D327="","",IF(OR(N327="開通済",Q327&lt;&gt;""),"完了",IF(N327="キャンセル","―",IF(AND(S327&lt;&gt;"",S327&lt;TODAY()),"対応期限超過",IF(AND(P327&lt;&gt;"",P327&lt;TODAY()),"開通予定日超過",IF(AND(S327&lt;&gt;"",S327=TODAY()),"本日対応",IF(AND(P327&lt;&gt;"",P327-TODAY()&lt;=3),"開通間近","")))))))</f>
        <v/>
      </c>
      <c r="W327" s="16"/>
      <c r="X327" s="16"/>
    </row>
    <row r="328" customFormat="false" ht="15" hidden="false" customHeight="false" outlineLevel="0" collapsed="false">
      <c r="A328" s="7" t="str">
        <f aca="false">IF(D328="","",ROW()-3)</f>
        <v/>
      </c>
      <c r="B328" s="16"/>
      <c r="C328" s="12"/>
      <c r="D328" s="16"/>
      <c r="E328" s="16"/>
      <c r="F328" s="17"/>
      <c r="G328" s="16"/>
      <c r="H328" s="16"/>
      <c r="I328" s="12"/>
      <c r="J328" s="16"/>
      <c r="K328" s="16"/>
      <c r="L328" s="16"/>
      <c r="M328" s="16"/>
      <c r="N328" s="16"/>
      <c r="O328" s="12"/>
      <c r="P328" s="12"/>
      <c r="Q328" s="12"/>
      <c r="R328" s="16"/>
      <c r="S328" s="12"/>
      <c r="T328" s="13" t="str">
        <f aca="true">IF(C328="","",IF(Q328&lt;&gt;"",Q328-C328,TODAY()-C328))</f>
        <v/>
      </c>
      <c r="U328" s="14" t="str">
        <f aca="true">IF(OR(P328="",Q328&lt;&gt;"",N328="キャンセル"),"",P328-TODAY())</f>
        <v/>
      </c>
      <c r="V328" s="15" t="str">
        <f aca="true">IF(D328="","",IF(OR(N328="開通済",Q328&lt;&gt;""),"完了",IF(N328="キャンセル","―",IF(AND(S328&lt;&gt;"",S328&lt;TODAY()),"対応期限超過",IF(AND(P328&lt;&gt;"",P328&lt;TODAY()),"開通予定日超過",IF(AND(S328&lt;&gt;"",S328=TODAY()),"本日対応",IF(AND(P328&lt;&gt;"",P328-TODAY()&lt;=3),"開通間近","")))))))</f>
        <v/>
      </c>
      <c r="W328" s="16"/>
      <c r="X328" s="16"/>
    </row>
    <row r="329" customFormat="false" ht="15" hidden="false" customHeight="false" outlineLevel="0" collapsed="false">
      <c r="A329" s="7" t="str">
        <f aca="false">IF(D329="","",ROW()-3)</f>
        <v/>
      </c>
      <c r="B329" s="16"/>
      <c r="C329" s="12"/>
      <c r="D329" s="16"/>
      <c r="E329" s="16"/>
      <c r="F329" s="17"/>
      <c r="G329" s="16"/>
      <c r="H329" s="16"/>
      <c r="I329" s="12"/>
      <c r="J329" s="16"/>
      <c r="K329" s="16"/>
      <c r="L329" s="16"/>
      <c r="M329" s="16"/>
      <c r="N329" s="16"/>
      <c r="O329" s="12"/>
      <c r="P329" s="12"/>
      <c r="Q329" s="12"/>
      <c r="R329" s="16"/>
      <c r="S329" s="12"/>
      <c r="T329" s="13" t="str">
        <f aca="true">IF(C329="","",IF(Q329&lt;&gt;"",Q329-C329,TODAY()-C329))</f>
        <v/>
      </c>
      <c r="U329" s="14" t="str">
        <f aca="true">IF(OR(P329="",Q329&lt;&gt;"",N329="キャンセル"),"",P329-TODAY())</f>
        <v/>
      </c>
      <c r="V329" s="15" t="str">
        <f aca="true">IF(D329="","",IF(OR(N329="開通済",Q329&lt;&gt;""),"完了",IF(N329="キャンセル","―",IF(AND(S329&lt;&gt;"",S329&lt;TODAY()),"対応期限超過",IF(AND(P329&lt;&gt;"",P329&lt;TODAY()),"開通予定日超過",IF(AND(S329&lt;&gt;"",S329=TODAY()),"本日対応",IF(AND(P329&lt;&gt;"",P329-TODAY()&lt;=3),"開通間近","")))))))</f>
        <v/>
      </c>
      <c r="W329" s="16"/>
      <c r="X329" s="16"/>
    </row>
    <row r="330" customFormat="false" ht="15" hidden="false" customHeight="false" outlineLevel="0" collapsed="false">
      <c r="A330" s="7" t="str">
        <f aca="false">IF(D330="","",ROW()-3)</f>
        <v/>
      </c>
      <c r="B330" s="16"/>
      <c r="C330" s="12"/>
      <c r="D330" s="16"/>
      <c r="E330" s="16"/>
      <c r="F330" s="17"/>
      <c r="G330" s="16"/>
      <c r="H330" s="16"/>
      <c r="I330" s="12"/>
      <c r="J330" s="16"/>
      <c r="K330" s="16"/>
      <c r="L330" s="16"/>
      <c r="M330" s="16"/>
      <c r="N330" s="16"/>
      <c r="O330" s="12"/>
      <c r="P330" s="12"/>
      <c r="Q330" s="12"/>
      <c r="R330" s="16"/>
      <c r="S330" s="12"/>
      <c r="T330" s="13" t="str">
        <f aca="true">IF(C330="","",IF(Q330&lt;&gt;"",Q330-C330,TODAY()-C330))</f>
        <v/>
      </c>
      <c r="U330" s="14" t="str">
        <f aca="true">IF(OR(P330="",Q330&lt;&gt;"",N330="キャンセル"),"",P330-TODAY())</f>
        <v/>
      </c>
      <c r="V330" s="15" t="str">
        <f aca="true">IF(D330="","",IF(OR(N330="開通済",Q330&lt;&gt;""),"完了",IF(N330="キャンセル","―",IF(AND(S330&lt;&gt;"",S330&lt;TODAY()),"対応期限超過",IF(AND(P330&lt;&gt;"",P330&lt;TODAY()),"開通予定日超過",IF(AND(S330&lt;&gt;"",S330=TODAY()),"本日対応",IF(AND(P330&lt;&gt;"",P330-TODAY()&lt;=3),"開通間近","")))))))</f>
        <v/>
      </c>
      <c r="W330" s="16"/>
      <c r="X330" s="16"/>
    </row>
    <row r="331" customFormat="false" ht="15" hidden="false" customHeight="false" outlineLevel="0" collapsed="false">
      <c r="A331" s="7" t="str">
        <f aca="false">IF(D331="","",ROW()-3)</f>
        <v/>
      </c>
      <c r="B331" s="16"/>
      <c r="C331" s="12"/>
      <c r="D331" s="16"/>
      <c r="E331" s="16"/>
      <c r="F331" s="17"/>
      <c r="G331" s="16"/>
      <c r="H331" s="16"/>
      <c r="I331" s="12"/>
      <c r="J331" s="16"/>
      <c r="K331" s="16"/>
      <c r="L331" s="16"/>
      <c r="M331" s="16"/>
      <c r="N331" s="16"/>
      <c r="O331" s="12"/>
      <c r="P331" s="12"/>
      <c r="Q331" s="12"/>
      <c r="R331" s="16"/>
      <c r="S331" s="12"/>
      <c r="T331" s="13" t="str">
        <f aca="true">IF(C331="","",IF(Q331&lt;&gt;"",Q331-C331,TODAY()-C331))</f>
        <v/>
      </c>
      <c r="U331" s="14" t="str">
        <f aca="true">IF(OR(P331="",Q331&lt;&gt;"",N331="キャンセル"),"",P331-TODAY())</f>
        <v/>
      </c>
      <c r="V331" s="15" t="str">
        <f aca="true">IF(D331="","",IF(OR(N331="開通済",Q331&lt;&gt;""),"完了",IF(N331="キャンセル","―",IF(AND(S331&lt;&gt;"",S331&lt;TODAY()),"対応期限超過",IF(AND(P331&lt;&gt;"",P331&lt;TODAY()),"開通予定日超過",IF(AND(S331&lt;&gt;"",S331=TODAY()),"本日対応",IF(AND(P331&lt;&gt;"",P331-TODAY()&lt;=3),"開通間近","")))))))</f>
        <v/>
      </c>
      <c r="W331" s="16"/>
      <c r="X331" s="16"/>
    </row>
    <row r="332" customFormat="false" ht="15" hidden="false" customHeight="false" outlineLevel="0" collapsed="false">
      <c r="A332" s="7" t="str">
        <f aca="false">IF(D332="","",ROW()-3)</f>
        <v/>
      </c>
      <c r="B332" s="16"/>
      <c r="C332" s="12"/>
      <c r="D332" s="16"/>
      <c r="E332" s="16"/>
      <c r="F332" s="17"/>
      <c r="G332" s="16"/>
      <c r="H332" s="16"/>
      <c r="I332" s="12"/>
      <c r="J332" s="16"/>
      <c r="K332" s="16"/>
      <c r="L332" s="16"/>
      <c r="M332" s="16"/>
      <c r="N332" s="16"/>
      <c r="O332" s="12"/>
      <c r="P332" s="12"/>
      <c r="Q332" s="12"/>
      <c r="R332" s="16"/>
      <c r="S332" s="12"/>
      <c r="T332" s="13" t="str">
        <f aca="true">IF(C332="","",IF(Q332&lt;&gt;"",Q332-C332,TODAY()-C332))</f>
        <v/>
      </c>
      <c r="U332" s="14" t="str">
        <f aca="true">IF(OR(P332="",Q332&lt;&gt;"",N332="キャンセル"),"",P332-TODAY())</f>
        <v/>
      </c>
      <c r="V332" s="15" t="str">
        <f aca="true">IF(D332="","",IF(OR(N332="開通済",Q332&lt;&gt;""),"完了",IF(N332="キャンセル","―",IF(AND(S332&lt;&gt;"",S332&lt;TODAY()),"対応期限超過",IF(AND(P332&lt;&gt;"",P332&lt;TODAY()),"開通予定日超過",IF(AND(S332&lt;&gt;"",S332=TODAY()),"本日対応",IF(AND(P332&lt;&gt;"",P332-TODAY()&lt;=3),"開通間近","")))))))</f>
        <v/>
      </c>
      <c r="W332" s="16"/>
      <c r="X332" s="16"/>
    </row>
    <row r="333" customFormat="false" ht="15" hidden="false" customHeight="false" outlineLevel="0" collapsed="false">
      <c r="A333" s="7" t="str">
        <f aca="false">IF(D333="","",ROW()-3)</f>
        <v/>
      </c>
      <c r="B333" s="16"/>
      <c r="C333" s="12"/>
      <c r="D333" s="16"/>
      <c r="E333" s="16"/>
      <c r="F333" s="17"/>
      <c r="G333" s="16"/>
      <c r="H333" s="16"/>
      <c r="I333" s="12"/>
      <c r="J333" s="16"/>
      <c r="K333" s="16"/>
      <c r="L333" s="16"/>
      <c r="M333" s="16"/>
      <c r="N333" s="16"/>
      <c r="O333" s="12"/>
      <c r="P333" s="12"/>
      <c r="Q333" s="12"/>
      <c r="R333" s="16"/>
      <c r="S333" s="12"/>
      <c r="T333" s="13" t="str">
        <f aca="true">IF(C333="","",IF(Q333&lt;&gt;"",Q333-C333,TODAY()-C333))</f>
        <v/>
      </c>
      <c r="U333" s="14" t="str">
        <f aca="true">IF(OR(P333="",Q333&lt;&gt;"",N333="キャンセル"),"",P333-TODAY())</f>
        <v/>
      </c>
      <c r="V333" s="15" t="str">
        <f aca="true">IF(D333="","",IF(OR(N333="開通済",Q333&lt;&gt;""),"完了",IF(N333="キャンセル","―",IF(AND(S333&lt;&gt;"",S333&lt;TODAY()),"対応期限超過",IF(AND(P333&lt;&gt;"",P333&lt;TODAY()),"開通予定日超過",IF(AND(S333&lt;&gt;"",S333=TODAY()),"本日対応",IF(AND(P333&lt;&gt;"",P333-TODAY()&lt;=3),"開通間近","")))))))</f>
        <v/>
      </c>
      <c r="W333" s="16"/>
      <c r="X333" s="16"/>
    </row>
    <row r="334" customFormat="false" ht="15" hidden="false" customHeight="false" outlineLevel="0" collapsed="false">
      <c r="A334" s="7" t="str">
        <f aca="false">IF(D334="","",ROW()-3)</f>
        <v/>
      </c>
      <c r="B334" s="16"/>
      <c r="C334" s="12"/>
      <c r="D334" s="16"/>
      <c r="E334" s="16"/>
      <c r="F334" s="17"/>
      <c r="G334" s="16"/>
      <c r="H334" s="16"/>
      <c r="I334" s="12"/>
      <c r="J334" s="16"/>
      <c r="K334" s="16"/>
      <c r="L334" s="16"/>
      <c r="M334" s="16"/>
      <c r="N334" s="16"/>
      <c r="O334" s="12"/>
      <c r="P334" s="12"/>
      <c r="Q334" s="12"/>
      <c r="R334" s="16"/>
      <c r="S334" s="12"/>
      <c r="T334" s="13" t="str">
        <f aca="true">IF(C334="","",IF(Q334&lt;&gt;"",Q334-C334,TODAY()-C334))</f>
        <v/>
      </c>
      <c r="U334" s="14" t="str">
        <f aca="true">IF(OR(P334="",Q334&lt;&gt;"",N334="キャンセル"),"",P334-TODAY())</f>
        <v/>
      </c>
      <c r="V334" s="15" t="str">
        <f aca="true">IF(D334="","",IF(OR(N334="開通済",Q334&lt;&gt;""),"完了",IF(N334="キャンセル","―",IF(AND(S334&lt;&gt;"",S334&lt;TODAY()),"対応期限超過",IF(AND(P334&lt;&gt;"",P334&lt;TODAY()),"開通予定日超過",IF(AND(S334&lt;&gt;"",S334=TODAY()),"本日対応",IF(AND(P334&lt;&gt;"",P334-TODAY()&lt;=3),"開通間近","")))))))</f>
        <v/>
      </c>
      <c r="W334" s="16"/>
      <c r="X334" s="16"/>
    </row>
    <row r="335" customFormat="false" ht="15" hidden="false" customHeight="false" outlineLevel="0" collapsed="false">
      <c r="A335" s="7" t="str">
        <f aca="false">IF(D335="","",ROW()-3)</f>
        <v/>
      </c>
      <c r="B335" s="16"/>
      <c r="C335" s="12"/>
      <c r="D335" s="16"/>
      <c r="E335" s="16"/>
      <c r="F335" s="17"/>
      <c r="G335" s="16"/>
      <c r="H335" s="16"/>
      <c r="I335" s="12"/>
      <c r="J335" s="16"/>
      <c r="K335" s="16"/>
      <c r="L335" s="16"/>
      <c r="M335" s="16"/>
      <c r="N335" s="16"/>
      <c r="O335" s="12"/>
      <c r="P335" s="12"/>
      <c r="Q335" s="12"/>
      <c r="R335" s="16"/>
      <c r="S335" s="12"/>
      <c r="T335" s="13" t="str">
        <f aca="true">IF(C335="","",IF(Q335&lt;&gt;"",Q335-C335,TODAY()-C335))</f>
        <v/>
      </c>
      <c r="U335" s="14" t="str">
        <f aca="true">IF(OR(P335="",Q335&lt;&gt;"",N335="キャンセル"),"",P335-TODAY())</f>
        <v/>
      </c>
      <c r="V335" s="15" t="str">
        <f aca="true">IF(D335="","",IF(OR(N335="開通済",Q335&lt;&gt;""),"完了",IF(N335="キャンセル","―",IF(AND(S335&lt;&gt;"",S335&lt;TODAY()),"対応期限超過",IF(AND(P335&lt;&gt;"",P335&lt;TODAY()),"開通予定日超過",IF(AND(S335&lt;&gt;"",S335=TODAY()),"本日対応",IF(AND(P335&lt;&gt;"",P335-TODAY()&lt;=3),"開通間近","")))))))</f>
        <v/>
      </c>
      <c r="W335" s="16"/>
      <c r="X335" s="16"/>
    </row>
    <row r="336" customFormat="false" ht="15" hidden="false" customHeight="false" outlineLevel="0" collapsed="false">
      <c r="A336" s="7" t="str">
        <f aca="false">IF(D336="","",ROW()-3)</f>
        <v/>
      </c>
      <c r="B336" s="16"/>
      <c r="C336" s="12"/>
      <c r="D336" s="16"/>
      <c r="E336" s="16"/>
      <c r="F336" s="17"/>
      <c r="G336" s="16"/>
      <c r="H336" s="16"/>
      <c r="I336" s="12"/>
      <c r="J336" s="16"/>
      <c r="K336" s="16"/>
      <c r="L336" s="16"/>
      <c r="M336" s="16"/>
      <c r="N336" s="16"/>
      <c r="O336" s="12"/>
      <c r="P336" s="12"/>
      <c r="Q336" s="12"/>
      <c r="R336" s="16"/>
      <c r="S336" s="12"/>
      <c r="T336" s="13" t="str">
        <f aca="true">IF(C336="","",IF(Q336&lt;&gt;"",Q336-C336,TODAY()-C336))</f>
        <v/>
      </c>
      <c r="U336" s="14" t="str">
        <f aca="true">IF(OR(P336="",Q336&lt;&gt;"",N336="キャンセル"),"",P336-TODAY())</f>
        <v/>
      </c>
      <c r="V336" s="15" t="str">
        <f aca="true">IF(D336="","",IF(OR(N336="開通済",Q336&lt;&gt;""),"完了",IF(N336="キャンセル","―",IF(AND(S336&lt;&gt;"",S336&lt;TODAY()),"対応期限超過",IF(AND(P336&lt;&gt;"",P336&lt;TODAY()),"開通予定日超過",IF(AND(S336&lt;&gt;"",S336=TODAY()),"本日対応",IF(AND(P336&lt;&gt;"",P336-TODAY()&lt;=3),"開通間近","")))))))</f>
        <v/>
      </c>
      <c r="W336" s="16"/>
      <c r="X336" s="16"/>
    </row>
    <row r="337" customFormat="false" ht="15" hidden="false" customHeight="false" outlineLevel="0" collapsed="false">
      <c r="A337" s="7" t="str">
        <f aca="false">IF(D337="","",ROW()-3)</f>
        <v/>
      </c>
      <c r="B337" s="16"/>
      <c r="C337" s="12"/>
      <c r="D337" s="16"/>
      <c r="E337" s="16"/>
      <c r="F337" s="17"/>
      <c r="G337" s="16"/>
      <c r="H337" s="16"/>
      <c r="I337" s="12"/>
      <c r="J337" s="16"/>
      <c r="K337" s="16"/>
      <c r="L337" s="16"/>
      <c r="M337" s="16"/>
      <c r="N337" s="16"/>
      <c r="O337" s="12"/>
      <c r="P337" s="12"/>
      <c r="Q337" s="12"/>
      <c r="R337" s="16"/>
      <c r="S337" s="12"/>
      <c r="T337" s="13" t="str">
        <f aca="true">IF(C337="","",IF(Q337&lt;&gt;"",Q337-C337,TODAY()-C337))</f>
        <v/>
      </c>
      <c r="U337" s="14" t="str">
        <f aca="true">IF(OR(P337="",Q337&lt;&gt;"",N337="キャンセル"),"",P337-TODAY())</f>
        <v/>
      </c>
      <c r="V337" s="15" t="str">
        <f aca="true">IF(D337="","",IF(OR(N337="開通済",Q337&lt;&gt;""),"完了",IF(N337="キャンセル","―",IF(AND(S337&lt;&gt;"",S337&lt;TODAY()),"対応期限超過",IF(AND(P337&lt;&gt;"",P337&lt;TODAY()),"開通予定日超過",IF(AND(S337&lt;&gt;"",S337=TODAY()),"本日対応",IF(AND(P337&lt;&gt;"",P337-TODAY()&lt;=3),"開通間近","")))))))</f>
        <v/>
      </c>
      <c r="W337" s="16"/>
      <c r="X337" s="16"/>
    </row>
    <row r="338" customFormat="false" ht="15" hidden="false" customHeight="false" outlineLevel="0" collapsed="false">
      <c r="A338" s="7" t="str">
        <f aca="false">IF(D338="","",ROW()-3)</f>
        <v/>
      </c>
      <c r="B338" s="16"/>
      <c r="C338" s="12"/>
      <c r="D338" s="16"/>
      <c r="E338" s="16"/>
      <c r="F338" s="17"/>
      <c r="G338" s="16"/>
      <c r="H338" s="16"/>
      <c r="I338" s="12"/>
      <c r="J338" s="16"/>
      <c r="K338" s="16"/>
      <c r="L338" s="16"/>
      <c r="M338" s="16"/>
      <c r="N338" s="16"/>
      <c r="O338" s="12"/>
      <c r="P338" s="12"/>
      <c r="Q338" s="12"/>
      <c r="R338" s="16"/>
      <c r="S338" s="12"/>
      <c r="T338" s="13" t="str">
        <f aca="true">IF(C338="","",IF(Q338&lt;&gt;"",Q338-C338,TODAY()-C338))</f>
        <v/>
      </c>
      <c r="U338" s="14" t="str">
        <f aca="true">IF(OR(P338="",Q338&lt;&gt;"",N338="キャンセル"),"",P338-TODAY())</f>
        <v/>
      </c>
      <c r="V338" s="15" t="str">
        <f aca="true">IF(D338="","",IF(OR(N338="開通済",Q338&lt;&gt;""),"完了",IF(N338="キャンセル","―",IF(AND(S338&lt;&gt;"",S338&lt;TODAY()),"対応期限超過",IF(AND(P338&lt;&gt;"",P338&lt;TODAY()),"開通予定日超過",IF(AND(S338&lt;&gt;"",S338=TODAY()),"本日対応",IF(AND(P338&lt;&gt;"",P338-TODAY()&lt;=3),"開通間近","")))))))</f>
        <v/>
      </c>
      <c r="W338" s="16"/>
      <c r="X338" s="16"/>
    </row>
    <row r="339" customFormat="false" ht="15" hidden="false" customHeight="false" outlineLevel="0" collapsed="false">
      <c r="A339" s="7" t="str">
        <f aca="false">IF(D339="","",ROW()-3)</f>
        <v/>
      </c>
      <c r="B339" s="16"/>
      <c r="C339" s="12"/>
      <c r="D339" s="16"/>
      <c r="E339" s="16"/>
      <c r="F339" s="17"/>
      <c r="G339" s="16"/>
      <c r="H339" s="16"/>
      <c r="I339" s="12"/>
      <c r="J339" s="16"/>
      <c r="K339" s="16"/>
      <c r="L339" s="16"/>
      <c r="M339" s="16"/>
      <c r="N339" s="16"/>
      <c r="O339" s="12"/>
      <c r="P339" s="12"/>
      <c r="Q339" s="12"/>
      <c r="R339" s="16"/>
      <c r="S339" s="12"/>
      <c r="T339" s="13" t="str">
        <f aca="true">IF(C339="","",IF(Q339&lt;&gt;"",Q339-C339,TODAY()-C339))</f>
        <v/>
      </c>
      <c r="U339" s="14" t="str">
        <f aca="true">IF(OR(P339="",Q339&lt;&gt;"",N339="キャンセル"),"",P339-TODAY())</f>
        <v/>
      </c>
      <c r="V339" s="15" t="str">
        <f aca="true">IF(D339="","",IF(OR(N339="開通済",Q339&lt;&gt;""),"完了",IF(N339="キャンセル","―",IF(AND(S339&lt;&gt;"",S339&lt;TODAY()),"対応期限超過",IF(AND(P339&lt;&gt;"",P339&lt;TODAY()),"開通予定日超過",IF(AND(S339&lt;&gt;"",S339=TODAY()),"本日対応",IF(AND(P339&lt;&gt;"",P339-TODAY()&lt;=3),"開通間近","")))))))</f>
        <v/>
      </c>
      <c r="W339" s="16"/>
      <c r="X339" s="16"/>
    </row>
    <row r="340" customFormat="false" ht="15" hidden="false" customHeight="false" outlineLevel="0" collapsed="false">
      <c r="A340" s="7" t="str">
        <f aca="false">IF(D340="","",ROW()-3)</f>
        <v/>
      </c>
      <c r="B340" s="16"/>
      <c r="C340" s="12"/>
      <c r="D340" s="16"/>
      <c r="E340" s="16"/>
      <c r="F340" s="17"/>
      <c r="G340" s="16"/>
      <c r="H340" s="16"/>
      <c r="I340" s="12"/>
      <c r="J340" s="16"/>
      <c r="K340" s="16"/>
      <c r="L340" s="16"/>
      <c r="M340" s="16"/>
      <c r="N340" s="16"/>
      <c r="O340" s="12"/>
      <c r="P340" s="12"/>
      <c r="Q340" s="12"/>
      <c r="R340" s="16"/>
      <c r="S340" s="12"/>
      <c r="T340" s="13" t="str">
        <f aca="true">IF(C340="","",IF(Q340&lt;&gt;"",Q340-C340,TODAY()-C340))</f>
        <v/>
      </c>
      <c r="U340" s="14" t="str">
        <f aca="true">IF(OR(P340="",Q340&lt;&gt;"",N340="キャンセル"),"",P340-TODAY())</f>
        <v/>
      </c>
      <c r="V340" s="15" t="str">
        <f aca="true">IF(D340="","",IF(OR(N340="開通済",Q340&lt;&gt;""),"完了",IF(N340="キャンセル","―",IF(AND(S340&lt;&gt;"",S340&lt;TODAY()),"対応期限超過",IF(AND(P340&lt;&gt;"",P340&lt;TODAY()),"開通予定日超過",IF(AND(S340&lt;&gt;"",S340=TODAY()),"本日対応",IF(AND(P340&lt;&gt;"",P340-TODAY()&lt;=3),"開通間近","")))))))</f>
        <v/>
      </c>
      <c r="W340" s="16"/>
      <c r="X340" s="16"/>
    </row>
    <row r="341" customFormat="false" ht="15" hidden="false" customHeight="false" outlineLevel="0" collapsed="false">
      <c r="A341" s="7" t="str">
        <f aca="false">IF(D341="","",ROW()-3)</f>
        <v/>
      </c>
      <c r="B341" s="16"/>
      <c r="C341" s="12"/>
      <c r="D341" s="16"/>
      <c r="E341" s="16"/>
      <c r="F341" s="17"/>
      <c r="G341" s="16"/>
      <c r="H341" s="16"/>
      <c r="I341" s="12"/>
      <c r="J341" s="16"/>
      <c r="K341" s="16"/>
      <c r="L341" s="16"/>
      <c r="M341" s="16"/>
      <c r="N341" s="16"/>
      <c r="O341" s="12"/>
      <c r="P341" s="12"/>
      <c r="Q341" s="12"/>
      <c r="R341" s="16"/>
      <c r="S341" s="12"/>
      <c r="T341" s="13" t="str">
        <f aca="true">IF(C341="","",IF(Q341&lt;&gt;"",Q341-C341,TODAY()-C341))</f>
        <v/>
      </c>
      <c r="U341" s="14" t="str">
        <f aca="true">IF(OR(P341="",Q341&lt;&gt;"",N341="キャンセル"),"",P341-TODAY())</f>
        <v/>
      </c>
      <c r="V341" s="15" t="str">
        <f aca="true">IF(D341="","",IF(OR(N341="開通済",Q341&lt;&gt;""),"完了",IF(N341="キャンセル","―",IF(AND(S341&lt;&gt;"",S341&lt;TODAY()),"対応期限超過",IF(AND(P341&lt;&gt;"",P341&lt;TODAY()),"開通予定日超過",IF(AND(S341&lt;&gt;"",S341=TODAY()),"本日対応",IF(AND(P341&lt;&gt;"",P341-TODAY()&lt;=3),"開通間近","")))))))</f>
        <v/>
      </c>
      <c r="W341" s="16"/>
      <c r="X341" s="16"/>
    </row>
    <row r="342" customFormat="false" ht="15" hidden="false" customHeight="false" outlineLevel="0" collapsed="false">
      <c r="A342" s="7" t="str">
        <f aca="false">IF(D342="","",ROW()-3)</f>
        <v/>
      </c>
      <c r="B342" s="16"/>
      <c r="C342" s="12"/>
      <c r="D342" s="16"/>
      <c r="E342" s="16"/>
      <c r="F342" s="17"/>
      <c r="G342" s="16"/>
      <c r="H342" s="16"/>
      <c r="I342" s="12"/>
      <c r="J342" s="16"/>
      <c r="K342" s="16"/>
      <c r="L342" s="16"/>
      <c r="M342" s="16"/>
      <c r="N342" s="16"/>
      <c r="O342" s="12"/>
      <c r="P342" s="12"/>
      <c r="Q342" s="12"/>
      <c r="R342" s="16"/>
      <c r="S342" s="12"/>
      <c r="T342" s="13" t="str">
        <f aca="true">IF(C342="","",IF(Q342&lt;&gt;"",Q342-C342,TODAY()-C342))</f>
        <v/>
      </c>
      <c r="U342" s="14" t="str">
        <f aca="true">IF(OR(P342="",Q342&lt;&gt;"",N342="キャンセル"),"",P342-TODAY())</f>
        <v/>
      </c>
      <c r="V342" s="15" t="str">
        <f aca="true">IF(D342="","",IF(OR(N342="開通済",Q342&lt;&gt;""),"完了",IF(N342="キャンセル","―",IF(AND(S342&lt;&gt;"",S342&lt;TODAY()),"対応期限超過",IF(AND(P342&lt;&gt;"",P342&lt;TODAY()),"開通予定日超過",IF(AND(S342&lt;&gt;"",S342=TODAY()),"本日対応",IF(AND(P342&lt;&gt;"",P342-TODAY()&lt;=3),"開通間近","")))))))</f>
        <v/>
      </c>
      <c r="W342" s="16"/>
      <c r="X342" s="16"/>
    </row>
    <row r="343" customFormat="false" ht="15" hidden="false" customHeight="false" outlineLevel="0" collapsed="false">
      <c r="A343" s="7" t="str">
        <f aca="false">IF(D343="","",ROW()-3)</f>
        <v/>
      </c>
      <c r="B343" s="16"/>
      <c r="C343" s="12"/>
      <c r="D343" s="16"/>
      <c r="E343" s="16"/>
      <c r="F343" s="17"/>
      <c r="G343" s="16"/>
      <c r="H343" s="16"/>
      <c r="I343" s="12"/>
      <c r="J343" s="16"/>
      <c r="K343" s="16"/>
      <c r="L343" s="16"/>
      <c r="M343" s="16"/>
      <c r="N343" s="16"/>
      <c r="O343" s="12"/>
      <c r="P343" s="12"/>
      <c r="Q343" s="12"/>
      <c r="R343" s="16"/>
      <c r="S343" s="12"/>
      <c r="T343" s="13" t="str">
        <f aca="true">IF(C343="","",IF(Q343&lt;&gt;"",Q343-C343,TODAY()-C343))</f>
        <v/>
      </c>
      <c r="U343" s="14" t="str">
        <f aca="true">IF(OR(P343="",Q343&lt;&gt;"",N343="キャンセル"),"",P343-TODAY())</f>
        <v/>
      </c>
      <c r="V343" s="15" t="str">
        <f aca="true">IF(D343="","",IF(OR(N343="開通済",Q343&lt;&gt;""),"完了",IF(N343="キャンセル","―",IF(AND(S343&lt;&gt;"",S343&lt;TODAY()),"対応期限超過",IF(AND(P343&lt;&gt;"",P343&lt;TODAY()),"開通予定日超過",IF(AND(S343&lt;&gt;"",S343=TODAY()),"本日対応",IF(AND(P343&lt;&gt;"",P343-TODAY()&lt;=3),"開通間近","")))))))</f>
        <v/>
      </c>
      <c r="W343" s="16"/>
      <c r="X343" s="16"/>
    </row>
    <row r="344" customFormat="false" ht="15" hidden="false" customHeight="false" outlineLevel="0" collapsed="false">
      <c r="A344" s="7" t="str">
        <f aca="false">IF(D344="","",ROW()-3)</f>
        <v/>
      </c>
      <c r="B344" s="16"/>
      <c r="C344" s="12"/>
      <c r="D344" s="16"/>
      <c r="E344" s="16"/>
      <c r="F344" s="17"/>
      <c r="G344" s="16"/>
      <c r="H344" s="16"/>
      <c r="I344" s="12"/>
      <c r="J344" s="16"/>
      <c r="K344" s="16"/>
      <c r="L344" s="16"/>
      <c r="M344" s="16"/>
      <c r="N344" s="16"/>
      <c r="O344" s="12"/>
      <c r="P344" s="12"/>
      <c r="Q344" s="12"/>
      <c r="R344" s="16"/>
      <c r="S344" s="12"/>
      <c r="T344" s="13" t="str">
        <f aca="true">IF(C344="","",IF(Q344&lt;&gt;"",Q344-C344,TODAY()-C344))</f>
        <v/>
      </c>
      <c r="U344" s="14" t="str">
        <f aca="true">IF(OR(P344="",Q344&lt;&gt;"",N344="キャンセル"),"",P344-TODAY())</f>
        <v/>
      </c>
      <c r="V344" s="15" t="str">
        <f aca="true">IF(D344="","",IF(OR(N344="開通済",Q344&lt;&gt;""),"完了",IF(N344="キャンセル","―",IF(AND(S344&lt;&gt;"",S344&lt;TODAY()),"対応期限超過",IF(AND(P344&lt;&gt;"",P344&lt;TODAY()),"開通予定日超過",IF(AND(S344&lt;&gt;"",S344=TODAY()),"本日対応",IF(AND(P344&lt;&gt;"",P344-TODAY()&lt;=3),"開通間近","")))))))</f>
        <v/>
      </c>
      <c r="W344" s="16"/>
      <c r="X344" s="16"/>
    </row>
    <row r="345" customFormat="false" ht="15" hidden="false" customHeight="false" outlineLevel="0" collapsed="false">
      <c r="A345" s="7" t="str">
        <f aca="false">IF(D345="","",ROW()-3)</f>
        <v/>
      </c>
      <c r="B345" s="16"/>
      <c r="C345" s="12"/>
      <c r="D345" s="16"/>
      <c r="E345" s="16"/>
      <c r="F345" s="17"/>
      <c r="G345" s="16"/>
      <c r="H345" s="16"/>
      <c r="I345" s="12"/>
      <c r="J345" s="16"/>
      <c r="K345" s="16"/>
      <c r="L345" s="16"/>
      <c r="M345" s="16"/>
      <c r="N345" s="16"/>
      <c r="O345" s="12"/>
      <c r="P345" s="12"/>
      <c r="Q345" s="12"/>
      <c r="R345" s="16"/>
      <c r="S345" s="12"/>
      <c r="T345" s="13" t="str">
        <f aca="true">IF(C345="","",IF(Q345&lt;&gt;"",Q345-C345,TODAY()-C345))</f>
        <v/>
      </c>
      <c r="U345" s="14" t="str">
        <f aca="true">IF(OR(P345="",Q345&lt;&gt;"",N345="キャンセル"),"",P345-TODAY())</f>
        <v/>
      </c>
      <c r="V345" s="15" t="str">
        <f aca="true">IF(D345="","",IF(OR(N345="開通済",Q345&lt;&gt;""),"完了",IF(N345="キャンセル","―",IF(AND(S345&lt;&gt;"",S345&lt;TODAY()),"対応期限超過",IF(AND(P345&lt;&gt;"",P345&lt;TODAY()),"開通予定日超過",IF(AND(S345&lt;&gt;"",S345=TODAY()),"本日対応",IF(AND(P345&lt;&gt;"",P345-TODAY()&lt;=3),"開通間近","")))))))</f>
        <v/>
      </c>
      <c r="W345" s="16"/>
      <c r="X345" s="16"/>
    </row>
    <row r="346" customFormat="false" ht="15" hidden="false" customHeight="false" outlineLevel="0" collapsed="false">
      <c r="A346" s="7" t="str">
        <f aca="false">IF(D346="","",ROW()-3)</f>
        <v/>
      </c>
      <c r="B346" s="16"/>
      <c r="C346" s="12"/>
      <c r="D346" s="16"/>
      <c r="E346" s="16"/>
      <c r="F346" s="17"/>
      <c r="G346" s="16"/>
      <c r="H346" s="16"/>
      <c r="I346" s="12"/>
      <c r="J346" s="16"/>
      <c r="K346" s="16"/>
      <c r="L346" s="16"/>
      <c r="M346" s="16"/>
      <c r="N346" s="16"/>
      <c r="O346" s="12"/>
      <c r="P346" s="12"/>
      <c r="Q346" s="12"/>
      <c r="R346" s="16"/>
      <c r="S346" s="12"/>
      <c r="T346" s="13" t="str">
        <f aca="true">IF(C346="","",IF(Q346&lt;&gt;"",Q346-C346,TODAY()-C346))</f>
        <v/>
      </c>
      <c r="U346" s="14" t="str">
        <f aca="true">IF(OR(P346="",Q346&lt;&gt;"",N346="キャンセル"),"",P346-TODAY())</f>
        <v/>
      </c>
      <c r="V346" s="15" t="str">
        <f aca="true">IF(D346="","",IF(OR(N346="開通済",Q346&lt;&gt;""),"完了",IF(N346="キャンセル","―",IF(AND(S346&lt;&gt;"",S346&lt;TODAY()),"対応期限超過",IF(AND(P346&lt;&gt;"",P346&lt;TODAY()),"開通予定日超過",IF(AND(S346&lt;&gt;"",S346=TODAY()),"本日対応",IF(AND(P346&lt;&gt;"",P346-TODAY()&lt;=3),"開通間近","")))))))</f>
        <v/>
      </c>
      <c r="W346" s="16"/>
      <c r="X346" s="16"/>
    </row>
    <row r="347" customFormat="false" ht="15" hidden="false" customHeight="false" outlineLevel="0" collapsed="false">
      <c r="A347" s="7" t="str">
        <f aca="false">IF(D347="","",ROW()-3)</f>
        <v/>
      </c>
      <c r="B347" s="16"/>
      <c r="C347" s="12"/>
      <c r="D347" s="16"/>
      <c r="E347" s="16"/>
      <c r="F347" s="17"/>
      <c r="G347" s="16"/>
      <c r="H347" s="16"/>
      <c r="I347" s="12"/>
      <c r="J347" s="16"/>
      <c r="K347" s="16"/>
      <c r="L347" s="16"/>
      <c r="M347" s="16"/>
      <c r="N347" s="16"/>
      <c r="O347" s="12"/>
      <c r="P347" s="12"/>
      <c r="Q347" s="12"/>
      <c r="R347" s="16"/>
      <c r="S347" s="12"/>
      <c r="T347" s="13" t="str">
        <f aca="true">IF(C347="","",IF(Q347&lt;&gt;"",Q347-C347,TODAY()-C347))</f>
        <v/>
      </c>
      <c r="U347" s="14" t="str">
        <f aca="true">IF(OR(P347="",Q347&lt;&gt;"",N347="キャンセル"),"",P347-TODAY())</f>
        <v/>
      </c>
      <c r="V347" s="15" t="str">
        <f aca="true">IF(D347="","",IF(OR(N347="開通済",Q347&lt;&gt;""),"完了",IF(N347="キャンセル","―",IF(AND(S347&lt;&gt;"",S347&lt;TODAY()),"対応期限超過",IF(AND(P347&lt;&gt;"",P347&lt;TODAY()),"開通予定日超過",IF(AND(S347&lt;&gt;"",S347=TODAY()),"本日対応",IF(AND(P347&lt;&gt;"",P347-TODAY()&lt;=3),"開通間近","")))))))</f>
        <v/>
      </c>
      <c r="W347" s="16"/>
      <c r="X347" s="16"/>
    </row>
    <row r="348" customFormat="false" ht="15" hidden="false" customHeight="false" outlineLevel="0" collapsed="false">
      <c r="A348" s="7" t="str">
        <f aca="false">IF(D348="","",ROW()-3)</f>
        <v/>
      </c>
      <c r="B348" s="16"/>
      <c r="C348" s="12"/>
      <c r="D348" s="16"/>
      <c r="E348" s="16"/>
      <c r="F348" s="17"/>
      <c r="G348" s="16"/>
      <c r="H348" s="16"/>
      <c r="I348" s="12"/>
      <c r="J348" s="16"/>
      <c r="K348" s="16"/>
      <c r="L348" s="16"/>
      <c r="M348" s="16"/>
      <c r="N348" s="16"/>
      <c r="O348" s="12"/>
      <c r="P348" s="12"/>
      <c r="Q348" s="12"/>
      <c r="R348" s="16"/>
      <c r="S348" s="12"/>
      <c r="T348" s="13" t="str">
        <f aca="true">IF(C348="","",IF(Q348&lt;&gt;"",Q348-C348,TODAY()-C348))</f>
        <v/>
      </c>
      <c r="U348" s="14" t="str">
        <f aca="true">IF(OR(P348="",Q348&lt;&gt;"",N348="キャンセル"),"",P348-TODAY())</f>
        <v/>
      </c>
      <c r="V348" s="15" t="str">
        <f aca="true">IF(D348="","",IF(OR(N348="開通済",Q348&lt;&gt;""),"完了",IF(N348="キャンセル","―",IF(AND(S348&lt;&gt;"",S348&lt;TODAY()),"対応期限超過",IF(AND(P348&lt;&gt;"",P348&lt;TODAY()),"開通予定日超過",IF(AND(S348&lt;&gt;"",S348=TODAY()),"本日対応",IF(AND(P348&lt;&gt;"",P348-TODAY()&lt;=3),"開通間近","")))))))</f>
        <v/>
      </c>
      <c r="W348" s="16"/>
      <c r="X348" s="16"/>
    </row>
    <row r="349" customFormat="false" ht="15" hidden="false" customHeight="false" outlineLevel="0" collapsed="false">
      <c r="A349" s="7" t="str">
        <f aca="false">IF(D349="","",ROW()-3)</f>
        <v/>
      </c>
      <c r="B349" s="16"/>
      <c r="C349" s="12"/>
      <c r="D349" s="16"/>
      <c r="E349" s="16"/>
      <c r="F349" s="17"/>
      <c r="G349" s="16"/>
      <c r="H349" s="16"/>
      <c r="I349" s="12"/>
      <c r="J349" s="16"/>
      <c r="K349" s="16"/>
      <c r="L349" s="16"/>
      <c r="M349" s="16"/>
      <c r="N349" s="16"/>
      <c r="O349" s="12"/>
      <c r="P349" s="12"/>
      <c r="Q349" s="12"/>
      <c r="R349" s="16"/>
      <c r="S349" s="12"/>
      <c r="T349" s="13" t="str">
        <f aca="true">IF(C349="","",IF(Q349&lt;&gt;"",Q349-C349,TODAY()-C349))</f>
        <v/>
      </c>
      <c r="U349" s="14" t="str">
        <f aca="true">IF(OR(P349="",Q349&lt;&gt;"",N349="キャンセル"),"",P349-TODAY())</f>
        <v/>
      </c>
      <c r="V349" s="15" t="str">
        <f aca="true">IF(D349="","",IF(OR(N349="開通済",Q349&lt;&gt;""),"完了",IF(N349="キャンセル","―",IF(AND(S349&lt;&gt;"",S349&lt;TODAY()),"対応期限超過",IF(AND(P349&lt;&gt;"",P349&lt;TODAY()),"開通予定日超過",IF(AND(S349&lt;&gt;"",S349=TODAY()),"本日対応",IF(AND(P349&lt;&gt;"",P349-TODAY()&lt;=3),"開通間近","")))))))</f>
        <v/>
      </c>
      <c r="W349" s="16"/>
      <c r="X349" s="16"/>
    </row>
    <row r="350" customFormat="false" ht="15" hidden="false" customHeight="false" outlineLevel="0" collapsed="false">
      <c r="A350" s="7" t="str">
        <f aca="false">IF(D350="","",ROW()-3)</f>
        <v/>
      </c>
      <c r="B350" s="16"/>
      <c r="C350" s="12"/>
      <c r="D350" s="16"/>
      <c r="E350" s="16"/>
      <c r="F350" s="17"/>
      <c r="G350" s="16"/>
      <c r="H350" s="16"/>
      <c r="I350" s="12"/>
      <c r="J350" s="16"/>
      <c r="K350" s="16"/>
      <c r="L350" s="16"/>
      <c r="M350" s="16"/>
      <c r="N350" s="16"/>
      <c r="O350" s="12"/>
      <c r="P350" s="12"/>
      <c r="Q350" s="12"/>
      <c r="R350" s="16"/>
      <c r="S350" s="12"/>
      <c r="T350" s="13" t="str">
        <f aca="true">IF(C350="","",IF(Q350&lt;&gt;"",Q350-C350,TODAY()-C350))</f>
        <v/>
      </c>
      <c r="U350" s="14" t="str">
        <f aca="true">IF(OR(P350="",Q350&lt;&gt;"",N350="キャンセル"),"",P350-TODAY())</f>
        <v/>
      </c>
      <c r="V350" s="15" t="str">
        <f aca="true">IF(D350="","",IF(OR(N350="開通済",Q350&lt;&gt;""),"完了",IF(N350="キャンセル","―",IF(AND(S350&lt;&gt;"",S350&lt;TODAY()),"対応期限超過",IF(AND(P350&lt;&gt;"",P350&lt;TODAY()),"開通予定日超過",IF(AND(S350&lt;&gt;"",S350=TODAY()),"本日対応",IF(AND(P350&lt;&gt;"",P350-TODAY()&lt;=3),"開通間近","")))))))</f>
        <v/>
      </c>
      <c r="W350" s="16"/>
      <c r="X350" s="16"/>
    </row>
    <row r="351" customFormat="false" ht="15" hidden="false" customHeight="false" outlineLevel="0" collapsed="false">
      <c r="A351" s="7" t="str">
        <f aca="false">IF(D351="","",ROW()-3)</f>
        <v/>
      </c>
      <c r="B351" s="16"/>
      <c r="C351" s="12"/>
      <c r="D351" s="16"/>
      <c r="E351" s="16"/>
      <c r="F351" s="17"/>
      <c r="G351" s="16"/>
      <c r="H351" s="16"/>
      <c r="I351" s="12"/>
      <c r="J351" s="16"/>
      <c r="K351" s="16"/>
      <c r="L351" s="16"/>
      <c r="M351" s="16"/>
      <c r="N351" s="16"/>
      <c r="O351" s="12"/>
      <c r="P351" s="12"/>
      <c r="Q351" s="12"/>
      <c r="R351" s="16"/>
      <c r="S351" s="12"/>
      <c r="T351" s="13" t="str">
        <f aca="true">IF(C351="","",IF(Q351&lt;&gt;"",Q351-C351,TODAY()-C351))</f>
        <v/>
      </c>
      <c r="U351" s="14" t="str">
        <f aca="true">IF(OR(P351="",Q351&lt;&gt;"",N351="キャンセル"),"",P351-TODAY())</f>
        <v/>
      </c>
      <c r="V351" s="15" t="str">
        <f aca="true">IF(D351="","",IF(OR(N351="開通済",Q351&lt;&gt;""),"完了",IF(N351="キャンセル","―",IF(AND(S351&lt;&gt;"",S351&lt;TODAY()),"対応期限超過",IF(AND(P351&lt;&gt;"",P351&lt;TODAY()),"開通予定日超過",IF(AND(S351&lt;&gt;"",S351=TODAY()),"本日対応",IF(AND(P351&lt;&gt;"",P351-TODAY()&lt;=3),"開通間近","")))))))</f>
        <v/>
      </c>
      <c r="W351" s="16"/>
      <c r="X351" s="16"/>
    </row>
    <row r="352" customFormat="false" ht="15" hidden="false" customHeight="false" outlineLevel="0" collapsed="false">
      <c r="A352" s="7" t="str">
        <f aca="false">IF(D352="","",ROW()-3)</f>
        <v/>
      </c>
      <c r="B352" s="16"/>
      <c r="C352" s="12"/>
      <c r="D352" s="16"/>
      <c r="E352" s="16"/>
      <c r="F352" s="17"/>
      <c r="G352" s="16"/>
      <c r="H352" s="16"/>
      <c r="I352" s="12"/>
      <c r="J352" s="16"/>
      <c r="K352" s="16"/>
      <c r="L352" s="16"/>
      <c r="M352" s="16"/>
      <c r="N352" s="16"/>
      <c r="O352" s="12"/>
      <c r="P352" s="12"/>
      <c r="Q352" s="12"/>
      <c r="R352" s="16"/>
      <c r="S352" s="12"/>
      <c r="T352" s="13" t="str">
        <f aca="true">IF(C352="","",IF(Q352&lt;&gt;"",Q352-C352,TODAY()-C352))</f>
        <v/>
      </c>
      <c r="U352" s="14" t="str">
        <f aca="true">IF(OR(P352="",Q352&lt;&gt;"",N352="キャンセル"),"",P352-TODAY())</f>
        <v/>
      </c>
      <c r="V352" s="15" t="str">
        <f aca="true">IF(D352="","",IF(OR(N352="開通済",Q352&lt;&gt;""),"完了",IF(N352="キャンセル","―",IF(AND(S352&lt;&gt;"",S352&lt;TODAY()),"対応期限超過",IF(AND(P352&lt;&gt;"",P352&lt;TODAY()),"開通予定日超過",IF(AND(S352&lt;&gt;"",S352=TODAY()),"本日対応",IF(AND(P352&lt;&gt;"",P352-TODAY()&lt;=3),"開通間近","")))))))</f>
        <v/>
      </c>
      <c r="W352" s="16"/>
      <c r="X352" s="16"/>
    </row>
    <row r="353" customFormat="false" ht="15" hidden="false" customHeight="false" outlineLevel="0" collapsed="false">
      <c r="A353" s="7" t="str">
        <f aca="false">IF(D353="","",ROW()-3)</f>
        <v/>
      </c>
      <c r="B353" s="16"/>
      <c r="C353" s="12"/>
      <c r="D353" s="16"/>
      <c r="E353" s="16"/>
      <c r="F353" s="17"/>
      <c r="G353" s="16"/>
      <c r="H353" s="16"/>
      <c r="I353" s="12"/>
      <c r="J353" s="16"/>
      <c r="K353" s="16"/>
      <c r="L353" s="16"/>
      <c r="M353" s="16"/>
      <c r="N353" s="16"/>
      <c r="O353" s="12"/>
      <c r="P353" s="12"/>
      <c r="Q353" s="12"/>
      <c r="R353" s="16"/>
      <c r="S353" s="12"/>
      <c r="T353" s="13" t="str">
        <f aca="true">IF(C353="","",IF(Q353&lt;&gt;"",Q353-C353,TODAY()-C353))</f>
        <v/>
      </c>
      <c r="U353" s="14" t="str">
        <f aca="true">IF(OR(P353="",Q353&lt;&gt;"",N353="キャンセル"),"",P353-TODAY())</f>
        <v/>
      </c>
      <c r="V353" s="15" t="str">
        <f aca="true">IF(D353="","",IF(OR(N353="開通済",Q353&lt;&gt;""),"完了",IF(N353="キャンセル","―",IF(AND(S353&lt;&gt;"",S353&lt;TODAY()),"対応期限超過",IF(AND(P353&lt;&gt;"",P353&lt;TODAY()),"開通予定日超過",IF(AND(S353&lt;&gt;"",S353=TODAY()),"本日対応",IF(AND(P353&lt;&gt;"",P353-TODAY()&lt;=3),"開通間近","")))))))</f>
        <v/>
      </c>
      <c r="W353" s="16"/>
      <c r="X353" s="16"/>
    </row>
    <row r="354" customFormat="false" ht="15" hidden="false" customHeight="false" outlineLevel="0" collapsed="false">
      <c r="A354" s="7" t="str">
        <f aca="false">IF(D354="","",ROW()-3)</f>
        <v/>
      </c>
      <c r="B354" s="16"/>
      <c r="C354" s="12"/>
      <c r="D354" s="16"/>
      <c r="E354" s="16"/>
      <c r="F354" s="17"/>
      <c r="G354" s="16"/>
      <c r="H354" s="16"/>
      <c r="I354" s="12"/>
      <c r="J354" s="16"/>
      <c r="K354" s="16"/>
      <c r="L354" s="16"/>
      <c r="M354" s="16"/>
      <c r="N354" s="16"/>
      <c r="O354" s="12"/>
      <c r="P354" s="12"/>
      <c r="Q354" s="12"/>
      <c r="R354" s="16"/>
      <c r="S354" s="12"/>
      <c r="T354" s="13" t="str">
        <f aca="true">IF(C354="","",IF(Q354&lt;&gt;"",Q354-C354,TODAY()-C354))</f>
        <v/>
      </c>
      <c r="U354" s="14" t="str">
        <f aca="true">IF(OR(P354="",Q354&lt;&gt;"",N354="キャンセル"),"",P354-TODAY())</f>
        <v/>
      </c>
      <c r="V354" s="15" t="str">
        <f aca="true">IF(D354="","",IF(OR(N354="開通済",Q354&lt;&gt;""),"完了",IF(N354="キャンセル","―",IF(AND(S354&lt;&gt;"",S354&lt;TODAY()),"対応期限超過",IF(AND(P354&lt;&gt;"",P354&lt;TODAY()),"開通予定日超過",IF(AND(S354&lt;&gt;"",S354=TODAY()),"本日対応",IF(AND(P354&lt;&gt;"",P354-TODAY()&lt;=3),"開通間近","")))))))</f>
        <v/>
      </c>
      <c r="W354" s="16"/>
      <c r="X354" s="16"/>
    </row>
    <row r="355" customFormat="false" ht="15" hidden="false" customHeight="false" outlineLevel="0" collapsed="false">
      <c r="A355" s="7" t="str">
        <f aca="false">IF(D355="","",ROW()-3)</f>
        <v/>
      </c>
      <c r="B355" s="16"/>
      <c r="C355" s="12"/>
      <c r="D355" s="16"/>
      <c r="E355" s="16"/>
      <c r="F355" s="17"/>
      <c r="G355" s="16"/>
      <c r="H355" s="16"/>
      <c r="I355" s="12"/>
      <c r="J355" s="16"/>
      <c r="K355" s="16"/>
      <c r="L355" s="16"/>
      <c r="M355" s="16"/>
      <c r="N355" s="16"/>
      <c r="O355" s="12"/>
      <c r="P355" s="12"/>
      <c r="Q355" s="12"/>
      <c r="R355" s="16"/>
      <c r="S355" s="12"/>
      <c r="T355" s="13" t="str">
        <f aca="true">IF(C355="","",IF(Q355&lt;&gt;"",Q355-C355,TODAY()-C355))</f>
        <v/>
      </c>
      <c r="U355" s="14" t="str">
        <f aca="true">IF(OR(P355="",Q355&lt;&gt;"",N355="キャンセル"),"",P355-TODAY())</f>
        <v/>
      </c>
      <c r="V355" s="15" t="str">
        <f aca="true">IF(D355="","",IF(OR(N355="開通済",Q355&lt;&gt;""),"完了",IF(N355="キャンセル","―",IF(AND(S355&lt;&gt;"",S355&lt;TODAY()),"対応期限超過",IF(AND(P355&lt;&gt;"",P355&lt;TODAY()),"開通予定日超過",IF(AND(S355&lt;&gt;"",S355=TODAY()),"本日対応",IF(AND(P355&lt;&gt;"",P355-TODAY()&lt;=3),"開通間近","")))))))</f>
        <v/>
      </c>
      <c r="W355" s="16"/>
      <c r="X355" s="16"/>
    </row>
    <row r="356" customFormat="false" ht="15" hidden="false" customHeight="false" outlineLevel="0" collapsed="false">
      <c r="A356" s="7" t="str">
        <f aca="false">IF(D356="","",ROW()-3)</f>
        <v/>
      </c>
      <c r="B356" s="16"/>
      <c r="C356" s="12"/>
      <c r="D356" s="16"/>
      <c r="E356" s="16"/>
      <c r="F356" s="17"/>
      <c r="G356" s="16"/>
      <c r="H356" s="16"/>
      <c r="I356" s="12"/>
      <c r="J356" s="16"/>
      <c r="K356" s="16"/>
      <c r="L356" s="16"/>
      <c r="M356" s="16"/>
      <c r="N356" s="16"/>
      <c r="O356" s="12"/>
      <c r="P356" s="12"/>
      <c r="Q356" s="12"/>
      <c r="R356" s="16"/>
      <c r="S356" s="12"/>
      <c r="T356" s="13" t="str">
        <f aca="true">IF(C356="","",IF(Q356&lt;&gt;"",Q356-C356,TODAY()-C356))</f>
        <v/>
      </c>
      <c r="U356" s="14" t="str">
        <f aca="true">IF(OR(P356="",Q356&lt;&gt;"",N356="キャンセル"),"",P356-TODAY())</f>
        <v/>
      </c>
      <c r="V356" s="15" t="str">
        <f aca="true">IF(D356="","",IF(OR(N356="開通済",Q356&lt;&gt;""),"完了",IF(N356="キャンセル","―",IF(AND(S356&lt;&gt;"",S356&lt;TODAY()),"対応期限超過",IF(AND(P356&lt;&gt;"",P356&lt;TODAY()),"開通予定日超過",IF(AND(S356&lt;&gt;"",S356=TODAY()),"本日対応",IF(AND(P356&lt;&gt;"",P356-TODAY()&lt;=3),"開通間近","")))))))</f>
        <v/>
      </c>
      <c r="W356" s="16"/>
      <c r="X356" s="16"/>
    </row>
    <row r="357" customFormat="false" ht="15" hidden="false" customHeight="false" outlineLevel="0" collapsed="false">
      <c r="A357" s="7" t="str">
        <f aca="false">IF(D357="","",ROW()-3)</f>
        <v/>
      </c>
      <c r="B357" s="16"/>
      <c r="C357" s="12"/>
      <c r="D357" s="16"/>
      <c r="E357" s="16"/>
      <c r="F357" s="17"/>
      <c r="G357" s="16"/>
      <c r="H357" s="16"/>
      <c r="I357" s="12"/>
      <c r="J357" s="16"/>
      <c r="K357" s="16"/>
      <c r="L357" s="16"/>
      <c r="M357" s="16"/>
      <c r="N357" s="16"/>
      <c r="O357" s="12"/>
      <c r="P357" s="12"/>
      <c r="Q357" s="12"/>
      <c r="R357" s="16"/>
      <c r="S357" s="12"/>
      <c r="T357" s="13" t="str">
        <f aca="true">IF(C357="","",IF(Q357&lt;&gt;"",Q357-C357,TODAY()-C357))</f>
        <v/>
      </c>
      <c r="U357" s="14" t="str">
        <f aca="true">IF(OR(P357="",Q357&lt;&gt;"",N357="キャンセル"),"",P357-TODAY())</f>
        <v/>
      </c>
      <c r="V357" s="15" t="str">
        <f aca="true">IF(D357="","",IF(OR(N357="開通済",Q357&lt;&gt;""),"完了",IF(N357="キャンセル","―",IF(AND(S357&lt;&gt;"",S357&lt;TODAY()),"対応期限超過",IF(AND(P357&lt;&gt;"",P357&lt;TODAY()),"開通予定日超過",IF(AND(S357&lt;&gt;"",S357=TODAY()),"本日対応",IF(AND(P357&lt;&gt;"",P357-TODAY()&lt;=3),"開通間近","")))))))</f>
        <v/>
      </c>
      <c r="W357" s="16"/>
      <c r="X357" s="16"/>
    </row>
    <row r="358" customFormat="false" ht="15" hidden="false" customHeight="false" outlineLevel="0" collapsed="false">
      <c r="A358" s="7" t="str">
        <f aca="false">IF(D358="","",ROW()-3)</f>
        <v/>
      </c>
      <c r="B358" s="16"/>
      <c r="C358" s="12"/>
      <c r="D358" s="16"/>
      <c r="E358" s="16"/>
      <c r="F358" s="17"/>
      <c r="G358" s="16"/>
      <c r="H358" s="16"/>
      <c r="I358" s="12"/>
      <c r="J358" s="16"/>
      <c r="K358" s="16"/>
      <c r="L358" s="16"/>
      <c r="M358" s="16"/>
      <c r="N358" s="16"/>
      <c r="O358" s="12"/>
      <c r="P358" s="12"/>
      <c r="Q358" s="12"/>
      <c r="R358" s="16"/>
      <c r="S358" s="12"/>
      <c r="T358" s="13" t="str">
        <f aca="true">IF(C358="","",IF(Q358&lt;&gt;"",Q358-C358,TODAY()-C358))</f>
        <v/>
      </c>
      <c r="U358" s="14" t="str">
        <f aca="true">IF(OR(P358="",Q358&lt;&gt;"",N358="キャンセル"),"",P358-TODAY())</f>
        <v/>
      </c>
      <c r="V358" s="15" t="str">
        <f aca="true">IF(D358="","",IF(OR(N358="開通済",Q358&lt;&gt;""),"完了",IF(N358="キャンセル","―",IF(AND(S358&lt;&gt;"",S358&lt;TODAY()),"対応期限超過",IF(AND(P358&lt;&gt;"",P358&lt;TODAY()),"開通予定日超過",IF(AND(S358&lt;&gt;"",S358=TODAY()),"本日対応",IF(AND(P358&lt;&gt;"",P358-TODAY()&lt;=3),"開通間近","")))))))</f>
        <v/>
      </c>
      <c r="W358" s="16"/>
      <c r="X358" s="16"/>
    </row>
    <row r="359" customFormat="false" ht="15" hidden="false" customHeight="false" outlineLevel="0" collapsed="false">
      <c r="A359" s="7" t="str">
        <f aca="false">IF(D359="","",ROW()-3)</f>
        <v/>
      </c>
      <c r="B359" s="16"/>
      <c r="C359" s="12"/>
      <c r="D359" s="16"/>
      <c r="E359" s="16"/>
      <c r="F359" s="17"/>
      <c r="G359" s="16"/>
      <c r="H359" s="16"/>
      <c r="I359" s="12"/>
      <c r="J359" s="16"/>
      <c r="K359" s="16"/>
      <c r="L359" s="16"/>
      <c r="M359" s="16"/>
      <c r="N359" s="16"/>
      <c r="O359" s="12"/>
      <c r="P359" s="12"/>
      <c r="Q359" s="12"/>
      <c r="R359" s="16"/>
      <c r="S359" s="12"/>
      <c r="T359" s="13" t="str">
        <f aca="true">IF(C359="","",IF(Q359&lt;&gt;"",Q359-C359,TODAY()-C359))</f>
        <v/>
      </c>
      <c r="U359" s="14" t="str">
        <f aca="true">IF(OR(P359="",Q359&lt;&gt;"",N359="キャンセル"),"",P359-TODAY())</f>
        <v/>
      </c>
      <c r="V359" s="15" t="str">
        <f aca="true">IF(D359="","",IF(OR(N359="開通済",Q359&lt;&gt;""),"完了",IF(N359="キャンセル","―",IF(AND(S359&lt;&gt;"",S359&lt;TODAY()),"対応期限超過",IF(AND(P359&lt;&gt;"",P359&lt;TODAY()),"開通予定日超過",IF(AND(S359&lt;&gt;"",S359=TODAY()),"本日対応",IF(AND(P359&lt;&gt;"",P359-TODAY()&lt;=3),"開通間近","")))))))</f>
        <v/>
      </c>
      <c r="W359" s="16"/>
      <c r="X359" s="16"/>
    </row>
    <row r="360" customFormat="false" ht="15" hidden="false" customHeight="false" outlineLevel="0" collapsed="false">
      <c r="A360" s="7" t="str">
        <f aca="false">IF(D360="","",ROW()-3)</f>
        <v/>
      </c>
      <c r="B360" s="16"/>
      <c r="C360" s="12"/>
      <c r="D360" s="16"/>
      <c r="E360" s="16"/>
      <c r="F360" s="17"/>
      <c r="G360" s="16"/>
      <c r="H360" s="16"/>
      <c r="I360" s="12"/>
      <c r="J360" s="16"/>
      <c r="K360" s="16"/>
      <c r="L360" s="16"/>
      <c r="M360" s="16"/>
      <c r="N360" s="16"/>
      <c r="O360" s="12"/>
      <c r="P360" s="12"/>
      <c r="Q360" s="12"/>
      <c r="R360" s="16"/>
      <c r="S360" s="12"/>
      <c r="T360" s="13" t="str">
        <f aca="true">IF(C360="","",IF(Q360&lt;&gt;"",Q360-C360,TODAY()-C360))</f>
        <v/>
      </c>
      <c r="U360" s="14" t="str">
        <f aca="true">IF(OR(P360="",Q360&lt;&gt;"",N360="キャンセル"),"",P360-TODAY())</f>
        <v/>
      </c>
      <c r="V360" s="15" t="str">
        <f aca="true">IF(D360="","",IF(OR(N360="開通済",Q360&lt;&gt;""),"完了",IF(N360="キャンセル","―",IF(AND(S360&lt;&gt;"",S360&lt;TODAY()),"対応期限超過",IF(AND(P360&lt;&gt;"",P360&lt;TODAY()),"開通予定日超過",IF(AND(S360&lt;&gt;"",S360=TODAY()),"本日対応",IF(AND(P360&lt;&gt;"",P360-TODAY()&lt;=3),"開通間近","")))))))</f>
        <v/>
      </c>
      <c r="W360" s="16"/>
      <c r="X360" s="16"/>
    </row>
    <row r="361" customFormat="false" ht="15" hidden="false" customHeight="false" outlineLevel="0" collapsed="false">
      <c r="A361" s="7" t="str">
        <f aca="false">IF(D361="","",ROW()-3)</f>
        <v/>
      </c>
      <c r="B361" s="16"/>
      <c r="C361" s="12"/>
      <c r="D361" s="16"/>
      <c r="E361" s="16"/>
      <c r="F361" s="17"/>
      <c r="G361" s="16"/>
      <c r="H361" s="16"/>
      <c r="I361" s="12"/>
      <c r="J361" s="16"/>
      <c r="K361" s="16"/>
      <c r="L361" s="16"/>
      <c r="M361" s="16"/>
      <c r="N361" s="16"/>
      <c r="O361" s="12"/>
      <c r="P361" s="12"/>
      <c r="Q361" s="12"/>
      <c r="R361" s="16"/>
      <c r="S361" s="12"/>
      <c r="T361" s="13" t="str">
        <f aca="true">IF(C361="","",IF(Q361&lt;&gt;"",Q361-C361,TODAY()-C361))</f>
        <v/>
      </c>
      <c r="U361" s="14" t="str">
        <f aca="true">IF(OR(P361="",Q361&lt;&gt;"",N361="キャンセル"),"",P361-TODAY())</f>
        <v/>
      </c>
      <c r="V361" s="15" t="str">
        <f aca="true">IF(D361="","",IF(OR(N361="開通済",Q361&lt;&gt;""),"完了",IF(N361="キャンセル","―",IF(AND(S361&lt;&gt;"",S361&lt;TODAY()),"対応期限超過",IF(AND(P361&lt;&gt;"",P361&lt;TODAY()),"開通予定日超過",IF(AND(S361&lt;&gt;"",S361=TODAY()),"本日対応",IF(AND(P361&lt;&gt;"",P361-TODAY()&lt;=3),"開通間近","")))))))</f>
        <v/>
      </c>
      <c r="W361" s="16"/>
      <c r="X361" s="16"/>
    </row>
    <row r="362" customFormat="false" ht="15" hidden="false" customHeight="false" outlineLevel="0" collapsed="false">
      <c r="A362" s="7" t="str">
        <f aca="false">IF(D362="","",ROW()-3)</f>
        <v/>
      </c>
      <c r="B362" s="16"/>
      <c r="C362" s="12"/>
      <c r="D362" s="16"/>
      <c r="E362" s="16"/>
      <c r="F362" s="17"/>
      <c r="G362" s="16"/>
      <c r="H362" s="16"/>
      <c r="I362" s="12"/>
      <c r="J362" s="16"/>
      <c r="K362" s="16"/>
      <c r="L362" s="16"/>
      <c r="M362" s="16"/>
      <c r="N362" s="16"/>
      <c r="O362" s="12"/>
      <c r="P362" s="12"/>
      <c r="Q362" s="12"/>
      <c r="R362" s="16"/>
      <c r="S362" s="12"/>
      <c r="T362" s="13" t="str">
        <f aca="true">IF(C362="","",IF(Q362&lt;&gt;"",Q362-C362,TODAY()-C362))</f>
        <v/>
      </c>
      <c r="U362" s="14" t="str">
        <f aca="true">IF(OR(P362="",Q362&lt;&gt;"",N362="キャンセル"),"",P362-TODAY())</f>
        <v/>
      </c>
      <c r="V362" s="15" t="str">
        <f aca="true">IF(D362="","",IF(OR(N362="開通済",Q362&lt;&gt;""),"完了",IF(N362="キャンセル","―",IF(AND(S362&lt;&gt;"",S362&lt;TODAY()),"対応期限超過",IF(AND(P362&lt;&gt;"",P362&lt;TODAY()),"開通予定日超過",IF(AND(S362&lt;&gt;"",S362=TODAY()),"本日対応",IF(AND(P362&lt;&gt;"",P362-TODAY()&lt;=3),"開通間近","")))))))</f>
        <v/>
      </c>
      <c r="W362" s="16"/>
      <c r="X362" s="16"/>
    </row>
    <row r="363" customFormat="false" ht="15" hidden="false" customHeight="false" outlineLevel="0" collapsed="false">
      <c r="A363" s="7" t="str">
        <f aca="false">IF(D363="","",ROW()-3)</f>
        <v/>
      </c>
      <c r="B363" s="16"/>
      <c r="C363" s="12"/>
      <c r="D363" s="16"/>
      <c r="E363" s="16"/>
      <c r="F363" s="17"/>
      <c r="G363" s="16"/>
      <c r="H363" s="16"/>
      <c r="I363" s="12"/>
      <c r="J363" s="16"/>
      <c r="K363" s="16"/>
      <c r="L363" s="16"/>
      <c r="M363" s="16"/>
      <c r="N363" s="16"/>
      <c r="O363" s="12"/>
      <c r="P363" s="12"/>
      <c r="Q363" s="12"/>
      <c r="R363" s="16"/>
      <c r="S363" s="12"/>
      <c r="T363" s="13" t="str">
        <f aca="true">IF(C363="","",IF(Q363&lt;&gt;"",Q363-C363,TODAY()-C363))</f>
        <v/>
      </c>
      <c r="U363" s="14" t="str">
        <f aca="true">IF(OR(P363="",Q363&lt;&gt;"",N363="キャンセル"),"",P363-TODAY())</f>
        <v/>
      </c>
      <c r="V363" s="15" t="str">
        <f aca="true">IF(D363="","",IF(OR(N363="開通済",Q363&lt;&gt;""),"完了",IF(N363="キャンセル","―",IF(AND(S363&lt;&gt;"",S363&lt;TODAY()),"対応期限超過",IF(AND(P363&lt;&gt;"",P363&lt;TODAY()),"開通予定日超過",IF(AND(S363&lt;&gt;"",S363=TODAY()),"本日対応",IF(AND(P363&lt;&gt;"",P363-TODAY()&lt;=3),"開通間近","")))))))</f>
        <v/>
      </c>
      <c r="W363" s="16"/>
      <c r="X363" s="16"/>
    </row>
    <row r="364" customFormat="false" ht="15" hidden="false" customHeight="false" outlineLevel="0" collapsed="false">
      <c r="A364" s="7" t="str">
        <f aca="false">IF(D364="","",ROW()-3)</f>
        <v/>
      </c>
      <c r="B364" s="16"/>
      <c r="C364" s="12"/>
      <c r="D364" s="16"/>
      <c r="E364" s="16"/>
      <c r="F364" s="17"/>
      <c r="G364" s="16"/>
      <c r="H364" s="16"/>
      <c r="I364" s="12"/>
      <c r="J364" s="16"/>
      <c r="K364" s="16"/>
      <c r="L364" s="16"/>
      <c r="M364" s="16"/>
      <c r="N364" s="16"/>
      <c r="O364" s="12"/>
      <c r="P364" s="12"/>
      <c r="Q364" s="12"/>
      <c r="R364" s="16"/>
      <c r="S364" s="12"/>
      <c r="T364" s="13" t="str">
        <f aca="true">IF(C364="","",IF(Q364&lt;&gt;"",Q364-C364,TODAY()-C364))</f>
        <v/>
      </c>
      <c r="U364" s="14" t="str">
        <f aca="true">IF(OR(P364="",Q364&lt;&gt;"",N364="キャンセル"),"",P364-TODAY())</f>
        <v/>
      </c>
      <c r="V364" s="15" t="str">
        <f aca="true">IF(D364="","",IF(OR(N364="開通済",Q364&lt;&gt;""),"完了",IF(N364="キャンセル","―",IF(AND(S364&lt;&gt;"",S364&lt;TODAY()),"対応期限超過",IF(AND(P364&lt;&gt;"",P364&lt;TODAY()),"開通予定日超過",IF(AND(S364&lt;&gt;"",S364=TODAY()),"本日対応",IF(AND(P364&lt;&gt;"",P364-TODAY()&lt;=3),"開通間近","")))))))</f>
        <v/>
      </c>
      <c r="W364" s="16"/>
      <c r="X364" s="16"/>
    </row>
    <row r="365" customFormat="false" ht="15" hidden="false" customHeight="false" outlineLevel="0" collapsed="false">
      <c r="A365" s="7" t="str">
        <f aca="false">IF(D365="","",ROW()-3)</f>
        <v/>
      </c>
      <c r="B365" s="16"/>
      <c r="C365" s="12"/>
      <c r="D365" s="16"/>
      <c r="E365" s="16"/>
      <c r="F365" s="17"/>
      <c r="G365" s="16"/>
      <c r="H365" s="16"/>
      <c r="I365" s="12"/>
      <c r="J365" s="16"/>
      <c r="K365" s="16"/>
      <c r="L365" s="16"/>
      <c r="M365" s="16"/>
      <c r="N365" s="16"/>
      <c r="O365" s="12"/>
      <c r="P365" s="12"/>
      <c r="Q365" s="12"/>
      <c r="R365" s="16"/>
      <c r="S365" s="12"/>
      <c r="T365" s="13" t="str">
        <f aca="true">IF(C365="","",IF(Q365&lt;&gt;"",Q365-C365,TODAY()-C365))</f>
        <v/>
      </c>
      <c r="U365" s="14" t="str">
        <f aca="true">IF(OR(P365="",Q365&lt;&gt;"",N365="キャンセル"),"",P365-TODAY())</f>
        <v/>
      </c>
      <c r="V365" s="15" t="str">
        <f aca="true">IF(D365="","",IF(OR(N365="開通済",Q365&lt;&gt;""),"完了",IF(N365="キャンセル","―",IF(AND(S365&lt;&gt;"",S365&lt;TODAY()),"対応期限超過",IF(AND(P365&lt;&gt;"",P365&lt;TODAY()),"開通予定日超過",IF(AND(S365&lt;&gt;"",S365=TODAY()),"本日対応",IF(AND(P365&lt;&gt;"",P365-TODAY()&lt;=3),"開通間近","")))))))</f>
        <v/>
      </c>
      <c r="W365" s="16"/>
      <c r="X365" s="16"/>
    </row>
    <row r="366" customFormat="false" ht="15" hidden="false" customHeight="false" outlineLevel="0" collapsed="false">
      <c r="A366" s="7" t="str">
        <f aca="false">IF(D366="","",ROW()-3)</f>
        <v/>
      </c>
      <c r="B366" s="16"/>
      <c r="C366" s="12"/>
      <c r="D366" s="16"/>
      <c r="E366" s="16"/>
      <c r="F366" s="17"/>
      <c r="G366" s="16"/>
      <c r="H366" s="16"/>
      <c r="I366" s="12"/>
      <c r="J366" s="16"/>
      <c r="K366" s="16"/>
      <c r="L366" s="16"/>
      <c r="M366" s="16"/>
      <c r="N366" s="16"/>
      <c r="O366" s="12"/>
      <c r="P366" s="12"/>
      <c r="Q366" s="12"/>
      <c r="R366" s="16"/>
      <c r="S366" s="12"/>
      <c r="T366" s="13" t="str">
        <f aca="true">IF(C366="","",IF(Q366&lt;&gt;"",Q366-C366,TODAY()-C366))</f>
        <v/>
      </c>
      <c r="U366" s="14" t="str">
        <f aca="true">IF(OR(P366="",Q366&lt;&gt;"",N366="キャンセル"),"",P366-TODAY())</f>
        <v/>
      </c>
      <c r="V366" s="15" t="str">
        <f aca="true">IF(D366="","",IF(OR(N366="開通済",Q366&lt;&gt;""),"完了",IF(N366="キャンセル","―",IF(AND(S366&lt;&gt;"",S366&lt;TODAY()),"対応期限超過",IF(AND(P366&lt;&gt;"",P366&lt;TODAY()),"開通予定日超過",IF(AND(S366&lt;&gt;"",S366=TODAY()),"本日対応",IF(AND(P366&lt;&gt;"",P366-TODAY()&lt;=3),"開通間近","")))))))</f>
        <v/>
      </c>
      <c r="W366" s="16"/>
      <c r="X366" s="16"/>
    </row>
    <row r="367" customFormat="false" ht="15" hidden="false" customHeight="false" outlineLevel="0" collapsed="false">
      <c r="A367" s="7" t="str">
        <f aca="false">IF(D367="","",ROW()-3)</f>
        <v/>
      </c>
      <c r="B367" s="16"/>
      <c r="C367" s="12"/>
      <c r="D367" s="16"/>
      <c r="E367" s="16"/>
      <c r="F367" s="17"/>
      <c r="G367" s="16"/>
      <c r="H367" s="16"/>
      <c r="I367" s="12"/>
      <c r="J367" s="16"/>
      <c r="K367" s="16"/>
      <c r="L367" s="16"/>
      <c r="M367" s="16"/>
      <c r="N367" s="16"/>
      <c r="O367" s="12"/>
      <c r="P367" s="12"/>
      <c r="Q367" s="12"/>
      <c r="R367" s="16"/>
      <c r="S367" s="12"/>
      <c r="T367" s="13" t="str">
        <f aca="true">IF(C367="","",IF(Q367&lt;&gt;"",Q367-C367,TODAY()-C367))</f>
        <v/>
      </c>
      <c r="U367" s="14" t="str">
        <f aca="true">IF(OR(P367="",Q367&lt;&gt;"",N367="キャンセル"),"",P367-TODAY())</f>
        <v/>
      </c>
      <c r="V367" s="15" t="str">
        <f aca="true">IF(D367="","",IF(OR(N367="開通済",Q367&lt;&gt;""),"完了",IF(N367="キャンセル","―",IF(AND(S367&lt;&gt;"",S367&lt;TODAY()),"対応期限超過",IF(AND(P367&lt;&gt;"",P367&lt;TODAY()),"開通予定日超過",IF(AND(S367&lt;&gt;"",S367=TODAY()),"本日対応",IF(AND(P367&lt;&gt;"",P367-TODAY()&lt;=3),"開通間近","")))))))</f>
        <v/>
      </c>
      <c r="W367" s="16"/>
      <c r="X367" s="16"/>
    </row>
    <row r="368" customFormat="false" ht="15" hidden="false" customHeight="false" outlineLevel="0" collapsed="false">
      <c r="A368" s="7" t="str">
        <f aca="false">IF(D368="","",ROW()-3)</f>
        <v/>
      </c>
      <c r="B368" s="16"/>
      <c r="C368" s="12"/>
      <c r="D368" s="16"/>
      <c r="E368" s="16"/>
      <c r="F368" s="17"/>
      <c r="G368" s="16"/>
      <c r="H368" s="16"/>
      <c r="I368" s="12"/>
      <c r="J368" s="16"/>
      <c r="K368" s="16"/>
      <c r="L368" s="16"/>
      <c r="M368" s="16"/>
      <c r="N368" s="16"/>
      <c r="O368" s="12"/>
      <c r="P368" s="12"/>
      <c r="Q368" s="12"/>
      <c r="R368" s="16"/>
      <c r="S368" s="12"/>
      <c r="T368" s="13" t="str">
        <f aca="true">IF(C368="","",IF(Q368&lt;&gt;"",Q368-C368,TODAY()-C368))</f>
        <v/>
      </c>
      <c r="U368" s="14" t="str">
        <f aca="true">IF(OR(P368="",Q368&lt;&gt;"",N368="キャンセル"),"",P368-TODAY())</f>
        <v/>
      </c>
      <c r="V368" s="15" t="str">
        <f aca="true">IF(D368="","",IF(OR(N368="開通済",Q368&lt;&gt;""),"完了",IF(N368="キャンセル","―",IF(AND(S368&lt;&gt;"",S368&lt;TODAY()),"対応期限超過",IF(AND(P368&lt;&gt;"",P368&lt;TODAY()),"開通予定日超過",IF(AND(S368&lt;&gt;"",S368=TODAY()),"本日対応",IF(AND(P368&lt;&gt;"",P368-TODAY()&lt;=3),"開通間近","")))))))</f>
        <v/>
      </c>
      <c r="W368" s="16"/>
      <c r="X368" s="16"/>
    </row>
    <row r="369" customFormat="false" ht="15" hidden="false" customHeight="false" outlineLevel="0" collapsed="false">
      <c r="A369" s="7" t="str">
        <f aca="false">IF(D369="","",ROW()-3)</f>
        <v/>
      </c>
      <c r="B369" s="16"/>
      <c r="C369" s="12"/>
      <c r="D369" s="16"/>
      <c r="E369" s="16"/>
      <c r="F369" s="17"/>
      <c r="G369" s="16"/>
      <c r="H369" s="16"/>
      <c r="I369" s="12"/>
      <c r="J369" s="16"/>
      <c r="K369" s="16"/>
      <c r="L369" s="16"/>
      <c r="M369" s="16"/>
      <c r="N369" s="16"/>
      <c r="O369" s="12"/>
      <c r="P369" s="12"/>
      <c r="Q369" s="12"/>
      <c r="R369" s="16"/>
      <c r="S369" s="12"/>
      <c r="T369" s="13" t="str">
        <f aca="true">IF(C369="","",IF(Q369&lt;&gt;"",Q369-C369,TODAY()-C369))</f>
        <v/>
      </c>
      <c r="U369" s="14" t="str">
        <f aca="true">IF(OR(P369="",Q369&lt;&gt;"",N369="キャンセル"),"",P369-TODAY())</f>
        <v/>
      </c>
      <c r="V369" s="15" t="str">
        <f aca="true">IF(D369="","",IF(OR(N369="開通済",Q369&lt;&gt;""),"完了",IF(N369="キャンセル","―",IF(AND(S369&lt;&gt;"",S369&lt;TODAY()),"対応期限超過",IF(AND(P369&lt;&gt;"",P369&lt;TODAY()),"開通予定日超過",IF(AND(S369&lt;&gt;"",S369=TODAY()),"本日対応",IF(AND(P369&lt;&gt;"",P369-TODAY()&lt;=3),"開通間近","")))))))</f>
        <v/>
      </c>
      <c r="W369" s="16"/>
      <c r="X369" s="16"/>
    </row>
    <row r="370" customFormat="false" ht="15" hidden="false" customHeight="false" outlineLevel="0" collapsed="false">
      <c r="A370" s="7" t="str">
        <f aca="false">IF(D370="","",ROW()-3)</f>
        <v/>
      </c>
      <c r="B370" s="16"/>
      <c r="C370" s="12"/>
      <c r="D370" s="16"/>
      <c r="E370" s="16"/>
      <c r="F370" s="17"/>
      <c r="G370" s="16"/>
      <c r="H370" s="16"/>
      <c r="I370" s="12"/>
      <c r="J370" s="16"/>
      <c r="K370" s="16"/>
      <c r="L370" s="16"/>
      <c r="M370" s="16"/>
      <c r="N370" s="16"/>
      <c r="O370" s="12"/>
      <c r="P370" s="12"/>
      <c r="Q370" s="12"/>
      <c r="R370" s="16"/>
      <c r="S370" s="12"/>
      <c r="T370" s="13" t="str">
        <f aca="true">IF(C370="","",IF(Q370&lt;&gt;"",Q370-C370,TODAY()-C370))</f>
        <v/>
      </c>
      <c r="U370" s="14" t="str">
        <f aca="true">IF(OR(P370="",Q370&lt;&gt;"",N370="キャンセル"),"",P370-TODAY())</f>
        <v/>
      </c>
      <c r="V370" s="15" t="str">
        <f aca="true">IF(D370="","",IF(OR(N370="開通済",Q370&lt;&gt;""),"完了",IF(N370="キャンセル","―",IF(AND(S370&lt;&gt;"",S370&lt;TODAY()),"対応期限超過",IF(AND(P370&lt;&gt;"",P370&lt;TODAY()),"開通予定日超過",IF(AND(S370&lt;&gt;"",S370=TODAY()),"本日対応",IF(AND(P370&lt;&gt;"",P370-TODAY()&lt;=3),"開通間近","")))))))</f>
        <v/>
      </c>
      <c r="W370" s="16"/>
      <c r="X370" s="16"/>
    </row>
    <row r="371" customFormat="false" ht="15" hidden="false" customHeight="false" outlineLevel="0" collapsed="false">
      <c r="A371" s="7" t="str">
        <f aca="false">IF(D371="","",ROW()-3)</f>
        <v/>
      </c>
      <c r="B371" s="16"/>
      <c r="C371" s="12"/>
      <c r="D371" s="16"/>
      <c r="E371" s="16"/>
      <c r="F371" s="17"/>
      <c r="G371" s="16"/>
      <c r="H371" s="16"/>
      <c r="I371" s="12"/>
      <c r="J371" s="16"/>
      <c r="K371" s="16"/>
      <c r="L371" s="16"/>
      <c r="M371" s="16"/>
      <c r="N371" s="16"/>
      <c r="O371" s="12"/>
      <c r="P371" s="12"/>
      <c r="Q371" s="12"/>
      <c r="R371" s="16"/>
      <c r="S371" s="12"/>
      <c r="T371" s="13" t="str">
        <f aca="true">IF(C371="","",IF(Q371&lt;&gt;"",Q371-C371,TODAY()-C371))</f>
        <v/>
      </c>
      <c r="U371" s="14" t="str">
        <f aca="true">IF(OR(P371="",Q371&lt;&gt;"",N371="キャンセル"),"",P371-TODAY())</f>
        <v/>
      </c>
      <c r="V371" s="15" t="str">
        <f aca="true">IF(D371="","",IF(OR(N371="開通済",Q371&lt;&gt;""),"完了",IF(N371="キャンセル","―",IF(AND(S371&lt;&gt;"",S371&lt;TODAY()),"対応期限超過",IF(AND(P371&lt;&gt;"",P371&lt;TODAY()),"開通予定日超過",IF(AND(S371&lt;&gt;"",S371=TODAY()),"本日対応",IF(AND(P371&lt;&gt;"",P371-TODAY()&lt;=3),"開通間近","")))))))</f>
        <v/>
      </c>
      <c r="W371" s="16"/>
      <c r="X371" s="16"/>
    </row>
    <row r="372" customFormat="false" ht="15" hidden="false" customHeight="false" outlineLevel="0" collapsed="false">
      <c r="A372" s="7" t="str">
        <f aca="false">IF(D372="","",ROW()-3)</f>
        <v/>
      </c>
      <c r="B372" s="16"/>
      <c r="C372" s="12"/>
      <c r="D372" s="16"/>
      <c r="E372" s="16"/>
      <c r="F372" s="17"/>
      <c r="G372" s="16"/>
      <c r="H372" s="16"/>
      <c r="I372" s="12"/>
      <c r="J372" s="16"/>
      <c r="K372" s="16"/>
      <c r="L372" s="16"/>
      <c r="M372" s="16"/>
      <c r="N372" s="16"/>
      <c r="O372" s="12"/>
      <c r="P372" s="12"/>
      <c r="Q372" s="12"/>
      <c r="R372" s="16"/>
      <c r="S372" s="12"/>
      <c r="T372" s="13" t="str">
        <f aca="true">IF(C372="","",IF(Q372&lt;&gt;"",Q372-C372,TODAY()-C372))</f>
        <v/>
      </c>
      <c r="U372" s="14" t="str">
        <f aca="true">IF(OR(P372="",Q372&lt;&gt;"",N372="キャンセル"),"",P372-TODAY())</f>
        <v/>
      </c>
      <c r="V372" s="15" t="str">
        <f aca="true">IF(D372="","",IF(OR(N372="開通済",Q372&lt;&gt;""),"完了",IF(N372="キャンセル","―",IF(AND(S372&lt;&gt;"",S372&lt;TODAY()),"対応期限超過",IF(AND(P372&lt;&gt;"",P372&lt;TODAY()),"開通予定日超過",IF(AND(S372&lt;&gt;"",S372=TODAY()),"本日対応",IF(AND(P372&lt;&gt;"",P372-TODAY()&lt;=3),"開通間近","")))))))</f>
        <v/>
      </c>
      <c r="W372" s="16"/>
      <c r="X372" s="16"/>
    </row>
    <row r="373" customFormat="false" ht="15" hidden="false" customHeight="false" outlineLevel="0" collapsed="false">
      <c r="A373" s="7" t="str">
        <f aca="false">IF(D373="","",ROW()-3)</f>
        <v/>
      </c>
      <c r="B373" s="16"/>
      <c r="C373" s="12"/>
      <c r="D373" s="16"/>
      <c r="E373" s="16"/>
      <c r="F373" s="17"/>
      <c r="G373" s="16"/>
      <c r="H373" s="16"/>
      <c r="I373" s="12"/>
      <c r="J373" s="16"/>
      <c r="K373" s="16"/>
      <c r="L373" s="16"/>
      <c r="M373" s="16"/>
      <c r="N373" s="16"/>
      <c r="O373" s="12"/>
      <c r="P373" s="12"/>
      <c r="Q373" s="12"/>
      <c r="R373" s="16"/>
      <c r="S373" s="12"/>
      <c r="T373" s="13" t="str">
        <f aca="true">IF(C373="","",IF(Q373&lt;&gt;"",Q373-C373,TODAY()-C373))</f>
        <v/>
      </c>
      <c r="U373" s="14" t="str">
        <f aca="true">IF(OR(P373="",Q373&lt;&gt;"",N373="キャンセル"),"",P373-TODAY())</f>
        <v/>
      </c>
      <c r="V373" s="15" t="str">
        <f aca="true">IF(D373="","",IF(OR(N373="開通済",Q373&lt;&gt;""),"完了",IF(N373="キャンセル","―",IF(AND(S373&lt;&gt;"",S373&lt;TODAY()),"対応期限超過",IF(AND(P373&lt;&gt;"",P373&lt;TODAY()),"開通予定日超過",IF(AND(S373&lt;&gt;"",S373=TODAY()),"本日対応",IF(AND(P373&lt;&gt;"",P373-TODAY()&lt;=3),"開通間近","")))))))</f>
        <v/>
      </c>
      <c r="W373" s="16"/>
      <c r="X373" s="16"/>
    </row>
    <row r="374" customFormat="false" ht="15" hidden="false" customHeight="false" outlineLevel="0" collapsed="false">
      <c r="A374" s="7" t="str">
        <f aca="false">IF(D374="","",ROW()-3)</f>
        <v/>
      </c>
      <c r="B374" s="16"/>
      <c r="C374" s="12"/>
      <c r="D374" s="16"/>
      <c r="E374" s="16"/>
      <c r="F374" s="17"/>
      <c r="G374" s="16"/>
      <c r="H374" s="16"/>
      <c r="I374" s="12"/>
      <c r="J374" s="16"/>
      <c r="K374" s="16"/>
      <c r="L374" s="16"/>
      <c r="M374" s="16"/>
      <c r="N374" s="16"/>
      <c r="O374" s="12"/>
      <c r="P374" s="12"/>
      <c r="Q374" s="12"/>
      <c r="R374" s="16"/>
      <c r="S374" s="12"/>
      <c r="T374" s="13" t="str">
        <f aca="true">IF(C374="","",IF(Q374&lt;&gt;"",Q374-C374,TODAY()-C374))</f>
        <v/>
      </c>
      <c r="U374" s="14" t="str">
        <f aca="true">IF(OR(P374="",Q374&lt;&gt;"",N374="キャンセル"),"",P374-TODAY())</f>
        <v/>
      </c>
      <c r="V374" s="15" t="str">
        <f aca="true">IF(D374="","",IF(OR(N374="開通済",Q374&lt;&gt;""),"完了",IF(N374="キャンセル","―",IF(AND(S374&lt;&gt;"",S374&lt;TODAY()),"対応期限超過",IF(AND(P374&lt;&gt;"",P374&lt;TODAY()),"開通予定日超過",IF(AND(S374&lt;&gt;"",S374=TODAY()),"本日対応",IF(AND(P374&lt;&gt;"",P374-TODAY()&lt;=3),"開通間近","")))))))</f>
        <v/>
      </c>
      <c r="W374" s="16"/>
      <c r="X374" s="16"/>
    </row>
    <row r="375" customFormat="false" ht="15" hidden="false" customHeight="false" outlineLevel="0" collapsed="false">
      <c r="A375" s="7" t="str">
        <f aca="false">IF(D375="","",ROW()-3)</f>
        <v/>
      </c>
      <c r="B375" s="16"/>
      <c r="C375" s="12"/>
      <c r="D375" s="16"/>
      <c r="E375" s="16"/>
      <c r="F375" s="17"/>
      <c r="G375" s="16"/>
      <c r="H375" s="16"/>
      <c r="I375" s="12"/>
      <c r="J375" s="16"/>
      <c r="K375" s="16"/>
      <c r="L375" s="16"/>
      <c r="M375" s="16"/>
      <c r="N375" s="16"/>
      <c r="O375" s="12"/>
      <c r="P375" s="12"/>
      <c r="Q375" s="12"/>
      <c r="R375" s="16"/>
      <c r="S375" s="12"/>
      <c r="T375" s="13" t="str">
        <f aca="true">IF(C375="","",IF(Q375&lt;&gt;"",Q375-C375,TODAY()-C375))</f>
        <v/>
      </c>
      <c r="U375" s="14" t="str">
        <f aca="true">IF(OR(P375="",Q375&lt;&gt;"",N375="キャンセル"),"",P375-TODAY())</f>
        <v/>
      </c>
      <c r="V375" s="15" t="str">
        <f aca="true">IF(D375="","",IF(OR(N375="開通済",Q375&lt;&gt;""),"完了",IF(N375="キャンセル","―",IF(AND(S375&lt;&gt;"",S375&lt;TODAY()),"対応期限超過",IF(AND(P375&lt;&gt;"",P375&lt;TODAY()),"開通予定日超過",IF(AND(S375&lt;&gt;"",S375=TODAY()),"本日対応",IF(AND(P375&lt;&gt;"",P375-TODAY()&lt;=3),"開通間近","")))))))</f>
        <v/>
      </c>
      <c r="W375" s="16"/>
      <c r="X375" s="16"/>
    </row>
    <row r="376" customFormat="false" ht="15" hidden="false" customHeight="false" outlineLevel="0" collapsed="false">
      <c r="A376" s="7" t="str">
        <f aca="false">IF(D376="","",ROW()-3)</f>
        <v/>
      </c>
      <c r="B376" s="16"/>
      <c r="C376" s="12"/>
      <c r="D376" s="16"/>
      <c r="E376" s="16"/>
      <c r="F376" s="17"/>
      <c r="G376" s="16"/>
      <c r="H376" s="16"/>
      <c r="I376" s="12"/>
      <c r="J376" s="16"/>
      <c r="K376" s="16"/>
      <c r="L376" s="16"/>
      <c r="M376" s="16"/>
      <c r="N376" s="16"/>
      <c r="O376" s="12"/>
      <c r="P376" s="12"/>
      <c r="Q376" s="12"/>
      <c r="R376" s="16"/>
      <c r="S376" s="12"/>
      <c r="T376" s="13" t="str">
        <f aca="true">IF(C376="","",IF(Q376&lt;&gt;"",Q376-C376,TODAY()-C376))</f>
        <v/>
      </c>
      <c r="U376" s="14" t="str">
        <f aca="true">IF(OR(P376="",Q376&lt;&gt;"",N376="キャンセル"),"",P376-TODAY())</f>
        <v/>
      </c>
      <c r="V376" s="15" t="str">
        <f aca="true">IF(D376="","",IF(OR(N376="開通済",Q376&lt;&gt;""),"完了",IF(N376="キャンセル","―",IF(AND(S376&lt;&gt;"",S376&lt;TODAY()),"対応期限超過",IF(AND(P376&lt;&gt;"",P376&lt;TODAY()),"開通予定日超過",IF(AND(S376&lt;&gt;"",S376=TODAY()),"本日対応",IF(AND(P376&lt;&gt;"",P376-TODAY()&lt;=3),"開通間近","")))))))</f>
        <v/>
      </c>
      <c r="W376" s="16"/>
      <c r="X376" s="16"/>
    </row>
    <row r="377" customFormat="false" ht="15" hidden="false" customHeight="false" outlineLevel="0" collapsed="false">
      <c r="A377" s="7" t="str">
        <f aca="false">IF(D377="","",ROW()-3)</f>
        <v/>
      </c>
      <c r="B377" s="16"/>
      <c r="C377" s="12"/>
      <c r="D377" s="16"/>
      <c r="E377" s="16"/>
      <c r="F377" s="17"/>
      <c r="G377" s="16"/>
      <c r="H377" s="16"/>
      <c r="I377" s="12"/>
      <c r="J377" s="16"/>
      <c r="K377" s="16"/>
      <c r="L377" s="16"/>
      <c r="M377" s="16"/>
      <c r="N377" s="16"/>
      <c r="O377" s="12"/>
      <c r="P377" s="12"/>
      <c r="Q377" s="12"/>
      <c r="R377" s="16"/>
      <c r="S377" s="12"/>
      <c r="T377" s="13" t="str">
        <f aca="true">IF(C377="","",IF(Q377&lt;&gt;"",Q377-C377,TODAY()-C377))</f>
        <v/>
      </c>
      <c r="U377" s="14" t="str">
        <f aca="true">IF(OR(P377="",Q377&lt;&gt;"",N377="キャンセル"),"",P377-TODAY())</f>
        <v/>
      </c>
      <c r="V377" s="15" t="str">
        <f aca="true">IF(D377="","",IF(OR(N377="開通済",Q377&lt;&gt;""),"完了",IF(N377="キャンセル","―",IF(AND(S377&lt;&gt;"",S377&lt;TODAY()),"対応期限超過",IF(AND(P377&lt;&gt;"",P377&lt;TODAY()),"開通予定日超過",IF(AND(S377&lt;&gt;"",S377=TODAY()),"本日対応",IF(AND(P377&lt;&gt;"",P377-TODAY()&lt;=3),"開通間近","")))))))</f>
        <v/>
      </c>
      <c r="W377" s="16"/>
      <c r="X377" s="16"/>
    </row>
    <row r="378" customFormat="false" ht="15" hidden="false" customHeight="false" outlineLevel="0" collapsed="false">
      <c r="A378" s="7" t="str">
        <f aca="false">IF(D378="","",ROW()-3)</f>
        <v/>
      </c>
      <c r="B378" s="16"/>
      <c r="C378" s="12"/>
      <c r="D378" s="16"/>
      <c r="E378" s="16"/>
      <c r="F378" s="17"/>
      <c r="G378" s="16"/>
      <c r="H378" s="16"/>
      <c r="I378" s="12"/>
      <c r="J378" s="16"/>
      <c r="K378" s="16"/>
      <c r="L378" s="16"/>
      <c r="M378" s="16"/>
      <c r="N378" s="16"/>
      <c r="O378" s="12"/>
      <c r="P378" s="12"/>
      <c r="Q378" s="12"/>
      <c r="R378" s="16"/>
      <c r="S378" s="12"/>
      <c r="T378" s="13" t="str">
        <f aca="true">IF(C378="","",IF(Q378&lt;&gt;"",Q378-C378,TODAY()-C378))</f>
        <v/>
      </c>
      <c r="U378" s="14" t="str">
        <f aca="true">IF(OR(P378="",Q378&lt;&gt;"",N378="キャンセル"),"",P378-TODAY())</f>
        <v/>
      </c>
      <c r="V378" s="15" t="str">
        <f aca="true">IF(D378="","",IF(OR(N378="開通済",Q378&lt;&gt;""),"完了",IF(N378="キャンセル","―",IF(AND(S378&lt;&gt;"",S378&lt;TODAY()),"対応期限超過",IF(AND(P378&lt;&gt;"",P378&lt;TODAY()),"開通予定日超過",IF(AND(S378&lt;&gt;"",S378=TODAY()),"本日対応",IF(AND(P378&lt;&gt;"",P378-TODAY()&lt;=3),"開通間近","")))))))</f>
        <v/>
      </c>
      <c r="W378" s="16"/>
      <c r="X378" s="16"/>
    </row>
    <row r="379" customFormat="false" ht="15" hidden="false" customHeight="false" outlineLevel="0" collapsed="false">
      <c r="A379" s="7" t="str">
        <f aca="false">IF(D379="","",ROW()-3)</f>
        <v/>
      </c>
      <c r="B379" s="16"/>
      <c r="C379" s="12"/>
      <c r="D379" s="16"/>
      <c r="E379" s="16"/>
      <c r="F379" s="17"/>
      <c r="G379" s="16"/>
      <c r="H379" s="16"/>
      <c r="I379" s="12"/>
      <c r="J379" s="16"/>
      <c r="K379" s="16"/>
      <c r="L379" s="16"/>
      <c r="M379" s="16"/>
      <c r="N379" s="16"/>
      <c r="O379" s="12"/>
      <c r="P379" s="12"/>
      <c r="Q379" s="12"/>
      <c r="R379" s="16"/>
      <c r="S379" s="12"/>
      <c r="T379" s="13" t="str">
        <f aca="true">IF(C379="","",IF(Q379&lt;&gt;"",Q379-C379,TODAY()-C379))</f>
        <v/>
      </c>
      <c r="U379" s="14" t="str">
        <f aca="true">IF(OR(P379="",Q379&lt;&gt;"",N379="キャンセル"),"",P379-TODAY())</f>
        <v/>
      </c>
      <c r="V379" s="15" t="str">
        <f aca="true">IF(D379="","",IF(OR(N379="開通済",Q379&lt;&gt;""),"完了",IF(N379="キャンセル","―",IF(AND(S379&lt;&gt;"",S379&lt;TODAY()),"対応期限超過",IF(AND(P379&lt;&gt;"",P379&lt;TODAY()),"開通予定日超過",IF(AND(S379&lt;&gt;"",S379=TODAY()),"本日対応",IF(AND(P379&lt;&gt;"",P379-TODAY()&lt;=3),"開通間近","")))))))</f>
        <v/>
      </c>
      <c r="W379" s="16"/>
      <c r="X379" s="16"/>
    </row>
    <row r="380" customFormat="false" ht="15" hidden="false" customHeight="false" outlineLevel="0" collapsed="false">
      <c r="A380" s="7" t="str">
        <f aca="false">IF(D380="","",ROW()-3)</f>
        <v/>
      </c>
      <c r="B380" s="16"/>
      <c r="C380" s="12"/>
      <c r="D380" s="16"/>
      <c r="E380" s="16"/>
      <c r="F380" s="17"/>
      <c r="G380" s="16"/>
      <c r="H380" s="16"/>
      <c r="I380" s="12"/>
      <c r="J380" s="16"/>
      <c r="K380" s="16"/>
      <c r="L380" s="16"/>
      <c r="M380" s="16"/>
      <c r="N380" s="16"/>
      <c r="O380" s="12"/>
      <c r="P380" s="12"/>
      <c r="Q380" s="12"/>
      <c r="R380" s="16"/>
      <c r="S380" s="12"/>
      <c r="T380" s="13" t="str">
        <f aca="true">IF(C380="","",IF(Q380&lt;&gt;"",Q380-C380,TODAY()-C380))</f>
        <v/>
      </c>
      <c r="U380" s="14" t="str">
        <f aca="true">IF(OR(P380="",Q380&lt;&gt;"",N380="キャンセル"),"",P380-TODAY())</f>
        <v/>
      </c>
      <c r="V380" s="15" t="str">
        <f aca="true">IF(D380="","",IF(OR(N380="開通済",Q380&lt;&gt;""),"完了",IF(N380="キャンセル","―",IF(AND(S380&lt;&gt;"",S380&lt;TODAY()),"対応期限超過",IF(AND(P380&lt;&gt;"",P380&lt;TODAY()),"開通予定日超過",IF(AND(S380&lt;&gt;"",S380=TODAY()),"本日対応",IF(AND(P380&lt;&gt;"",P380-TODAY()&lt;=3),"開通間近","")))))))</f>
        <v/>
      </c>
      <c r="W380" s="16"/>
      <c r="X380" s="16"/>
    </row>
    <row r="381" customFormat="false" ht="15" hidden="false" customHeight="false" outlineLevel="0" collapsed="false">
      <c r="A381" s="7" t="str">
        <f aca="false">IF(D381="","",ROW()-3)</f>
        <v/>
      </c>
      <c r="B381" s="16"/>
      <c r="C381" s="12"/>
      <c r="D381" s="16"/>
      <c r="E381" s="16"/>
      <c r="F381" s="17"/>
      <c r="G381" s="16"/>
      <c r="H381" s="16"/>
      <c r="I381" s="12"/>
      <c r="J381" s="16"/>
      <c r="K381" s="16"/>
      <c r="L381" s="16"/>
      <c r="M381" s="16"/>
      <c r="N381" s="16"/>
      <c r="O381" s="12"/>
      <c r="P381" s="12"/>
      <c r="Q381" s="12"/>
      <c r="R381" s="16"/>
      <c r="S381" s="12"/>
      <c r="T381" s="13" t="str">
        <f aca="true">IF(C381="","",IF(Q381&lt;&gt;"",Q381-C381,TODAY()-C381))</f>
        <v/>
      </c>
      <c r="U381" s="14" t="str">
        <f aca="true">IF(OR(P381="",Q381&lt;&gt;"",N381="キャンセル"),"",P381-TODAY())</f>
        <v/>
      </c>
      <c r="V381" s="15" t="str">
        <f aca="true">IF(D381="","",IF(OR(N381="開通済",Q381&lt;&gt;""),"完了",IF(N381="キャンセル","―",IF(AND(S381&lt;&gt;"",S381&lt;TODAY()),"対応期限超過",IF(AND(P381&lt;&gt;"",P381&lt;TODAY()),"開通予定日超過",IF(AND(S381&lt;&gt;"",S381=TODAY()),"本日対応",IF(AND(P381&lt;&gt;"",P381-TODAY()&lt;=3),"開通間近","")))))))</f>
        <v/>
      </c>
      <c r="W381" s="16"/>
      <c r="X381" s="16"/>
    </row>
    <row r="382" customFormat="false" ht="15" hidden="false" customHeight="false" outlineLevel="0" collapsed="false">
      <c r="A382" s="7" t="str">
        <f aca="false">IF(D382="","",ROW()-3)</f>
        <v/>
      </c>
      <c r="B382" s="16"/>
      <c r="C382" s="12"/>
      <c r="D382" s="16"/>
      <c r="E382" s="16"/>
      <c r="F382" s="17"/>
      <c r="G382" s="16"/>
      <c r="H382" s="16"/>
      <c r="I382" s="12"/>
      <c r="J382" s="16"/>
      <c r="K382" s="16"/>
      <c r="L382" s="16"/>
      <c r="M382" s="16"/>
      <c r="N382" s="16"/>
      <c r="O382" s="12"/>
      <c r="P382" s="12"/>
      <c r="Q382" s="12"/>
      <c r="R382" s="16"/>
      <c r="S382" s="12"/>
      <c r="T382" s="13" t="str">
        <f aca="true">IF(C382="","",IF(Q382&lt;&gt;"",Q382-C382,TODAY()-C382))</f>
        <v/>
      </c>
      <c r="U382" s="14" t="str">
        <f aca="true">IF(OR(P382="",Q382&lt;&gt;"",N382="キャンセル"),"",P382-TODAY())</f>
        <v/>
      </c>
      <c r="V382" s="15" t="str">
        <f aca="true">IF(D382="","",IF(OR(N382="開通済",Q382&lt;&gt;""),"完了",IF(N382="キャンセル","―",IF(AND(S382&lt;&gt;"",S382&lt;TODAY()),"対応期限超過",IF(AND(P382&lt;&gt;"",P382&lt;TODAY()),"開通予定日超過",IF(AND(S382&lt;&gt;"",S382=TODAY()),"本日対応",IF(AND(P382&lt;&gt;"",P382-TODAY()&lt;=3),"開通間近","")))))))</f>
        <v/>
      </c>
      <c r="W382" s="16"/>
      <c r="X382" s="16"/>
    </row>
    <row r="383" customFormat="false" ht="15" hidden="false" customHeight="false" outlineLevel="0" collapsed="false">
      <c r="A383" s="7" t="str">
        <f aca="false">IF(D383="","",ROW()-3)</f>
        <v/>
      </c>
      <c r="B383" s="16"/>
      <c r="C383" s="12"/>
      <c r="D383" s="16"/>
      <c r="E383" s="16"/>
      <c r="F383" s="17"/>
      <c r="G383" s="16"/>
      <c r="H383" s="16"/>
      <c r="I383" s="12"/>
      <c r="J383" s="16"/>
      <c r="K383" s="16"/>
      <c r="L383" s="16"/>
      <c r="M383" s="16"/>
      <c r="N383" s="16"/>
      <c r="O383" s="12"/>
      <c r="P383" s="12"/>
      <c r="Q383" s="12"/>
      <c r="R383" s="16"/>
      <c r="S383" s="12"/>
      <c r="T383" s="13" t="str">
        <f aca="true">IF(C383="","",IF(Q383&lt;&gt;"",Q383-C383,TODAY()-C383))</f>
        <v/>
      </c>
      <c r="U383" s="14" t="str">
        <f aca="true">IF(OR(P383="",Q383&lt;&gt;"",N383="キャンセル"),"",P383-TODAY())</f>
        <v/>
      </c>
      <c r="V383" s="15" t="str">
        <f aca="true">IF(D383="","",IF(OR(N383="開通済",Q383&lt;&gt;""),"完了",IF(N383="キャンセル","―",IF(AND(S383&lt;&gt;"",S383&lt;TODAY()),"対応期限超過",IF(AND(P383&lt;&gt;"",P383&lt;TODAY()),"開通予定日超過",IF(AND(S383&lt;&gt;"",S383=TODAY()),"本日対応",IF(AND(P383&lt;&gt;"",P383-TODAY()&lt;=3),"開通間近","")))))))</f>
        <v/>
      </c>
      <c r="W383" s="16"/>
      <c r="X383" s="16"/>
    </row>
    <row r="384" customFormat="false" ht="15" hidden="false" customHeight="false" outlineLevel="0" collapsed="false">
      <c r="A384" s="7" t="str">
        <f aca="false">IF(D384="","",ROW()-3)</f>
        <v/>
      </c>
      <c r="B384" s="16"/>
      <c r="C384" s="12"/>
      <c r="D384" s="16"/>
      <c r="E384" s="16"/>
      <c r="F384" s="17"/>
      <c r="G384" s="16"/>
      <c r="H384" s="16"/>
      <c r="I384" s="12"/>
      <c r="J384" s="16"/>
      <c r="K384" s="16"/>
      <c r="L384" s="16"/>
      <c r="M384" s="16"/>
      <c r="N384" s="16"/>
      <c r="O384" s="12"/>
      <c r="P384" s="12"/>
      <c r="Q384" s="12"/>
      <c r="R384" s="16"/>
      <c r="S384" s="12"/>
      <c r="T384" s="13" t="str">
        <f aca="true">IF(C384="","",IF(Q384&lt;&gt;"",Q384-C384,TODAY()-C384))</f>
        <v/>
      </c>
      <c r="U384" s="14" t="str">
        <f aca="true">IF(OR(P384="",Q384&lt;&gt;"",N384="キャンセル"),"",P384-TODAY())</f>
        <v/>
      </c>
      <c r="V384" s="15" t="str">
        <f aca="true">IF(D384="","",IF(OR(N384="開通済",Q384&lt;&gt;""),"完了",IF(N384="キャンセル","―",IF(AND(S384&lt;&gt;"",S384&lt;TODAY()),"対応期限超過",IF(AND(P384&lt;&gt;"",P384&lt;TODAY()),"開通予定日超過",IF(AND(S384&lt;&gt;"",S384=TODAY()),"本日対応",IF(AND(P384&lt;&gt;"",P384-TODAY()&lt;=3),"開通間近","")))))))</f>
        <v/>
      </c>
      <c r="W384" s="16"/>
      <c r="X384" s="16"/>
    </row>
    <row r="385" customFormat="false" ht="15" hidden="false" customHeight="false" outlineLevel="0" collapsed="false">
      <c r="A385" s="7" t="str">
        <f aca="false">IF(D385="","",ROW()-3)</f>
        <v/>
      </c>
      <c r="B385" s="16"/>
      <c r="C385" s="12"/>
      <c r="D385" s="16"/>
      <c r="E385" s="16"/>
      <c r="F385" s="17"/>
      <c r="G385" s="16"/>
      <c r="H385" s="16"/>
      <c r="I385" s="12"/>
      <c r="J385" s="16"/>
      <c r="K385" s="16"/>
      <c r="L385" s="16"/>
      <c r="M385" s="16"/>
      <c r="N385" s="16"/>
      <c r="O385" s="12"/>
      <c r="P385" s="12"/>
      <c r="Q385" s="12"/>
      <c r="R385" s="16"/>
      <c r="S385" s="12"/>
      <c r="T385" s="13" t="str">
        <f aca="true">IF(C385="","",IF(Q385&lt;&gt;"",Q385-C385,TODAY()-C385))</f>
        <v/>
      </c>
      <c r="U385" s="14" t="str">
        <f aca="true">IF(OR(P385="",Q385&lt;&gt;"",N385="キャンセル"),"",P385-TODAY())</f>
        <v/>
      </c>
      <c r="V385" s="15" t="str">
        <f aca="true">IF(D385="","",IF(OR(N385="開通済",Q385&lt;&gt;""),"完了",IF(N385="キャンセル","―",IF(AND(S385&lt;&gt;"",S385&lt;TODAY()),"対応期限超過",IF(AND(P385&lt;&gt;"",P385&lt;TODAY()),"開通予定日超過",IF(AND(S385&lt;&gt;"",S385=TODAY()),"本日対応",IF(AND(P385&lt;&gt;"",P385-TODAY()&lt;=3),"開通間近","")))))))</f>
        <v/>
      </c>
      <c r="W385" s="16"/>
      <c r="X385" s="16"/>
    </row>
    <row r="386" customFormat="false" ht="15" hidden="false" customHeight="false" outlineLevel="0" collapsed="false">
      <c r="A386" s="7" t="str">
        <f aca="false">IF(D386="","",ROW()-3)</f>
        <v/>
      </c>
      <c r="B386" s="16"/>
      <c r="C386" s="12"/>
      <c r="D386" s="16"/>
      <c r="E386" s="16"/>
      <c r="F386" s="17"/>
      <c r="G386" s="16"/>
      <c r="H386" s="16"/>
      <c r="I386" s="12"/>
      <c r="J386" s="16"/>
      <c r="K386" s="16"/>
      <c r="L386" s="16"/>
      <c r="M386" s="16"/>
      <c r="N386" s="16"/>
      <c r="O386" s="12"/>
      <c r="P386" s="12"/>
      <c r="Q386" s="12"/>
      <c r="R386" s="16"/>
      <c r="S386" s="12"/>
      <c r="T386" s="13" t="str">
        <f aca="true">IF(C386="","",IF(Q386&lt;&gt;"",Q386-C386,TODAY()-C386))</f>
        <v/>
      </c>
      <c r="U386" s="14" t="str">
        <f aca="true">IF(OR(P386="",Q386&lt;&gt;"",N386="キャンセル"),"",P386-TODAY())</f>
        <v/>
      </c>
      <c r="V386" s="15" t="str">
        <f aca="true">IF(D386="","",IF(OR(N386="開通済",Q386&lt;&gt;""),"完了",IF(N386="キャンセル","―",IF(AND(S386&lt;&gt;"",S386&lt;TODAY()),"対応期限超過",IF(AND(P386&lt;&gt;"",P386&lt;TODAY()),"開通予定日超過",IF(AND(S386&lt;&gt;"",S386=TODAY()),"本日対応",IF(AND(P386&lt;&gt;"",P386-TODAY()&lt;=3),"開通間近","")))))))</f>
        <v/>
      </c>
      <c r="W386" s="16"/>
      <c r="X386" s="16"/>
    </row>
    <row r="387" customFormat="false" ht="15" hidden="false" customHeight="false" outlineLevel="0" collapsed="false">
      <c r="A387" s="7" t="str">
        <f aca="false">IF(D387="","",ROW()-3)</f>
        <v/>
      </c>
      <c r="B387" s="16"/>
      <c r="C387" s="12"/>
      <c r="D387" s="16"/>
      <c r="E387" s="16"/>
      <c r="F387" s="17"/>
      <c r="G387" s="16"/>
      <c r="H387" s="16"/>
      <c r="I387" s="12"/>
      <c r="J387" s="16"/>
      <c r="K387" s="16"/>
      <c r="L387" s="16"/>
      <c r="M387" s="16"/>
      <c r="N387" s="16"/>
      <c r="O387" s="12"/>
      <c r="P387" s="12"/>
      <c r="Q387" s="12"/>
      <c r="R387" s="16"/>
      <c r="S387" s="12"/>
      <c r="T387" s="13" t="str">
        <f aca="true">IF(C387="","",IF(Q387&lt;&gt;"",Q387-C387,TODAY()-C387))</f>
        <v/>
      </c>
      <c r="U387" s="14" t="str">
        <f aca="true">IF(OR(P387="",Q387&lt;&gt;"",N387="キャンセル"),"",P387-TODAY())</f>
        <v/>
      </c>
      <c r="V387" s="15" t="str">
        <f aca="true">IF(D387="","",IF(OR(N387="開通済",Q387&lt;&gt;""),"完了",IF(N387="キャンセル","―",IF(AND(S387&lt;&gt;"",S387&lt;TODAY()),"対応期限超過",IF(AND(P387&lt;&gt;"",P387&lt;TODAY()),"開通予定日超過",IF(AND(S387&lt;&gt;"",S387=TODAY()),"本日対応",IF(AND(P387&lt;&gt;"",P387-TODAY()&lt;=3),"開通間近","")))))))</f>
        <v/>
      </c>
      <c r="W387" s="16"/>
      <c r="X387" s="16"/>
    </row>
    <row r="388" customFormat="false" ht="15" hidden="false" customHeight="false" outlineLevel="0" collapsed="false">
      <c r="A388" s="7" t="str">
        <f aca="false">IF(D388="","",ROW()-3)</f>
        <v/>
      </c>
      <c r="B388" s="16"/>
      <c r="C388" s="12"/>
      <c r="D388" s="16"/>
      <c r="E388" s="16"/>
      <c r="F388" s="17"/>
      <c r="G388" s="16"/>
      <c r="H388" s="16"/>
      <c r="I388" s="12"/>
      <c r="J388" s="16"/>
      <c r="K388" s="16"/>
      <c r="L388" s="16"/>
      <c r="M388" s="16"/>
      <c r="N388" s="16"/>
      <c r="O388" s="12"/>
      <c r="P388" s="12"/>
      <c r="Q388" s="12"/>
      <c r="R388" s="16"/>
      <c r="S388" s="12"/>
      <c r="T388" s="13" t="str">
        <f aca="true">IF(C388="","",IF(Q388&lt;&gt;"",Q388-C388,TODAY()-C388))</f>
        <v/>
      </c>
      <c r="U388" s="14" t="str">
        <f aca="true">IF(OR(P388="",Q388&lt;&gt;"",N388="キャンセル"),"",P388-TODAY())</f>
        <v/>
      </c>
      <c r="V388" s="15" t="str">
        <f aca="true">IF(D388="","",IF(OR(N388="開通済",Q388&lt;&gt;""),"完了",IF(N388="キャンセル","―",IF(AND(S388&lt;&gt;"",S388&lt;TODAY()),"対応期限超過",IF(AND(P388&lt;&gt;"",P388&lt;TODAY()),"開通予定日超過",IF(AND(S388&lt;&gt;"",S388=TODAY()),"本日対応",IF(AND(P388&lt;&gt;"",P388-TODAY()&lt;=3),"開通間近","")))))))</f>
        <v/>
      </c>
      <c r="W388" s="16"/>
      <c r="X388" s="16"/>
    </row>
    <row r="389" customFormat="false" ht="15" hidden="false" customHeight="false" outlineLevel="0" collapsed="false">
      <c r="A389" s="7" t="str">
        <f aca="false">IF(D389="","",ROW()-3)</f>
        <v/>
      </c>
      <c r="B389" s="16"/>
      <c r="C389" s="12"/>
      <c r="D389" s="16"/>
      <c r="E389" s="16"/>
      <c r="F389" s="17"/>
      <c r="G389" s="16"/>
      <c r="H389" s="16"/>
      <c r="I389" s="12"/>
      <c r="J389" s="16"/>
      <c r="K389" s="16"/>
      <c r="L389" s="16"/>
      <c r="M389" s="16"/>
      <c r="N389" s="16"/>
      <c r="O389" s="12"/>
      <c r="P389" s="12"/>
      <c r="Q389" s="12"/>
      <c r="R389" s="16"/>
      <c r="S389" s="12"/>
      <c r="T389" s="13" t="str">
        <f aca="true">IF(C389="","",IF(Q389&lt;&gt;"",Q389-C389,TODAY()-C389))</f>
        <v/>
      </c>
      <c r="U389" s="14" t="str">
        <f aca="true">IF(OR(P389="",Q389&lt;&gt;"",N389="キャンセル"),"",P389-TODAY())</f>
        <v/>
      </c>
      <c r="V389" s="15" t="str">
        <f aca="true">IF(D389="","",IF(OR(N389="開通済",Q389&lt;&gt;""),"完了",IF(N389="キャンセル","―",IF(AND(S389&lt;&gt;"",S389&lt;TODAY()),"対応期限超過",IF(AND(P389&lt;&gt;"",P389&lt;TODAY()),"開通予定日超過",IF(AND(S389&lt;&gt;"",S389=TODAY()),"本日対応",IF(AND(P389&lt;&gt;"",P389-TODAY()&lt;=3),"開通間近","")))))))</f>
        <v/>
      </c>
      <c r="W389" s="16"/>
      <c r="X389" s="16"/>
    </row>
    <row r="390" customFormat="false" ht="15" hidden="false" customHeight="false" outlineLevel="0" collapsed="false">
      <c r="A390" s="7" t="str">
        <f aca="false">IF(D390="","",ROW()-3)</f>
        <v/>
      </c>
      <c r="B390" s="16"/>
      <c r="C390" s="12"/>
      <c r="D390" s="16"/>
      <c r="E390" s="16"/>
      <c r="F390" s="17"/>
      <c r="G390" s="16"/>
      <c r="H390" s="16"/>
      <c r="I390" s="12"/>
      <c r="J390" s="16"/>
      <c r="K390" s="16"/>
      <c r="L390" s="16"/>
      <c r="M390" s="16"/>
      <c r="N390" s="16"/>
      <c r="O390" s="12"/>
      <c r="P390" s="12"/>
      <c r="Q390" s="12"/>
      <c r="R390" s="16"/>
      <c r="S390" s="12"/>
      <c r="T390" s="13" t="str">
        <f aca="true">IF(C390="","",IF(Q390&lt;&gt;"",Q390-C390,TODAY()-C390))</f>
        <v/>
      </c>
      <c r="U390" s="14" t="str">
        <f aca="true">IF(OR(P390="",Q390&lt;&gt;"",N390="キャンセル"),"",P390-TODAY())</f>
        <v/>
      </c>
      <c r="V390" s="15" t="str">
        <f aca="true">IF(D390="","",IF(OR(N390="開通済",Q390&lt;&gt;""),"完了",IF(N390="キャンセル","―",IF(AND(S390&lt;&gt;"",S390&lt;TODAY()),"対応期限超過",IF(AND(P390&lt;&gt;"",P390&lt;TODAY()),"開通予定日超過",IF(AND(S390&lt;&gt;"",S390=TODAY()),"本日対応",IF(AND(P390&lt;&gt;"",P390-TODAY()&lt;=3),"開通間近","")))))))</f>
        <v/>
      </c>
      <c r="W390" s="16"/>
      <c r="X390" s="16"/>
    </row>
    <row r="391" customFormat="false" ht="15" hidden="false" customHeight="false" outlineLevel="0" collapsed="false">
      <c r="A391" s="7" t="str">
        <f aca="false">IF(D391="","",ROW()-3)</f>
        <v/>
      </c>
      <c r="B391" s="16"/>
      <c r="C391" s="12"/>
      <c r="D391" s="16"/>
      <c r="E391" s="16"/>
      <c r="F391" s="17"/>
      <c r="G391" s="16"/>
      <c r="H391" s="16"/>
      <c r="I391" s="12"/>
      <c r="J391" s="16"/>
      <c r="K391" s="16"/>
      <c r="L391" s="16"/>
      <c r="M391" s="16"/>
      <c r="N391" s="16"/>
      <c r="O391" s="12"/>
      <c r="P391" s="12"/>
      <c r="Q391" s="12"/>
      <c r="R391" s="16"/>
      <c r="S391" s="12"/>
      <c r="T391" s="13" t="str">
        <f aca="true">IF(C391="","",IF(Q391&lt;&gt;"",Q391-C391,TODAY()-C391))</f>
        <v/>
      </c>
      <c r="U391" s="14" t="str">
        <f aca="true">IF(OR(P391="",Q391&lt;&gt;"",N391="キャンセル"),"",P391-TODAY())</f>
        <v/>
      </c>
      <c r="V391" s="15" t="str">
        <f aca="true">IF(D391="","",IF(OR(N391="開通済",Q391&lt;&gt;""),"完了",IF(N391="キャンセル","―",IF(AND(S391&lt;&gt;"",S391&lt;TODAY()),"対応期限超過",IF(AND(P391&lt;&gt;"",P391&lt;TODAY()),"開通予定日超過",IF(AND(S391&lt;&gt;"",S391=TODAY()),"本日対応",IF(AND(P391&lt;&gt;"",P391-TODAY()&lt;=3),"開通間近","")))))))</f>
        <v/>
      </c>
      <c r="W391" s="16"/>
      <c r="X391" s="16"/>
    </row>
    <row r="392" customFormat="false" ht="15" hidden="false" customHeight="false" outlineLevel="0" collapsed="false">
      <c r="A392" s="7" t="str">
        <f aca="false">IF(D392="","",ROW()-3)</f>
        <v/>
      </c>
      <c r="B392" s="16"/>
      <c r="C392" s="12"/>
      <c r="D392" s="16"/>
      <c r="E392" s="16"/>
      <c r="F392" s="17"/>
      <c r="G392" s="16"/>
      <c r="H392" s="16"/>
      <c r="I392" s="12"/>
      <c r="J392" s="16"/>
      <c r="K392" s="16"/>
      <c r="L392" s="16"/>
      <c r="M392" s="16"/>
      <c r="N392" s="16"/>
      <c r="O392" s="12"/>
      <c r="P392" s="12"/>
      <c r="Q392" s="12"/>
      <c r="R392" s="16"/>
      <c r="S392" s="12"/>
      <c r="T392" s="13" t="str">
        <f aca="true">IF(C392="","",IF(Q392&lt;&gt;"",Q392-C392,TODAY()-C392))</f>
        <v/>
      </c>
      <c r="U392" s="14" t="str">
        <f aca="true">IF(OR(P392="",Q392&lt;&gt;"",N392="キャンセル"),"",P392-TODAY())</f>
        <v/>
      </c>
      <c r="V392" s="15" t="str">
        <f aca="true">IF(D392="","",IF(OR(N392="開通済",Q392&lt;&gt;""),"完了",IF(N392="キャンセル","―",IF(AND(S392&lt;&gt;"",S392&lt;TODAY()),"対応期限超過",IF(AND(P392&lt;&gt;"",P392&lt;TODAY()),"開通予定日超過",IF(AND(S392&lt;&gt;"",S392=TODAY()),"本日対応",IF(AND(P392&lt;&gt;"",P392-TODAY()&lt;=3),"開通間近","")))))))</f>
        <v/>
      </c>
      <c r="W392" s="16"/>
      <c r="X392" s="16"/>
    </row>
    <row r="393" customFormat="false" ht="15" hidden="false" customHeight="false" outlineLevel="0" collapsed="false">
      <c r="A393" s="7" t="str">
        <f aca="false">IF(D393="","",ROW()-3)</f>
        <v/>
      </c>
      <c r="B393" s="16"/>
      <c r="C393" s="12"/>
      <c r="D393" s="16"/>
      <c r="E393" s="16"/>
      <c r="F393" s="17"/>
      <c r="G393" s="16"/>
      <c r="H393" s="16"/>
      <c r="I393" s="12"/>
      <c r="J393" s="16"/>
      <c r="K393" s="16"/>
      <c r="L393" s="16"/>
      <c r="M393" s="16"/>
      <c r="N393" s="16"/>
      <c r="O393" s="12"/>
      <c r="P393" s="12"/>
      <c r="Q393" s="12"/>
      <c r="R393" s="16"/>
      <c r="S393" s="12"/>
      <c r="T393" s="13" t="str">
        <f aca="true">IF(C393="","",IF(Q393&lt;&gt;"",Q393-C393,TODAY()-C393))</f>
        <v/>
      </c>
      <c r="U393" s="14" t="str">
        <f aca="true">IF(OR(P393="",Q393&lt;&gt;"",N393="キャンセル"),"",P393-TODAY())</f>
        <v/>
      </c>
      <c r="V393" s="15" t="str">
        <f aca="true">IF(D393="","",IF(OR(N393="開通済",Q393&lt;&gt;""),"完了",IF(N393="キャンセル","―",IF(AND(S393&lt;&gt;"",S393&lt;TODAY()),"対応期限超過",IF(AND(P393&lt;&gt;"",P393&lt;TODAY()),"開通予定日超過",IF(AND(S393&lt;&gt;"",S393=TODAY()),"本日対応",IF(AND(P393&lt;&gt;"",P393-TODAY()&lt;=3),"開通間近","")))))))</f>
        <v/>
      </c>
      <c r="W393" s="16"/>
      <c r="X393" s="16"/>
    </row>
    <row r="394" customFormat="false" ht="15" hidden="false" customHeight="false" outlineLevel="0" collapsed="false">
      <c r="A394" s="7" t="str">
        <f aca="false">IF(D394="","",ROW()-3)</f>
        <v/>
      </c>
      <c r="B394" s="16"/>
      <c r="C394" s="12"/>
      <c r="D394" s="16"/>
      <c r="E394" s="16"/>
      <c r="F394" s="17"/>
      <c r="G394" s="16"/>
      <c r="H394" s="16"/>
      <c r="I394" s="12"/>
      <c r="J394" s="16"/>
      <c r="K394" s="16"/>
      <c r="L394" s="16"/>
      <c r="M394" s="16"/>
      <c r="N394" s="16"/>
      <c r="O394" s="12"/>
      <c r="P394" s="12"/>
      <c r="Q394" s="12"/>
      <c r="R394" s="16"/>
      <c r="S394" s="12"/>
      <c r="T394" s="13" t="str">
        <f aca="true">IF(C394="","",IF(Q394&lt;&gt;"",Q394-C394,TODAY()-C394))</f>
        <v/>
      </c>
      <c r="U394" s="14" t="str">
        <f aca="true">IF(OR(P394="",Q394&lt;&gt;"",N394="キャンセル"),"",P394-TODAY())</f>
        <v/>
      </c>
      <c r="V394" s="15" t="str">
        <f aca="true">IF(D394="","",IF(OR(N394="開通済",Q394&lt;&gt;""),"完了",IF(N394="キャンセル","―",IF(AND(S394&lt;&gt;"",S394&lt;TODAY()),"対応期限超過",IF(AND(P394&lt;&gt;"",P394&lt;TODAY()),"開通予定日超過",IF(AND(S394&lt;&gt;"",S394=TODAY()),"本日対応",IF(AND(P394&lt;&gt;"",P394-TODAY()&lt;=3),"開通間近","")))))))</f>
        <v/>
      </c>
      <c r="W394" s="16"/>
      <c r="X394" s="16"/>
    </row>
    <row r="395" customFormat="false" ht="15" hidden="false" customHeight="false" outlineLevel="0" collapsed="false">
      <c r="A395" s="7" t="str">
        <f aca="false">IF(D395="","",ROW()-3)</f>
        <v/>
      </c>
      <c r="B395" s="16"/>
      <c r="C395" s="12"/>
      <c r="D395" s="16"/>
      <c r="E395" s="16"/>
      <c r="F395" s="17"/>
      <c r="G395" s="16"/>
      <c r="H395" s="16"/>
      <c r="I395" s="12"/>
      <c r="J395" s="16"/>
      <c r="K395" s="16"/>
      <c r="L395" s="16"/>
      <c r="M395" s="16"/>
      <c r="N395" s="16"/>
      <c r="O395" s="12"/>
      <c r="P395" s="12"/>
      <c r="Q395" s="12"/>
      <c r="R395" s="16"/>
      <c r="S395" s="12"/>
      <c r="T395" s="13" t="str">
        <f aca="true">IF(C395="","",IF(Q395&lt;&gt;"",Q395-C395,TODAY()-C395))</f>
        <v/>
      </c>
      <c r="U395" s="14" t="str">
        <f aca="true">IF(OR(P395="",Q395&lt;&gt;"",N395="キャンセル"),"",P395-TODAY())</f>
        <v/>
      </c>
      <c r="V395" s="15" t="str">
        <f aca="true">IF(D395="","",IF(OR(N395="開通済",Q395&lt;&gt;""),"完了",IF(N395="キャンセル","―",IF(AND(S395&lt;&gt;"",S395&lt;TODAY()),"対応期限超過",IF(AND(P395&lt;&gt;"",P395&lt;TODAY()),"開通予定日超過",IF(AND(S395&lt;&gt;"",S395=TODAY()),"本日対応",IF(AND(P395&lt;&gt;"",P395-TODAY()&lt;=3),"開通間近","")))))))</f>
        <v/>
      </c>
      <c r="W395" s="16"/>
      <c r="X395" s="16"/>
    </row>
    <row r="396" customFormat="false" ht="15" hidden="false" customHeight="false" outlineLevel="0" collapsed="false">
      <c r="A396" s="7" t="str">
        <f aca="false">IF(D396="","",ROW()-3)</f>
        <v/>
      </c>
      <c r="B396" s="16"/>
      <c r="C396" s="12"/>
      <c r="D396" s="16"/>
      <c r="E396" s="16"/>
      <c r="F396" s="17"/>
      <c r="G396" s="16"/>
      <c r="H396" s="16"/>
      <c r="I396" s="12"/>
      <c r="J396" s="16"/>
      <c r="K396" s="16"/>
      <c r="L396" s="16"/>
      <c r="M396" s="16"/>
      <c r="N396" s="16"/>
      <c r="O396" s="12"/>
      <c r="P396" s="12"/>
      <c r="Q396" s="12"/>
      <c r="R396" s="16"/>
      <c r="S396" s="12"/>
      <c r="T396" s="13" t="str">
        <f aca="true">IF(C396="","",IF(Q396&lt;&gt;"",Q396-C396,TODAY()-C396))</f>
        <v/>
      </c>
      <c r="U396" s="14" t="str">
        <f aca="true">IF(OR(P396="",Q396&lt;&gt;"",N396="キャンセル"),"",P396-TODAY())</f>
        <v/>
      </c>
      <c r="V396" s="15" t="str">
        <f aca="true">IF(D396="","",IF(OR(N396="開通済",Q396&lt;&gt;""),"完了",IF(N396="キャンセル","―",IF(AND(S396&lt;&gt;"",S396&lt;TODAY()),"対応期限超過",IF(AND(P396&lt;&gt;"",P396&lt;TODAY()),"開通予定日超過",IF(AND(S396&lt;&gt;"",S396=TODAY()),"本日対応",IF(AND(P396&lt;&gt;"",P396-TODAY()&lt;=3),"開通間近","")))))))</f>
        <v/>
      </c>
      <c r="W396" s="16"/>
      <c r="X396" s="16"/>
    </row>
    <row r="397" customFormat="false" ht="15" hidden="false" customHeight="false" outlineLevel="0" collapsed="false">
      <c r="A397" s="7" t="str">
        <f aca="false">IF(D397="","",ROW()-3)</f>
        <v/>
      </c>
      <c r="B397" s="16"/>
      <c r="C397" s="12"/>
      <c r="D397" s="16"/>
      <c r="E397" s="16"/>
      <c r="F397" s="17"/>
      <c r="G397" s="16"/>
      <c r="H397" s="16"/>
      <c r="I397" s="12"/>
      <c r="J397" s="16"/>
      <c r="K397" s="16"/>
      <c r="L397" s="16"/>
      <c r="M397" s="16"/>
      <c r="N397" s="16"/>
      <c r="O397" s="12"/>
      <c r="P397" s="12"/>
      <c r="Q397" s="12"/>
      <c r="R397" s="16"/>
      <c r="S397" s="12"/>
      <c r="T397" s="13" t="str">
        <f aca="true">IF(C397="","",IF(Q397&lt;&gt;"",Q397-C397,TODAY()-C397))</f>
        <v/>
      </c>
      <c r="U397" s="14" t="str">
        <f aca="true">IF(OR(P397="",Q397&lt;&gt;"",N397="キャンセル"),"",P397-TODAY())</f>
        <v/>
      </c>
      <c r="V397" s="15" t="str">
        <f aca="true">IF(D397="","",IF(OR(N397="開通済",Q397&lt;&gt;""),"完了",IF(N397="キャンセル","―",IF(AND(S397&lt;&gt;"",S397&lt;TODAY()),"対応期限超過",IF(AND(P397&lt;&gt;"",P397&lt;TODAY()),"開通予定日超過",IF(AND(S397&lt;&gt;"",S397=TODAY()),"本日対応",IF(AND(P397&lt;&gt;"",P397-TODAY()&lt;=3),"開通間近","")))))))</f>
        <v/>
      </c>
      <c r="W397" s="16"/>
      <c r="X397" s="16"/>
    </row>
    <row r="398" customFormat="false" ht="15" hidden="false" customHeight="false" outlineLevel="0" collapsed="false">
      <c r="A398" s="7" t="str">
        <f aca="false">IF(D398="","",ROW()-3)</f>
        <v/>
      </c>
      <c r="B398" s="16"/>
      <c r="C398" s="12"/>
      <c r="D398" s="16"/>
      <c r="E398" s="16"/>
      <c r="F398" s="17"/>
      <c r="G398" s="16"/>
      <c r="H398" s="16"/>
      <c r="I398" s="12"/>
      <c r="J398" s="16"/>
      <c r="K398" s="16"/>
      <c r="L398" s="16"/>
      <c r="M398" s="16"/>
      <c r="N398" s="16"/>
      <c r="O398" s="12"/>
      <c r="P398" s="12"/>
      <c r="Q398" s="12"/>
      <c r="R398" s="16"/>
      <c r="S398" s="12"/>
      <c r="T398" s="13" t="str">
        <f aca="true">IF(C398="","",IF(Q398&lt;&gt;"",Q398-C398,TODAY()-C398))</f>
        <v/>
      </c>
      <c r="U398" s="14" t="str">
        <f aca="true">IF(OR(P398="",Q398&lt;&gt;"",N398="キャンセル"),"",P398-TODAY())</f>
        <v/>
      </c>
      <c r="V398" s="15" t="str">
        <f aca="true">IF(D398="","",IF(OR(N398="開通済",Q398&lt;&gt;""),"完了",IF(N398="キャンセル","―",IF(AND(S398&lt;&gt;"",S398&lt;TODAY()),"対応期限超過",IF(AND(P398&lt;&gt;"",P398&lt;TODAY()),"開通予定日超過",IF(AND(S398&lt;&gt;"",S398=TODAY()),"本日対応",IF(AND(P398&lt;&gt;"",P398-TODAY()&lt;=3),"開通間近","")))))))</f>
        <v/>
      </c>
      <c r="W398" s="16"/>
      <c r="X398" s="16"/>
    </row>
    <row r="399" customFormat="false" ht="15" hidden="false" customHeight="false" outlineLevel="0" collapsed="false">
      <c r="A399" s="7" t="str">
        <f aca="false">IF(D399="","",ROW()-3)</f>
        <v/>
      </c>
      <c r="B399" s="16"/>
      <c r="C399" s="12"/>
      <c r="D399" s="16"/>
      <c r="E399" s="16"/>
      <c r="F399" s="17"/>
      <c r="G399" s="16"/>
      <c r="H399" s="16"/>
      <c r="I399" s="12"/>
      <c r="J399" s="16"/>
      <c r="K399" s="16"/>
      <c r="L399" s="16"/>
      <c r="M399" s="16"/>
      <c r="N399" s="16"/>
      <c r="O399" s="12"/>
      <c r="P399" s="12"/>
      <c r="Q399" s="12"/>
      <c r="R399" s="16"/>
      <c r="S399" s="12"/>
      <c r="T399" s="13" t="str">
        <f aca="true">IF(C399="","",IF(Q399&lt;&gt;"",Q399-C399,TODAY()-C399))</f>
        <v/>
      </c>
      <c r="U399" s="14" t="str">
        <f aca="true">IF(OR(P399="",Q399&lt;&gt;"",N399="キャンセル"),"",P399-TODAY())</f>
        <v/>
      </c>
      <c r="V399" s="15" t="str">
        <f aca="true">IF(D399="","",IF(OR(N399="開通済",Q399&lt;&gt;""),"完了",IF(N399="キャンセル","―",IF(AND(S399&lt;&gt;"",S399&lt;TODAY()),"対応期限超過",IF(AND(P399&lt;&gt;"",P399&lt;TODAY()),"開通予定日超過",IF(AND(S399&lt;&gt;"",S399=TODAY()),"本日対応",IF(AND(P399&lt;&gt;"",P399-TODAY()&lt;=3),"開通間近","")))))))</f>
        <v/>
      </c>
      <c r="W399" s="16"/>
      <c r="X399" s="16"/>
    </row>
    <row r="400" customFormat="false" ht="15" hidden="false" customHeight="false" outlineLevel="0" collapsed="false">
      <c r="A400" s="7" t="str">
        <f aca="false">IF(D400="","",ROW()-3)</f>
        <v/>
      </c>
      <c r="B400" s="16"/>
      <c r="C400" s="12"/>
      <c r="D400" s="16"/>
      <c r="E400" s="16"/>
      <c r="F400" s="17"/>
      <c r="G400" s="16"/>
      <c r="H400" s="16"/>
      <c r="I400" s="12"/>
      <c r="J400" s="16"/>
      <c r="K400" s="16"/>
      <c r="L400" s="16"/>
      <c r="M400" s="16"/>
      <c r="N400" s="16"/>
      <c r="O400" s="12"/>
      <c r="P400" s="12"/>
      <c r="Q400" s="12"/>
      <c r="R400" s="16"/>
      <c r="S400" s="12"/>
      <c r="T400" s="13" t="str">
        <f aca="true">IF(C400="","",IF(Q400&lt;&gt;"",Q400-C400,TODAY()-C400))</f>
        <v/>
      </c>
      <c r="U400" s="14" t="str">
        <f aca="true">IF(OR(P400="",Q400&lt;&gt;"",N400="キャンセル"),"",P400-TODAY())</f>
        <v/>
      </c>
      <c r="V400" s="15" t="str">
        <f aca="true">IF(D400="","",IF(OR(N400="開通済",Q400&lt;&gt;""),"完了",IF(N400="キャンセル","―",IF(AND(S400&lt;&gt;"",S400&lt;TODAY()),"対応期限超過",IF(AND(P400&lt;&gt;"",P400&lt;TODAY()),"開通予定日超過",IF(AND(S400&lt;&gt;"",S400=TODAY()),"本日対応",IF(AND(P400&lt;&gt;"",P400-TODAY()&lt;=3),"開通間近","")))))))</f>
        <v/>
      </c>
      <c r="W400" s="16"/>
      <c r="X400" s="16"/>
    </row>
    <row r="401" customFormat="false" ht="15" hidden="false" customHeight="false" outlineLevel="0" collapsed="false">
      <c r="A401" s="7" t="str">
        <f aca="false">IF(D401="","",ROW()-3)</f>
        <v/>
      </c>
      <c r="B401" s="16"/>
      <c r="C401" s="12"/>
      <c r="D401" s="16"/>
      <c r="E401" s="16"/>
      <c r="F401" s="17"/>
      <c r="G401" s="16"/>
      <c r="H401" s="16"/>
      <c r="I401" s="12"/>
      <c r="J401" s="16"/>
      <c r="K401" s="16"/>
      <c r="L401" s="16"/>
      <c r="M401" s="16"/>
      <c r="N401" s="16"/>
      <c r="O401" s="12"/>
      <c r="P401" s="12"/>
      <c r="Q401" s="12"/>
      <c r="R401" s="16"/>
      <c r="S401" s="12"/>
      <c r="T401" s="13" t="str">
        <f aca="true">IF(C401="","",IF(Q401&lt;&gt;"",Q401-C401,TODAY()-C401))</f>
        <v/>
      </c>
      <c r="U401" s="14" t="str">
        <f aca="true">IF(OR(P401="",Q401&lt;&gt;"",N401="キャンセル"),"",P401-TODAY())</f>
        <v/>
      </c>
      <c r="V401" s="15" t="str">
        <f aca="true">IF(D401="","",IF(OR(N401="開通済",Q401&lt;&gt;""),"完了",IF(N401="キャンセル","―",IF(AND(S401&lt;&gt;"",S401&lt;TODAY()),"対応期限超過",IF(AND(P401&lt;&gt;"",P401&lt;TODAY()),"開通予定日超過",IF(AND(S401&lt;&gt;"",S401=TODAY()),"本日対応",IF(AND(P401&lt;&gt;"",P401-TODAY()&lt;=3),"開通間近","")))))))</f>
        <v/>
      </c>
      <c r="W401" s="16"/>
      <c r="X401" s="16"/>
    </row>
    <row r="402" customFormat="false" ht="15" hidden="false" customHeight="false" outlineLevel="0" collapsed="false">
      <c r="A402" s="7" t="str">
        <f aca="false">IF(D402="","",ROW()-3)</f>
        <v/>
      </c>
      <c r="B402" s="16"/>
      <c r="C402" s="12"/>
      <c r="D402" s="16"/>
      <c r="E402" s="16"/>
      <c r="F402" s="17"/>
      <c r="G402" s="16"/>
      <c r="H402" s="16"/>
      <c r="I402" s="12"/>
      <c r="J402" s="16"/>
      <c r="K402" s="16"/>
      <c r="L402" s="16"/>
      <c r="M402" s="16"/>
      <c r="N402" s="16"/>
      <c r="O402" s="12"/>
      <c r="P402" s="12"/>
      <c r="Q402" s="12"/>
      <c r="R402" s="16"/>
      <c r="S402" s="12"/>
      <c r="T402" s="13" t="str">
        <f aca="true">IF(C402="","",IF(Q402&lt;&gt;"",Q402-C402,TODAY()-C402))</f>
        <v/>
      </c>
      <c r="U402" s="14" t="str">
        <f aca="true">IF(OR(P402="",Q402&lt;&gt;"",N402="キャンセル"),"",P402-TODAY())</f>
        <v/>
      </c>
      <c r="V402" s="15" t="str">
        <f aca="true">IF(D402="","",IF(OR(N402="開通済",Q402&lt;&gt;""),"完了",IF(N402="キャンセル","―",IF(AND(S402&lt;&gt;"",S402&lt;TODAY()),"対応期限超過",IF(AND(P402&lt;&gt;"",P402&lt;TODAY()),"開通予定日超過",IF(AND(S402&lt;&gt;"",S402=TODAY()),"本日対応",IF(AND(P402&lt;&gt;"",P402-TODAY()&lt;=3),"開通間近","")))))))</f>
        <v/>
      </c>
      <c r="W402" s="16"/>
      <c r="X402" s="16"/>
    </row>
    <row r="403" customFormat="false" ht="15" hidden="false" customHeight="false" outlineLevel="0" collapsed="false">
      <c r="A403" s="7" t="str">
        <f aca="false">IF(D403="","",ROW()-3)</f>
        <v/>
      </c>
      <c r="B403" s="16"/>
      <c r="C403" s="12"/>
      <c r="D403" s="16"/>
      <c r="E403" s="16"/>
      <c r="F403" s="17"/>
      <c r="G403" s="16"/>
      <c r="H403" s="16"/>
      <c r="I403" s="12"/>
      <c r="J403" s="16"/>
      <c r="K403" s="16"/>
      <c r="L403" s="16"/>
      <c r="M403" s="16"/>
      <c r="N403" s="16"/>
      <c r="O403" s="12"/>
      <c r="P403" s="12"/>
      <c r="Q403" s="12"/>
      <c r="R403" s="16"/>
      <c r="S403" s="12"/>
      <c r="T403" s="13" t="str">
        <f aca="true">IF(C403="","",IF(Q403&lt;&gt;"",Q403-C403,TODAY()-C403))</f>
        <v/>
      </c>
      <c r="U403" s="14" t="str">
        <f aca="true">IF(OR(P403="",Q403&lt;&gt;"",N403="キャンセル"),"",P403-TODAY())</f>
        <v/>
      </c>
      <c r="V403" s="15" t="str">
        <f aca="true">IF(D403="","",IF(OR(N403="開通済",Q403&lt;&gt;""),"完了",IF(N403="キャンセル","―",IF(AND(S403&lt;&gt;"",S403&lt;TODAY()),"対応期限超過",IF(AND(P403&lt;&gt;"",P403&lt;TODAY()),"開通予定日超過",IF(AND(S403&lt;&gt;"",S403=TODAY()),"本日対応",IF(AND(P403&lt;&gt;"",P403-TODAY()&lt;=3),"開通間近","")))))))</f>
        <v/>
      </c>
      <c r="W403" s="16"/>
      <c r="X403" s="16"/>
    </row>
    <row r="404" customFormat="false" ht="15" hidden="false" customHeight="false" outlineLevel="0" collapsed="false">
      <c r="A404" s="7" t="str">
        <f aca="false">IF(D404="","",ROW()-3)</f>
        <v/>
      </c>
      <c r="B404" s="16"/>
      <c r="C404" s="12"/>
      <c r="D404" s="16"/>
      <c r="E404" s="16"/>
      <c r="F404" s="17"/>
      <c r="G404" s="16"/>
      <c r="H404" s="16"/>
      <c r="I404" s="12"/>
      <c r="J404" s="16"/>
      <c r="K404" s="16"/>
      <c r="L404" s="16"/>
      <c r="M404" s="16"/>
      <c r="N404" s="16"/>
      <c r="O404" s="12"/>
      <c r="P404" s="12"/>
      <c r="Q404" s="12"/>
      <c r="R404" s="16"/>
      <c r="S404" s="12"/>
      <c r="T404" s="13" t="str">
        <f aca="true">IF(C404="","",IF(Q404&lt;&gt;"",Q404-C404,TODAY()-C404))</f>
        <v/>
      </c>
      <c r="U404" s="14" t="str">
        <f aca="true">IF(OR(P404="",Q404&lt;&gt;"",N404="キャンセル"),"",P404-TODAY())</f>
        <v/>
      </c>
      <c r="V404" s="15" t="str">
        <f aca="true">IF(D404="","",IF(OR(N404="開通済",Q404&lt;&gt;""),"完了",IF(N404="キャンセル","―",IF(AND(S404&lt;&gt;"",S404&lt;TODAY()),"対応期限超過",IF(AND(P404&lt;&gt;"",P404&lt;TODAY()),"開通予定日超過",IF(AND(S404&lt;&gt;"",S404=TODAY()),"本日対応",IF(AND(P404&lt;&gt;"",P404-TODAY()&lt;=3),"開通間近","")))))))</f>
        <v/>
      </c>
      <c r="W404" s="16"/>
      <c r="X404" s="16"/>
    </row>
    <row r="405" customFormat="false" ht="15" hidden="false" customHeight="false" outlineLevel="0" collapsed="false">
      <c r="A405" s="7" t="str">
        <f aca="false">IF(D405="","",ROW()-3)</f>
        <v/>
      </c>
      <c r="B405" s="16"/>
      <c r="C405" s="12"/>
      <c r="D405" s="16"/>
      <c r="E405" s="16"/>
      <c r="F405" s="17"/>
      <c r="G405" s="16"/>
      <c r="H405" s="16"/>
      <c r="I405" s="12"/>
      <c r="J405" s="16"/>
      <c r="K405" s="16"/>
      <c r="L405" s="16"/>
      <c r="M405" s="16"/>
      <c r="N405" s="16"/>
      <c r="O405" s="12"/>
      <c r="P405" s="12"/>
      <c r="Q405" s="12"/>
      <c r="R405" s="16"/>
      <c r="S405" s="12"/>
      <c r="T405" s="13" t="str">
        <f aca="true">IF(C405="","",IF(Q405&lt;&gt;"",Q405-C405,TODAY()-C405))</f>
        <v/>
      </c>
      <c r="U405" s="14" t="str">
        <f aca="true">IF(OR(P405="",Q405&lt;&gt;"",N405="キャンセル"),"",P405-TODAY())</f>
        <v/>
      </c>
      <c r="V405" s="15" t="str">
        <f aca="true">IF(D405="","",IF(OR(N405="開通済",Q405&lt;&gt;""),"完了",IF(N405="キャンセル","―",IF(AND(S405&lt;&gt;"",S405&lt;TODAY()),"対応期限超過",IF(AND(P405&lt;&gt;"",P405&lt;TODAY()),"開通予定日超過",IF(AND(S405&lt;&gt;"",S405=TODAY()),"本日対応",IF(AND(P405&lt;&gt;"",P405-TODAY()&lt;=3),"開通間近","")))))))</f>
        <v/>
      </c>
      <c r="W405" s="16"/>
      <c r="X405" s="16"/>
    </row>
    <row r="406" customFormat="false" ht="15" hidden="false" customHeight="false" outlineLevel="0" collapsed="false">
      <c r="A406" s="7" t="str">
        <f aca="false">IF(D406="","",ROW()-3)</f>
        <v/>
      </c>
      <c r="B406" s="16"/>
      <c r="C406" s="12"/>
      <c r="D406" s="16"/>
      <c r="E406" s="16"/>
      <c r="F406" s="17"/>
      <c r="G406" s="16"/>
      <c r="H406" s="16"/>
      <c r="I406" s="12"/>
      <c r="J406" s="16"/>
      <c r="K406" s="16"/>
      <c r="L406" s="16"/>
      <c r="M406" s="16"/>
      <c r="N406" s="16"/>
      <c r="O406" s="12"/>
      <c r="P406" s="12"/>
      <c r="Q406" s="12"/>
      <c r="R406" s="16"/>
      <c r="S406" s="12"/>
      <c r="T406" s="13" t="str">
        <f aca="true">IF(C406="","",IF(Q406&lt;&gt;"",Q406-C406,TODAY()-C406))</f>
        <v/>
      </c>
      <c r="U406" s="14" t="str">
        <f aca="true">IF(OR(P406="",Q406&lt;&gt;"",N406="キャンセル"),"",P406-TODAY())</f>
        <v/>
      </c>
      <c r="V406" s="15" t="str">
        <f aca="true">IF(D406="","",IF(OR(N406="開通済",Q406&lt;&gt;""),"完了",IF(N406="キャンセル","―",IF(AND(S406&lt;&gt;"",S406&lt;TODAY()),"対応期限超過",IF(AND(P406&lt;&gt;"",P406&lt;TODAY()),"開通予定日超過",IF(AND(S406&lt;&gt;"",S406=TODAY()),"本日対応",IF(AND(P406&lt;&gt;"",P406-TODAY()&lt;=3),"開通間近","")))))))</f>
        <v/>
      </c>
      <c r="W406" s="16"/>
      <c r="X406" s="16"/>
    </row>
    <row r="407" customFormat="false" ht="15" hidden="false" customHeight="false" outlineLevel="0" collapsed="false">
      <c r="A407" s="7" t="str">
        <f aca="false">IF(D407="","",ROW()-3)</f>
        <v/>
      </c>
      <c r="B407" s="16"/>
      <c r="C407" s="12"/>
      <c r="D407" s="16"/>
      <c r="E407" s="16"/>
      <c r="F407" s="17"/>
      <c r="G407" s="16"/>
      <c r="H407" s="16"/>
      <c r="I407" s="12"/>
      <c r="J407" s="16"/>
      <c r="K407" s="16"/>
      <c r="L407" s="16"/>
      <c r="M407" s="16"/>
      <c r="N407" s="16"/>
      <c r="O407" s="12"/>
      <c r="P407" s="12"/>
      <c r="Q407" s="12"/>
      <c r="R407" s="16"/>
      <c r="S407" s="12"/>
      <c r="T407" s="13" t="str">
        <f aca="true">IF(C407="","",IF(Q407&lt;&gt;"",Q407-C407,TODAY()-C407))</f>
        <v/>
      </c>
      <c r="U407" s="14" t="str">
        <f aca="true">IF(OR(P407="",Q407&lt;&gt;"",N407="キャンセル"),"",P407-TODAY())</f>
        <v/>
      </c>
      <c r="V407" s="15" t="str">
        <f aca="true">IF(D407="","",IF(OR(N407="開通済",Q407&lt;&gt;""),"完了",IF(N407="キャンセル","―",IF(AND(S407&lt;&gt;"",S407&lt;TODAY()),"対応期限超過",IF(AND(P407&lt;&gt;"",P407&lt;TODAY()),"開通予定日超過",IF(AND(S407&lt;&gt;"",S407=TODAY()),"本日対応",IF(AND(P407&lt;&gt;"",P407-TODAY()&lt;=3),"開通間近","")))))))</f>
        <v/>
      </c>
      <c r="W407" s="16"/>
      <c r="X407" s="16"/>
    </row>
    <row r="408" customFormat="false" ht="15" hidden="false" customHeight="false" outlineLevel="0" collapsed="false">
      <c r="A408" s="7" t="str">
        <f aca="false">IF(D408="","",ROW()-3)</f>
        <v/>
      </c>
      <c r="B408" s="16"/>
      <c r="C408" s="12"/>
      <c r="D408" s="16"/>
      <c r="E408" s="16"/>
      <c r="F408" s="17"/>
      <c r="G408" s="16"/>
      <c r="H408" s="16"/>
      <c r="I408" s="12"/>
      <c r="J408" s="16"/>
      <c r="K408" s="16"/>
      <c r="L408" s="16"/>
      <c r="M408" s="16"/>
      <c r="N408" s="16"/>
      <c r="O408" s="12"/>
      <c r="P408" s="12"/>
      <c r="Q408" s="12"/>
      <c r="R408" s="16"/>
      <c r="S408" s="12"/>
      <c r="T408" s="13" t="str">
        <f aca="true">IF(C408="","",IF(Q408&lt;&gt;"",Q408-C408,TODAY()-C408))</f>
        <v/>
      </c>
      <c r="U408" s="14" t="str">
        <f aca="true">IF(OR(P408="",Q408&lt;&gt;"",N408="キャンセル"),"",P408-TODAY())</f>
        <v/>
      </c>
      <c r="V408" s="15" t="str">
        <f aca="true">IF(D408="","",IF(OR(N408="開通済",Q408&lt;&gt;""),"完了",IF(N408="キャンセル","―",IF(AND(S408&lt;&gt;"",S408&lt;TODAY()),"対応期限超過",IF(AND(P408&lt;&gt;"",P408&lt;TODAY()),"開通予定日超過",IF(AND(S408&lt;&gt;"",S408=TODAY()),"本日対応",IF(AND(P408&lt;&gt;"",P408-TODAY()&lt;=3),"開通間近","")))))))</f>
        <v/>
      </c>
      <c r="W408" s="16"/>
      <c r="X408" s="16"/>
    </row>
    <row r="409" customFormat="false" ht="15" hidden="false" customHeight="false" outlineLevel="0" collapsed="false">
      <c r="A409" s="7" t="str">
        <f aca="false">IF(D409="","",ROW()-3)</f>
        <v/>
      </c>
      <c r="B409" s="16"/>
      <c r="C409" s="12"/>
      <c r="D409" s="16"/>
      <c r="E409" s="16"/>
      <c r="F409" s="17"/>
      <c r="G409" s="16"/>
      <c r="H409" s="16"/>
      <c r="I409" s="12"/>
      <c r="J409" s="16"/>
      <c r="K409" s="16"/>
      <c r="L409" s="16"/>
      <c r="M409" s="16"/>
      <c r="N409" s="16"/>
      <c r="O409" s="12"/>
      <c r="P409" s="12"/>
      <c r="Q409" s="12"/>
      <c r="R409" s="16"/>
      <c r="S409" s="12"/>
      <c r="T409" s="13" t="str">
        <f aca="true">IF(C409="","",IF(Q409&lt;&gt;"",Q409-C409,TODAY()-C409))</f>
        <v/>
      </c>
      <c r="U409" s="14" t="str">
        <f aca="true">IF(OR(P409="",Q409&lt;&gt;"",N409="キャンセル"),"",P409-TODAY())</f>
        <v/>
      </c>
      <c r="V409" s="15" t="str">
        <f aca="true">IF(D409="","",IF(OR(N409="開通済",Q409&lt;&gt;""),"完了",IF(N409="キャンセル","―",IF(AND(S409&lt;&gt;"",S409&lt;TODAY()),"対応期限超過",IF(AND(P409&lt;&gt;"",P409&lt;TODAY()),"開通予定日超過",IF(AND(S409&lt;&gt;"",S409=TODAY()),"本日対応",IF(AND(P409&lt;&gt;"",P409-TODAY()&lt;=3),"開通間近","")))))))</f>
        <v/>
      </c>
      <c r="W409" s="16"/>
      <c r="X409" s="16"/>
    </row>
    <row r="410" customFormat="false" ht="15" hidden="false" customHeight="false" outlineLevel="0" collapsed="false">
      <c r="A410" s="7" t="str">
        <f aca="false">IF(D410="","",ROW()-3)</f>
        <v/>
      </c>
      <c r="B410" s="16"/>
      <c r="C410" s="12"/>
      <c r="D410" s="16"/>
      <c r="E410" s="16"/>
      <c r="F410" s="17"/>
      <c r="G410" s="16"/>
      <c r="H410" s="16"/>
      <c r="I410" s="12"/>
      <c r="J410" s="16"/>
      <c r="K410" s="16"/>
      <c r="L410" s="16"/>
      <c r="M410" s="16"/>
      <c r="N410" s="16"/>
      <c r="O410" s="12"/>
      <c r="P410" s="12"/>
      <c r="Q410" s="12"/>
      <c r="R410" s="16"/>
      <c r="S410" s="12"/>
      <c r="T410" s="13" t="str">
        <f aca="true">IF(C410="","",IF(Q410&lt;&gt;"",Q410-C410,TODAY()-C410))</f>
        <v/>
      </c>
      <c r="U410" s="14" t="str">
        <f aca="true">IF(OR(P410="",Q410&lt;&gt;"",N410="キャンセル"),"",P410-TODAY())</f>
        <v/>
      </c>
      <c r="V410" s="15" t="str">
        <f aca="true">IF(D410="","",IF(OR(N410="開通済",Q410&lt;&gt;""),"完了",IF(N410="キャンセル","―",IF(AND(S410&lt;&gt;"",S410&lt;TODAY()),"対応期限超過",IF(AND(P410&lt;&gt;"",P410&lt;TODAY()),"開通予定日超過",IF(AND(S410&lt;&gt;"",S410=TODAY()),"本日対応",IF(AND(P410&lt;&gt;"",P410-TODAY()&lt;=3),"開通間近","")))))))</f>
        <v/>
      </c>
      <c r="W410" s="16"/>
      <c r="X410" s="16"/>
    </row>
    <row r="411" customFormat="false" ht="15" hidden="false" customHeight="false" outlineLevel="0" collapsed="false">
      <c r="A411" s="7" t="str">
        <f aca="false">IF(D411="","",ROW()-3)</f>
        <v/>
      </c>
      <c r="B411" s="16"/>
      <c r="C411" s="12"/>
      <c r="D411" s="16"/>
      <c r="E411" s="16"/>
      <c r="F411" s="17"/>
      <c r="G411" s="16"/>
      <c r="H411" s="16"/>
      <c r="I411" s="12"/>
      <c r="J411" s="16"/>
      <c r="K411" s="16"/>
      <c r="L411" s="16"/>
      <c r="M411" s="16"/>
      <c r="N411" s="16"/>
      <c r="O411" s="12"/>
      <c r="P411" s="12"/>
      <c r="Q411" s="12"/>
      <c r="R411" s="16"/>
      <c r="S411" s="12"/>
      <c r="T411" s="13" t="str">
        <f aca="true">IF(C411="","",IF(Q411&lt;&gt;"",Q411-C411,TODAY()-C411))</f>
        <v/>
      </c>
      <c r="U411" s="14" t="str">
        <f aca="true">IF(OR(P411="",Q411&lt;&gt;"",N411="キャンセル"),"",P411-TODAY())</f>
        <v/>
      </c>
      <c r="V411" s="15" t="str">
        <f aca="true">IF(D411="","",IF(OR(N411="開通済",Q411&lt;&gt;""),"完了",IF(N411="キャンセル","―",IF(AND(S411&lt;&gt;"",S411&lt;TODAY()),"対応期限超過",IF(AND(P411&lt;&gt;"",P411&lt;TODAY()),"開通予定日超過",IF(AND(S411&lt;&gt;"",S411=TODAY()),"本日対応",IF(AND(P411&lt;&gt;"",P411-TODAY()&lt;=3),"開通間近","")))))))</f>
        <v/>
      </c>
      <c r="W411" s="16"/>
      <c r="X411" s="16"/>
    </row>
    <row r="412" customFormat="false" ht="15" hidden="false" customHeight="false" outlineLevel="0" collapsed="false">
      <c r="A412" s="7" t="str">
        <f aca="false">IF(D412="","",ROW()-3)</f>
        <v/>
      </c>
      <c r="B412" s="16"/>
      <c r="C412" s="12"/>
      <c r="D412" s="16"/>
      <c r="E412" s="16"/>
      <c r="F412" s="17"/>
      <c r="G412" s="16"/>
      <c r="H412" s="16"/>
      <c r="I412" s="12"/>
      <c r="J412" s="16"/>
      <c r="K412" s="16"/>
      <c r="L412" s="16"/>
      <c r="M412" s="16"/>
      <c r="N412" s="16"/>
      <c r="O412" s="12"/>
      <c r="P412" s="12"/>
      <c r="Q412" s="12"/>
      <c r="R412" s="16"/>
      <c r="S412" s="12"/>
      <c r="T412" s="13" t="str">
        <f aca="true">IF(C412="","",IF(Q412&lt;&gt;"",Q412-C412,TODAY()-C412))</f>
        <v/>
      </c>
      <c r="U412" s="14" t="str">
        <f aca="true">IF(OR(P412="",Q412&lt;&gt;"",N412="キャンセル"),"",P412-TODAY())</f>
        <v/>
      </c>
      <c r="V412" s="15" t="str">
        <f aca="true">IF(D412="","",IF(OR(N412="開通済",Q412&lt;&gt;""),"完了",IF(N412="キャンセル","―",IF(AND(S412&lt;&gt;"",S412&lt;TODAY()),"対応期限超過",IF(AND(P412&lt;&gt;"",P412&lt;TODAY()),"開通予定日超過",IF(AND(S412&lt;&gt;"",S412=TODAY()),"本日対応",IF(AND(P412&lt;&gt;"",P412-TODAY()&lt;=3),"開通間近","")))))))</f>
        <v/>
      </c>
      <c r="W412" s="16"/>
      <c r="X412" s="16"/>
    </row>
    <row r="413" customFormat="false" ht="15" hidden="false" customHeight="false" outlineLevel="0" collapsed="false">
      <c r="A413" s="7" t="str">
        <f aca="false">IF(D413="","",ROW()-3)</f>
        <v/>
      </c>
      <c r="B413" s="16"/>
      <c r="C413" s="12"/>
      <c r="D413" s="16"/>
      <c r="E413" s="16"/>
      <c r="F413" s="17"/>
      <c r="G413" s="16"/>
      <c r="H413" s="16"/>
      <c r="I413" s="12"/>
      <c r="J413" s="16"/>
      <c r="K413" s="16"/>
      <c r="L413" s="16"/>
      <c r="M413" s="16"/>
      <c r="N413" s="16"/>
      <c r="O413" s="12"/>
      <c r="P413" s="12"/>
      <c r="Q413" s="12"/>
      <c r="R413" s="16"/>
      <c r="S413" s="12"/>
      <c r="T413" s="13" t="str">
        <f aca="true">IF(C413="","",IF(Q413&lt;&gt;"",Q413-C413,TODAY()-C413))</f>
        <v/>
      </c>
      <c r="U413" s="14" t="str">
        <f aca="true">IF(OR(P413="",Q413&lt;&gt;"",N413="キャンセル"),"",P413-TODAY())</f>
        <v/>
      </c>
      <c r="V413" s="15" t="str">
        <f aca="true">IF(D413="","",IF(OR(N413="開通済",Q413&lt;&gt;""),"完了",IF(N413="キャンセル","―",IF(AND(S413&lt;&gt;"",S413&lt;TODAY()),"対応期限超過",IF(AND(P413&lt;&gt;"",P413&lt;TODAY()),"開通予定日超過",IF(AND(S413&lt;&gt;"",S413=TODAY()),"本日対応",IF(AND(P413&lt;&gt;"",P413-TODAY()&lt;=3),"開通間近","")))))))</f>
        <v/>
      </c>
      <c r="W413" s="16"/>
      <c r="X413" s="16"/>
    </row>
    <row r="414" customFormat="false" ht="15" hidden="false" customHeight="false" outlineLevel="0" collapsed="false">
      <c r="A414" s="7" t="str">
        <f aca="false">IF(D414="","",ROW()-3)</f>
        <v/>
      </c>
      <c r="B414" s="16"/>
      <c r="C414" s="12"/>
      <c r="D414" s="16"/>
      <c r="E414" s="16"/>
      <c r="F414" s="17"/>
      <c r="G414" s="16"/>
      <c r="H414" s="16"/>
      <c r="I414" s="12"/>
      <c r="J414" s="16"/>
      <c r="K414" s="16"/>
      <c r="L414" s="16"/>
      <c r="M414" s="16"/>
      <c r="N414" s="16"/>
      <c r="O414" s="12"/>
      <c r="P414" s="12"/>
      <c r="Q414" s="12"/>
      <c r="R414" s="16"/>
      <c r="S414" s="12"/>
      <c r="T414" s="13" t="str">
        <f aca="true">IF(C414="","",IF(Q414&lt;&gt;"",Q414-C414,TODAY()-C414))</f>
        <v/>
      </c>
      <c r="U414" s="14" t="str">
        <f aca="true">IF(OR(P414="",Q414&lt;&gt;"",N414="キャンセル"),"",P414-TODAY())</f>
        <v/>
      </c>
      <c r="V414" s="15" t="str">
        <f aca="true">IF(D414="","",IF(OR(N414="開通済",Q414&lt;&gt;""),"完了",IF(N414="キャンセル","―",IF(AND(S414&lt;&gt;"",S414&lt;TODAY()),"対応期限超過",IF(AND(P414&lt;&gt;"",P414&lt;TODAY()),"開通予定日超過",IF(AND(S414&lt;&gt;"",S414=TODAY()),"本日対応",IF(AND(P414&lt;&gt;"",P414-TODAY()&lt;=3),"開通間近","")))))))</f>
        <v/>
      </c>
      <c r="W414" s="16"/>
      <c r="X414" s="16"/>
    </row>
    <row r="415" customFormat="false" ht="15" hidden="false" customHeight="false" outlineLevel="0" collapsed="false">
      <c r="A415" s="7" t="str">
        <f aca="false">IF(D415="","",ROW()-3)</f>
        <v/>
      </c>
      <c r="B415" s="16"/>
      <c r="C415" s="12"/>
      <c r="D415" s="16"/>
      <c r="E415" s="16"/>
      <c r="F415" s="17"/>
      <c r="G415" s="16"/>
      <c r="H415" s="16"/>
      <c r="I415" s="12"/>
      <c r="J415" s="16"/>
      <c r="K415" s="16"/>
      <c r="L415" s="16"/>
      <c r="M415" s="16"/>
      <c r="N415" s="16"/>
      <c r="O415" s="12"/>
      <c r="P415" s="12"/>
      <c r="Q415" s="12"/>
      <c r="R415" s="16"/>
      <c r="S415" s="12"/>
      <c r="T415" s="13" t="str">
        <f aca="true">IF(C415="","",IF(Q415&lt;&gt;"",Q415-C415,TODAY()-C415))</f>
        <v/>
      </c>
      <c r="U415" s="14" t="str">
        <f aca="true">IF(OR(P415="",Q415&lt;&gt;"",N415="キャンセル"),"",P415-TODAY())</f>
        <v/>
      </c>
      <c r="V415" s="15" t="str">
        <f aca="true">IF(D415="","",IF(OR(N415="開通済",Q415&lt;&gt;""),"完了",IF(N415="キャンセル","―",IF(AND(S415&lt;&gt;"",S415&lt;TODAY()),"対応期限超過",IF(AND(P415&lt;&gt;"",P415&lt;TODAY()),"開通予定日超過",IF(AND(S415&lt;&gt;"",S415=TODAY()),"本日対応",IF(AND(P415&lt;&gt;"",P415-TODAY()&lt;=3),"開通間近","")))))))</f>
        <v/>
      </c>
      <c r="W415" s="16"/>
      <c r="X415" s="16"/>
    </row>
    <row r="416" customFormat="false" ht="15" hidden="false" customHeight="false" outlineLevel="0" collapsed="false">
      <c r="A416" s="7" t="str">
        <f aca="false">IF(D416="","",ROW()-3)</f>
        <v/>
      </c>
      <c r="B416" s="16"/>
      <c r="C416" s="12"/>
      <c r="D416" s="16"/>
      <c r="E416" s="16"/>
      <c r="F416" s="17"/>
      <c r="G416" s="16"/>
      <c r="H416" s="16"/>
      <c r="I416" s="12"/>
      <c r="J416" s="16"/>
      <c r="K416" s="16"/>
      <c r="L416" s="16"/>
      <c r="M416" s="16"/>
      <c r="N416" s="16"/>
      <c r="O416" s="12"/>
      <c r="P416" s="12"/>
      <c r="Q416" s="12"/>
      <c r="R416" s="16"/>
      <c r="S416" s="12"/>
      <c r="T416" s="13" t="str">
        <f aca="true">IF(C416="","",IF(Q416&lt;&gt;"",Q416-C416,TODAY()-C416))</f>
        <v/>
      </c>
      <c r="U416" s="14" t="str">
        <f aca="true">IF(OR(P416="",Q416&lt;&gt;"",N416="キャンセル"),"",P416-TODAY())</f>
        <v/>
      </c>
      <c r="V416" s="15" t="str">
        <f aca="true">IF(D416="","",IF(OR(N416="開通済",Q416&lt;&gt;""),"完了",IF(N416="キャンセル","―",IF(AND(S416&lt;&gt;"",S416&lt;TODAY()),"対応期限超過",IF(AND(P416&lt;&gt;"",P416&lt;TODAY()),"開通予定日超過",IF(AND(S416&lt;&gt;"",S416=TODAY()),"本日対応",IF(AND(P416&lt;&gt;"",P416-TODAY()&lt;=3),"開通間近","")))))))</f>
        <v/>
      </c>
      <c r="W416" s="16"/>
      <c r="X416" s="16"/>
    </row>
    <row r="417" customFormat="false" ht="15" hidden="false" customHeight="false" outlineLevel="0" collapsed="false">
      <c r="A417" s="7" t="str">
        <f aca="false">IF(D417="","",ROW()-3)</f>
        <v/>
      </c>
      <c r="B417" s="16"/>
      <c r="C417" s="12"/>
      <c r="D417" s="16"/>
      <c r="E417" s="16"/>
      <c r="F417" s="17"/>
      <c r="G417" s="16"/>
      <c r="H417" s="16"/>
      <c r="I417" s="12"/>
      <c r="J417" s="16"/>
      <c r="K417" s="16"/>
      <c r="L417" s="16"/>
      <c r="M417" s="16"/>
      <c r="N417" s="16"/>
      <c r="O417" s="12"/>
      <c r="P417" s="12"/>
      <c r="Q417" s="12"/>
      <c r="R417" s="16"/>
      <c r="S417" s="12"/>
      <c r="T417" s="13" t="str">
        <f aca="true">IF(C417="","",IF(Q417&lt;&gt;"",Q417-C417,TODAY()-C417))</f>
        <v/>
      </c>
      <c r="U417" s="14" t="str">
        <f aca="true">IF(OR(P417="",Q417&lt;&gt;"",N417="キャンセル"),"",P417-TODAY())</f>
        <v/>
      </c>
      <c r="V417" s="15" t="str">
        <f aca="true">IF(D417="","",IF(OR(N417="開通済",Q417&lt;&gt;""),"完了",IF(N417="キャンセル","―",IF(AND(S417&lt;&gt;"",S417&lt;TODAY()),"対応期限超過",IF(AND(P417&lt;&gt;"",P417&lt;TODAY()),"開通予定日超過",IF(AND(S417&lt;&gt;"",S417=TODAY()),"本日対応",IF(AND(P417&lt;&gt;"",P417-TODAY()&lt;=3),"開通間近","")))))))</f>
        <v/>
      </c>
      <c r="W417" s="16"/>
      <c r="X417" s="16"/>
    </row>
    <row r="418" customFormat="false" ht="15" hidden="false" customHeight="false" outlineLevel="0" collapsed="false">
      <c r="A418" s="7" t="str">
        <f aca="false">IF(D418="","",ROW()-3)</f>
        <v/>
      </c>
      <c r="B418" s="16"/>
      <c r="C418" s="12"/>
      <c r="D418" s="16"/>
      <c r="E418" s="16"/>
      <c r="F418" s="17"/>
      <c r="G418" s="16"/>
      <c r="H418" s="16"/>
      <c r="I418" s="12"/>
      <c r="J418" s="16"/>
      <c r="K418" s="16"/>
      <c r="L418" s="16"/>
      <c r="M418" s="16"/>
      <c r="N418" s="16"/>
      <c r="O418" s="12"/>
      <c r="P418" s="12"/>
      <c r="Q418" s="12"/>
      <c r="R418" s="16"/>
      <c r="S418" s="12"/>
      <c r="T418" s="13" t="str">
        <f aca="true">IF(C418="","",IF(Q418&lt;&gt;"",Q418-C418,TODAY()-C418))</f>
        <v/>
      </c>
      <c r="U418" s="14" t="str">
        <f aca="true">IF(OR(P418="",Q418&lt;&gt;"",N418="キャンセル"),"",P418-TODAY())</f>
        <v/>
      </c>
      <c r="V418" s="15" t="str">
        <f aca="true">IF(D418="","",IF(OR(N418="開通済",Q418&lt;&gt;""),"完了",IF(N418="キャンセル","―",IF(AND(S418&lt;&gt;"",S418&lt;TODAY()),"対応期限超過",IF(AND(P418&lt;&gt;"",P418&lt;TODAY()),"開通予定日超過",IF(AND(S418&lt;&gt;"",S418=TODAY()),"本日対応",IF(AND(P418&lt;&gt;"",P418-TODAY()&lt;=3),"開通間近","")))))))</f>
        <v/>
      </c>
      <c r="W418" s="16"/>
      <c r="X418" s="16"/>
    </row>
    <row r="419" customFormat="false" ht="15" hidden="false" customHeight="false" outlineLevel="0" collapsed="false">
      <c r="A419" s="7" t="str">
        <f aca="false">IF(D419="","",ROW()-3)</f>
        <v/>
      </c>
      <c r="B419" s="16"/>
      <c r="C419" s="12"/>
      <c r="D419" s="16"/>
      <c r="E419" s="16"/>
      <c r="F419" s="17"/>
      <c r="G419" s="16"/>
      <c r="H419" s="16"/>
      <c r="I419" s="12"/>
      <c r="J419" s="16"/>
      <c r="K419" s="16"/>
      <c r="L419" s="16"/>
      <c r="M419" s="16"/>
      <c r="N419" s="16"/>
      <c r="O419" s="12"/>
      <c r="P419" s="12"/>
      <c r="Q419" s="12"/>
      <c r="R419" s="16"/>
      <c r="S419" s="12"/>
      <c r="T419" s="13" t="str">
        <f aca="true">IF(C419="","",IF(Q419&lt;&gt;"",Q419-C419,TODAY()-C419))</f>
        <v/>
      </c>
      <c r="U419" s="14" t="str">
        <f aca="true">IF(OR(P419="",Q419&lt;&gt;"",N419="キャンセル"),"",P419-TODAY())</f>
        <v/>
      </c>
      <c r="V419" s="15" t="str">
        <f aca="true">IF(D419="","",IF(OR(N419="開通済",Q419&lt;&gt;""),"完了",IF(N419="キャンセル","―",IF(AND(S419&lt;&gt;"",S419&lt;TODAY()),"対応期限超過",IF(AND(P419&lt;&gt;"",P419&lt;TODAY()),"開通予定日超過",IF(AND(S419&lt;&gt;"",S419=TODAY()),"本日対応",IF(AND(P419&lt;&gt;"",P419-TODAY()&lt;=3),"開通間近","")))))))</f>
        <v/>
      </c>
      <c r="W419" s="16"/>
      <c r="X419" s="16"/>
    </row>
    <row r="420" customFormat="false" ht="15" hidden="false" customHeight="false" outlineLevel="0" collapsed="false">
      <c r="A420" s="7" t="str">
        <f aca="false">IF(D420="","",ROW()-3)</f>
        <v/>
      </c>
      <c r="B420" s="16"/>
      <c r="C420" s="12"/>
      <c r="D420" s="16"/>
      <c r="E420" s="16"/>
      <c r="F420" s="17"/>
      <c r="G420" s="16"/>
      <c r="H420" s="16"/>
      <c r="I420" s="12"/>
      <c r="J420" s="16"/>
      <c r="K420" s="16"/>
      <c r="L420" s="16"/>
      <c r="M420" s="16"/>
      <c r="N420" s="16"/>
      <c r="O420" s="12"/>
      <c r="P420" s="12"/>
      <c r="Q420" s="12"/>
      <c r="R420" s="16"/>
      <c r="S420" s="12"/>
      <c r="T420" s="13" t="str">
        <f aca="true">IF(C420="","",IF(Q420&lt;&gt;"",Q420-C420,TODAY()-C420))</f>
        <v/>
      </c>
      <c r="U420" s="14" t="str">
        <f aca="true">IF(OR(P420="",Q420&lt;&gt;"",N420="キャンセル"),"",P420-TODAY())</f>
        <v/>
      </c>
      <c r="V420" s="15" t="str">
        <f aca="true">IF(D420="","",IF(OR(N420="開通済",Q420&lt;&gt;""),"完了",IF(N420="キャンセル","―",IF(AND(S420&lt;&gt;"",S420&lt;TODAY()),"対応期限超過",IF(AND(P420&lt;&gt;"",P420&lt;TODAY()),"開通予定日超過",IF(AND(S420&lt;&gt;"",S420=TODAY()),"本日対応",IF(AND(P420&lt;&gt;"",P420-TODAY()&lt;=3),"開通間近","")))))))</f>
        <v/>
      </c>
      <c r="W420" s="16"/>
      <c r="X420" s="16"/>
    </row>
    <row r="421" customFormat="false" ht="15" hidden="false" customHeight="false" outlineLevel="0" collapsed="false">
      <c r="A421" s="7" t="str">
        <f aca="false">IF(D421="","",ROW()-3)</f>
        <v/>
      </c>
      <c r="B421" s="16"/>
      <c r="C421" s="12"/>
      <c r="D421" s="16"/>
      <c r="E421" s="16"/>
      <c r="F421" s="17"/>
      <c r="G421" s="16"/>
      <c r="H421" s="16"/>
      <c r="I421" s="12"/>
      <c r="J421" s="16"/>
      <c r="K421" s="16"/>
      <c r="L421" s="16"/>
      <c r="M421" s="16"/>
      <c r="N421" s="16"/>
      <c r="O421" s="12"/>
      <c r="P421" s="12"/>
      <c r="Q421" s="12"/>
      <c r="R421" s="16"/>
      <c r="S421" s="12"/>
      <c r="T421" s="13" t="str">
        <f aca="true">IF(C421="","",IF(Q421&lt;&gt;"",Q421-C421,TODAY()-C421))</f>
        <v/>
      </c>
      <c r="U421" s="14" t="str">
        <f aca="true">IF(OR(P421="",Q421&lt;&gt;"",N421="キャンセル"),"",P421-TODAY())</f>
        <v/>
      </c>
      <c r="V421" s="15" t="str">
        <f aca="true">IF(D421="","",IF(OR(N421="開通済",Q421&lt;&gt;""),"完了",IF(N421="キャンセル","―",IF(AND(S421&lt;&gt;"",S421&lt;TODAY()),"対応期限超過",IF(AND(P421&lt;&gt;"",P421&lt;TODAY()),"開通予定日超過",IF(AND(S421&lt;&gt;"",S421=TODAY()),"本日対応",IF(AND(P421&lt;&gt;"",P421-TODAY()&lt;=3),"開通間近","")))))))</f>
        <v/>
      </c>
      <c r="W421" s="16"/>
      <c r="X421" s="16"/>
    </row>
    <row r="422" customFormat="false" ht="15" hidden="false" customHeight="false" outlineLevel="0" collapsed="false">
      <c r="A422" s="7" t="str">
        <f aca="false">IF(D422="","",ROW()-3)</f>
        <v/>
      </c>
      <c r="B422" s="16"/>
      <c r="C422" s="12"/>
      <c r="D422" s="16"/>
      <c r="E422" s="16"/>
      <c r="F422" s="17"/>
      <c r="G422" s="16"/>
      <c r="H422" s="16"/>
      <c r="I422" s="12"/>
      <c r="J422" s="16"/>
      <c r="K422" s="16"/>
      <c r="L422" s="16"/>
      <c r="M422" s="16"/>
      <c r="N422" s="16"/>
      <c r="O422" s="12"/>
      <c r="P422" s="12"/>
      <c r="Q422" s="12"/>
      <c r="R422" s="16"/>
      <c r="S422" s="12"/>
      <c r="T422" s="13" t="str">
        <f aca="true">IF(C422="","",IF(Q422&lt;&gt;"",Q422-C422,TODAY()-C422))</f>
        <v/>
      </c>
      <c r="U422" s="14" t="str">
        <f aca="true">IF(OR(P422="",Q422&lt;&gt;"",N422="キャンセル"),"",P422-TODAY())</f>
        <v/>
      </c>
      <c r="V422" s="15" t="str">
        <f aca="true">IF(D422="","",IF(OR(N422="開通済",Q422&lt;&gt;""),"完了",IF(N422="キャンセル","―",IF(AND(S422&lt;&gt;"",S422&lt;TODAY()),"対応期限超過",IF(AND(P422&lt;&gt;"",P422&lt;TODAY()),"開通予定日超過",IF(AND(S422&lt;&gt;"",S422=TODAY()),"本日対応",IF(AND(P422&lt;&gt;"",P422-TODAY()&lt;=3),"開通間近","")))))))</f>
        <v/>
      </c>
      <c r="W422" s="16"/>
      <c r="X422" s="16"/>
    </row>
    <row r="423" customFormat="false" ht="15" hidden="false" customHeight="false" outlineLevel="0" collapsed="false">
      <c r="A423" s="7" t="str">
        <f aca="false">IF(D423="","",ROW()-3)</f>
        <v/>
      </c>
      <c r="B423" s="16"/>
      <c r="C423" s="12"/>
      <c r="D423" s="16"/>
      <c r="E423" s="16"/>
      <c r="F423" s="17"/>
      <c r="G423" s="16"/>
      <c r="H423" s="16"/>
      <c r="I423" s="12"/>
      <c r="J423" s="16"/>
      <c r="K423" s="16"/>
      <c r="L423" s="16"/>
      <c r="M423" s="16"/>
      <c r="N423" s="16"/>
      <c r="O423" s="12"/>
      <c r="P423" s="12"/>
      <c r="Q423" s="12"/>
      <c r="R423" s="16"/>
      <c r="S423" s="12"/>
      <c r="T423" s="13" t="str">
        <f aca="true">IF(C423="","",IF(Q423&lt;&gt;"",Q423-C423,TODAY()-C423))</f>
        <v/>
      </c>
      <c r="U423" s="14" t="str">
        <f aca="true">IF(OR(P423="",Q423&lt;&gt;"",N423="キャンセル"),"",P423-TODAY())</f>
        <v/>
      </c>
      <c r="V423" s="15" t="str">
        <f aca="true">IF(D423="","",IF(OR(N423="開通済",Q423&lt;&gt;""),"完了",IF(N423="キャンセル","―",IF(AND(S423&lt;&gt;"",S423&lt;TODAY()),"対応期限超過",IF(AND(P423&lt;&gt;"",P423&lt;TODAY()),"開通予定日超過",IF(AND(S423&lt;&gt;"",S423=TODAY()),"本日対応",IF(AND(P423&lt;&gt;"",P423-TODAY()&lt;=3),"開通間近","")))))))</f>
        <v/>
      </c>
      <c r="W423" s="16"/>
      <c r="X423" s="16"/>
    </row>
    <row r="424" customFormat="false" ht="15" hidden="false" customHeight="false" outlineLevel="0" collapsed="false">
      <c r="A424" s="7" t="str">
        <f aca="false">IF(D424="","",ROW()-3)</f>
        <v/>
      </c>
      <c r="B424" s="16"/>
      <c r="C424" s="12"/>
      <c r="D424" s="16"/>
      <c r="E424" s="16"/>
      <c r="F424" s="17"/>
      <c r="G424" s="16"/>
      <c r="H424" s="16"/>
      <c r="I424" s="12"/>
      <c r="J424" s="16"/>
      <c r="K424" s="16"/>
      <c r="L424" s="16"/>
      <c r="M424" s="16"/>
      <c r="N424" s="16"/>
      <c r="O424" s="12"/>
      <c r="P424" s="12"/>
      <c r="Q424" s="12"/>
      <c r="R424" s="16"/>
      <c r="S424" s="12"/>
      <c r="T424" s="13" t="str">
        <f aca="true">IF(C424="","",IF(Q424&lt;&gt;"",Q424-C424,TODAY()-C424))</f>
        <v/>
      </c>
      <c r="U424" s="14" t="str">
        <f aca="true">IF(OR(P424="",Q424&lt;&gt;"",N424="キャンセル"),"",P424-TODAY())</f>
        <v/>
      </c>
      <c r="V424" s="15" t="str">
        <f aca="true">IF(D424="","",IF(OR(N424="開通済",Q424&lt;&gt;""),"完了",IF(N424="キャンセル","―",IF(AND(S424&lt;&gt;"",S424&lt;TODAY()),"対応期限超過",IF(AND(P424&lt;&gt;"",P424&lt;TODAY()),"開通予定日超過",IF(AND(S424&lt;&gt;"",S424=TODAY()),"本日対応",IF(AND(P424&lt;&gt;"",P424-TODAY()&lt;=3),"開通間近","")))))))</f>
        <v/>
      </c>
      <c r="W424" s="16"/>
      <c r="X424" s="16"/>
    </row>
    <row r="425" customFormat="false" ht="15" hidden="false" customHeight="false" outlineLevel="0" collapsed="false">
      <c r="A425" s="7" t="str">
        <f aca="false">IF(D425="","",ROW()-3)</f>
        <v/>
      </c>
      <c r="B425" s="16"/>
      <c r="C425" s="12"/>
      <c r="D425" s="16"/>
      <c r="E425" s="16"/>
      <c r="F425" s="17"/>
      <c r="G425" s="16"/>
      <c r="H425" s="16"/>
      <c r="I425" s="12"/>
      <c r="J425" s="16"/>
      <c r="K425" s="16"/>
      <c r="L425" s="16"/>
      <c r="M425" s="16"/>
      <c r="N425" s="16"/>
      <c r="O425" s="12"/>
      <c r="P425" s="12"/>
      <c r="Q425" s="12"/>
      <c r="R425" s="16"/>
      <c r="S425" s="12"/>
      <c r="T425" s="13" t="str">
        <f aca="true">IF(C425="","",IF(Q425&lt;&gt;"",Q425-C425,TODAY()-C425))</f>
        <v/>
      </c>
      <c r="U425" s="14" t="str">
        <f aca="true">IF(OR(P425="",Q425&lt;&gt;"",N425="キャンセル"),"",P425-TODAY())</f>
        <v/>
      </c>
      <c r="V425" s="15" t="str">
        <f aca="true">IF(D425="","",IF(OR(N425="開通済",Q425&lt;&gt;""),"完了",IF(N425="キャンセル","―",IF(AND(S425&lt;&gt;"",S425&lt;TODAY()),"対応期限超過",IF(AND(P425&lt;&gt;"",P425&lt;TODAY()),"開通予定日超過",IF(AND(S425&lt;&gt;"",S425=TODAY()),"本日対応",IF(AND(P425&lt;&gt;"",P425-TODAY()&lt;=3),"開通間近","")))))))</f>
        <v/>
      </c>
      <c r="W425" s="16"/>
      <c r="X425" s="16"/>
    </row>
    <row r="426" customFormat="false" ht="15" hidden="false" customHeight="false" outlineLevel="0" collapsed="false">
      <c r="A426" s="7" t="str">
        <f aca="false">IF(D426="","",ROW()-3)</f>
        <v/>
      </c>
      <c r="B426" s="16"/>
      <c r="C426" s="12"/>
      <c r="D426" s="16"/>
      <c r="E426" s="16"/>
      <c r="F426" s="17"/>
      <c r="G426" s="16"/>
      <c r="H426" s="16"/>
      <c r="I426" s="12"/>
      <c r="J426" s="16"/>
      <c r="K426" s="16"/>
      <c r="L426" s="16"/>
      <c r="M426" s="16"/>
      <c r="N426" s="16"/>
      <c r="O426" s="12"/>
      <c r="P426" s="12"/>
      <c r="Q426" s="12"/>
      <c r="R426" s="16"/>
      <c r="S426" s="12"/>
      <c r="T426" s="13" t="str">
        <f aca="true">IF(C426="","",IF(Q426&lt;&gt;"",Q426-C426,TODAY()-C426))</f>
        <v/>
      </c>
      <c r="U426" s="14" t="str">
        <f aca="true">IF(OR(P426="",Q426&lt;&gt;"",N426="キャンセル"),"",P426-TODAY())</f>
        <v/>
      </c>
      <c r="V426" s="15" t="str">
        <f aca="true">IF(D426="","",IF(OR(N426="開通済",Q426&lt;&gt;""),"完了",IF(N426="キャンセル","―",IF(AND(S426&lt;&gt;"",S426&lt;TODAY()),"対応期限超過",IF(AND(P426&lt;&gt;"",P426&lt;TODAY()),"開通予定日超過",IF(AND(S426&lt;&gt;"",S426=TODAY()),"本日対応",IF(AND(P426&lt;&gt;"",P426-TODAY()&lt;=3),"開通間近","")))))))</f>
        <v/>
      </c>
      <c r="W426" s="16"/>
      <c r="X426" s="16"/>
    </row>
    <row r="427" customFormat="false" ht="15" hidden="false" customHeight="false" outlineLevel="0" collapsed="false">
      <c r="A427" s="7" t="str">
        <f aca="false">IF(D427="","",ROW()-3)</f>
        <v/>
      </c>
      <c r="B427" s="16"/>
      <c r="C427" s="12"/>
      <c r="D427" s="16"/>
      <c r="E427" s="16"/>
      <c r="F427" s="17"/>
      <c r="G427" s="16"/>
      <c r="H427" s="16"/>
      <c r="I427" s="12"/>
      <c r="J427" s="16"/>
      <c r="K427" s="16"/>
      <c r="L427" s="16"/>
      <c r="M427" s="16"/>
      <c r="N427" s="16"/>
      <c r="O427" s="12"/>
      <c r="P427" s="12"/>
      <c r="Q427" s="12"/>
      <c r="R427" s="16"/>
      <c r="S427" s="12"/>
      <c r="T427" s="13" t="str">
        <f aca="true">IF(C427="","",IF(Q427&lt;&gt;"",Q427-C427,TODAY()-C427))</f>
        <v/>
      </c>
      <c r="U427" s="14" t="str">
        <f aca="true">IF(OR(P427="",Q427&lt;&gt;"",N427="キャンセル"),"",P427-TODAY())</f>
        <v/>
      </c>
      <c r="V427" s="15" t="str">
        <f aca="true">IF(D427="","",IF(OR(N427="開通済",Q427&lt;&gt;""),"完了",IF(N427="キャンセル","―",IF(AND(S427&lt;&gt;"",S427&lt;TODAY()),"対応期限超過",IF(AND(P427&lt;&gt;"",P427&lt;TODAY()),"開通予定日超過",IF(AND(S427&lt;&gt;"",S427=TODAY()),"本日対応",IF(AND(P427&lt;&gt;"",P427-TODAY()&lt;=3),"開通間近","")))))))</f>
        <v/>
      </c>
      <c r="W427" s="16"/>
      <c r="X427" s="16"/>
    </row>
    <row r="428" customFormat="false" ht="15" hidden="false" customHeight="false" outlineLevel="0" collapsed="false">
      <c r="A428" s="7" t="str">
        <f aca="false">IF(D428="","",ROW()-3)</f>
        <v/>
      </c>
      <c r="B428" s="16"/>
      <c r="C428" s="12"/>
      <c r="D428" s="16"/>
      <c r="E428" s="16"/>
      <c r="F428" s="17"/>
      <c r="G428" s="16"/>
      <c r="H428" s="16"/>
      <c r="I428" s="12"/>
      <c r="J428" s="16"/>
      <c r="K428" s="16"/>
      <c r="L428" s="16"/>
      <c r="M428" s="16"/>
      <c r="N428" s="16"/>
      <c r="O428" s="12"/>
      <c r="P428" s="12"/>
      <c r="Q428" s="12"/>
      <c r="R428" s="16"/>
      <c r="S428" s="12"/>
      <c r="T428" s="13" t="str">
        <f aca="true">IF(C428="","",IF(Q428&lt;&gt;"",Q428-C428,TODAY()-C428))</f>
        <v/>
      </c>
      <c r="U428" s="14" t="str">
        <f aca="true">IF(OR(P428="",Q428&lt;&gt;"",N428="キャンセル"),"",P428-TODAY())</f>
        <v/>
      </c>
      <c r="V428" s="15" t="str">
        <f aca="true">IF(D428="","",IF(OR(N428="開通済",Q428&lt;&gt;""),"完了",IF(N428="キャンセル","―",IF(AND(S428&lt;&gt;"",S428&lt;TODAY()),"対応期限超過",IF(AND(P428&lt;&gt;"",P428&lt;TODAY()),"開通予定日超過",IF(AND(S428&lt;&gt;"",S428=TODAY()),"本日対応",IF(AND(P428&lt;&gt;"",P428-TODAY()&lt;=3),"開通間近","")))))))</f>
        <v/>
      </c>
      <c r="W428" s="16"/>
      <c r="X428" s="16"/>
    </row>
    <row r="429" customFormat="false" ht="15" hidden="false" customHeight="false" outlineLevel="0" collapsed="false">
      <c r="A429" s="7" t="str">
        <f aca="false">IF(D429="","",ROW()-3)</f>
        <v/>
      </c>
      <c r="B429" s="16"/>
      <c r="C429" s="12"/>
      <c r="D429" s="16"/>
      <c r="E429" s="16"/>
      <c r="F429" s="17"/>
      <c r="G429" s="16"/>
      <c r="H429" s="16"/>
      <c r="I429" s="12"/>
      <c r="J429" s="16"/>
      <c r="K429" s="16"/>
      <c r="L429" s="16"/>
      <c r="M429" s="16"/>
      <c r="N429" s="16"/>
      <c r="O429" s="12"/>
      <c r="P429" s="12"/>
      <c r="Q429" s="12"/>
      <c r="R429" s="16"/>
      <c r="S429" s="12"/>
      <c r="T429" s="13" t="str">
        <f aca="true">IF(C429="","",IF(Q429&lt;&gt;"",Q429-C429,TODAY()-C429))</f>
        <v/>
      </c>
      <c r="U429" s="14" t="str">
        <f aca="true">IF(OR(P429="",Q429&lt;&gt;"",N429="キャンセル"),"",P429-TODAY())</f>
        <v/>
      </c>
      <c r="V429" s="15" t="str">
        <f aca="true">IF(D429="","",IF(OR(N429="開通済",Q429&lt;&gt;""),"完了",IF(N429="キャンセル","―",IF(AND(S429&lt;&gt;"",S429&lt;TODAY()),"対応期限超過",IF(AND(P429&lt;&gt;"",P429&lt;TODAY()),"開通予定日超過",IF(AND(S429&lt;&gt;"",S429=TODAY()),"本日対応",IF(AND(P429&lt;&gt;"",P429-TODAY()&lt;=3),"開通間近","")))))))</f>
        <v/>
      </c>
      <c r="W429" s="16"/>
      <c r="X429" s="16"/>
    </row>
    <row r="430" customFormat="false" ht="15" hidden="false" customHeight="false" outlineLevel="0" collapsed="false">
      <c r="A430" s="7" t="str">
        <f aca="false">IF(D430="","",ROW()-3)</f>
        <v/>
      </c>
      <c r="B430" s="16"/>
      <c r="C430" s="12"/>
      <c r="D430" s="16"/>
      <c r="E430" s="16"/>
      <c r="F430" s="17"/>
      <c r="G430" s="16"/>
      <c r="H430" s="16"/>
      <c r="I430" s="12"/>
      <c r="J430" s="16"/>
      <c r="K430" s="16"/>
      <c r="L430" s="16"/>
      <c r="M430" s="16"/>
      <c r="N430" s="16"/>
      <c r="O430" s="12"/>
      <c r="P430" s="12"/>
      <c r="Q430" s="12"/>
      <c r="R430" s="16"/>
      <c r="S430" s="12"/>
      <c r="T430" s="13" t="str">
        <f aca="true">IF(C430="","",IF(Q430&lt;&gt;"",Q430-C430,TODAY()-C430))</f>
        <v/>
      </c>
      <c r="U430" s="14" t="str">
        <f aca="true">IF(OR(P430="",Q430&lt;&gt;"",N430="キャンセル"),"",P430-TODAY())</f>
        <v/>
      </c>
      <c r="V430" s="15" t="str">
        <f aca="true">IF(D430="","",IF(OR(N430="開通済",Q430&lt;&gt;""),"完了",IF(N430="キャンセル","―",IF(AND(S430&lt;&gt;"",S430&lt;TODAY()),"対応期限超過",IF(AND(P430&lt;&gt;"",P430&lt;TODAY()),"開通予定日超過",IF(AND(S430&lt;&gt;"",S430=TODAY()),"本日対応",IF(AND(P430&lt;&gt;"",P430-TODAY()&lt;=3),"開通間近","")))))))</f>
        <v/>
      </c>
      <c r="W430" s="16"/>
      <c r="X430" s="16"/>
    </row>
    <row r="431" customFormat="false" ht="15" hidden="false" customHeight="false" outlineLevel="0" collapsed="false">
      <c r="A431" s="7" t="str">
        <f aca="false">IF(D431="","",ROW()-3)</f>
        <v/>
      </c>
      <c r="B431" s="16"/>
      <c r="C431" s="12"/>
      <c r="D431" s="16"/>
      <c r="E431" s="16"/>
      <c r="F431" s="17"/>
      <c r="G431" s="16"/>
      <c r="H431" s="16"/>
      <c r="I431" s="12"/>
      <c r="J431" s="16"/>
      <c r="K431" s="16"/>
      <c r="L431" s="16"/>
      <c r="M431" s="16"/>
      <c r="N431" s="16"/>
      <c r="O431" s="12"/>
      <c r="P431" s="12"/>
      <c r="Q431" s="12"/>
      <c r="R431" s="16"/>
      <c r="S431" s="12"/>
      <c r="T431" s="13" t="str">
        <f aca="true">IF(C431="","",IF(Q431&lt;&gt;"",Q431-C431,TODAY()-C431))</f>
        <v/>
      </c>
      <c r="U431" s="14" t="str">
        <f aca="true">IF(OR(P431="",Q431&lt;&gt;"",N431="キャンセル"),"",P431-TODAY())</f>
        <v/>
      </c>
      <c r="V431" s="15" t="str">
        <f aca="true">IF(D431="","",IF(OR(N431="開通済",Q431&lt;&gt;""),"完了",IF(N431="キャンセル","―",IF(AND(S431&lt;&gt;"",S431&lt;TODAY()),"対応期限超過",IF(AND(P431&lt;&gt;"",P431&lt;TODAY()),"開通予定日超過",IF(AND(S431&lt;&gt;"",S431=TODAY()),"本日対応",IF(AND(P431&lt;&gt;"",P431-TODAY()&lt;=3),"開通間近","")))))))</f>
        <v/>
      </c>
      <c r="W431" s="16"/>
      <c r="X431" s="16"/>
    </row>
    <row r="432" customFormat="false" ht="15" hidden="false" customHeight="false" outlineLevel="0" collapsed="false">
      <c r="A432" s="7" t="str">
        <f aca="false">IF(D432="","",ROW()-3)</f>
        <v/>
      </c>
      <c r="B432" s="16"/>
      <c r="C432" s="12"/>
      <c r="D432" s="16"/>
      <c r="E432" s="16"/>
      <c r="F432" s="17"/>
      <c r="G432" s="16"/>
      <c r="H432" s="16"/>
      <c r="I432" s="12"/>
      <c r="J432" s="16"/>
      <c r="K432" s="16"/>
      <c r="L432" s="16"/>
      <c r="M432" s="16"/>
      <c r="N432" s="16"/>
      <c r="O432" s="12"/>
      <c r="P432" s="12"/>
      <c r="Q432" s="12"/>
      <c r="R432" s="16"/>
      <c r="S432" s="12"/>
      <c r="T432" s="13" t="str">
        <f aca="true">IF(C432="","",IF(Q432&lt;&gt;"",Q432-C432,TODAY()-C432))</f>
        <v/>
      </c>
      <c r="U432" s="14" t="str">
        <f aca="true">IF(OR(P432="",Q432&lt;&gt;"",N432="キャンセル"),"",P432-TODAY())</f>
        <v/>
      </c>
      <c r="V432" s="15" t="str">
        <f aca="true">IF(D432="","",IF(OR(N432="開通済",Q432&lt;&gt;""),"完了",IF(N432="キャンセル","―",IF(AND(S432&lt;&gt;"",S432&lt;TODAY()),"対応期限超過",IF(AND(P432&lt;&gt;"",P432&lt;TODAY()),"開通予定日超過",IF(AND(S432&lt;&gt;"",S432=TODAY()),"本日対応",IF(AND(P432&lt;&gt;"",P432-TODAY()&lt;=3),"開通間近","")))))))</f>
        <v/>
      </c>
      <c r="W432" s="16"/>
      <c r="X432" s="16"/>
    </row>
    <row r="433" customFormat="false" ht="15" hidden="false" customHeight="false" outlineLevel="0" collapsed="false">
      <c r="A433" s="7" t="str">
        <f aca="false">IF(D433="","",ROW()-3)</f>
        <v/>
      </c>
      <c r="B433" s="16"/>
      <c r="C433" s="12"/>
      <c r="D433" s="16"/>
      <c r="E433" s="16"/>
      <c r="F433" s="17"/>
      <c r="G433" s="16"/>
      <c r="H433" s="16"/>
      <c r="I433" s="12"/>
      <c r="J433" s="16"/>
      <c r="K433" s="16"/>
      <c r="L433" s="16"/>
      <c r="M433" s="16"/>
      <c r="N433" s="16"/>
      <c r="O433" s="12"/>
      <c r="P433" s="12"/>
      <c r="Q433" s="12"/>
      <c r="R433" s="16"/>
      <c r="S433" s="12"/>
      <c r="T433" s="13" t="str">
        <f aca="true">IF(C433="","",IF(Q433&lt;&gt;"",Q433-C433,TODAY()-C433))</f>
        <v/>
      </c>
      <c r="U433" s="14" t="str">
        <f aca="true">IF(OR(P433="",Q433&lt;&gt;"",N433="キャンセル"),"",P433-TODAY())</f>
        <v/>
      </c>
      <c r="V433" s="15" t="str">
        <f aca="true">IF(D433="","",IF(OR(N433="開通済",Q433&lt;&gt;""),"完了",IF(N433="キャンセル","―",IF(AND(S433&lt;&gt;"",S433&lt;TODAY()),"対応期限超過",IF(AND(P433&lt;&gt;"",P433&lt;TODAY()),"開通予定日超過",IF(AND(S433&lt;&gt;"",S433=TODAY()),"本日対応",IF(AND(P433&lt;&gt;"",P433-TODAY()&lt;=3),"開通間近","")))))))</f>
        <v/>
      </c>
      <c r="W433" s="16"/>
      <c r="X433" s="16"/>
    </row>
    <row r="434" customFormat="false" ht="15" hidden="false" customHeight="false" outlineLevel="0" collapsed="false">
      <c r="A434" s="7" t="str">
        <f aca="false">IF(D434="","",ROW()-3)</f>
        <v/>
      </c>
      <c r="B434" s="16"/>
      <c r="C434" s="12"/>
      <c r="D434" s="16"/>
      <c r="E434" s="16"/>
      <c r="F434" s="17"/>
      <c r="G434" s="16"/>
      <c r="H434" s="16"/>
      <c r="I434" s="12"/>
      <c r="J434" s="16"/>
      <c r="K434" s="16"/>
      <c r="L434" s="16"/>
      <c r="M434" s="16"/>
      <c r="N434" s="16"/>
      <c r="O434" s="12"/>
      <c r="P434" s="12"/>
      <c r="Q434" s="12"/>
      <c r="R434" s="16"/>
      <c r="S434" s="12"/>
      <c r="T434" s="13" t="str">
        <f aca="true">IF(C434="","",IF(Q434&lt;&gt;"",Q434-C434,TODAY()-C434))</f>
        <v/>
      </c>
      <c r="U434" s="14" t="str">
        <f aca="true">IF(OR(P434="",Q434&lt;&gt;"",N434="キャンセル"),"",P434-TODAY())</f>
        <v/>
      </c>
      <c r="V434" s="15" t="str">
        <f aca="true">IF(D434="","",IF(OR(N434="開通済",Q434&lt;&gt;""),"完了",IF(N434="キャンセル","―",IF(AND(S434&lt;&gt;"",S434&lt;TODAY()),"対応期限超過",IF(AND(P434&lt;&gt;"",P434&lt;TODAY()),"開通予定日超過",IF(AND(S434&lt;&gt;"",S434=TODAY()),"本日対応",IF(AND(P434&lt;&gt;"",P434-TODAY()&lt;=3),"開通間近","")))))))</f>
        <v/>
      </c>
      <c r="W434" s="16"/>
      <c r="X434" s="16"/>
    </row>
    <row r="435" customFormat="false" ht="15" hidden="false" customHeight="false" outlineLevel="0" collapsed="false">
      <c r="A435" s="7" t="str">
        <f aca="false">IF(D435="","",ROW()-3)</f>
        <v/>
      </c>
      <c r="B435" s="16"/>
      <c r="C435" s="12"/>
      <c r="D435" s="16"/>
      <c r="E435" s="16"/>
      <c r="F435" s="17"/>
      <c r="G435" s="16"/>
      <c r="H435" s="16"/>
      <c r="I435" s="12"/>
      <c r="J435" s="16"/>
      <c r="K435" s="16"/>
      <c r="L435" s="16"/>
      <c r="M435" s="16"/>
      <c r="N435" s="16"/>
      <c r="O435" s="12"/>
      <c r="P435" s="12"/>
      <c r="Q435" s="12"/>
      <c r="R435" s="16"/>
      <c r="S435" s="12"/>
      <c r="T435" s="13" t="str">
        <f aca="true">IF(C435="","",IF(Q435&lt;&gt;"",Q435-C435,TODAY()-C435))</f>
        <v/>
      </c>
      <c r="U435" s="14" t="str">
        <f aca="true">IF(OR(P435="",Q435&lt;&gt;"",N435="キャンセル"),"",P435-TODAY())</f>
        <v/>
      </c>
      <c r="V435" s="15" t="str">
        <f aca="true">IF(D435="","",IF(OR(N435="開通済",Q435&lt;&gt;""),"完了",IF(N435="キャンセル","―",IF(AND(S435&lt;&gt;"",S435&lt;TODAY()),"対応期限超過",IF(AND(P435&lt;&gt;"",P435&lt;TODAY()),"開通予定日超過",IF(AND(S435&lt;&gt;"",S435=TODAY()),"本日対応",IF(AND(P435&lt;&gt;"",P435-TODAY()&lt;=3),"開通間近","")))))))</f>
        <v/>
      </c>
      <c r="W435" s="16"/>
      <c r="X435" s="16"/>
    </row>
    <row r="436" customFormat="false" ht="15" hidden="false" customHeight="false" outlineLevel="0" collapsed="false">
      <c r="A436" s="7" t="str">
        <f aca="false">IF(D436="","",ROW()-3)</f>
        <v/>
      </c>
      <c r="B436" s="16"/>
      <c r="C436" s="12"/>
      <c r="D436" s="16"/>
      <c r="E436" s="16"/>
      <c r="F436" s="17"/>
      <c r="G436" s="16"/>
      <c r="H436" s="16"/>
      <c r="I436" s="12"/>
      <c r="J436" s="16"/>
      <c r="K436" s="16"/>
      <c r="L436" s="16"/>
      <c r="M436" s="16"/>
      <c r="N436" s="16"/>
      <c r="O436" s="12"/>
      <c r="P436" s="12"/>
      <c r="Q436" s="12"/>
      <c r="R436" s="16"/>
      <c r="S436" s="12"/>
      <c r="T436" s="13" t="str">
        <f aca="true">IF(C436="","",IF(Q436&lt;&gt;"",Q436-C436,TODAY()-C436))</f>
        <v/>
      </c>
      <c r="U436" s="14" t="str">
        <f aca="true">IF(OR(P436="",Q436&lt;&gt;"",N436="キャンセル"),"",P436-TODAY())</f>
        <v/>
      </c>
      <c r="V436" s="15" t="str">
        <f aca="true">IF(D436="","",IF(OR(N436="開通済",Q436&lt;&gt;""),"完了",IF(N436="キャンセル","―",IF(AND(S436&lt;&gt;"",S436&lt;TODAY()),"対応期限超過",IF(AND(P436&lt;&gt;"",P436&lt;TODAY()),"開通予定日超過",IF(AND(S436&lt;&gt;"",S436=TODAY()),"本日対応",IF(AND(P436&lt;&gt;"",P436-TODAY()&lt;=3),"開通間近","")))))))</f>
        <v/>
      </c>
      <c r="W436" s="16"/>
      <c r="X436" s="16"/>
    </row>
    <row r="437" customFormat="false" ht="15" hidden="false" customHeight="false" outlineLevel="0" collapsed="false">
      <c r="A437" s="7" t="str">
        <f aca="false">IF(D437="","",ROW()-3)</f>
        <v/>
      </c>
      <c r="B437" s="16"/>
      <c r="C437" s="12"/>
      <c r="D437" s="16"/>
      <c r="E437" s="16"/>
      <c r="F437" s="17"/>
      <c r="G437" s="16"/>
      <c r="H437" s="16"/>
      <c r="I437" s="12"/>
      <c r="J437" s="16"/>
      <c r="K437" s="16"/>
      <c r="L437" s="16"/>
      <c r="M437" s="16"/>
      <c r="N437" s="16"/>
      <c r="O437" s="12"/>
      <c r="P437" s="12"/>
      <c r="Q437" s="12"/>
      <c r="R437" s="16"/>
      <c r="S437" s="12"/>
      <c r="T437" s="13" t="str">
        <f aca="true">IF(C437="","",IF(Q437&lt;&gt;"",Q437-C437,TODAY()-C437))</f>
        <v/>
      </c>
      <c r="U437" s="14" t="str">
        <f aca="true">IF(OR(P437="",Q437&lt;&gt;"",N437="キャンセル"),"",P437-TODAY())</f>
        <v/>
      </c>
      <c r="V437" s="15" t="str">
        <f aca="true">IF(D437="","",IF(OR(N437="開通済",Q437&lt;&gt;""),"完了",IF(N437="キャンセル","―",IF(AND(S437&lt;&gt;"",S437&lt;TODAY()),"対応期限超過",IF(AND(P437&lt;&gt;"",P437&lt;TODAY()),"開通予定日超過",IF(AND(S437&lt;&gt;"",S437=TODAY()),"本日対応",IF(AND(P437&lt;&gt;"",P437-TODAY()&lt;=3),"開通間近","")))))))</f>
        <v/>
      </c>
      <c r="W437" s="16"/>
      <c r="X437" s="16"/>
    </row>
    <row r="438" customFormat="false" ht="15" hidden="false" customHeight="false" outlineLevel="0" collapsed="false">
      <c r="A438" s="7" t="str">
        <f aca="false">IF(D438="","",ROW()-3)</f>
        <v/>
      </c>
      <c r="B438" s="16"/>
      <c r="C438" s="12"/>
      <c r="D438" s="16"/>
      <c r="E438" s="16"/>
      <c r="F438" s="17"/>
      <c r="G438" s="16"/>
      <c r="H438" s="16"/>
      <c r="I438" s="12"/>
      <c r="J438" s="16"/>
      <c r="K438" s="16"/>
      <c r="L438" s="16"/>
      <c r="M438" s="16"/>
      <c r="N438" s="16"/>
      <c r="O438" s="12"/>
      <c r="P438" s="12"/>
      <c r="Q438" s="12"/>
      <c r="R438" s="16"/>
      <c r="S438" s="12"/>
      <c r="T438" s="13" t="str">
        <f aca="true">IF(C438="","",IF(Q438&lt;&gt;"",Q438-C438,TODAY()-C438))</f>
        <v/>
      </c>
      <c r="U438" s="14" t="str">
        <f aca="true">IF(OR(P438="",Q438&lt;&gt;"",N438="キャンセル"),"",P438-TODAY())</f>
        <v/>
      </c>
      <c r="V438" s="15" t="str">
        <f aca="true">IF(D438="","",IF(OR(N438="開通済",Q438&lt;&gt;""),"完了",IF(N438="キャンセル","―",IF(AND(S438&lt;&gt;"",S438&lt;TODAY()),"対応期限超過",IF(AND(P438&lt;&gt;"",P438&lt;TODAY()),"開通予定日超過",IF(AND(S438&lt;&gt;"",S438=TODAY()),"本日対応",IF(AND(P438&lt;&gt;"",P438-TODAY()&lt;=3),"開通間近","")))))))</f>
        <v/>
      </c>
      <c r="W438" s="16"/>
      <c r="X438" s="16"/>
    </row>
    <row r="439" customFormat="false" ht="15" hidden="false" customHeight="false" outlineLevel="0" collapsed="false">
      <c r="A439" s="7" t="str">
        <f aca="false">IF(D439="","",ROW()-3)</f>
        <v/>
      </c>
      <c r="B439" s="16"/>
      <c r="C439" s="12"/>
      <c r="D439" s="16"/>
      <c r="E439" s="16"/>
      <c r="F439" s="17"/>
      <c r="G439" s="16"/>
      <c r="H439" s="16"/>
      <c r="I439" s="12"/>
      <c r="J439" s="16"/>
      <c r="K439" s="16"/>
      <c r="L439" s="16"/>
      <c r="M439" s="16"/>
      <c r="N439" s="16"/>
      <c r="O439" s="12"/>
      <c r="P439" s="12"/>
      <c r="Q439" s="12"/>
      <c r="R439" s="16"/>
      <c r="S439" s="12"/>
      <c r="T439" s="13" t="str">
        <f aca="true">IF(C439="","",IF(Q439&lt;&gt;"",Q439-C439,TODAY()-C439))</f>
        <v/>
      </c>
      <c r="U439" s="14" t="str">
        <f aca="true">IF(OR(P439="",Q439&lt;&gt;"",N439="キャンセル"),"",P439-TODAY())</f>
        <v/>
      </c>
      <c r="V439" s="15" t="str">
        <f aca="true">IF(D439="","",IF(OR(N439="開通済",Q439&lt;&gt;""),"完了",IF(N439="キャンセル","―",IF(AND(S439&lt;&gt;"",S439&lt;TODAY()),"対応期限超過",IF(AND(P439&lt;&gt;"",P439&lt;TODAY()),"開通予定日超過",IF(AND(S439&lt;&gt;"",S439=TODAY()),"本日対応",IF(AND(P439&lt;&gt;"",P439-TODAY()&lt;=3),"開通間近","")))))))</f>
        <v/>
      </c>
      <c r="W439" s="16"/>
      <c r="X439" s="16"/>
    </row>
    <row r="440" customFormat="false" ht="15" hidden="false" customHeight="false" outlineLevel="0" collapsed="false">
      <c r="A440" s="7" t="str">
        <f aca="false">IF(D440="","",ROW()-3)</f>
        <v/>
      </c>
      <c r="B440" s="16"/>
      <c r="C440" s="12"/>
      <c r="D440" s="16"/>
      <c r="E440" s="16"/>
      <c r="F440" s="17"/>
      <c r="G440" s="16"/>
      <c r="H440" s="16"/>
      <c r="I440" s="12"/>
      <c r="J440" s="16"/>
      <c r="K440" s="16"/>
      <c r="L440" s="16"/>
      <c r="M440" s="16"/>
      <c r="N440" s="16"/>
      <c r="O440" s="12"/>
      <c r="P440" s="12"/>
      <c r="Q440" s="12"/>
      <c r="R440" s="16"/>
      <c r="S440" s="12"/>
      <c r="T440" s="13" t="str">
        <f aca="true">IF(C440="","",IF(Q440&lt;&gt;"",Q440-C440,TODAY()-C440))</f>
        <v/>
      </c>
      <c r="U440" s="14" t="str">
        <f aca="true">IF(OR(P440="",Q440&lt;&gt;"",N440="キャンセル"),"",P440-TODAY())</f>
        <v/>
      </c>
      <c r="V440" s="15" t="str">
        <f aca="true">IF(D440="","",IF(OR(N440="開通済",Q440&lt;&gt;""),"完了",IF(N440="キャンセル","―",IF(AND(S440&lt;&gt;"",S440&lt;TODAY()),"対応期限超過",IF(AND(P440&lt;&gt;"",P440&lt;TODAY()),"開通予定日超過",IF(AND(S440&lt;&gt;"",S440=TODAY()),"本日対応",IF(AND(P440&lt;&gt;"",P440-TODAY()&lt;=3),"開通間近","")))))))</f>
        <v/>
      </c>
      <c r="W440" s="16"/>
      <c r="X440" s="16"/>
    </row>
    <row r="441" customFormat="false" ht="15" hidden="false" customHeight="false" outlineLevel="0" collapsed="false">
      <c r="A441" s="7" t="str">
        <f aca="false">IF(D441="","",ROW()-3)</f>
        <v/>
      </c>
      <c r="B441" s="16"/>
      <c r="C441" s="12"/>
      <c r="D441" s="16"/>
      <c r="E441" s="16"/>
      <c r="F441" s="17"/>
      <c r="G441" s="16"/>
      <c r="H441" s="16"/>
      <c r="I441" s="12"/>
      <c r="J441" s="16"/>
      <c r="K441" s="16"/>
      <c r="L441" s="16"/>
      <c r="M441" s="16"/>
      <c r="N441" s="16"/>
      <c r="O441" s="12"/>
      <c r="P441" s="12"/>
      <c r="Q441" s="12"/>
      <c r="R441" s="16"/>
      <c r="S441" s="12"/>
      <c r="T441" s="13" t="str">
        <f aca="true">IF(C441="","",IF(Q441&lt;&gt;"",Q441-C441,TODAY()-C441))</f>
        <v/>
      </c>
      <c r="U441" s="14" t="str">
        <f aca="true">IF(OR(P441="",Q441&lt;&gt;"",N441="キャンセル"),"",P441-TODAY())</f>
        <v/>
      </c>
      <c r="V441" s="15" t="str">
        <f aca="true">IF(D441="","",IF(OR(N441="開通済",Q441&lt;&gt;""),"完了",IF(N441="キャンセル","―",IF(AND(S441&lt;&gt;"",S441&lt;TODAY()),"対応期限超過",IF(AND(P441&lt;&gt;"",P441&lt;TODAY()),"開通予定日超過",IF(AND(S441&lt;&gt;"",S441=TODAY()),"本日対応",IF(AND(P441&lt;&gt;"",P441-TODAY()&lt;=3),"開通間近","")))))))</f>
        <v/>
      </c>
      <c r="W441" s="16"/>
      <c r="X441" s="16"/>
    </row>
    <row r="442" customFormat="false" ht="15" hidden="false" customHeight="false" outlineLevel="0" collapsed="false">
      <c r="A442" s="7" t="str">
        <f aca="false">IF(D442="","",ROW()-3)</f>
        <v/>
      </c>
      <c r="B442" s="16"/>
      <c r="C442" s="12"/>
      <c r="D442" s="16"/>
      <c r="E442" s="16"/>
      <c r="F442" s="17"/>
      <c r="G442" s="16"/>
      <c r="H442" s="16"/>
      <c r="I442" s="12"/>
      <c r="J442" s="16"/>
      <c r="K442" s="16"/>
      <c r="L442" s="16"/>
      <c r="M442" s="16"/>
      <c r="N442" s="16"/>
      <c r="O442" s="12"/>
      <c r="P442" s="12"/>
      <c r="Q442" s="12"/>
      <c r="R442" s="16"/>
      <c r="S442" s="12"/>
      <c r="T442" s="13" t="str">
        <f aca="true">IF(C442="","",IF(Q442&lt;&gt;"",Q442-C442,TODAY()-C442))</f>
        <v/>
      </c>
      <c r="U442" s="14" t="str">
        <f aca="true">IF(OR(P442="",Q442&lt;&gt;"",N442="キャンセル"),"",P442-TODAY())</f>
        <v/>
      </c>
      <c r="V442" s="15" t="str">
        <f aca="true">IF(D442="","",IF(OR(N442="開通済",Q442&lt;&gt;""),"完了",IF(N442="キャンセル","―",IF(AND(S442&lt;&gt;"",S442&lt;TODAY()),"対応期限超過",IF(AND(P442&lt;&gt;"",P442&lt;TODAY()),"開通予定日超過",IF(AND(S442&lt;&gt;"",S442=TODAY()),"本日対応",IF(AND(P442&lt;&gt;"",P442-TODAY()&lt;=3),"開通間近","")))))))</f>
        <v/>
      </c>
      <c r="W442" s="16"/>
      <c r="X442" s="16"/>
    </row>
    <row r="443" customFormat="false" ht="15" hidden="false" customHeight="false" outlineLevel="0" collapsed="false">
      <c r="A443" s="7" t="str">
        <f aca="false">IF(D443="","",ROW()-3)</f>
        <v/>
      </c>
      <c r="B443" s="16"/>
      <c r="C443" s="12"/>
      <c r="D443" s="16"/>
      <c r="E443" s="16"/>
      <c r="F443" s="17"/>
      <c r="G443" s="16"/>
      <c r="H443" s="16"/>
      <c r="I443" s="12"/>
      <c r="J443" s="16"/>
      <c r="K443" s="16"/>
      <c r="L443" s="16"/>
      <c r="M443" s="16"/>
      <c r="N443" s="16"/>
      <c r="O443" s="12"/>
      <c r="P443" s="12"/>
      <c r="Q443" s="12"/>
      <c r="R443" s="16"/>
      <c r="S443" s="12"/>
      <c r="T443" s="13" t="str">
        <f aca="true">IF(C443="","",IF(Q443&lt;&gt;"",Q443-C443,TODAY()-C443))</f>
        <v/>
      </c>
      <c r="U443" s="14" t="str">
        <f aca="true">IF(OR(P443="",Q443&lt;&gt;"",N443="キャンセル"),"",P443-TODAY())</f>
        <v/>
      </c>
      <c r="V443" s="15" t="str">
        <f aca="true">IF(D443="","",IF(OR(N443="開通済",Q443&lt;&gt;""),"完了",IF(N443="キャンセル","―",IF(AND(S443&lt;&gt;"",S443&lt;TODAY()),"対応期限超過",IF(AND(P443&lt;&gt;"",P443&lt;TODAY()),"開通予定日超過",IF(AND(S443&lt;&gt;"",S443=TODAY()),"本日対応",IF(AND(P443&lt;&gt;"",P443-TODAY()&lt;=3),"開通間近","")))))))</f>
        <v/>
      </c>
      <c r="W443" s="16"/>
      <c r="X443" s="16"/>
    </row>
    <row r="444" customFormat="false" ht="15" hidden="false" customHeight="false" outlineLevel="0" collapsed="false">
      <c r="A444" s="7" t="str">
        <f aca="false">IF(D444="","",ROW()-3)</f>
        <v/>
      </c>
      <c r="B444" s="16"/>
      <c r="C444" s="12"/>
      <c r="D444" s="16"/>
      <c r="E444" s="16"/>
      <c r="F444" s="17"/>
      <c r="G444" s="16"/>
      <c r="H444" s="16"/>
      <c r="I444" s="12"/>
      <c r="J444" s="16"/>
      <c r="K444" s="16"/>
      <c r="L444" s="16"/>
      <c r="M444" s="16"/>
      <c r="N444" s="16"/>
      <c r="O444" s="12"/>
      <c r="P444" s="12"/>
      <c r="Q444" s="12"/>
      <c r="R444" s="16"/>
      <c r="S444" s="12"/>
      <c r="T444" s="13" t="str">
        <f aca="true">IF(C444="","",IF(Q444&lt;&gt;"",Q444-C444,TODAY()-C444))</f>
        <v/>
      </c>
      <c r="U444" s="14" t="str">
        <f aca="true">IF(OR(P444="",Q444&lt;&gt;"",N444="キャンセル"),"",P444-TODAY())</f>
        <v/>
      </c>
      <c r="V444" s="15" t="str">
        <f aca="true">IF(D444="","",IF(OR(N444="開通済",Q444&lt;&gt;""),"完了",IF(N444="キャンセル","―",IF(AND(S444&lt;&gt;"",S444&lt;TODAY()),"対応期限超過",IF(AND(P444&lt;&gt;"",P444&lt;TODAY()),"開通予定日超過",IF(AND(S444&lt;&gt;"",S444=TODAY()),"本日対応",IF(AND(P444&lt;&gt;"",P444-TODAY()&lt;=3),"開通間近","")))))))</f>
        <v/>
      </c>
      <c r="W444" s="16"/>
      <c r="X444" s="16"/>
    </row>
    <row r="445" customFormat="false" ht="15" hidden="false" customHeight="false" outlineLevel="0" collapsed="false">
      <c r="A445" s="7" t="str">
        <f aca="false">IF(D445="","",ROW()-3)</f>
        <v/>
      </c>
      <c r="B445" s="16"/>
      <c r="C445" s="12"/>
      <c r="D445" s="16"/>
      <c r="E445" s="16"/>
      <c r="F445" s="17"/>
      <c r="G445" s="16"/>
      <c r="H445" s="16"/>
      <c r="I445" s="12"/>
      <c r="J445" s="16"/>
      <c r="K445" s="16"/>
      <c r="L445" s="16"/>
      <c r="M445" s="16"/>
      <c r="N445" s="16"/>
      <c r="O445" s="12"/>
      <c r="P445" s="12"/>
      <c r="Q445" s="12"/>
      <c r="R445" s="16"/>
      <c r="S445" s="12"/>
      <c r="T445" s="13" t="str">
        <f aca="true">IF(C445="","",IF(Q445&lt;&gt;"",Q445-C445,TODAY()-C445))</f>
        <v/>
      </c>
      <c r="U445" s="14" t="str">
        <f aca="true">IF(OR(P445="",Q445&lt;&gt;"",N445="キャンセル"),"",P445-TODAY())</f>
        <v/>
      </c>
      <c r="V445" s="15" t="str">
        <f aca="true">IF(D445="","",IF(OR(N445="開通済",Q445&lt;&gt;""),"完了",IF(N445="キャンセル","―",IF(AND(S445&lt;&gt;"",S445&lt;TODAY()),"対応期限超過",IF(AND(P445&lt;&gt;"",P445&lt;TODAY()),"開通予定日超過",IF(AND(S445&lt;&gt;"",S445=TODAY()),"本日対応",IF(AND(P445&lt;&gt;"",P445-TODAY()&lt;=3),"開通間近","")))))))</f>
        <v/>
      </c>
      <c r="W445" s="16"/>
      <c r="X445" s="16"/>
    </row>
    <row r="446" customFormat="false" ht="15" hidden="false" customHeight="false" outlineLevel="0" collapsed="false">
      <c r="A446" s="7" t="str">
        <f aca="false">IF(D446="","",ROW()-3)</f>
        <v/>
      </c>
      <c r="B446" s="16"/>
      <c r="C446" s="12"/>
      <c r="D446" s="16"/>
      <c r="E446" s="16"/>
      <c r="F446" s="17"/>
      <c r="G446" s="16"/>
      <c r="H446" s="16"/>
      <c r="I446" s="12"/>
      <c r="J446" s="16"/>
      <c r="K446" s="16"/>
      <c r="L446" s="16"/>
      <c r="M446" s="16"/>
      <c r="N446" s="16"/>
      <c r="O446" s="12"/>
      <c r="P446" s="12"/>
      <c r="Q446" s="12"/>
      <c r="R446" s="16"/>
      <c r="S446" s="12"/>
      <c r="T446" s="13" t="str">
        <f aca="true">IF(C446="","",IF(Q446&lt;&gt;"",Q446-C446,TODAY()-C446))</f>
        <v/>
      </c>
      <c r="U446" s="14" t="str">
        <f aca="true">IF(OR(P446="",Q446&lt;&gt;"",N446="キャンセル"),"",P446-TODAY())</f>
        <v/>
      </c>
      <c r="V446" s="15" t="str">
        <f aca="true">IF(D446="","",IF(OR(N446="開通済",Q446&lt;&gt;""),"完了",IF(N446="キャンセル","―",IF(AND(S446&lt;&gt;"",S446&lt;TODAY()),"対応期限超過",IF(AND(P446&lt;&gt;"",P446&lt;TODAY()),"開通予定日超過",IF(AND(S446&lt;&gt;"",S446=TODAY()),"本日対応",IF(AND(P446&lt;&gt;"",P446-TODAY()&lt;=3),"開通間近","")))))))</f>
        <v/>
      </c>
      <c r="W446" s="16"/>
      <c r="X446" s="16"/>
    </row>
    <row r="447" customFormat="false" ht="15" hidden="false" customHeight="false" outlineLevel="0" collapsed="false">
      <c r="A447" s="7" t="str">
        <f aca="false">IF(D447="","",ROW()-3)</f>
        <v/>
      </c>
      <c r="B447" s="16"/>
      <c r="C447" s="12"/>
      <c r="D447" s="16"/>
      <c r="E447" s="16"/>
      <c r="F447" s="17"/>
      <c r="G447" s="16"/>
      <c r="H447" s="16"/>
      <c r="I447" s="12"/>
      <c r="J447" s="16"/>
      <c r="K447" s="16"/>
      <c r="L447" s="16"/>
      <c r="M447" s="16"/>
      <c r="N447" s="16"/>
      <c r="O447" s="12"/>
      <c r="P447" s="12"/>
      <c r="Q447" s="12"/>
      <c r="R447" s="16"/>
      <c r="S447" s="12"/>
      <c r="T447" s="13" t="str">
        <f aca="true">IF(C447="","",IF(Q447&lt;&gt;"",Q447-C447,TODAY()-C447))</f>
        <v/>
      </c>
      <c r="U447" s="14" t="str">
        <f aca="true">IF(OR(P447="",Q447&lt;&gt;"",N447="キャンセル"),"",P447-TODAY())</f>
        <v/>
      </c>
      <c r="V447" s="15" t="str">
        <f aca="true">IF(D447="","",IF(OR(N447="開通済",Q447&lt;&gt;""),"完了",IF(N447="キャンセル","―",IF(AND(S447&lt;&gt;"",S447&lt;TODAY()),"対応期限超過",IF(AND(P447&lt;&gt;"",P447&lt;TODAY()),"開通予定日超過",IF(AND(S447&lt;&gt;"",S447=TODAY()),"本日対応",IF(AND(P447&lt;&gt;"",P447-TODAY()&lt;=3),"開通間近","")))))))</f>
        <v/>
      </c>
      <c r="W447" s="16"/>
      <c r="X447" s="16"/>
    </row>
    <row r="448" customFormat="false" ht="15" hidden="false" customHeight="false" outlineLevel="0" collapsed="false">
      <c r="A448" s="7" t="str">
        <f aca="false">IF(D448="","",ROW()-3)</f>
        <v/>
      </c>
      <c r="B448" s="16"/>
      <c r="C448" s="12"/>
      <c r="D448" s="16"/>
      <c r="E448" s="16"/>
      <c r="F448" s="17"/>
      <c r="G448" s="16"/>
      <c r="H448" s="16"/>
      <c r="I448" s="12"/>
      <c r="J448" s="16"/>
      <c r="K448" s="16"/>
      <c r="L448" s="16"/>
      <c r="M448" s="16"/>
      <c r="N448" s="16"/>
      <c r="O448" s="12"/>
      <c r="P448" s="12"/>
      <c r="Q448" s="12"/>
      <c r="R448" s="16"/>
      <c r="S448" s="12"/>
      <c r="T448" s="13" t="str">
        <f aca="true">IF(C448="","",IF(Q448&lt;&gt;"",Q448-C448,TODAY()-C448))</f>
        <v/>
      </c>
      <c r="U448" s="14" t="str">
        <f aca="true">IF(OR(P448="",Q448&lt;&gt;"",N448="キャンセル"),"",P448-TODAY())</f>
        <v/>
      </c>
      <c r="V448" s="15" t="str">
        <f aca="true">IF(D448="","",IF(OR(N448="開通済",Q448&lt;&gt;""),"完了",IF(N448="キャンセル","―",IF(AND(S448&lt;&gt;"",S448&lt;TODAY()),"対応期限超過",IF(AND(P448&lt;&gt;"",P448&lt;TODAY()),"開通予定日超過",IF(AND(S448&lt;&gt;"",S448=TODAY()),"本日対応",IF(AND(P448&lt;&gt;"",P448-TODAY()&lt;=3),"開通間近","")))))))</f>
        <v/>
      </c>
      <c r="W448" s="16"/>
      <c r="X448" s="16"/>
    </row>
    <row r="449" customFormat="false" ht="15" hidden="false" customHeight="false" outlineLevel="0" collapsed="false">
      <c r="A449" s="7" t="str">
        <f aca="false">IF(D449="","",ROW()-3)</f>
        <v/>
      </c>
      <c r="B449" s="16"/>
      <c r="C449" s="12"/>
      <c r="D449" s="16"/>
      <c r="E449" s="16"/>
      <c r="F449" s="17"/>
      <c r="G449" s="16"/>
      <c r="H449" s="16"/>
      <c r="I449" s="12"/>
      <c r="J449" s="16"/>
      <c r="K449" s="16"/>
      <c r="L449" s="16"/>
      <c r="M449" s="16"/>
      <c r="N449" s="16"/>
      <c r="O449" s="12"/>
      <c r="P449" s="12"/>
      <c r="Q449" s="12"/>
      <c r="R449" s="16"/>
      <c r="S449" s="12"/>
      <c r="T449" s="13" t="str">
        <f aca="true">IF(C449="","",IF(Q449&lt;&gt;"",Q449-C449,TODAY()-C449))</f>
        <v/>
      </c>
      <c r="U449" s="14" t="str">
        <f aca="true">IF(OR(P449="",Q449&lt;&gt;"",N449="キャンセル"),"",P449-TODAY())</f>
        <v/>
      </c>
      <c r="V449" s="15" t="str">
        <f aca="true">IF(D449="","",IF(OR(N449="開通済",Q449&lt;&gt;""),"完了",IF(N449="キャンセル","―",IF(AND(S449&lt;&gt;"",S449&lt;TODAY()),"対応期限超過",IF(AND(P449&lt;&gt;"",P449&lt;TODAY()),"開通予定日超過",IF(AND(S449&lt;&gt;"",S449=TODAY()),"本日対応",IF(AND(P449&lt;&gt;"",P449-TODAY()&lt;=3),"開通間近","")))))))</f>
        <v/>
      </c>
      <c r="W449" s="16"/>
      <c r="X449" s="16"/>
    </row>
    <row r="450" customFormat="false" ht="15" hidden="false" customHeight="false" outlineLevel="0" collapsed="false">
      <c r="A450" s="7" t="str">
        <f aca="false">IF(D450="","",ROW()-3)</f>
        <v/>
      </c>
      <c r="B450" s="16"/>
      <c r="C450" s="12"/>
      <c r="D450" s="16"/>
      <c r="E450" s="16"/>
      <c r="F450" s="17"/>
      <c r="G450" s="16"/>
      <c r="H450" s="16"/>
      <c r="I450" s="12"/>
      <c r="J450" s="16"/>
      <c r="K450" s="16"/>
      <c r="L450" s="16"/>
      <c r="M450" s="16"/>
      <c r="N450" s="16"/>
      <c r="O450" s="12"/>
      <c r="P450" s="12"/>
      <c r="Q450" s="12"/>
      <c r="R450" s="16"/>
      <c r="S450" s="12"/>
      <c r="T450" s="13" t="str">
        <f aca="true">IF(C450="","",IF(Q450&lt;&gt;"",Q450-C450,TODAY()-C450))</f>
        <v/>
      </c>
      <c r="U450" s="14" t="str">
        <f aca="true">IF(OR(P450="",Q450&lt;&gt;"",N450="キャンセル"),"",P450-TODAY())</f>
        <v/>
      </c>
      <c r="V450" s="15" t="str">
        <f aca="true">IF(D450="","",IF(OR(N450="開通済",Q450&lt;&gt;""),"完了",IF(N450="キャンセル","―",IF(AND(S450&lt;&gt;"",S450&lt;TODAY()),"対応期限超過",IF(AND(P450&lt;&gt;"",P450&lt;TODAY()),"開通予定日超過",IF(AND(S450&lt;&gt;"",S450=TODAY()),"本日対応",IF(AND(P450&lt;&gt;"",P450-TODAY()&lt;=3),"開通間近","")))))))</f>
        <v/>
      </c>
      <c r="W450" s="16"/>
      <c r="X450" s="16"/>
    </row>
    <row r="451" customFormat="false" ht="15" hidden="false" customHeight="false" outlineLevel="0" collapsed="false">
      <c r="A451" s="7" t="str">
        <f aca="false">IF(D451="","",ROW()-3)</f>
        <v/>
      </c>
      <c r="B451" s="16"/>
      <c r="C451" s="12"/>
      <c r="D451" s="16"/>
      <c r="E451" s="16"/>
      <c r="F451" s="17"/>
      <c r="G451" s="16"/>
      <c r="H451" s="16"/>
      <c r="I451" s="12"/>
      <c r="J451" s="16"/>
      <c r="K451" s="16"/>
      <c r="L451" s="16"/>
      <c r="M451" s="16"/>
      <c r="N451" s="16"/>
      <c r="O451" s="12"/>
      <c r="P451" s="12"/>
      <c r="Q451" s="12"/>
      <c r="R451" s="16"/>
      <c r="S451" s="12"/>
      <c r="T451" s="13" t="str">
        <f aca="true">IF(C451="","",IF(Q451&lt;&gt;"",Q451-C451,TODAY()-C451))</f>
        <v/>
      </c>
      <c r="U451" s="14" t="str">
        <f aca="true">IF(OR(P451="",Q451&lt;&gt;"",N451="キャンセル"),"",P451-TODAY())</f>
        <v/>
      </c>
      <c r="V451" s="15" t="str">
        <f aca="true">IF(D451="","",IF(OR(N451="開通済",Q451&lt;&gt;""),"完了",IF(N451="キャンセル","―",IF(AND(S451&lt;&gt;"",S451&lt;TODAY()),"対応期限超過",IF(AND(P451&lt;&gt;"",P451&lt;TODAY()),"開通予定日超過",IF(AND(S451&lt;&gt;"",S451=TODAY()),"本日対応",IF(AND(P451&lt;&gt;"",P451-TODAY()&lt;=3),"開通間近","")))))))</f>
        <v/>
      </c>
      <c r="W451" s="16"/>
      <c r="X451" s="16"/>
    </row>
    <row r="452" customFormat="false" ht="15" hidden="false" customHeight="false" outlineLevel="0" collapsed="false">
      <c r="A452" s="7" t="str">
        <f aca="false">IF(D452="","",ROW()-3)</f>
        <v/>
      </c>
      <c r="B452" s="16"/>
      <c r="C452" s="12"/>
      <c r="D452" s="16"/>
      <c r="E452" s="16"/>
      <c r="F452" s="17"/>
      <c r="G452" s="16"/>
      <c r="H452" s="16"/>
      <c r="I452" s="12"/>
      <c r="J452" s="16"/>
      <c r="K452" s="16"/>
      <c r="L452" s="16"/>
      <c r="M452" s="16"/>
      <c r="N452" s="16"/>
      <c r="O452" s="12"/>
      <c r="P452" s="12"/>
      <c r="Q452" s="12"/>
      <c r="R452" s="16"/>
      <c r="S452" s="12"/>
      <c r="T452" s="13" t="str">
        <f aca="true">IF(C452="","",IF(Q452&lt;&gt;"",Q452-C452,TODAY()-C452))</f>
        <v/>
      </c>
      <c r="U452" s="14" t="str">
        <f aca="true">IF(OR(P452="",Q452&lt;&gt;"",N452="キャンセル"),"",P452-TODAY())</f>
        <v/>
      </c>
      <c r="V452" s="15" t="str">
        <f aca="true">IF(D452="","",IF(OR(N452="開通済",Q452&lt;&gt;""),"完了",IF(N452="キャンセル","―",IF(AND(S452&lt;&gt;"",S452&lt;TODAY()),"対応期限超過",IF(AND(P452&lt;&gt;"",P452&lt;TODAY()),"開通予定日超過",IF(AND(S452&lt;&gt;"",S452=TODAY()),"本日対応",IF(AND(P452&lt;&gt;"",P452-TODAY()&lt;=3),"開通間近","")))))))</f>
        <v/>
      </c>
      <c r="W452" s="16"/>
      <c r="X452" s="16"/>
    </row>
    <row r="453" customFormat="false" ht="15" hidden="false" customHeight="false" outlineLevel="0" collapsed="false">
      <c r="A453" s="7" t="str">
        <f aca="false">IF(D453="","",ROW()-3)</f>
        <v/>
      </c>
      <c r="B453" s="16"/>
      <c r="C453" s="12"/>
      <c r="D453" s="16"/>
      <c r="E453" s="16"/>
      <c r="F453" s="17"/>
      <c r="G453" s="16"/>
      <c r="H453" s="16"/>
      <c r="I453" s="12"/>
      <c r="J453" s="16"/>
      <c r="K453" s="16"/>
      <c r="L453" s="16"/>
      <c r="M453" s="16"/>
      <c r="N453" s="16"/>
      <c r="O453" s="12"/>
      <c r="P453" s="12"/>
      <c r="Q453" s="12"/>
      <c r="R453" s="16"/>
      <c r="S453" s="12"/>
      <c r="T453" s="13" t="str">
        <f aca="true">IF(C453="","",IF(Q453&lt;&gt;"",Q453-C453,TODAY()-C453))</f>
        <v/>
      </c>
      <c r="U453" s="14" t="str">
        <f aca="true">IF(OR(P453="",Q453&lt;&gt;"",N453="キャンセル"),"",P453-TODAY())</f>
        <v/>
      </c>
      <c r="V453" s="15" t="str">
        <f aca="true">IF(D453="","",IF(OR(N453="開通済",Q453&lt;&gt;""),"完了",IF(N453="キャンセル","―",IF(AND(S453&lt;&gt;"",S453&lt;TODAY()),"対応期限超過",IF(AND(P453&lt;&gt;"",P453&lt;TODAY()),"開通予定日超過",IF(AND(S453&lt;&gt;"",S453=TODAY()),"本日対応",IF(AND(P453&lt;&gt;"",P453-TODAY()&lt;=3),"開通間近","")))))))</f>
        <v/>
      </c>
      <c r="W453" s="16"/>
      <c r="X453" s="16"/>
    </row>
    <row r="454" customFormat="false" ht="15" hidden="false" customHeight="false" outlineLevel="0" collapsed="false">
      <c r="A454" s="7" t="str">
        <f aca="false">IF(D454="","",ROW()-3)</f>
        <v/>
      </c>
      <c r="B454" s="16"/>
      <c r="C454" s="12"/>
      <c r="D454" s="16"/>
      <c r="E454" s="16"/>
      <c r="F454" s="17"/>
      <c r="G454" s="16"/>
      <c r="H454" s="16"/>
      <c r="I454" s="12"/>
      <c r="J454" s="16"/>
      <c r="K454" s="16"/>
      <c r="L454" s="16"/>
      <c r="M454" s="16"/>
      <c r="N454" s="16"/>
      <c r="O454" s="12"/>
      <c r="P454" s="12"/>
      <c r="Q454" s="12"/>
      <c r="R454" s="16"/>
      <c r="S454" s="12"/>
      <c r="T454" s="13" t="str">
        <f aca="true">IF(C454="","",IF(Q454&lt;&gt;"",Q454-C454,TODAY()-C454))</f>
        <v/>
      </c>
      <c r="U454" s="14" t="str">
        <f aca="true">IF(OR(P454="",Q454&lt;&gt;"",N454="キャンセル"),"",P454-TODAY())</f>
        <v/>
      </c>
      <c r="V454" s="15" t="str">
        <f aca="true">IF(D454="","",IF(OR(N454="開通済",Q454&lt;&gt;""),"完了",IF(N454="キャンセル","―",IF(AND(S454&lt;&gt;"",S454&lt;TODAY()),"対応期限超過",IF(AND(P454&lt;&gt;"",P454&lt;TODAY()),"開通予定日超過",IF(AND(S454&lt;&gt;"",S454=TODAY()),"本日対応",IF(AND(P454&lt;&gt;"",P454-TODAY()&lt;=3),"開通間近","")))))))</f>
        <v/>
      </c>
      <c r="W454" s="16"/>
      <c r="X454" s="16"/>
    </row>
    <row r="455" customFormat="false" ht="15" hidden="false" customHeight="false" outlineLevel="0" collapsed="false">
      <c r="A455" s="7" t="str">
        <f aca="false">IF(D455="","",ROW()-3)</f>
        <v/>
      </c>
      <c r="B455" s="16"/>
      <c r="C455" s="12"/>
      <c r="D455" s="16"/>
      <c r="E455" s="16"/>
      <c r="F455" s="17"/>
      <c r="G455" s="16"/>
      <c r="H455" s="16"/>
      <c r="I455" s="12"/>
      <c r="J455" s="16"/>
      <c r="K455" s="16"/>
      <c r="L455" s="16"/>
      <c r="M455" s="16"/>
      <c r="N455" s="16"/>
      <c r="O455" s="12"/>
      <c r="P455" s="12"/>
      <c r="Q455" s="12"/>
      <c r="R455" s="16"/>
      <c r="S455" s="12"/>
      <c r="T455" s="13" t="str">
        <f aca="true">IF(C455="","",IF(Q455&lt;&gt;"",Q455-C455,TODAY()-C455))</f>
        <v/>
      </c>
      <c r="U455" s="14" t="str">
        <f aca="true">IF(OR(P455="",Q455&lt;&gt;"",N455="キャンセル"),"",P455-TODAY())</f>
        <v/>
      </c>
      <c r="V455" s="15" t="str">
        <f aca="true">IF(D455="","",IF(OR(N455="開通済",Q455&lt;&gt;""),"完了",IF(N455="キャンセル","―",IF(AND(S455&lt;&gt;"",S455&lt;TODAY()),"対応期限超過",IF(AND(P455&lt;&gt;"",P455&lt;TODAY()),"開通予定日超過",IF(AND(S455&lt;&gt;"",S455=TODAY()),"本日対応",IF(AND(P455&lt;&gt;"",P455-TODAY()&lt;=3),"開通間近","")))))))</f>
        <v/>
      </c>
      <c r="W455" s="16"/>
      <c r="X455" s="16"/>
    </row>
    <row r="456" customFormat="false" ht="15" hidden="false" customHeight="false" outlineLevel="0" collapsed="false">
      <c r="A456" s="7" t="str">
        <f aca="false">IF(D456="","",ROW()-3)</f>
        <v/>
      </c>
      <c r="B456" s="16"/>
      <c r="C456" s="12"/>
      <c r="D456" s="16"/>
      <c r="E456" s="16"/>
      <c r="F456" s="17"/>
      <c r="G456" s="16"/>
      <c r="H456" s="16"/>
      <c r="I456" s="12"/>
      <c r="J456" s="16"/>
      <c r="K456" s="16"/>
      <c r="L456" s="16"/>
      <c r="M456" s="16"/>
      <c r="N456" s="16"/>
      <c r="O456" s="12"/>
      <c r="P456" s="12"/>
      <c r="Q456" s="12"/>
      <c r="R456" s="16"/>
      <c r="S456" s="12"/>
      <c r="T456" s="13" t="str">
        <f aca="true">IF(C456="","",IF(Q456&lt;&gt;"",Q456-C456,TODAY()-C456))</f>
        <v/>
      </c>
      <c r="U456" s="14" t="str">
        <f aca="true">IF(OR(P456="",Q456&lt;&gt;"",N456="キャンセル"),"",P456-TODAY())</f>
        <v/>
      </c>
      <c r="V456" s="15" t="str">
        <f aca="true">IF(D456="","",IF(OR(N456="開通済",Q456&lt;&gt;""),"完了",IF(N456="キャンセル","―",IF(AND(S456&lt;&gt;"",S456&lt;TODAY()),"対応期限超過",IF(AND(P456&lt;&gt;"",P456&lt;TODAY()),"開通予定日超過",IF(AND(S456&lt;&gt;"",S456=TODAY()),"本日対応",IF(AND(P456&lt;&gt;"",P456-TODAY()&lt;=3),"開通間近","")))))))</f>
        <v/>
      </c>
      <c r="W456" s="16"/>
      <c r="X456" s="16"/>
    </row>
    <row r="457" customFormat="false" ht="15" hidden="false" customHeight="false" outlineLevel="0" collapsed="false">
      <c r="A457" s="7" t="str">
        <f aca="false">IF(D457="","",ROW()-3)</f>
        <v/>
      </c>
      <c r="B457" s="16"/>
      <c r="C457" s="12"/>
      <c r="D457" s="16"/>
      <c r="E457" s="16"/>
      <c r="F457" s="17"/>
      <c r="G457" s="16"/>
      <c r="H457" s="16"/>
      <c r="I457" s="12"/>
      <c r="J457" s="16"/>
      <c r="K457" s="16"/>
      <c r="L457" s="16"/>
      <c r="M457" s="16"/>
      <c r="N457" s="16"/>
      <c r="O457" s="12"/>
      <c r="P457" s="12"/>
      <c r="Q457" s="12"/>
      <c r="R457" s="16"/>
      <c r="S457" s="12"/>
      <c r="T457" s="13" t="str">
        <f aca="true">IF(C457="","",IF(Q457&lt;&gt;"",Q457-C457,TODAY()-C457))</f>
        <v/>
      </c>
      <c r="U457" s="14" t="str">
        <f aca="true">IF(OR(P457="",Q457&lt;&gt;"",N457="キャンセル"),"",P457-TODAY())</f>
        <v/>
      </c>
      <c r="V457" s="15" t="str">
        <f aca="true">IF(D457="","",IF(OR(N457="開通済",Q457&lt;&gt;""),"完了",IF(N457="キャンセル","―",IF(AND(S457&lt;&gt;"",S457&lt;TODAY()),"対応期限超過",IF(AND(P457&lt;&gt;"",P457&lt;TODAY()),"開通予定日超過",IF(AND(S457&lt;&gt;"",S457=TODAY()),"本日対応",IF(AND(P457&lt;&gt;"",P457-TODAY()&lt;=3),"開通間近","")))))))</f>
        <v/>
      </c>
      <c r="W457" s="16"/>
      <c r="X457" s="16"/>
    </row>
    <row r="458" customFormat="false" ht="15" hidden="false" customHeight="false" outlineLevel="0" collapsed="false">
      <c r="A458" s="7" t="str">
        <f aca="false">IF(D458="","",ROW()-3)</f>
        <v/>
      </c>
      <c r="B458" s="16"/>
      <c r="C458" s="12"/>
      <c r="D458" s="16"/>
      <c r="E458" s="16"/>
      <c r="F458" s="17"/>
      <c r="G458" s="16"/>
      <c r="H458" s="16"/>
      <c r="I458" s="12"/>
      <c r="J458" s="16"/>
      <c r="K458" s="16"/>
      <c r="L458" s="16"/>
      <c r="M458" s="16"/>
      <c r="N458" s="16"/>
      <c r="O458" s="12"/>
      <c r="P458" s="12"/>
      <c r="Q458" s="12"/>
      <c r="R458" s="16"/>
      <c r="S458" s="12"/>
      <c r="T458" s="13" t="str">
        <f aca="true">IF(C458="","",IF(Q458&lt;&gt;"",Q458-C458,TODAY()-C458))</f>
        <v/>
      </c>
      <c r="U458" s="14" t="str">
        <f aca="true">IF(OR(P458="",Q458&lt;&gt;"",N458="キャンセル"),"",P458-TODAY())</f>
        <v/>
      </c>
      <c r="V458" s="15" t="str">
        <f aca="true">IF(D458="","",IF(OR(N458="開通済",Q458&lt;&gt;""),"完了",IF(N458="キャンセル","―",IF(AND(S458&lt;&gt;"",S458&lt;TODAY()),"対応期限超過",IF(AND(P458&lt;&gt;"",P458&lt;TODAY()),"開通予定日超過",IF(AND(S458&lt;&gt;"",S458=TODAY()),"本日対応",IF(AND(P458&lt;&gt;"",P458-TODAY()&lt;=3),"開通間近","")))))))</f>
        <v/>
      </c>
      <c r="W458" s="16"/>
      <c r="X458" s="16"/>
    </row>
    <row r="459" customFormat="false" ht="15" hidden="false" customHeight="false" outlineLevel="0" collapsed="false">
      <c r="A459" s="7" t="str">
        <f aca="false">IF(D459="","",ROW()-3)</f>
        <v/>
      </c>
      <c r="B459" s="16"/>
      <c r="C459" s="12"/>
      <c r="D459" s="16"/>
      <c r="E459" s="16"/>
      <c r="F459" s="17"/>
      <c r="G459" s="16"/>
      <c r="H459" s="16"/>
      <c r="I459" s="12"/>
      <c r="J459" s="16"/>
      <c r="K459" s="16"/>
      <c r="L459" s="16"/>
      <c r="M459" s="16"/>
      <c r="N459" s="16"/>
      <c r="O459" s="12"/>
      <c r="P459" s="12"/>
      <c r="Q459" s="12"/>
      <c r="R459" s="16"/>
      <c r="S459" s="12"/>
      <c r="T459" s="13" t="str">
        <f aca="true">IF(C459="","",IF(Q459&lt;&gt;"",Q459-C459,TODAY()-C459))</f>
        <v/>
      </c>
      <c r="U459" s="14" t="str">
        <f aca="true">IF(OR(P459="",Q459&lt;&gt;"",N459="キャンセル"),"",P459-TODAY())</f>
        <v/>
      </c>
      <c r="V459" s="15" t="str">
        <f aca="true">IF(D459="","",IF(OR(N459="開通済",Q459&lt;&gt;""),"完了",IF(N459="キャンセル","―",IF(AND(S459&lt;&gt;"",S459&lt;TODAY()),"対応期限超過",IF(AND(P459&lt;&gt;"",P459&lt;TODAY()),"開通予定日超過",IF(AND(S459&lt;&gt;"",S459=TODAY()),"本日対応",IF(AND(P459&lt;&gt;"",P459-TODAY()&lt;=3),"開通間近","")))))))</f>
        <v/>
      </c>
      <c r="W459" s="16"/>
      <c r="X459" s="16"/>
    </row>
    <row r="460" customFormat="false" ht="15" hidden="false" customHeight="false" outlineLevel="0" collapsed="false">
      <c r="A460" s="7" t="str">
        <f aca="false">IF(D460="","",ROW()-3)</f>
        <v/>
      </c>
      <c r="B460" s="16"/>
      <c r="C460" s="12"/>
      <c r="D460" s="16"/>
      <c r="E460" s="16"/>
      <c r="F460" s="17"/>
      <c r="G460" s="16"/>
      <c r="H460" s="16"/>
      <c r="I460" s="12"/>
      <c r="J460" s="16"/>
      <c r="K460" s="16"/>
      <c r="L460" s="16"/>
      <c r="M460" s="16"/>
      <c r="N460" s="16"/>
      <c r="O460" s="12"/>
      <c r="P460" s="12"/>
      <c r="Q460" s="12"/>
      <c r="R460" s="16"/>
      <c r="S460" s="12"/>
      <c r="T460" s="13" t="str">
        <f aca="true">IF(C460="","",IF(Q460&lt;&gt;"",Q460-C460,TODAY()-C460))</f>
        <v/>
      </c>
      <c r="U460" s="14" t="str">
        <f aca="true">IF(OR(P460="",Q460&lt;&gt;"",N460="キャンセル"),"",P460-TODAY())</f>
        <v/>
      </c>
      <c r="V460" s="15" t="str">
        <f aca="true">IF(D460="","",IF(OR(N460="開通済",Q460&lt;&gt;""),"完了",IF(N460="キャンセル","―",IF(AND(S460&lt;&gt;"",S460&lt;TODAY()),"対応期限超過",IF(AND(P460&lt;&gt;"",P460&lt;TODAY()),"開通予定日超過",IF(AND(S460&lt;&gt;"",S460=TODAY()),"本日対応",IF(AND(P460&lt;&gt;"",P460-TODAY()&lt;=3),"開通間近","")))))))</f>
        <v/>
      </c>
      <c r="W460" s="16"/>
      <c r="X460" s="16"/>
    </row>
    <row r="461" customFormat="false" ht="15" hidden="false" customHeight="false" outlineLevel="0" collapsed="false">
      <c r="A461" s="7" t="str">
        <f aca="false">IF(D461="","",ROW()-3)</f>
        <v/>
      </c>
      <c r="B461" s="16"/>
      <c r="C461" s="12"/>
      <c r="D461" s="16"/>
      <c r="E461" s="16"/>
      <c r="F461" s="17"/>
      <c r="G461" s="16"/>
      <c r="H461" s="16"/>
      <c r="I461" s="12"/>
      <c r="J461" s="16"/>
      <c r="K461" s="16"/>
      <c r="L461" s="16"/>
      <c r="M461" s="16"/>
      <c r="N461" s="16"/>
      <c r="O461" s="12"/>
      <c r="P461" s="12"/>
      <c r="Q461" s="12"/>
      <c r="R461" s="16"/>
      <c r="S461" s="12"/>
      <c r="T461" s="13" t="str">
        <f aca="true">IF(C461="","",IF(Q461&lt;&gt;"",Q461-C461,TODAY()-C461))</f>
        <v/>
      </c>
      <c r="U461" s="14" t="str">
        <f aca="true">IF(OR(P461="",Q461&lt;&gt;"",N461="キャンセル"),"",P461-TODAY())</f>
        <v/>
      </c>
      <c r="V461" s="15" t="str">
        <f aca="true">IF(D461="","",IF(OR(N461="開通済",Q461&lt;&gt;""),"完了",IF(N461="キャンセル","―",IF(AND(S461&lt;&gt;"",S461&lt;TODAY()),"対応期限超過",IF(AND(P461&lt;&gt;"",P461&lt;TODAY()),"開通予定日超過",IF(AND(S461&lt;&gt;"",S461=TODAY()),"本日対応",IF(AND(P461&lt;&gt;"",P461-TODAY()&lt;=3),"開通間近","")))))))</f>
        <v/>
      </c>
      <c r="W461" s="16"/>
      <c r="X461" s="16"/>
    </row>
    <row r="462" customFormat="false" ht="15" hidden="false" customHeight="false" outlineLevel="0" collapsed="false">
      <c r="A462" s="7" t="str">
        <f aca="false">IF(D462="","",ROW()-3)</f>
        <v/>
      </c>
      <c r="B462" s="16"/>
      <c r="C462" s="12"/>
      <c r="D462" s="16"/>
      <c r="E462" s="16"/>
      <c r="F462" s="17"/>
      <c r="G462" s="16"/>
      <c r="H462" s="16"/>
      <c r="I462" s="12"/>
      <c r="J462" s="16"/>
      <c r="K462" s="16"/>
      <c r="L462" s="16"/>
      <c r="M462" s="16"/>
      <c r="N462" s="16"/>
      <c r="O462" s="12"/>
      <c r="P462" s="12"/>
      <c r="Q462" s="12"/>
      <c r="R462" s="16"/>
      <c r="S462" s="12"/>
      <c r="T462" s="13" t="str">
        <f aca="true">IF(C462="","",IF(Q462&lt;&gt;"",Q462-C462,TODAY()-C462))</f>
        <v/>
      </c>
      <c r="U462" s="14" t="str">
        <f aca="true">IF(OR(P462="",Q462&lt;&gt;"",N462="キャンセル"),"",P462-TODAY())</f>
        <v/>
      </c>
      <c r="V462" s="15" t="str">
        <f aca="true">IF(D462="","",IF(OR(N462="開通済",Q462&lt;&gt;""),"完了",IF(N462="キャンセル","―",IF(AND(S462&lt;&gt;"",S462&lt;TODAY()),"対応期限超過",IF(AND(P462&lt;&gt;"",P462&lt;TODAY()),"開通予定日超過",IF(AND(S462&lt;&gt;"",S462=TODAY()),"本日対応",IF(AND(P462&lt;&gt;"",P462-TODAY()&lt;=3),"開通間近","")))))))</f>
        <v/>
      </c>
      <c r="W462" s="16"/>
      <c r="X462" s="16"/>
    </row>
    <row r="463" customFormat="false" ht="15" hidden="false" customHeight="false" outlineLevel="0" collapsed="false">
      <c r="A463" s="7" t="str">
        <f aca="false">IF(D463="","",ROW()-3)</f>
        <v/>
      </c>
      <c r="B463" s="16"/>
      <c r="C463" s="12"/>
      <c r="D463" s="16"/>
      <c r="E463" s="16"/>
      <c r="F463" s="17"/>
      <c r="G463" s="16"/>
      <c r="H463" s="16"/>
      <c r="I463" s="12"/>
      <c r="J463" s="16"/>
      <c r="K463" s="16"/>
      <c r="L463" s="16"/>
      <c r="M463" s="16"/>
      <c r="N463" s="16"/>
      <c r="O463" s="12"/>
      <c r="P463" s="12"/>
      <c r="Q463" s="12"/>
      <c r="R463" s="16"/>
      <c r="S463" s="12"/>
      <c r="T463" s="13" t="str">
        <f aca="true">IF(C463="","",IF(Q463&lt;&gt;"",Q463-C463,TODAY()-C463))</f>
        <v/>
      </c>
      <c r="U463" s="14" t="str">
        <f aca="true">IF(OR(P463="",Q463&lt;&gt;"",N463="キャンセル"),"",P463-TODAY())</f>
        <v/>
      </c>
      <c r="V463" s="15" t="str">
        <f aca="true">IF(D463="","",IF(OR(N463="開通済",Q463&lt;&gt;""),"完了",IF(N463="キャンセル","―",IF(AND(S463&lt;&gt;"",S463&lt;TODAY()),"対応期限超過",IF(AND(P463&lt;&gt;"",P463&lt;TODAY()),"開通予定日超過",IF(AND(S463&lt;&gt;"",S463=TODAY()),"本日対応",IF(AND(P463&lt;&gt;"",P463-TODAY()&lt;=3),"開通間近","")))))))</f>
        <v/>
      </c>
      <c r="W463" s="16"/>
      <c r="X463" s="16"/>
    </row>
    <row r="464" customFormat="false" ht="15" hidden="false" customHeight="false" outlineLevel="0" collapsed="false">
      <c r="A464" s="7" t="str">
        <f aca="false">IF(D464="","",ROW()-3)</f>
        <v/>
      </c>
      <c r="B464" s="16"/>
      <c r="C464" s="12"/>
      <c r="D464" s="16"/>
      <c r="E464" s="16"/>
      <c r="F464" s="17"/>
      <c r="G464" s="16"/>
      <c r="H464" s="16"/>
      <c r="I464" s="12"/>
      <c r="J464" s="16"/>
      <c r="K464" s="16"/>
      <c r="L464" s="16"/>
      <c r="M464" s="16"/>
      <c r="N464" s="16"/>
      <c r="O464" s="12"/>
      <c r="P464" s="12"/>
      <c r="Q464" s="12"/>
      <c r="R464" s="16"/>
      <c r="S464" s="12"/>
      <c r="T464" s="13" t="str">
        <f aca="true">IF(C464="","",IF(Q464&lt;&gt;"",Q464-C464,TODAY()-C464))</f>
        <v/>
      </c>
      <c r="U464" s="14" t="str">
        <f aca="true">IF(OR(P464="",Q464&lt;&gt;"",N464="キャンセル"),"",P464-TODAY())</f>
        <v/>
      </c>
      <c r="V464" s="15" t="str">
        <f aca="true">IF(D464="","",IF(OR(N464="開通済",Q464&lt;&gt;""),"完了",IF(N464="キャンセル","―",IF(AND(S464&lt;&gt;"",S464&lt;TODAY()),"対応期限超過",IF(AND(P464&lt;&gt;"",P464&lt;TODAY()),"開通予定日超過",IF(AND(S464&lt;&gt;"",S464=TODAY()),"本日対応",IF(AND(P464&lt;&gt;"",P464-TODAY()&lt;=3),"開通間近","")))))))</f>
        <v/>
      </c>
      <c r="W464" s="16"/>
      <c r="X464" s="16"/>
    </row>
    <row r="465" customFormat="false" ht="15" hidden="false" customHeight="false" outlineLevel="0" collapsed="false">
      <c r="A465" s="7" t="str">
        <f aca="false">IF(D465="","",ROW()-3)</f>
        <v/>
      </c>
      <c r="B465" s="16"/>
      <c r="C465" s="12"/>
      <c r="D465" s="16"/>
      <c r="E465" s="16"/>
      <c r="F465" s="17"/>
      <c r="G465" s="16"/>
      <c r="H465" s="16"/>
      <c r="I465" s="12"/>
      <c r="J465" s="16"/>
      <c r="K465" s="16"/>
      <c r="L465" s="16"/>
      <c r="M465" s="16"/>
      <c r="N465" s="16"/>
      <c r="O465" s="12"/>
      <c r="P465" s="12"/>
      <c r="Q465" s="12"/>
      <c r="R465" s="16"/>
      <c r="S465" s="12"/>
      <c r="T465" s="13" t="str">
        <f aca="true">IF(C465="","",IF(Q465&lt;&gt;"",Q465-C465,TODAY()-C465))</f>
        <v/>
      </c>
      <c r="U465" s="14" t="str">
        <f aca="true">IF(OR(P465="",Q465&lt;&gt;"",N465="キャンセル"),"",P465-TODAY())</f>
        <v/>
      </c>
      <c r="V465" s="15" t="str">
        <f aca="true">IF(D465="","",IF(OR(N465="開通済",Q465&lt;&gt;""),"完了",IF(N465="キャンセル","―",IF(AND(S465&lt;&gt;"",S465&lt;TODAY()),"対応期限超過",IF(AND(P465&lt;&gt;"",P465&lt;TODAY()),"開通予定日超過",IF(AND(S465&lt;&gt;"",S465=TODAY()),"本日対応",IF(AND(P465&lt;&gt;"",P465-TODAY()&lt;=3),"開通間近","")))))))</f>
        <v/>
      </c>
      <c r="W465" s="16"/>
      <c r="X465" s="16"/>
    </row>
    <row r="466" customFormat="false" ht="15" hidden="false" customHeight="false" outlineLevel="0" collapsed="false">
      <c r="A466" s="7" t="str">
        <f aca="false">IF(D466="","",ROW()-3)</f>
        <v/>
      </c>
      <c r="B466" s="16"/>
      <c r="C466" s="12"/>
      <c r="D466" s="16"/>
      <c r="E466" s="16"/>
      <c r="F466" s="17"/>
      <c r="G466" s="16"/>
      <c r="H466" s="16"/>
      <c r="I466" s="12"/>
      <c r="J466" s="16"/>
      <c r="K466" s="16"/>
      <c r="L466" s="16"/>
      <c r="M466" s="16"/>
      <c r="N466" s="16"/>
      <c r="O466" s="12"/>
      <c r="P466" s="12"/>
      <c r="Q466" s="12"/>
      <c r="R466" s="16"/>
      <c r="S466" s="12"/>
      <c r="T466" s="13" t="str">
        <f aca="true">IF(C466="","",IF(Q466&lt;&gt;"",Q466-C466,TODAY()-C466))</f>
        <v/>
      </c>
      <c r="U466" s="14" t="str">
        <f aca="true">IF(OR(P466="",Q466&lt;&gt;"",N466="キャンセル"),"",P466-TODAY())</f>
        <v/>
      </c>
      <c r="V466" s="15" t="str">
        <f aca="true">IF(D466="","",IF(OR(N466="開通済",Q466&lt;&gt;""),"完了",IF(N466="キャンセル","―",IF(AND(S466&lt;&gt;"",S466&lt;TODAY()),"対応期限超過",IF(AND(P466&lt;&gt;"",P466&lt;TODAY()),"開通予定日超過",IF(AND(S466&lt;&gt;"",S466=TODAY()),"本日対応",IF(AND(P466&lt;&gt;"",P466-TODAY()&lt;=3),"開通間近","")))))))</f>
        <v/>
      </c>
      <c r="W466" s="16"/>
      <c r="X466" s="16"/>
    </row>
    <row r="467" customFormat="false" ht="15" hidden="false" customHeight="false" outlineLevel="0" collapsed="false">
      <c r="A467" s="7" t="str">
        <f aca="false">IF(D467="","",ROW()-3)</f>
        <v/>
      </c>
      <c r="B467" s="16"/>
      <c r="C467" s="12"/>
      <c r="D467" s="16"/>
      <c r="E467" s="16"/>
      <c r="F467" s="17"/>
      <c r="G467" s="16"/>
      <c r="H467" s="16"/>
      <c r="I467" s="12"/>
      <c r="J467" s="16"/>
      <c r="K467" s="16"/>
      <c r="L467" s="16"/>
      <c r="M467" s="16"/>
      <c r="N467" s="16"/>
      <c r="O467" s="12"/>
      <c r="P467" s="12"/>
      <c r="Q467" s="12"/>
      <c r="R467" s="16"/>
      <c r="S467" s="12"/>
      <c r="T467" s="13" t="str">
        <f aca="true">IF(C467="","",IF(Q467&lt;&gt;"",Q467-C467,TODAY()-C467))</f>
        <v/>
      </c>
      <c r="U467" s="14" t="str">
        <f aca="true">IF(OR(P467="",Q467&lt;&gt;"",N467="キャンセル"),"",P467-TODAY())</f>
        <v/>
      </c>
      <c r="V467" s="15" t="str">
        <f aca="true">IF(D467="","",IF(OR(N467="開通済",Q467&lt;&gt;""),"完了",IF(N467="キャンセル","―",IF(AND(S467&lt;&gt;"",S467&lt;TODAY()),"対応期限超過",IF(AND(P467&lt;&gt;"",P467&lt;TODAY()),"開通予定日超過",IF(AND(S467&lt;&gt;"",S467=TODAY()),"本日対応",IF(AND(P467&lt;&gt;"",P467-TODAY()&lt;=3),"開通間近","")))))))</f>
        <v/>
      </c>
      <c r="W467" s="16"/>
      <c r="X467" s="16"/>
    </row>
    <row r="468" customFormat="false" ht="15" hidden="false" customHeight="false" outlineLevel="0" collapsed="false">
      <c r="A468" s="7" t="str">
        <f aca="false">IF(D468="","",ROW()-3)</f>
        <v/>
      </c>
      <c r="B468" s="16"/>
      <c r="C468" s="12"/>
      <c r="D468" s="16"/>
      <c r="E468" s="16"/>
      <c r="F468" s="17"/>
      <c r="G468" s="16"/>
      <c r="H468" s="16"/>
      <c r="I468" s="12"/>
      <c r="J468" s="16"/>
      <c r="K468" s="16"/>
      <c r="L468" s="16"/>
      <c r="M468" s="16"/>
      <c r="N468" s="16"/>
      <c r="O468" s="12"/>
      <c r="P468" s="12"/>
      <c r="Q468" s="12"/>
      <c r="R468" s="16"/>
      <c r="S468" s="12"/>
      <c r="T468" s="13" t="str">
        <f aca="true">IF(C468="","",IF(Q468&lt;&gt;"",Q468-C468,TODAY()-C468))</f>
        <v/>
      </c>
      <c r="U468" s="14" t="str">
        <f aca="true">IF(OR(P468="",Q468&lt;&gt;"",N468="キャンセル"),"",P468-TODAY())</f>
        <v/>
      </c>
      <c r="V468" s="15" t="str">
        <f aca="true">IF(D468="","",IF(OR(N468="開通済",Q468&lt;&gt;""),"完了",IF(N468="キャンセル","―",IF(AND(S468&lt;&gt;"",S468&lt;TODAY()),"対応期限超過",IF(AND(P468&lt;&gt;"",P468&lt;TODAY()),"開通予定日超過",IF(AND(S468&lt;&gt;"",S468=TODAY()),"本日対応",IF(AND(P468&lt;&gt;"",P468-TODAY()&lt;=3),"開通間近","")))))))</f>
        <v/>
      </c>
      <c r="W468" s="16"/>
      <c r="X468" s="16"/>
    </row>
    <row r="469" customFormat="false" ht="15" hidden="false" customHeight="false" outlineLevel="0" collapsed="false">
      <c r="A469" s="7" t="str">
        <f aca="false">IF(D469="","",ROW()-3)</f>
        <v/>
      </c>
      <c r="B469" s="16"/>
      <c r="C469" s="12"/>
      <c r="D469" s="16"/>
      <c r="E469" s="16"/>
      <c r="F469" s="17"/>
      <c r="G469" s="16"/>
      <c r="H469" s="16"/>
      <c r="I469" s="12"/>
      <c r="J469" s="16"/>
      <c r="K469" s="16"/>
      <c r="L469" s="16"/>
      <c r="M469" s="16"/>
      <c r="N469" s="16"/>
      <c r="O469" s="12"/>
      <c r="P469" s="12"/>
      <c r="Q469" s="12"/>
      <c r="R469" s="16"/>
      <c r="S469" s="12"/>
      <c r="T469" s="13" t="str">
        <f aca="true">IF(C469="","",IF(Q469&lt;&gt;"",Q469-C469,TODAY()-C469))</f>
        <v/>
      </c>
      <c r="U469" s="14" t="str">
        <f aca="true">IF(OR(P469="",Q469&lt;&gt;"",N469="キャンセル"),"",P469-TODAY())</f>
        <v/>
      </c>
      <c r="V469" s="15" t="str">
        <f aca="true">IF(D469="","",IF(OR(N469="開通済",Q469&lt;&gt;""),"完了",IF(N469="キャンセル","―",IF(AND(S469&lt;&gt;"",S469&lt;TODAY()),"対応期限超過",IF(AND(P469&lt;&gt;"",P469&lt;TODAY()),"開通予定日超過",IF(AND(S469&lt;&gt;"",S469=TODAY()),"本日対応",IF(AND(P469&lt;&gt;"",P469-TODAY()&lt;=3),"開通間近","")))))))</f>
        <v/>
      </c>
      <c r="W469" s="16"/>
      <c r="X469" s="16"/>
    </row>
    <row r="470" customFormat="false" ht="15" hidden="false" customHeight="false" outlineLevel="0" collapsed="false">
      <c r="A470" s="7" t="str">
        <f aca="false">IF(D470="","",ROW()-3)</f>
        <v/>
      </c>
      <c r="B470" s="16"/>
      <c r="C470" s="12"/>
      <c r="D470" s="16"/>
      <c r="E470" s="16"/>
      <c r="F470" s="17"/>
      <c r="G470" s="16"/>
      <c r="H470" s="16"/>
      <c r="I470" s="12"/>
      <c r="J470" s="16"/>
      <c r="K470" s="16"/>
      <c r="L470" s="16"/>
      <c r="M470" s="16"/>
      <c r="N470" s="16"/>
      <c r="O470" s="12"/>
      <c r="P470" s="12"/>
      <c r="Q470" s="12"/>
      <c r="R470" s="16"/>
      <c r="S470" s="12"/>
      <c r="T470" s="13" t="str">
        <f aca="true">IF(C470="","",IF(Q470&lt;&gt;"",Q470-C470,TODAY()-C470))</f>
        <v/>
      </c>
      <c r="U470" s="14" t="str">
        <f aca="true">IF(OR(P470="",Q470&lt;&gt;"",N470="キャンセル"),"",P470-TODAY())</f>
        <v/>
      </c>
      <c r="V470" s="15" t="str">
        <f aca="true">IF(D470="","",IF(OR(N470="開通済",Q470&lt;&gt;""),"完了",IF(N470="キャンセル","―",IF(AND(S470&lt;&gt;"",S470&lt;TODAY()),"対応期限超過",IF(AND(P470&lt;&gt;"",P470&lt;TODAY()),"開通予定日超過",IF(AND(S470&lt;&gt;"",S470=TODAY()),"本日対応",IF(AND(P470&lt;&gt;"",P470-TODAY()&lt;=3),"開通間近","")))))))</f>
        <v/>
      </c>
      <c r="W470" s="16"/>
      <c r="X470" s="16"/>
    </row>
    <row r="471" customFormat="false" ht="15" hidden="false" customHeight="false" outlineLevel="0" collapsed="false">
      <c r="A471" s="7" t="str">
        <f aca="false">IF(D471="","",ROW()-3)</f>
        <v/>
      </c>
      <c r="B471" s="16"/>
      <c r="C471" s="12"/>
      <c r="D471" s="16"/>
      <c r="E471" s="16"/>
      <c r="F471" s="17"/>
      <c r="G471" s="16"/>
      <c r="H471" s="16"/>
      <c r="I471" s="12"/>
      <c r="J471" s="16"/>
      <c r="K471" s="16"/>
      <c r="L471" s="16"/>
      <c r="M471" s="16"/>
      <c r="N471" s="16"/>
      <c r="O471" s="12"/>
      <c r="P471" s="12"/>
      <c r="Q471" s="12"/>
      <c r="R471" s="16"/>
      <c r="S471" s="12"/>
      <c r="T471" s="13" t="str">
        <f aca="true">IF(C471="","",IF(Q471&lt;&gt;"",Q471-C471,TODAY()-C471))</f>
        <v/>
      </c>
      <c r="U471" s="14" t="str">
        <f aca="true">IF(OR(P471="",Q471&lt;&gt;"",N471="キャンセル"),"",P471-TODAY())</f>
        <v/>
      </c>
      <c r="V471" s="15" t="str">
        <f aca="true">IF(D471="","",IF(OR(N471="開通済",Q471&lt;&gt;""),"完了",IF(N471="キャンセル","―",IF(AND(S471&lt;&gt;"",S471&lt;TODAY()),"対応期限超過",IF(AND(P471&lt;&gt;"",P471&lt;TODAY()),"開通予定日超過",IF(AND(S471&lt;&gt;"",S471=TODAY()),"本日対応",IF(AND(P471&lt;&gt;"",P471-TODAY()&lt;=3),"開通間近","")))))))</f>
        <v/>
      </c>
      <c r="W471" s="16"/>
      <c r="X471" s="16"/>
    </row>
    <row r="472" customFormat="false" ht="15" hidden="false" customHeight="false" outlineLevel="0" collapsed="false">
      <c r="A472" s="7" t="str">
        <f aca="false">IF(D472="","",ROW()-3)</f>
        <v/>
      </c>
      <c r="B472" s="16"/>
      <c r="C472" s="12"/>
      <c r="D472" s="16"/>
      <c r="E472" s="16"/>
      <c r="F472" s="17"/>
      <c r="G472" s="16"/>
      <c r="H472" s="16"/>
      <c r="I472" s="12"/>
      <c r="J472" s="16"/>
      <c r="K472" s="16"/>
      <c r="L472" s="16"/>
      <c r="M472" s="16"/>
      <c r="N472" s="16"/>
      <c r="O472" s="12"/>
      <c r="P472" s="12"/>
      <c r="Q472" s="12"/>
      <c r="R472" s="16"/>
      <c r="S472" s="12"/>
      <c r="T472" s="13" t="str">
        <f aca="true">IF(C472="","",IF(Q472&lt;&gt;"",Q472-C472,TODAY()-C472))</f>
        <v/>
      </c>
      <c r="U472" s="14" t="str">
        <f aca="true">IF(OR(P472="",Q472&lt;&gt;"",N472="キャンセル"),"",P472-TODAY())</f>
        <v/>
      </c>
      <c r="V472" s="15" t="str">
        <f aca="true">IF(D472="","",IF(OR(N472="開通済",Q472&lt;&gt;""),"完了",IF(N472="キャンセル","―",IF(AND(S472&lt;&gt;"",S472&lt;TODAY()),"対応期限超過",IF(AND(P472&lt;&gt;"",P472&lt;TODAY()),"開通予定日超過",IF(AND(S472&lt;&gt;"",S472=TODAY()),"本日対応",IF(AND(P472&lt;&gt;"",P472-TODAY()&lt;=3),"開通間近","")))))))</f>
        <v/>
      </c>
      <c r="W472" s="16"/>
      <c r="X472" s="16"/>
    </row>
    <row r="473" customFormat="false" ht="15" hidden="false" customHeight="false" outlineLevel="0" collapsed="false">
      <c r="A473" s="7" t="str">
        <f aca="false">IF(D473="","",ROW()-3)</f>
        <v/>
      </c>
      <c r="B473" s="16"/>
      <c r="C473" s="12"/>
      <c r="D473" s="16"/>
      <c r="E473" s="16"/>
      <c r="F473" s="17"/>
      <c r="G473" s="16"/>
      <c r="H473" s="16"/>
      <c r="I473" s="12"/>
      <c r="J473" s="16"/>
      <c r="K473" s="16"/>
      <c r="L473" s="16"/>
      <c r="M473" s="16"/>
      <c r="N473" s="16"/>
      <c r="O473" s="12"/>
      <c r="P473" s="12"/>
      <c r="Q473" s="12"/>
      <c r="R473" s="16"/>
      <c r="S473" s="12"/>
      <c r="T473" s="13" t="str">
        <f aca="true">IF(C473="","",IF(Q473&lt;&gt;"",Q473-C473,TODAY()-C473))</f>
        <v/>
      </c>
      <c r="U473" s="14" t="str">
        <f aca="true">IF(OR(P473="",Q473&lt;&gt;"",N473="キャンセル"),"",P473-TODAY())</f>
        <v/>
      </c>
      <c r="V473" s="15" t="str">
        <f aca="true">IF(D473="","",IF(OR(N473="開通済",Q473&lt;&gt;""),"完了",IF(N473="キャンセル","―",IF(AND(S473&lt;&gt;"",S473&lt;TODAY()),"対応期限超過",IF(AND(P473&lt;&gt;"",P473&lt;TODAY()),"開通予定日超過",IF(AND(S473&lt;&gt;"",S473=TODAY()),"本日対応",IF(AND(P473&lt;&gt;"",P473-TODAY()&lt;=3),"開通間近","")))))))</f>
        <v/>
      </c>
      <c r="W473" s="16"/>
      <c r="X473" s="16"/>
    </row>
    <row r="474" customFormat="false" ht="15" hidden="false" customHeight="false" outlineLevel="0" collapsed="false">
      <c r="A474" s="7" t="str">
        <f aca="false">IF(D474="","",ROW()-3)</f>
        <v/>
      </c>
      <c r="B474" s="16"/>
      <c r="C474" s="12"/>
      <c r="D474" s="16"/>
      <c r="E474" s="16"/>
      <c r="F474" s="17"/>
      <c r="G474" s="16"/>
      <c r="H474" s="16"/>
      <c r="I474" s="12"/>
      <c r="J474" s="16"/>
      <c r="K474" s="16"/>
      <c r="L474" s="16"/>
      <c r="M474" s="16"/>
      <c r="N474" s="16"/>
      <c r="O474" s="12"/>
      <c r="P474" s="12"/>
      <c r="Q474" s="12"/>
      <c r="R474" s="16"/>
      <c r="S474" s="12"/>
      <c r="T474" s="13" t="str">
        <f aca="true">IF(C474="","",IF(Q474&lt;&gt;"",Q474-C474,TODAY()-C474))</f>
        <v/>
      </c>
      <c r="U474" s="14" t="str">
        <f aca="true">IF(OR(P474="",Q474&lt;&gt;"",N474="キャンセル"),"",P474-TODAY())</f>
        <v/>
      </c>
      <c r="V474" s="15" t="str">
        <f aca="true">IF(D474="","",IF(OR(N474="開通済",Q474&lt;&gt;""),"完了",IF(N474="キャンセル","―",IF(AND(S474&lt;&gt;"",S474&lt;TODAY()),"対応期限超過",IF(AND(P474&lt;&gt;"",P474&lt;TODAY()),"開通予定日超過",IF(AND(S474&lt;&gt;"",S474=TODAY()),"本日対応",IF(AND(P474&lt;&gt;"",P474-TODAY()&lt;=3),"開通間近","")))))))</f>
        <v/>
      </c>
      <c r="W474" s="16"/>
      <c r="X474" s="16"/>
    </row>
    <row r="475" customFormat="false" ht="15" hidden="false" customHeight="false" outlineLevel="0" collapsed="false">
      <c r="A475" s="7" t="str">
        <f aca="false">IF(D475="","",ROW()-3)</f>
        <v/>
      </c>
      <c r="B475" s="16"/>
      <c r="C475" s="12"/>
      <c r="D475" s="16"/>
      <c r="E475" s="16"/>
      <c r="F475" s="17"/>
      <c r="G475" s="16"/>
      <c r="H475" s="16"/>
      <c r="I475" s="12"/>
      <c r="J475" s="16"/>
      <c r="K475" s="16"/>
      <c r="L475" s="16"/>
      <c r="M475" s="16"/>
      <c r="N475" s="16"/>
      <c r="O475" s="12"/>
      <c r="P475" s="12"/>
      <c r="Q475" s="12"/>
      <c r="R475" s="16"/>
      <c r="S475" s="12"/>
      <c r="T475" s="13" t="str">
        <f aca="true">IF(C475="","",IF(Q475&lt;&gt;"",Q475-C475,TODAY()-C475))</f>
        <v/>
      </c>
      <c r="U475" s="14" t="str">
        <f aca="true">IF(OR(P475="",Q475&lt;&gt;"",N475="キャンセル"),"",P475-TODAY())</f>
        <v/>
      </c>
      <c r="V475" s="15" t="str">
        <f aca="true">IF(D475="","",IF(OR(N475="開通済",Q475&lt;&gt;""),"完了",IF(N475="キャンセル","―",IF(AND(S475&lt;&gt;"",S475&lt;TODAY()),"対応期限超過",IF(AND(P475&lt;&gt;"",P475&lt;TODAY()),"開通予定日超過",IF(AND(S475&lt;&gt;"",S475=TODAY()),"本日対応",IF(AND(P475&lt;&gt;"",P475-TODAY()&lt;=3),"開通間近","")))))))</f>
        <v/>
      </c>
      <c r="W475" s="16"/>
      <c r="X475" s="16"/>
    </row>
    <row r="476" customFormat="false" ht="15" hidden="false" customHeight="false" outlineLevel="0" collapsed="false">
      <c r="A476" s="7" t="str">
        <f aca="false">IF(D476="","",ROW()-3)</f>
        <v/>
      </c>
      <c r="B476" s="16"/>
      <c r="C476" s="12"/>
      <c r="D476" s="16"/>
      <c r="E476" s="16"/>
      <c r="F476" s="17"/>
      <c r="G476" s="16"/>
      <c r="H476" s="16"/>
      <c r="I476" s="12"/>
      <c r="J476" s="16"/>
      <c r="K476" s="16"/>
      <c r="L476" s="16"/>
      <c r="M476" s="16"/>
      <c r="N476" s="16"/>
      <c r="O476" s="12"/>
      <c r="P476" s="12"/>
      <c r="Q476" s="12"/>
      <c r="R476" s="16"/>
      <c r="S476" s="12"/>
      <c r="T476" s="13" t="str">
        <f aca="true">IF(C476="","",IF(Q476&lt;&gt;"",Q476-C476,TODAY()-C476))</f>
        <v/>
      </c>
      <c r="U476" s="14" t="str">
        <f aca="true">IF(OR(P476="",Q476&lt;&gt;"",N476="キャンセル"),"",P476-TODAY())</f>
        <v/>
      </c>
      <c r="V476" s="15" t="str">
        <f aca="true">IF(D476="","",IF(OR(N476="開通済",Q476&lt;&gt;""),"完了",IF(N476="キャンセル","―",IF(AND(S476&lt;&gt;"",S476&lt;TODAY()),"対応期限超過",IF(AND(P476&lt;&gt;"",P476&lt;TODAY()),"開通予定日超過",IF(AND(S476&lt;&gt;"",S476=TODAY()),"本日対応",IF(AND(P476&lt;&gt;"",P476-TODAY()&lt;=3),"開通間近","")))))))</f>
        <v/>
      </c>
      <c r="W476" s="16"/>
      <c r="X476" s="16"/>
    </row>
    <row r="477" customFormat="false" ht="15" hidden="false" customHeight="false" outlineLevel="0" collapsed="false">
      <c r="A477" s="7" t="str">
        <f aca="false">IF(D477="","",ROW()-3)</f>
        <v/>
      </c>
      <c r="B477" s="16"/>
      <c r="C477" s="12"/>
      <c r="D477" s="16"/>
      <c r="E477" s="16"/>
      <c r="F477" s="17"/>
      <c r="G477" s="16"/>
      <c r="H477" s="16"/>
      <c r="I477" s="12"/>
      <c r="J477" s="16"/>
      <c r="K477" s="16"/>
      <c r="L477" s="16"/>
      <c r="M477" s="16"/>
      <c r="N477" s="16"/>
      <c r="O477" s="12"/>
      <c r="P477" s="12"/>
      <c r="Q477" s="12"/>
      <c r="R477" s="16"/>
      <c r="S477" s="12"/>
      <c r="T477" s="13" t="str">
        <f aca="true">IF(C477="","",IF(Q477&lt;&gt;"",Q477-C477,TODAY()-C477))</f>
        <v/>
      </c>
      <c r="U477" s="14" t="str">
        <f aca="true">IF(OR(P477="",Q477&lt;&gt;"",N477="キャンセル"),"",P477-TODAY())</f>
        <v/>
      </c>
      <c r="V477" s="15" t="str">
        <f aca="true">IF(D477="","",IF(OR(N477="開通済",Q477&lt;&gt;""),"完了",IF(N477="キャンセル","―",IF(AND(S477&lt;&gt;"",S477&lt;TODAY()),"対応期限超過",IF(AND(P477&lt;&gt;"",P477&lt;TODAY()),"開通予定日超過",IF(AND(S477&lt;&gt;"",S477=TODAY()),"本日対応",IF(AND(P477&lt;&gt;"",P477-TODAY()&lt;=3),"開通間近","")))))))</f>
        <v/>
      </c>
      <c r="W477" s="16"/>
      <c r="X477" s="16"/>
    </row>
    <row r="478" customFormat="false" ht="15" hidden="false" customHeight="false" outlineLevel="0" collapsed="false">
      <c r="A478" s="7" t="str">
        <f aca="false">IF(D478="","",ROW()-3)</f>
        <v/>
      </c>
      <c r="B478" s="16"/>
      <c r="C478" s="12"/>
      <c r="D478" s="16"/>
      <c r="E478" s="16"/>
      <c r="F478" s="17"/>
      <c r="G478" s="16"/>
      <c r="H478" s="16"/>
      <c r="I478" s="12"/>
      <c r="J478" s="16"/>
      <c r="K478" s="16"/>
      <c r="L478" s="16"/>
      <c r="M478" s="16"/>
      <c r="N478" s="16"/>
      <c r="O478" s="12"/>
      <c r="P478" s="12"/>
      <c r="Q478" s="12"/>
      <c r="R478" s="16"/>
      <c r="S478" s="12"/>
      <c r="T478" s="13" t="str">
        <f aca="true">IF(C478="","",IF(Q478&lt;&gt;"",Q478-C478,TODAY()-C478))</f>
        <v/>
      </c>
      <c r="U478" s="14" t="str">
        <f aca="true">IF(OR(P478="",Q478&lt;&gt;"",N478="キャンセル"),"",P478-TODAY())</f>
        <v/>
      </c>
      <c r="V478" s="15" t="str">
        <f aca="true">IF(D478="","",IF(OR(N478="開通済",Q478&lt;&gt;""),"完了",IF(N478="キャンセル","―",IF(AND(S478&lt;&gt;"",S478&lt;TODAY()),"対応期限超過",IF(AND(P478&lt;&gt;"",P478&lt;TODAY()),"開通予定日超過",IF(AND(S478&lt;&gt;"",S478=TODAY()),"本日対応",IF(AND(P478&lt;&gt;"",P478-TODAY()&lt;=3),"開通間近","")))))))</f>
        <v/>
      </c>
      <c r="W478" s="16"/>
      <c r="X478" s="16"/>
    </row>
    <row r="479" customFormat="false" ht="15" hidden="false" customHeight="false" outlineLevel="0" collapsed="false">
      <c r="A479" s="7" t="str">
        <f aca="false">IF(D479="","",ROW()-3)</f>
        <v/>
      </c>
      <c r="B479" s="16"/>
      <c r="C479" s="12"/>
      <c r="D479" s="16"/>
      <c r="E479" s="16"/>
      <c r="F479" s="17"/>
      <c r="G479" s="16"/>
      <c r="H479" s="16"/>
      <c r="I479" s="12"/>
      <c r="J479" s="16"/>
      <c r="K479" s="16"/>
      <c r="L479" s="16"/>
      <c r="M479" s="16"/>
      <c r="N479" s="16"/>
      <c r="O479" s="12"/>
      <c r="P479" s="12"/>
      <c r="Q479" s="12"/>
      <c r="R479" s="16"/>
      <c r="S479" s="12"/>
      <c r="T479" s="13" t="str">
        <f aca="true">IF(C479="","",IF(Q479&lt;&gt;"",Q479-C479,TODAY()-C479))</f>
        <v/>
      </c>
      <c r="U479" s="14" t="str">
        <f aca="true">IF(OR(P479="",Q479&lt;&gt;"",N479="キャンセル"),"",P479-TODAY())</f>
        <v/>
      </c>
      <c r="V479" s="15" t="str">
        <f aca="true">IF(D479="","",IF(OR(N479="開通済",Q479&lt;&gt;""),"完了",IF(N479="キャンセル","―",IF(AND(S479&lt;&gt;"",S479&lt;TODAY()),"対応期限超過",IF(AND(P479&lt;&gt;"",P479&lt;TODAY()),"開通予定日超過",IF(AND(S479&lt;&gt;"",S479=TODAY()),"本日対応",IF(AND(P479&lt;&gt;"",P479-TODAY()&lt;=3),"開通間近","")))))))</f>
        <v/>
      </c>
      <c r="W479" s="16"/>
      <c r="X479" s="16"/>
    </row>
    <row r="480" customFormat="false" ht="15" hidden="false" customHeight="false" outlineLevel="0" collapsed="false">
      <c r="A480" s="7" t="str">
        <f aca="false">IF(D480="","",ROW()-3)</f>
        <v/>
      </c>
      <c r="B480" s="16"/>
      <c r="C480" s="12"/>
      <c r="D480" s="16"/>
      <c r="E480" s="16"/>
      <c r="F480" s="17"/>
      <c r="G480" s="16"/>
      <c r="H480" s="16"/>
      <c r="I480" s="12"/>
      <c r="J480" s="16"/>
      <c r="K480" s="16"/>
      <c r="L480" s="16"/>
      <c r="M480" s="16"/>
      <c r="N480" s="16"/>
      <c r="O480" s="12"/>
      <c r="P480" s="12"/>
      <c r="Q480" s="12"/>
      <c r="R480" s="16"/>
      <c r="S480" s="12"/>
      <c r="T480" s="13" t="str">
        <f aca="true">IF(C480="","",IF(Q480&lt;&gt;"",Q480-C480,TODAY()-C480))</f>
        <v/>
      </c>
      <c r="U480" s="14" t="str">
        <f aca="true">IF(OR(P480="",Q480&lt;&gt;"",N480="キャンセル"),"",P480-TODAY())</f>
        <v/>
      </c>
      <c r="V480" s="15" t="str">
        <f aca="true">IF(D480="","",IF(OR(N480="開通済",Q480&lt;&gt;""),"完了",IF(N480="キャンセル","―",IF(AND(S480&lt;&gt;"",S480&lt;TODAY()),"対応期限超過",IF(AND(P480&lt;&gt;"",P480&lt;TODAY()),"開通予定日超過",IF(AND(S480&lt;&gt;"",S480=TODAY()),"本日対応",IF(AND(P480&lt;&gt;"",P480-TODAY()&lt;=3),"開通間近","")))))))</f>
        <v/>
      </c>
      <c r="W480" s="16"/>
      <c r="X480" s="16"/>
    </row>
    <row r="481" customFormat="false" ht="15" hidden="false" customHeight="false" outlineLevel="0" collapsed="false">
      <c r="A481" s="7" t="str">
        <f aca="false">IF(D481="","",ROW()-3)</f>
        <v/>
      </c>
      <c r="B481" s="16"/>
      <c r="C481" s="12"/>
      <c r="D481" s="16"/>
      <c r="E481" s="16"/>
      <c r="F481" s="17"/>
      <c r="G481" s="16"/>
      <c r="H481" s="16"/>
      <c r="I481" s="12"/>
      <c r="J481" s="16"/>
      <c r="K481" s="16"/>
      <c r="L481" s="16"/>
      <c r="M481" s="16"/>
      <c r="N481" s="16"/>
      <c r="O481" s="12"/>
      <c r="P481" s="12"/>
      <c r="Q481" s="12"/>
      <c r="R481" s="16"/>
      <c r="S481" s="12"/>
      <c r="T481" s="13" t="str">
        <f aca="true">IF(C481="","",IF(Q481&lt;&gt;"",Q481-C481,TODAY()-C481))</f>
        <v/>
      </c>
      <c r="U481" s="14" t="str">
        <f aca="true">IF(OR(P481="",Q481&lt;&gt;"",N481="キャンセル"),"",P481-TODAY())</f>
        <v/>
      </c>
      <c r="V481" s="15" t="str">
        <f aca="true">IF(D481="","",IF(OR(N481="開通済",Q481&lt;&gt;""),"完了",IF(N481="キャンセル","―",IF(AND(S481&lt;&gt;"",S481&lt;TODAY()),"対応期限超過",IF(AND(P481&lt;&gt;"",P481&lt;TODAY()),"開通予定日超過",IF(AND(S481&lt;&gt;"",S481=TODAY()),"本日対応",IF(AND(P481&lt;&gt;"",P481-TODAY()&lt;=3),"開通間近","")))))))</f>
        <v/>
      </c>
      <c r="W481" s="16"/>
      <c r="X481" s="16"/>
    </row>
    <row r="482" customFormat="false" ht="15" hidden="false" customHeight="false" outlineLevel="0" collapsed="false">
      <c r="A482" s="7" t="str">
        <f aca="false">IF(D482="","",ROW()-3)</f>
        <v/>
      </c>
      <c r="B482" s="16"/>
      <c r="C482" s="12"/>
      <c r="D482" s="16"/>
      <c r="E482" s="16"/>
      <c r="F482" s="17"/>
      <c r="G482" s="16"/>
      <c r="H482" s="16"/>
      <c r="I482" s="12"/>
      <c r="J482" s="16"/>
      <c r="K482" s="16"/>
      <c r="L482" s="16"/>
      <c r="M482" s="16"/>
      <c r="N482" s="16"/>
      <c r="O482" s="12"/>
      <c r="P482" s="12"/>
      <c r="Q482" s="12"/>
      <c r="R482" s="16"/>
      <c r="S482" s="12"/>
      <c r="T482" s="13" t="str">
        <f aca="true">IF(C482="","",IF(Q482&lt;&gt;"",Q482-C482,TODAY()-C482))</f>
        <v/>
      </c>
      <c r="U482" s="14" t="str">
        <f aca="true">IF(OR(P482="",Q482&lt;&gt;"",N482="キャンセル"),"",P482-TODAY())</f>
        <v/>
      </c>
      <c r="V482" s="15" t="str">
        <f aca="true">IF(D482="","",IF(OR(N482="開通済",Q482&lt;&gt;""),"完了",IF(N482="キャンセル","―",IF(AND(S482&lt;&gt;"",S482&lt;TODAY()),"対応期限超過",IF(AND(P482&lt;&gt;"",P482&lt;TODAY()),"開通予定日超過",IF(AND(S482&lt;&gt;"",S482=TODAY()),"本日対応",IF(AND(P482&lt;&gt;"",P482-TODAY()&lt;=3),"開通間近","")))))))</f>
        <v/>
      </c>
      <c r="W482" s="16"/>
      <c r="X482" s="16"/>
    </row>
    <row r="483" customFormat="false" ht="15" hidden="false" customHeight="false" outlineLevel="0" collapsed="false">
      <c r="A483" s="7" t="str">
        <f aca="false">IF(D483="","",ROW()-3)</f>
        <v/>
      </c>
      <c r="B483" s="16"/>
      <c r="C483" s="12"/>
      <c r="D483" s="16"/>
      <c r="E483" s="16"/>
      <c r="F483" s="17"/>
      <c r="G483" s="16"/>
      <c r="H483" s="16"/>
      <c r="I483" s="12"/>
      <c r="J483" s="16"/>
      <c r="K483" s="16"/>
      <c r="L483" s="16"/>
      <c r="M483" s="16"/>
      <c r="N483" s="16"/>
      <c r="O483" s="12"/>
      <c r="P483" s="12"/>
      <c r="Q483" s="12"/>
      <c r="R483" s="16"/>
      <c r="S483" s="12"/>
      <c r="T483" s="13" t="str">
        <f aca="true">IF(C483="","",IF(Q483&lt;&gt;"",Q483-C483,TODAY()-C483))</f>
        <v/>
      </c>
      <c r="U483" s="14" t="str">
        <f aca="true">IF(OR(P483="",Q483&lt;&gt;"",N483="キャンセル"),"",P483-TODAY())</f>
        <v/>
      </c>
      <c r="V483" s="15" t="str">
        <f aca="true">IF(D483="","",IF(OR(N483="開通済",Q483&lt;&gt;""),"完了",IF(N483="キャンセル","―",IF(AND(S483&lt;&gt;"",S483&lt;TODAY()),"対応期限超過",IF(AND(P483&lt;&gt;"",P483&lt;TODAY()),"開通予定日超過",IF(AND(S483&lt;&gt;"",S483=TODAY()),"本日対応",IF(AND(P483&lt;&gt;"",P483-TODAY()&lt;=3),"開通間近","")))))))</f>
        <v/>
      </c>
      <c r="W483" s="16"/>
      <c r="X483" s="16"/>
    </row>
    <row r="484" customFormat="false" ht="15" hidden="false" customHeight="false" outlineLevel="0" collapsed="false">
      <c r="A484" s="7" t="str">
        <f aca="false">IF(D484="","",ROW()-3)</f>
        <v/>
      </c>
      <c r="B484" s="16"/>
      <c r="C484" s="12"/>
      <c r="D484" s="16"/>
      <c r="E484" s="16"/>
      <c r="F484" s="17"/>
      <c r="G484" s="16"/>
      <c r="H484" s="16"/>
      <c r="I484" s="12"/>
      <c r="J484" s="16"/>
      <c r="K484" s="16"/>
      <c r="L484" s="16"/>
      <c r="M484" s="16"/>
      <c r="N484" s="16"/>
      <c r="O484" s="12"/>
      <c r="P484" s="12"/>
      <c r="Q484" s="12"/>
      <c r="R484" s="16"/>
      <c r="S484" s="12"/>
      <c r="T484" s="13" t="str">
        <f aca="true">IF(C484="","",IF(Q484&lt;&gt;"",Q484-C484,TODAY()-C484))</f>
        <v/>
      </c>
      <c r="U484" s="14" t="str">
        <f aca="true">IF(OR(P484="",Q484&lt;&gt;"",N484="キャンセル"),"",P484-TODAY())</f>
        <v/>
      </c>
      <c r="V484" s="15" t="str">
        <f aca="true">IF(D484="","",IF(OR(N484="開通済",Q484&lt;&gt;""),"完了",IF(N484="キャンセル","―",IF(AND(S484&lt;&gt;"",S484&lt;TODAY()),"対応期限超過",IF(AND(P484&lt;&gt;"",P484&lt;TODAY()),"開通予定日超過",IF(AND(S484&lt;&gt;"",S484=TODAY()),"本日対応",IF(AND(P484&lt;&gt;"",P484-TODAY()&lt;=3),"開通間近","")))))))</f>
        <v/>
      </c>
      <c r="W484" s="16"/>
      <c r="X484" s="16"/>
    </row>
    <row r="485" customFormat="false" ht="15" hidden="false" customHeight="false" outlineLevel="0" collapsed="false">
      <c r="A485" s="7" t="str">
        <f aca="false">IF(D485="","",ROW()-3)</f>
        <v/>
      </c>
      <c r="B485" s="16"/>
      <c r="C485" s="12"/>
      <c r="D485" s="16"/>
      <c r="E485" s="16"/>
      <c r="F485" s="17"/>
      <c r="G485" s="16"/>
      <c r="H485" s="16"/>
      <c r="I485" s="12"/>
      <c r="J485" s="16"/>
      <c r="K485" s="16"/>
      <c r="L485" s="16"/>
      <c r="M485" s="16"/>
      <c r="N485" s="16"/>
      <c r="O485" s="12"/>
      <c r="P485" s="12"/>
      <c r="Q485" s="12"/>
      <c r="R485" s="16"/>
      <c r="S485" s="12"/>
      <c r="T485" s="13" t="str">
        <f aca="true">IF(C485="","",IF(Q485&lt;&gt;"",Q485-C485,TODAY()-C485))</f>
        <v/>
      </c>
      <c r="U485" s="14" t="str">
        <f aca="true">IF(OR(P485="",Q485&lt;&gt;"",N485="キャンセル"),"",P485-TODAY())</f>
        <v/>
      </c>
      <c r="V485" s="15" t="str">
        <f aca="true">IF(D485="","",IF(OR(N485="開通済",Q485&lt;&gt;""),"完了",IF(N485="キャンセル","―",IF(AND(S485&lt;&gt;"",S485&lt;TODAY()),"対応期限超過",IF(AND(P485&lt;&gt;"",P485&lt;TODAY()),"開通予定日超過",IF(AND(S485&lt;&gt;"",S485=TODAY()),"本日対応",IF(AND(P485&lt;&gt;"",P485-TODAY()&lt;=3),"開通間近","")))))))</f>
        <v/>
      </c>
      <c r="W485" s="16"/>
      <c r="X485" s="16"/>
    </row>
    <row r="486" customFormat="false" ht="15" hidden="false" customHeight="false" outlineLevel="0" collapsed="false">
      <c r="A486" s="7" t="str">
        <f aca="false">IF(D486="","",ROW()-3)</f>
        <v/>
      </c>
      <c r="B486" s="16"/>
      <c r="C486" s="12"/>
      <c r="D486" s="16"/>
      <c r="E486" s="16"/>
      <c r="F486" s="17"/>
      <c r="G486" s="16"/>
      <c r="H486" s="16"/>
      <c r="I486" s="12"/>
      <c r="J486" s="16"/>
      <c r="K486" s="16"/>
      <c r="L486" s="16"/>
      <c r="M486" s="16"/>
      <c r="N486" s="16"/>
      <c r="O486" s="12"/>
      <c r="P486" s="12"/>
      <c r="Q486" s="12"/>
      <c r="R486" s="16"/>
      <c r="S486" s="12"/>
      <c r="T486" s="13" t="str">
        <f aca="true">IF(C486="","",IF(Q486&lt;&gt;"",Q486-C486,TODAY()-C486))</f>
        <v/>
      </c>
      <c r="U486" s="14" t="str">
        <f aca="true">IF(OR(P486="",Q486&lt;&gt;"",N486="キャンセル"),"",P486-TODAY())</f>
        <v/>
      </c>
      <c r="V486" s="15" t="str">
        <f aca="true">IF(D486="","",IF(OR(N486="開通済",Q486&lt;&gt;""),"完了",IF(N486="キャンセル","―",IF(AND(S486&lt;&gt;"",S486&lt;TODAY()),"対応期限超過",IF(AND(P486&lt;&gt;"",P486&lt;TODAY()),"開通予定日超過",IF(AND(S486&lt;&gt;"",S486=TODAY()),"本日対応",IF(AND(P486&lt;&gt;"",P486-TODAY()&lt;=3),"開通間近","")))))))</f>
        <v/>
      </c>
      <c r="W486" s="16"/>
      <c r="X486" s="16"/>
    </row>
    <row r="487" customFormat="false" ht="15" hidden="false" customHeight="false" outlineLevel="0" collapsed="false">
      <c r="A487" s="7" t="str">
        <f aca="false">IF(D487="","",ROW()-3)</f>
        <v/>
      </c>
      <c r="B487" s="16"/>
      <c r="C487" s="12"/>
      <c r="D487" s="16"/>
      <c r="E487" s="16"/>
      <c r="F487" s="17"/>
      <c r="G487" s="16"/>
      <c r="H487" s="16"/>
      <c r="I487" s="12"/>
      <c r="J487" s="16"/>
      <c r="K487" s="16"/>
      <c r="L487" s="16"/>
      <c r="M487" s="16"/>
      <c r="N487" s="16"/>
      <c r="O487" s="12"/>
      <c r="P487" s="12"/>
      <c r="Q487" s="12"/>
      <c r="R487" s="16"/>
      <c r="S487" s="12"/>
      <c r="T487" s="13" t="str">
        <f aca="true">IF(C487="","",IF(Q487&lt;&gt;"",Q487-C487,TODAY()-C487))</f>
        <v/>
      </c>
      <c r="U487" s="14" t="str">
        <f aca="true">IF(OR(P487="",Q487&lt;&gt;"",N487="キャンセル"),"",P487-TODAY())</f>
        <v/>
      </c>
      <c r="V487" s="15" t="str">
        <f aca="true">IF(D487="","",IF(OR(N487="開通済",Q487&lt;&gt;""),"完了",IF(N487="キャンセル","―",IF(AND(S487&lt;&gt;"",S487&lt;TODAY()),"対応期限超過",IF(AND(P487&lt;&gt;"",P487&lt;TODAY()),"開通予定日超過",IF(AND(S487&lt;&gt;"",S487=TODAY()),"本日対応",IF(AND(P487&lt;&gt;"",P487-TODAY()&lt;=3),"開通間近","")))))))</f>
        <v/>
      </c>
      <c r="W487" s="16"/>
      <c r="X487" s="16"/>
    </row>
    <row r="488" customFormat="false" ht="15" hidden="false" customHeight="false" outlineLevel="0" collapsed="false">
      <c r="A488" s="7" t="str">
        <f aca="false">IF(D488="","",ROW()-3)</f>
        <v/>
      </c>
      <c r="B488" s="16"/>
      <c r="C488" s="12"/>
      <c r="D488" s="16"/>
      <c r="E488" s="16"/>
      <c r="F488" s="17"/>
      <c r="G488" s="16"/>
      <c r="H488" s="16"/>
      <c r="I488" s="12"/>
      <c r="J488" s="16"/>
      <c r="K488" s="16"/>
      <c r="L488" s="16"/>
      <c r="M488" s="16"/>
      <c r="N488" s="16"/>
      <c r="O488" s="12"/>
      <c r="P488" s="12"/>
      <c r="Q488" s="12"/>
      <c r="R488" s="16"/>
      <c r="S488" s="12"/>
      <c r="T488" s="13" t="str">
        <f aca="true">IF(C488="","",IF(Q488&lt;&gt;"",Q488-C488,TODAY()-C488))</f>
        <v/>
      </c>
      <c r="U488" s="14" t="str">
        <f aca="true">IF(OR(P488="",Q488&lt;&gt;"",N488="キャンセル"),"",P488-TODAY())</f>
        <v/>
      </c>
      <c r="V488" s="15" t="str">
        <f aca="true">IF(D488="","",IF(OR(N488="開通済",Q488&lt;&gt;""),"完了",IF(N488="キャンセル","―",IF(AND(S488&lt;&gt;"",S488&lt;TODAY()),"対応期限超過",IF(AND(P488&lt;&gt;"",P488&lt;TODAY()),"開通予定日超過",IF(AND(S488&lt;&gt;"",S488=TODAY()),"本日対応",IF(AND(P488&lt;&gt;"",P488-TODAY()&lt;=3),"開通間近","")))))))</f>
        <v/>
      </c>
      <c r="W488" s="16"/>
      <c r="X488" s="16"/>
    </row>
    <row r="489" customFormat="false" ht="15" hidden="false" customHeight="false" outlineLevel="0" collapsed="false">
      <c r="A489" s="7" t="str">
        <f aca="false">IF(D489="","",ROW()-3)</f>
        <v/>
      </c>
      <c r="B489" s="16"/>
      <c r="C489" s="12"/>
      <c r="D489" s="16"/>
      <c r="E489" s="16"/>
      <c r="F489" s="17"/>
      <c r="G489" s="16"/>
      <c r="H489" s="16"/>
      <c r="I489" s="12"/>
      <c r="J489" s="16"/>
      <c r="K489" s="16"/>
      <c r="L489" s="16"/>
      <c r="M489" s="16"/>
      <c r="N489" s="16"/>
      <c r="O489" s="12"/>
      <c r="P489" s="12"/>
      <c r="Q489" s="12"/>
      <c r="R489" s="16"/>
      <c r="S489" s="12"/>
      <c r="T489" s="13" t="str">
        <f aca="true">IF(C489="","",IF(Q489&lt;&gt;"",Q489-C489,TODAY()-C489))</f>
        <v/>
      </c>
      <c r="U489" s="14" t="str">
        <f aca="true">IF(OR(P489="",Q489&lt;&gt;"",N489="キャンセル"),"",P489-TODAY())</f>
        <v/>
      </c>
      <c r="V489" s="15" t="str">
        <f aca="true">IF(D489="","",IF(OR(N489="開通済",Q489&lt;&gt;""),"完了",IF(N489="キャンセル","―",IF(AND(S489&lt;&gt;"",S489&lt;TODAY()),"対応期限超過",IF(AND(P489&lt;&gt;"",P489&lt;TODAY()),"開通予定日超過",IF(AND(S489&lt;&gt;"",S489=TODAY()),"本日対応",IF(AND(P489&lt;&gt;"",P489-TODAY()&lt;=3),"開通間近","")))))))</f>
        <v/>
      </c>
      <c r="W489" s="16"/>
      <c r="X489" s="16"/>
    </row>
    <row r="490" customFormat="false" ht="15" hidden="false" customHeight="false" outlineLevel="0" collapsed="false">
      <c r="A490" s="7" t="str">
        <f aca="false">IF(D490="","",ROW()-3)</f>
        <v/>
      </c>
      <c r="B490" s="16"/>
      <c r="C490" s="12"/>
      <c r="D490" s="16"/>
      <c r="E490" s="16"/>
      <c r="F490" s="17"/>
      <c r="G490" s="16"/>
      <c r="H490" s="16"/>
      <c r="I490" s="12"/>
      <c r="J490" s="16"/>
      <c r="K490" s="16"/>
      <c r="L490" s="16"/>
      <c r="M490" s="16"/>
      <c r="N490" s="16"/>
      <c r="O490" s="12"/>
      <c r="P490" s="12"/>
      <c r="Q490" s="12"/>
      <c r="R490" s="16"/>
      <c r="S490" s="12"/>
      <c r="T490" s="13" t="str">
        <f aca="true">IF(C490="","",IF(Q490&lt;&gt;"",Q490-C490,TODAY()-C490))</f>
        <v/>
      </c>
      <c r="U490" s="14" t="str">
        <f aca="true">IF(OR(P490="",Q490&lt;&gt;"",N490="キャンセル"),"",P490-TODAY())</f>
        <v/>
      </c>
      <c r="V490" s="15" t="str">
        <f aca="true">IF(D490="","",IF(OR(N490="開通済",Q490&lt;&gt;""),"完了",IF(N490="キャンセル","―",IF(AND(S490&lt;&gt;"",S490&lt;TODAY()),"対応期限超過",IF(AND(P490&lt;&gt;"",P490&lt;TODAY()),"開通予定日超過",IF(AND(S490&lt;&gt;"",S490=TODAY()),"本日対応",IF(AND(P490&lt;&gt;"",P490-TODAY()&lt;=3),"開通間近","")))))))</f>
        <v/>
      </c>
      <c r="W490" s="16"/>
      <c r="X490" s="16"/>
    </row>
    <row r="491" customFormat="false" ht="15" hidden="false" customHeight="false" outlineLevel="0" collapsed="false">
      <c r="A491" s="7" t="str">
        <f aca="false">IF(D491="","",ROW()-3)</f>
        <v/>
      </c>
      <c r="B491" s="16"/>
      <c r="C491" s="12"/>
      <c r="D491" s="16"/>
      <c r="E491" s="16"/>
      <c r="F491" s="17"/>
      <c r="G491" s="16"/>
      <c r="H491" s="16"/>
      <c r="I491" s="12"/>
      <c r="J491" s="16"/>
      <c r="K491" s="16"/>
      <c r="L491" s="16"/>
      <c r="M491" s="16"/>
      <c r="N491" s="16"/>
      <c r="O491" s="12"/>
      <c r="P491" s="12"/>
      <c r="Q491" s="12"/>
      <c r="R491" s="16"/>
      <c r="S491" s="12"/>
      <c r="T491" s="13" t="str">
        <f aca="true">IF(C491="","",IF(Q491&lt;&gt;"",Q491-C491,TODAY()-C491))</f>
        <v/>
      </c>
      <c r="U491" s="14" t="str">
        <f aca="true">IF(OR(P491="",Q491&lt;&gt;"",N491="キャンセル"),"",P491-TODAY())</f>
        <v/>
      </c>
      <c r="V491" s="15" t="str">
        <f aca="true">IF(D491="","",IF(OR(N491="開通済",Q491&lt;&gt;""),"完了",IF(N491="キャンセル","―",IF(AND(S491&lt;&gt;"",S491&lt;TODAY()),"対応期限超過",IF(AND(P491&lt;&gt;"",P491&lt;TODAY()),"開通予定日超過",IF(AND(S491&lt;&gt;"",S491=TODAY()),"本日対応",IF(AND(P491&lt;&gt;"",P491-TODAY()&lt;=3),"開通間近","")))))))</f>
        <v/>
      </c>
      <c r="W491" s="16"/>
      <c r="X491" s="16"/>
    </row>
    <row r="492" customFormat="false" ht="15" hidden="false" customHeight="false" outlineLevel="0" collapsed="false">
      <c r="A492" s="7" t="str">
        <f aca="false">IF(D492="","",ROW()-3)</f>
        <v/>
      </c>
      <c r="B492" s="16"/>
      <c r="C492" s="12"/>
      <c r="D492" s="16"/>
      <c r="E492" s="16"/>
      <c r="F492" s="17"/>
      <c r="G492" s="16"/>
      <c r="H492" s="16"/>
      <c r="I492" s="12"/>
      <c r="J492" s="16"/>
      <c r="K492" s="16"/>
      <c r="L492" s="16"/>
      <c r="M492" s="16"/>
      <c r="N492" s="16"/>
      <c r="O492" s="12"/>
      <c r="P492" s="12"/>
      <c r="Q492" s="12"/>
      <c r="R492" s="16"/>
      <c r="S492" s="12"/>
      <c r="T492" s="13" t="str">
        <f aca="true">IF(C492="","",IF(Q492&lt;&gt;"",Q492-C492,TODAY()-C492))</f>
        <v/>
      </c>
      <c r="U492" s="14" t="str">
        <f aca="true">IF(OR(P492="",Q492&lt;&gt;"",N492="キャンセル"),"",P492-TODAY())</f>
        <v/>
      </c>
      <c r="V492" s="15" t="str">
        <f aca="true">IF(D492="","",IF(OR(N492="開通済",Q492&lt;&gt;""),"完了",IF(N492="キャンセル","―",IF(AND(S492&lt;&gt;"",S492&lt;TODAY()),"対応期限超過",IF(AND(P492&lt;&gt;"",P492&lt;TODAY()),"開通予定日超過",IF(AND(S492&lt;&gt;"",S492=TODAY()),"本日対応",IF(AND(P492&lt;&gt;"",P492-TODAY()&lt;=3),"開通間近","")))))))</f>
        <v/>
      </c>
      <c r="W492" s="16"/>
      <c r="X492" s="16"/>
    </row>
    <row r="493" customFormat="false" ht="15" hidden="false" customHeight="false" outlineLevel="0" collapsed="false">
      <c r="A493" s="7" t="str">
        <f aca="false">IF(D493="","",ROW()-3)</f>
        <v/>
      </c>
      <c r="B493" s="16"/>
      <c r="C493" s="12"/>
      <c r="D493" s="16"/>
      <c r="E493" s="16"/>
      <c r="F493" s="17"/>
      <c r="G493" s="16"/>
      <c r="H493" s="16"/>
      <c r="I493" s="12"/>
      <c r="J493" s="16"/>
      <c r="K493" s="16"/>
      <c r="L493" s="16"/>
      <c r="M493" s="16"/>
      <c r="N493" s="16"/>
      <c r="O493" s="12"/>
      <c r="P493" s="12"/>
      <c r="Q493" s="12"/>
      <c r="R493" s="16"/>
      <c r="S493" s="12"/>
      <c r="T493" s="13" t="str">
        <f aca="true">IF(C493="","",IF(Q493&lt;&gt;"",Q493-C493,TODAY()-C493))</f>
        <v/>
      </c>
      <c r="U493" s="14" t="str">
        <f aca="true">IF(OR(P493="",Q493&lt;&gt;"",N493="キャンセル"),"",P493-TODAY())</f>
        <v/>
      </c>
      <c r="V493" s="15" t="str">
        <f aca="true">IF(D493="","",IF(OR(N493="開通済",Q493&lt;&gt;""),"完了",IF(N493="キャンセル","―",IF(AND(S493&lt;&gt;"",S493&lt;TODAY()),"対応期限超過",IF(AND(P493&lt;&gt;"",P493&lt;TODAY()),"開通予定日超過",IF(AND(S493&lt;&gt;"",S493=TODAY()),"本日対応",IF(AND(P493&lt;&gt;"",P493-TODAY()&lt;=3),"開通間近","")))))))</f>
        <v/>
      </c>
      <c r="W493" s="16"/>
      <c r="X493" s="16"/>
    </row>
    <row r="494" customFormat="false" ht="15" hidden="false" customHeight="false" outlineLevel="0" collapsed="false">
      <c r="A494" s="7" t="str">
        <f aca="false">IF(D494="","",ROW()-3)</f>
        <v/>
      </c>
      <c r="B494" s="16"/>
      <c r="C494" s="12"/>
      <c r="D494" s="16"/>
      <c r="E494" s="16"/>
      <c r="F494" s="17"/>
      <c r="G494" s="16"/>
      <c r="H494" s="16"/>
      <c r="I494" s="12"/>
      <c r="J494" s="16"/>
      <c r="K494" s="16"/>
      <c r="L494" s="16"/>
      <c r="M494" s="16"/>
      <c r="N494" s="16"/>
      <c r="O494" s="12"/>
      <c r="P494" s="12"/>
      <c r="Q494" s="12"/>
      <c r="R494" s="16"/>
      <c r="S494" s="12"/>
      <c r="T494" s="13" t="str">
        <f aca="true">IF(C494="","",IF(Q494&lt;&gt;"",Q494-C494,TODAY()-C494))</f>
        <v/>
      </c>
      <c r="U494" s="14" t="str">
        <f aca="true">IF(OR(P494="",Q494&lt;&gt;"",N494="キャンセル"),"",P494-TODAY())</f>
        <v/>
      </c>
      <c r="V494" s="15" t="str">
        <f aca="true">IF(D494="","",IF(OR(N494="開通済",Q494&lt;&gt;""),"完了",IF(N494="キャンセル","―",IF(AND(S494&lt;&gt;"",S494&lt;TODAY()),"対応期限超過",IF(AND(P494&lt;&gt;"",P494&lt;TODAY()),"開通予定日超過",IF(AND(S494&lt;&gt;"",S494=TODAY()),"本日対応",IF(AND(P494&lt;&gt;"",P494-TODAY()&lt;=3),"開通間近","")))))))</f>
        <v/>
      </c>
      <c r="W494" s="16"/>
      <c r="X494" s="16"/>
    </row>
    <row r="495" customFormat="false" ht="15" hidden="false" customHeight="false" outlineLevel="0" collapsed="false">
      <c r="A495" s="7" t="str">
        <f aca="false">IF(D495="","",ROW()-3)</f>
        <v/>
      </c>
      <c r="B495" s="16"/>
      <c r="C495" s="12"/>
      <c r="D495" s="16"/>
      <c r="E495" s="16"/>
      <c r="F495" s="17"/>
      <c r="G495" s="16"/>
      <c r="H495" s="16"/>
      <c r="I495" s="12"/>
      <c r="J495" s="16"/>
      <c r="K495" s="16"/>
      <c r="L495" s="16"/>
      <c r="M495" s="16"/>
      <c r="N495" s="16"/>
      <c r="O495" s="12"/>
      <c r="P495" s="12"/>
      <c r="Q495" s="12"/>
      <c r="R495" s="16"/>
      <c r="S495" s="12"/>
      <c r="T495" s="13" t="str">
        <f aca="true">IF(C495="","",IF(Q495&lt;&gt;"",Q495-C495,TODAY()-C495))</f>
        <v/>
      </c>
      <c r="U495" s="14" t="str">
        <f aca="true">IF(OR(P495="",Q495&lt;&gt;"",N495="キャンセル"),"",P495-TODAY())</f>
        <v/>
      </c>
      <c r="V495" s="15" t="str">
        <f aca="true">IF(D495="","",IF(OR(N495="開通済",Q495&lt;&gt;""),"完了",IF(N495="キャンセル","―",IF(AND(S495&lt;&gt;"",S495&lt;TODAY()),"対応期限超過",IF(AND(P495&lt;&gt;"",P495&lt;TODAY()),"開通予定日超過",IF(AND(S495&lt;&gt;"",S495=TODAY()),"本日対応",IF(AND(P495&lt;&gt;"",P495-TODAY()&lt;=3),"開通間近","")))))))</f>
        <v/>
      </c>
      <c r="W495" s="16"/>
      <c r="X495" s="16"/>
    </row>
    <row r="496" customFormat="false" ht="15" hidden="false" customHeight="false" outlineLevel="0" collapsed="false">
      <c r="A496" s="7" t="str">
        <f aca="false">IF(D496="","",ROW()-3)</f>
        <v/>
      </c>
      <c r="B496" s="16"/>
      <c r="C496" s="12"/>
      <c r="D496" s="16"/>
      <c r="E496" s="16"/>
      <c r="F496" s="17"/>
      <c r="G496" s="16"/>
      <c r="H496" s="16"/>
      <c r="I496" s="12"/>
      <c r="J496" s="16"/>
      <c r="K496" s="16"/>
      <c r="L496" s="16"/>
      <c r="M496" s="16"/>
      <c r="N496" s="16"/>
      <c r="O496" s="12"/>
      <c r="P496" s="12"/>
      <c r="Q496" s="12"/>
      <c r="R496" s="16"/>
      <c r="S496" s="12"/>
      <c r="T496" s="13" t="str">
        <f aca="true">IF(C496="","",IF(Q496&lt;&gt;"",Q496-C496,TODAY()-C496))</f>
        <v/>
      </c>
      <c r="U496" s="14" t="str">
        <f aca="true">IF(OR(P496="",Q496&lt;&gt;"",N496="キャンセル"),"",P496-TODAY())</f>
        <v/>
      </c>
      <c r="V496" s="15" t="str">
        <f aca="true">IF(D496="","",IF(OR(N496="開通済",Q496&lt;&gt;""),"完了",IF(N496="キャンセル","―",IF(AND(S496&lt;&gt;"",S496&lt;TODAY()),"対応期限超過",IF(AND(P496&lt;&gt;"",P496&lt;TODAY()),"開通予定日超過",IF(AND(S496&lt;&gt;"",S496=TODAY()),"本日対応",IF(AND(P496&lt;&gt;"",P496-TODAY()&lt;=3),"開通間近","")))))))</f>
        <v/>
      </c>
      <c r="W496" s="16"/>
      <c r="X496" s="16"/>
    </row>
    <row r="497" customFormat="false" ht="15" hidden="false" customHeight="false" outlineLevel="0" collapsed="false">
      <c r="A497" s="7" t="str">
        <f aca="false">IF(D497="","",ROW()-3)</f>
        <v/>
      </c>
      <c r="B497" s="16"/>
      <c r="C497" s="12"/>
      <c r="D497" s="16"/>
      <c r="E497" s="16"/>
      <c r="F497" s="17"/>
      <c r="G497" s="16"/>
      <c r="H497" s="16"/>
      <c r="I497" s="12"/>
      <c r="J497" s="16"/>
      <c r="K497" s="16"/>
      <c r="L497" s="16"/>
      <c r="M497" s="16"/>
      <c r="N497" s="16"/>
      <c r="O497" s="12"/>
      <c r="P497" s="12"/>
      <c r="Q497" s="12"/>
      <c r="R497" s="16"/>
      <c r="S497" s="12"/>
      <c r="T497" s="13" t="str">
        <f aca="true">IF(C497="","",IF(Q497&lt;&gt;"",Q497-C497,TODAY()-C497))</f>
        <v/>
      </c>
      <c r="U497" s="14" t="str">
        <f aca="true">IF(OR(P497="",Q497&lt;&gt;"",N497="キャンセル"),"",P497-TODAY())</f>
        <v/>
      </c>
      <c r="V497" s="15" t="str">
        <f aca="true">IF(D497="","",IF(OR(N497="開通済",Q497&lt;&gt;""),"完了",IF(N497="キャンセル","―",IF(AND(S497&lt;&gt;"",S497&lt;TODAY()),"対応期限超過",IF(AND(P497&lt;&gt;"",P497&lt;TODAY()),"開通予定日超過",IF(AND(S497&lt;&gt;"",S497=TODAY()),"本日対応",IF(AND(P497&lt;&gt;"",P497-TODAY()&lt;=3),"開通間近","")))))))</f>
        <v/>
      </c>
      <c r="W497" s="16"/>
      <c r="X497" s="16"/>
    </row>
    <row r="498" customFormat="false" ht="15" hidden="false" customHeight="false" outlineLevel="0" collapsed="false">
      <c r="A498" s="7" t="str">
        <f aca="false">IF(D498="","",ROW()-3)</f>
        <v/>
      </c>
      <c r="B498" s="16"/>
      <c r="C498" s="12"/>
      <c r="D498" s="16"/>
      <c r="E498" s="16"/>
      <c r="F498" s="17"/>
      <c r="G498" s="16"/>
      <c r="H498" s="16"/>
      <c r="I498" s="12"/>
      <c r="J498" s="16"/>
      <c r="K498" s="16"/>
      <c r="L498" s="16"/>
      <c r="M498" s="16"/>
      <c r="N498" s="16"/>
      <c r="O498" s="12"/>
      <c r="P498" s="12"/>
      <c r="Q498" s="12"/>
      <c r="R498" s="16"/>
      <c r="S498" s="12"/>
      <c r="T498" s="13" t="str">
        <f aca="true">IF(C498="","",IF(Q498&lt;&gt;"",Q498-C498,TODAY()-C498))</f>
        <v/>
      </c>
      <c r="U498" s="14" t="str">
        <f aca="true">IF(OR(P498="",Q498&lt;&gt;"",N498="キャンセル"),"",P498-TODAY())</f>
        <v/>
      </c>
      <c r="V498" s="15" t="str">
        <f aca="true">IF(D498="","",IF(OR(N498="開通済",Q498&lt;&gt;""),"完了",IF(N498="キャンセル","―",IF(AND(S498&lt;&gt;"",S498&lt;TODAY()),"対応期限超過",IF(AND(P498&lt;&gt;"",P498&lt;TODAY()),"開通予定日超過",IF(AND(S498&lt;&gt;"",S498=TODAY()),"本日対応",IF(AND(P498&lt;&gt;"",P498-TODAY()&lt;=3),"開通間近","")))))))</f>
        <v/>
      </c>
      <c r="W498" s="16"/>
      <c r="X498" s="16"/>
    </row>
    <row r="499" customFormat="false" ht="15" hidden="false" customHeight="false" outlineLevel="0" collapsed="false">
      <c r="A499" s="7" t="str">
        <f aca="false">IF(D499="","",ROW()-3)</f>
        <v/>
      </c>
      <c r="B499" s="16"/>
      <c r="C499" s="12"/>
      <c r="D499" s="16"/>
      <c r="E499" s="16"/>
      <c r="F499" s="17"/>
      <c r="G499" s="16"/>
      <c r="H499" s="16"/>
      <c r="I499" s="12"/>
      <c r="J499" s="16"/>
      <c r="K499" s="16"/>
      <c r="L499" s="16"/>
      <c r="M499" s="16"/>
      <c r="N499" s="16"/>
      <c r="O499" s="12"/>
      <c r="P499" s="12"/>
      <c r="Q499" s="12"/>
      <c r="R499" s="16"/>
      <c r="S499" s="12"/>
      <c r="T499" s="13" t="str">
        <f aca="true">IF(C499="","",IF(Q499&lt;&gt;"",Q499-C499,TODAY()-C499))</f>
        <v/>
      </c>
      <c r="U499" s="14" t="str">
        <f aca="true">IF(OR(P499="",Q499&lt;&gt;"",N499="キャンセル"),"",P499-TODAY())</f>
        <v/>
      </c>
      <c r="V499" s="15" t="str">
        <f aca="true">IF(D499="","",IF(OR(N499="開通済",Q499&lt;&gt;""),"完了",IF(N499="キャンセル","―",IF(AND(S499&lt;&gt;"",S499&lt;TODAY()),"対応期限超過",IF(AND(P499&lt;&gt;"",P499&lt;TODAY()),"開通予定日超過",IF(AND(S499&lt;&gt;"",S499=TODAY()),"本日対応",IF(AND(P499&lt;&gt;"",P499-TODAY()&lt;=3),"開通間近","")))))))</f>
        <v/>
      </c>
      <c r="W499" s="16"/>
      <c r="X499" s="16"/>
    </row>
    <row r="500" customFormat="false" ht="15" hidden="false" customHeight="false" outlineLevel="0" collapsed="false">
      <c r="A500" s="7" t="str">
        <f aca="false">IF(D500="","",ROW()-3)</f>
        <v/>
      </c>
      <c r="B500" s="16"/>
      <c r="C500" s="12"/>
      <c r="D500" s="16"/>
      <c r="E500" s="16"/>
      <c r="F500" s="17"/>
      <c r="G500" s="16"/>
      <c r="H500" s="16"/>
      <c r="I500" s="12"/>
      <c r="J500" s="16"/>
      <c r="K500" s="16"/>
      <c r="L500" s="16"/>
      <c r="M500" s="16"/>
      <c r="N500" s="16"/>
      <c r="O500" s="12"/>
      <c r="P500" s="12"/>
      <c r="Q500" s="12"/>
      <c r="R500" s="16"/>
      <c r="S500" s="12"/>
      <c r="T500" s="13" t="str">
        <f aca="true">IF(C500="","",IF(Q500&lt;&gt;"",Q500-C500,TODAY()-C500))</f>
        <v/>
      </c>
      <c r="U500" s="14" t="str">
        <f aca="true">IF(OR(P500="",Q500&lt;&gt;"",N500="キャンセル"),"",P500-TODAY())</f>
        <v/>
      </c>
      <c r="V500" s="15" t="str">
        <f aca="true">IF(D500="","",IF(OR(N500="開通済",Q500&lt;&gt;""),"完了",IF(N500="キャンセル","―",IF(AND(S500&lt;&gt;"",S500&lt;TODAY()),"対応期限超過",IF(AND(P500&lt;&gt;"",P500&lt;TODAY()),"開通予定日超過",IF(AND(S500&lt;&gt;"",S500=TODAY()),"本日対応",IF(AND(P500&lt;&gt;"",P500-TODAY()&lt;=3),"開通間近","")))))))</f>
        <v/>
      </c>
      <c r="W500" s="16"/>
      <c r="X500" s="16"/>
    </row>
    <row r="501" customFormat="false" ht="15" hidden="false" customHeight="false" outlineLevel="0" collapsed="false">
      <c r="A501" s="7" t="str">
        <f aca="false">IF(D501="","",ROW()-3)</f>
        <v/>
      </c>
      <c r="B501" s="16"/>
      <c r="C501" s="12"/>
      <c r="D501" s="16"/>
      <c r="E501" s="16"/>
      <c r="F501" s="17"/>
      <c r="G501" s="16"/>
      <c r="H501" s="16"/>
      <c r="I501" s="12"/>
      <c r="J501" s="16"/>
      <c r="K501" s="16"/>
      <c r="L501" s="16"/>
      <c r="M501" s="16"/>
      <c r="N501" s="16"/>
      <c r="O501" s="12"/>
      <c r="P501" s="12"/>
      <c r="Q501" s="12"/>
      <c r="R501" s="16"/>
      <c r="S501" s="12"/>
      <c r="T501" s="13" t="str">
        <f aca="true">IF(C501="","",IF(Q501&lt;&gt;"",Q501-C501,TODAY()-C501))</f>
        <v/>
      </c>
      <c r="U501" s="14" t="str">
        <f aca="true">IF(OR(P501="",Q501&lt;&gt;"",N501="キャンセル"),"",P501-TODAY())</f>
        <v/>
      </c>
      <c r="V501" s="15" t="str">
        <f aca="true">IF(D501="","",IF(OR(N501="開通済",Q501&lt;&gt;""),"完了",IF(N501="キャンセル","―",IF(AND(S501&lt;&gt;"",S501&lt;TODAY()),"対応期限超過",IF(AND(P501&lt;&gt;"",P501&lt;TODAY()),"開通予定日超過",IF(AND(S501&lt;&gt;"",S501=TODAY()),"本日対応",IF(AND(P501&lt;&gt;"",P501-TODAY()&lt;=3),"開通間近","")))))))</f>
        <v/>
      </c>
      <c r="W501" s="16"/>
      <c r="X501" s="16"/>
    </row>
    <row r="502" customFormat="false" ht="15" hidden="false" customHeight="false" outlineLevel="0" collapsed="false">
      <c r="A502" s="7" t="str">
        <f aca="false">IF(D502="","",ROW()-3)</f>
        <v/>
      </c>
      <c r="B502" s="16"/>
      <c r="C502" s="12"/>
      <c r="D502" s="16"/>
      <c r="E502" s="16"/>
      <c r="F502" s="17"/>
      <c r="G502" s="16"/>
      <c r="H502" s="16"/>
      <c r="I502" s="12"/>
      <c r="J502" s="16"/>
      <c r="K502" s="16"/>
      <c r="L502" s="16"/>
      <c r="M502" s="16"/>
      <c r="N502" s="16"/>
      <c r="O502" s="12"/>
      <c r="P502" s="12"/>
      <c r="Q502" s="12"/>
      <c r="R502" s="16"/>
      <c r="S502" s="12"/>
      <c r="T502" s="13" t="str">
        <f aca="true">IF(C502="","",IF(Q502&lt;&gt;"",Q502-C502,TODAY()-C502))</f>
        <v/>
      </c>
      <c r="U502" s="14" t="str">
        <f aca="true">IF(OR(P502="",Q502&lt;&gt;"",N502="キャンセル"),"",P502-TODAY())</f>
        <v/>
      </c>
      <c r="V502" s="15" t="str">
        <f aca="true">IF(D502="","",IF(OR(N502="開通済",Q502&lt;&gt;""),"完了",IF(N502="キャンセル","―",IF(AND(S502&lt;&gt;"",S502&lt;TODAY()),"対応期限超過",IF(AND(P502&lt;&gt;"",P502&lt;TODAY()),"開通予定日超過",IF(AND(S502&lt;&gt;"",S502=TODAY()),"本日対応",IF(AND(P502&lt;&gt;"",P502-TODAY()&lt;=3),"開通間近","")))))))</f>
        <v/>
      </c>
      <c r="W502" s="16"/>
      <c r="X502" s="16"/>
    </row>
    <row r="503" customFormat="false" ht="15" hidden="false" customHeight="false" outlineLevel="0" collapsed="false">
      <c r="A503" s="7" t="str">
        <f aca="false">IF(D503="","",ROW()-3)</f>
        <v/>
      </c>
      <c r="B503" s="16"/>
      <c r="C503" s="12"/>
      <c r="D503" s="16"/>
      <c r="E503" s="16"/>
      <c r="F503" s="17"/>
      <c r="G503" s="16"/>
      <c r="H503" s="16"/>
      <c r="I503" s="12"/>
      <c r="J503" s="16"/>
      <c r="K503" s="16"/>
      <c r="L503" s="16"/>
      <c r="M503" s="16"/>
      <c r="N503" s="16"/>
      <c r="O503" s="12"/>
      <c r="P503" s="12"/>
      <c r="Q503" s="12"/>
      <c r="R503" s="16"/>
      <c r="S503" s="12"/>
      <c r="T503" s="13" t="str">
        <f aca="true">IF(C503="","",IF(Q503&lt;&gt;"",Q503-C503,TODAY()-C503))</f>
        <v/>
      </c>
      <c r="U503" s="14" t="str">
        <f aca="true">IF(OR(P503="",Q503&lt;&gt;"",N503="キャンセル"),"",P503-TODAY())</f>
        <v/>
      </c>
      <c r="V503" s="15" t="str">
        <f aca="true">IF(D503="","",IF(OR(N503="開通済",Q503&lt;&gt;""),"完了",IF(N503="キャンセル","―",IF(AND(S503&lt;&gt;"",S503&lt;TODAY()),"対応期限超過",IF(AND(P503&lt;&gt;"",P503&lt;TODAY()),"開通予定日超過",IF(AND(S503&lt;&gt;"",S503=TODAY()),"本日対応",IF(AND(P503&lt;&gt;"",P503-TODAY()&lt;=3),"開通間近","")))))))</f>
        <v/>
      </c>
      <c r="W503" s="16"/>
      <c r="X503" s="16"/>
    </row>
  </sheetData>
  <autoFilter ref="A3:X503"/>
  <conditionalFormatting sqref="A4:X503">
    <cfRule type="expression" priority="2" aboveAverage="0" equalAverage="0" bottom="0" percent="0" rank="0" text="" dxfId="8">
      <formula>$N4="開通済"</formula>
    </cfRule>
    <cfRule type="expression" priority="3" aboveAverage="0" equalAverage="0" bottom="0" percent="0" rank="0" text="" dxfId="9">
      <formula>$N4="キャンセル"</formula>
    </cfRule>
  </conditionalFormatting>
  <conditionalFormatting sqref="V4:V503">
    <cfRule type="expression" priority="4" aboveAverage="0" equalAverage="0" bottom="0" percent="0" rank="0" text="" dxfId="10">
      <formula>V4="対応期限超過"</formula>
    </cfRule>
    <cfRule type="expression" priority="5" aboveAverage="0" equalAverage="0" bottom="0" percent="0" rank="0" text="" dxfId="11">
      <formula>V4="開通予定日超過"</formula>
    </cfRule>
    <cfRule type="expression" priority="6" aboveAverage="0" equalAverage="0" bottom="0" percent="0" rank="0" text="" dxfId="12">
      <formula>V4="本日対応"</formula>
    </cfRule>
    <cfRule type="expression" priority="7" aboveAverage="0" equalAverage="0" bottom="0" percent="0" rank="0" text="" dxfId="13">
      <formula>V4="開通間近"</formula>
    </cfRule>
    <cfRule type="expression" priority="8" aboveAverage="0" equalAverage="0" bottom="0" percent="0" rank="0" text="" dxfId="14">
      <formula>V4="完了"</formula>
    </cfRule>
  </conditionalFormatting>
  <conditionalFormatting sqref="N4:N503">
    <cfRule type="expression" priority="9" aboveAverage="0" equalAverage="0" bottom="0" percent="0" rank="0" text="" dxfId="15">
      <formula>N4="受付"</formula>
    </cfRule>
    <cfRule type="expression" priority="10" aboveAverage="0" equalAverage="0" bottom="0" percent="0" rank="0" text="" dxfId="16">
      <formula>N4="書類待ち"</formula>
    </cfRule>
    <cfRule type="expression" priority="11" aboveAverage="0" equalAverage="0" bottom="0" percent="0" rank="0" text="" dxfId="17">
      <formula>N4="申込済"</formula>
    </cfRule>
    <cfRule type="expression" priority="12" aboveAverage="0" equalAverage="0" bottom="0" percent="0" rank="0" text="" dxfId="18">
      <formula>N4="審査中"</formula>
    </cfRule>
    <cfRule type="expression" priority="13" aboveAverage="0" equalAverage="0" bottom="0" percent="0" rank="0" text="" dxfId="19">
      <formula>N4="工事日調整中"</formula>
    </cfRule>
    <cfRule type="expression" priority="14" aboveAverage="0" equalAverage="0" bottom="0" percent="0" rank="0" text="" dxfId="20">
      <formula>N4="工事・切替日確定"</formula>
    </cfRule>
    <cfRule type="expression" priority="15" aboveAverage="0" equalAverage="0" bottom="0" percent="0" rank="0" text="" dxfId="21">
      <formula>N4="保留"</formula>
    </cfRule>
  </conditionalFormatting>
  <dataValidations count="6">
    <dataValidation allowBlank="true" errorStyle="stop" operator="between" showDropDown="false" showErrorMessage="false" showInputMessage="false" sqref="N4:N503" type="list">
      <formula1>マスタ!$A$2:$A$30</formula1>
      <formula2>0</formula2>
    </dataValidation>
    <dataValidation allowBlank="true" errorStyle="stop" operator="between" showDropDown="false" showErrorMessage="false" showInputMessage="false" sqref="J4:J503" type="list">
      <formula1>マスタ!$B$2:$B$30</formula1>
      <formula2>0</formula2>
    </dataValidation>
    <dataValidation allowBlank="true" errorStyle="stop" operator="between" showDropDown="false" showErrorMessage="false" showInputMessage="false" sqref="M4:M503" type="list">
      <formula1>マスタ!$C$2:$C$30</formula1>
      <formula2>0</formula2>
    </dataValidation>
    <dataValidation allowBlank="true" errorStyle="stop" operator="between" showDropDown="false" showErrorMessage="false" showInputMessage="false" sqref="L4:L503" type="list">
      <formula1>マスタ!$D$2:$D$30</formula1>
      <formula2>0</formula2>
    </dataValidation>
    <dataValidation allowBlank="true" errorStyle="stop" operator="between" showDropDown="false" showErrorMessage="false" showInputMessage="false" sqref="W4:W503" type="list">
      <formula1>マスタ!$E$2:$E$30</formula1>
      <formula2>0</formula2>
    </dataValidation>
    <dataValidation allowBlank="true" error="日付を入力してください（例：2026/11/01）" errorStyle="stop" errorTitle="入力エラー" operator="greaterThan" showDropDown="false" showErrorMessage="false" showInputMessage="false" sqref="C4:C503 I4:I503 O4:Q503 S4:S503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4"/>
  </cols>
  <sheetData>
    <row r="1" customFormat="false" ht="19.7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7.15" hidden="false" customHeight="false" outlineLevel="0" collapsed="false">
      <c r="A4" s="18" t="s">
        <v>43</v>
      </c>
      <c r="B4" s="19" t="n">
        <f aca="false">COUNTIF(顧客管理!$D$4:$D$503,"?*")</f>
        <v>1</v>
      </c>
    </row>
    <row r="5" customFormat="false" ht="17.15" hidden="false" customHeight="false" outlineLevel="0" collapsed="false">
      <c r="A5" s="18" t="s">
        <v>44</v>
      </c>
      <c r="B5" s="19" t="n">
        <f aca="false">B4-COUNTIF(顧客管理!$N$4:$N$503,"開通済")-COUNTIF(顧客管理!$N$4:$N$503,"キャンセル")</f>
        <v>1</v>
      </c>
    </row>
    <row r="6" customFormat="false" ht="17.15" hidden="false" customHeight="false" outlineLevel="0" collapsed="false">
      <c r="A6" s="18" t="s">
        <v>45</v>
      </c>
      <c r="B6" s="19" t="n">
        <f aca="false">COUNTIF(顧客管理!$N$4:$N$503,"開通済")</f>
        <v>0</v>
      </c>
    </row>
    <row r="7" customFormat="false" ht="17.15" hidden="false" customHeight="false" outlineLevel="0" collapsed="false">
      <c r="A7" s="18" t="s">
        <v>46</v>
      </c>
      <c r="B7" s="19" t="n">
        <f aca="false">COUNTIF(顧客管理!$V$4:$V$503,"対応期限超過")</f>
        <v>0</v>
      </c>
    </row>
    <row r="8" customFormat="false" ht="17.15" hidden="false" customHeight="false" outlineLevel="0" collapsed="false">
      <c r="A8" s="18" t="s">
        <v>47</v>
      </c>
      <c r="B8" s="19" t="n">
        <f aca="false">COUNTIF(顧客管理!$V$4:$V$503,"開通予定日超過")</f>
        <v>0</v>
      </c>
    </row>
    <row r="9" customFormat="false" ht="17.15" hidden="false" customHeight="false" outlineLevel="0" collapsed="false">
      <c r="A9" s="18" t="s">
        <v>48</v>
      </c>
      <c r="B9" s="19" t="n">
        <f aca="false">COUNTIF(顧客管理!$V$4:$V$503,"本日対応")</f>
        <v>0</v>
      </c>
    </row>
    <row r="10" customFormat="false" ht="17.15" hidden="false" customHeight="false" outlineLevel="0" collapsed="false">
      <c r="A10" s="18" t="s">
        <v>49</v>
      </c>
      <c r="B10" s="19" t="n">
        <f aca="true">COUNTIFS(顧客管理!$Q$4:$Q$503,"&gt;="&amp;DATE(YEAR(TODAY()),MONTH(TODAY()),1),顧客管理!$Q$4:$Q$503,"&lt;"&amp;DATE(YEAR(TODAY()),MONTH(TODAY())+1,1))</f>
        <v>0</v>
      </c>
    </row>
    <row r="11" customFormat="false" ht="15" hidden="false" customHeight="false" outlineLevel="0" collapsed="false">
      <c r="A11" s="18" t="s">
        <v>50</v>
      </c>
      <c r="B11" s="20" t="str">
        <f aca="false">IFERROR(SUMPRODUCT((顧客管理!$Q$4:$Q$503&lt;&gt;"")*(顧客管理!$C$4:$C$503&lt;&gt;"")*(顧客管理!$Q$4:$Q$503-顧客管理!$C$4:$C$503))/SUMPRODUCT((顧客管理!$Q$4:$Q$503&lt;&gt;"")*(顧客管理!$C$4:$C$503&lt;&gt;"")),"-")</f>
        <v>-</v>
      </c>
    </row>
    <row r="13" customFormat="false" ht="17.15" hidden="false" customHeight="false" outlineLevel="0" collapsed="false">
      <c r="A13" s="21" t="s">
        <v>51</v>
      </c>
    </row>
    <row r="14" customFormat="false" ht="30" hidden="false" customHeight="true" outlineLevel="0" collapsed="false">
      <c r="A14" s="22" t="s">
        <v>52</v>
      </c>
      <c r="B14" s="22" t="str">
        <f aca="false">マスタ!B2</f>
        <v>電気</v>
      </c>
      <c r="C14" s="22" t="str">
        <f aca="false">マスタ!B3</f>
        <v>Wi-Fi（光回線）</v>
      </c>
      <c r="D14" s="22" t="str">
        <f aca="false">マスタ!B4</f>
        <v>Wi-Fi（ホームルーター）</v>
      </c>
      <c r="E14" s="22" t="str">
        <f aca="false">マスタ!B5</f>
        <v>ガス</v>
      </c>
      <c r="F14" s="22" t="str">
        <f aca="false">マスタ!B6</f>
        <v>水道</v>
      </c>
      <c r="G14" s="22" t="str">
        <f aca="false">マスタ!B7</f>
        <v>その他</v>
      </c>
      <c r="H14" s="22" t="s">
        <v>53</v>
      </c>
    </row>
    <row r="15" customFormat="false" ht="15" hidden="false" customHeight="false" outlineLevel="0" collapsed="false">
      <c r="A15" s="23" t="str">
        <f aca="false">マスタ!A2</f>
        <v>受付</v>
      </c>
      <c r="B15" s="24" t="n">
        <f aca="false">IF(OR($A15="",B$14=""),"",COUNTIFS(顧客管理!$N$4:$N$503,$A15,顧客管理!$J$4:$J$503,B$14))</f>
        <v>0</v>
      </c>
      <c r="C15" s="24" t="n">
        <f aca="false">IF(OR($A15="",C$14=""),"",COUNTIFS(顧客管理!$N$4:$N$503,$A15,顧客管理!$J$4:$J$503,C$14))</f>
        <v>0</v>
      </c>
      <c r="D15" s="24" t="n">
        <f aca="false">IF(OR($A15="",D$14=""),"",COUNTIFS(顧客管理!$N$4:$N$503,$A15,顧客管理!$J$4:$J$503,D$14))</f>
        <v>0</v>
      </c>
      <c r="E15" s="24" t="n">
        <f aca="false">IF(OR($A15="",E$14=""),"",COUNTIFS(顧客管理!$N$4:$N$503,$A15,顧客管理!$J$4:$J$503,E$14))</f>
        <v>0</v>
      </c>
      <c r="F15" s="24" t="n">
        <f aca="false">IF(OR($A15="",F$14=""),"",COUNTIFS(顧客管理!$N$4:$N$503,$A15,顧客管理!$J$4:$J$503,F$14))</f>
        <v>0</v>
      </c>
      <c r="G15" s="24" t="n">
        <f aca="false">IF(OR($A15="",G$14=""),"",COUNTIFS(顧客管理!$N$4:$N$503,$A15,顧客管理!$J$4:$J$503,G$14))</f>
        <v>0</v>
      </c>
      <c r="H15" s="25" t="n">
        <f aca="false">SUM(B15:G15)</f>
        <v>0</v>
      </c>
    </row>
    <row r="16" customFormat="false" ht="15" hidden="false" customHeight="false" outlineLevel="0" collapsed="false">
      <c r="A16" s="23" t="str">
        <f aca="false">マスタ!A3</f>
        <v>書類待ち</v>
      </c>
      <c r="B16" s="24" t="n">
        <f aca="false">IF(OR($A16="",B$14=""),"",COUNTIFS(顧客管理!$N$4:$N$503,$A16,顧客管理!$J$4:$J$503,B$14))</f>
        <v>0</v>
      </c>
      <c r="C16" s="24" t="n">
        <f aca="false">IF(OR($A16="",C$14=""),"",COUNTIFS(顧客管理!$N$4:$N$503,$A16,顧客管理!$J$4:$J$503,C$14))</f>
        <v>0</v>
      </c>
      <c r="D16" s="24" t="n">
        <f aca="false">IF(OR($A16="",D$14=""),"",COUNTIFS(顧客管理!$N$4:$N$503,$A16,顧客管理!$J$4:$J$503,D$14))</f>
        <v>0</v>
      </c>
      <c r="E16" s="24" t="n">
        <f aca="false">IF(OR($A16="",E$14=""),"",COUNTIFS(顧客管理!$N$4:$N$503,$A16,顧客管理!$J$4:$J$503,E$14))</f>
        <v>0</v>
      </c>
      <c r="F16" s="24" t="n">
        <f aca="false">IF(OR($A16="",F$14=""),"",COUNTIFS(顧客管理!$N$4:$N$503,$A16,顧客管理!$J$4:$J$503,F$14))</f>
        <v>0</v>
      </c>
      <c r="G16" s="24" t="n">
        <f aca="false">IF(OR($A16="",G$14=""),"",COUNTIFS(顧客管理!$N$4:$N$503,$A16,顧客管理!$J$4:$J$503,G$14))</f>
        <v>0</v>
      </c>
      <c r="H16" s="25" t="n">
        <f aca="false">SUM(B16:G16)</f>
        <v>0</v>
      </c>
    </row>
    <row r="17" customFormat="false" ht="15" hidden="false" customHeight="false" outlineLevel="0" collapsed="false">
      <c r="A17" s="23" t="str">
        <f aca="false">マスタ!A4</f>
        <v>申込済</v>
      </c>
      <c r="B17" s="24" t="n">
        <f aca="false">IF(OR($A17="",B$14=""),"",COUNTIFS(顧客管理!$N$4:$N$503,$A17,顧客管理!$J$4:$J$503,B$14))</f>
        <v>0</v>
      </c>
      <c r="C17" s="24" t="n">
        <f aca="false">IF(OR($A17="",C$14=""),"",COUNTIFS(顧客管理!$N$4:$N$503,$A17,顧客管理!$J$4:$J$503,C$14))</f>
        <v>0</v>
      </c>
      <c r="D17" s="24" t="n">
        <f aca="false">IF(OR($A17="",D$14=""),"",COUNTIFS(顧客管理!$N$4:$N$503,$A17,顧客管理!$J$4:$J$503,D$14))</f>
        <v>0</v>
      </c>
      <c r="E17" s="24" t="n">
        <f aca="false">IF(OR($A17="",E$14=""),"",COUNTIFS(顧客管理!$N$4:$N$503,$A17,顧客管理!$J$4:$J$503,E$14))</f>
        <v>0</v>
      </c>
      <c r="F17" s="24" t="n">
        <f aca="false">IF(OR($A17="",F$14=""),"",COUNTIFS(顧客管理!$N$4:$N$503,$A17,顧客管理!$J$4:$J$503,F$14))</f>
        <v>0</v>
      </c>
      <c r="G17" s="24" t="n">
        <f aca="false">IF(OR($A17="",G$14=""),"",COUNTIFS(顧客管理!$N$4:$N$503,$A17,顧客管理!$J$4:$J$503,G$14))</f>
        <v>0</v>
      </c>
      <c r="H17" s="25" t="n">
        <f aca="false">SUM(B17:G17)</f>
        <v>0</v>
      </c>
    </row>
    <row r="18" customFormat="false" ht="15" hidden="false" customHeight="false" outlineLevel="0" collapsed="false">
      <c r="A18" s="23" t="str">
        <f aca="false">マスタ!A5</f>
        <v>審査中</v>
      </c>
      <c r="B18" s="24" t="n">
        <f aca="false">IF(OR($A18="",B$14=""),"",COUNTIFS(顧客管理!$N$4:$N$503,$A18,顧客管理!$J$4:$J$503,B$14))</f>
        <v>0</v>
      </c>
      <c r="C18" s="24" t="n">
        <f aca="false">IF(OR($A18="",C$14=""),"",COUNTIFS(顧客管理!$N$4:$N$503,$A18,顧客管理!$J$4:$J$503,C$14))</f>
        <v>0</v>
      </c>
      <c r="D18" s="24" t="n">
        <f aca="false">IF(OR($A18="",D$14=""),"",COUNTIFS(顧客管理!$N$4:$N$503,$A18,顧客管理!$J$4:$J$503,D$14))</f>
        <v>0</v>
      </c>
      <c r="E18" s="24" t="n">
        <f aca="false">IF(OR($A18="",E$14=""),"",COUNTIFS(顧客管理!$N$4:$N$503,$A18,顧客管理!$J$4:$J$503,E$14))</f>
        <v>0</v>
      </c>
      <c r="F18" s="24" t="n">
        <f aca="false">IF(OR($A18="",F$14=""),"",COUNTIFS(顧客管理!$N$4:$N$503,$A18,顧客管理!$J$4:$J$503,F$14))</f>
        <v>0</v>
      </c>
      <c r="G18" s="24" t="n">
        <f aca="false">IF(OR($A18="",G$14=""),"",COUNTIFS(顧客管理!$N$4:$N$503,$A18,顧客管理!$J$4:$J$503,G$14))</f>
        <v>0</v>
      </c>
      <c r="H18" s="25" t="n">
        <f aca="false">SUM(B18:G18)</f>
        <v>0</v>
      </c>
    </row>
    <row r="19" customFormat="false" ht="15" hidden="false" customHeight="false" outlineLevel="0" collapsed="false">
      <c r="A19" s="23" t="str">
        <f aca="false">マスタ!A6</f>
        <v>工事日調整中</v>
      </c>
      <c r="B19" s="24" t="n">
        <f aca="false">IF(OR($A19="",B$14=""),"",COUNTIFS(顧客管理!$N$4:$N$503,$A19,顧客管理!$J$4:$J$503,B$14))</f>
        <v>0</v>
      </c>
      <c r="C19" s="24" t="n">
        <f aca="false">IF(OR($A19="",C$14=""),"",COUNTIFS(顧客管理!$N$4:$N$503,$A19,顧客管理!$J$4:$J$503,C$14))</f>
        <v>1</v>
      </c>
      <c r="D19" s="24" t="n">
        <f aca="false">IF(OR($A19="",D$14=""),"",COUNTIFS(顧客管理!$N$4:$N$503,$A19,顧客管理!$J$4:$J$503,D$14))</f>
        <v>0</v>
      </c>
      <c r="E19" s="24" t="n">
        <f aca="false">IF(OR($A19="",E$14=""),"",COUNTIFS(顧客管理!$N$4:$N$503,$A19,顧客管理!$J$4:$J$503,E$14))</f>
        <v>0</v>
      </c>
      <c r="F19" s="24" t="n">
        <f aca="false">IF(OR($A19="",F$14=""),"",COUNTIFS(顧客管理!$N$4:$N$503,$A19,顧客管理!$J$4:$J$503,F$14))</f>
        <v>0</v>
      </c>
      <c r="G19" s="24" t="n">
        <f aca="false">IF(OR($A19="",G$14=""),"",COUNTIFS(顧客管理!$N$4:$N$503,$A19,顧客管理!$J$4:$J$503,G$14))</f>
        <v>0</v>
      </c>
      <c r="H19" s="25" t="n">
        <f aca="false">SUM(B19:G19)</f>
        <v>1</v>
      </c>
    </row>
    <row r="20" customFormat="false" ht="15" hidden="false" customHeight="false" outlineLevel="0" collapsed="false">
      <c r="A20" s="23" t="str">
        <f aca="false">マスタ!A7</f>
        <v>工事・切替日確定</v>
      </c>
      <c r="B20" s="24" t="n">
        <f aca="false">IF(OR($A20="",B$14=""),"",COUNTIFS(顧客管理!$N$4:$N$503,$A20,顧客管理!$J$4:$J$503,B$14))</f>
        <v>0</v>
      </c>
      <c r="C20" s="24" t="n">
        <f aca="false">IF(OR($A20="",C$14=""),"",COUNTIFS(顧客管理!$N$4:$N$503,$A20,顧客管理!$J$4:$J$503,C$14))</f>
        <v>0</v>
      </c>
      <c r="D20" s="24" t="n">
        <f aca="false">IF(OR($A20="",D$14=""),"",COUNTIFS(顧客管理!$N$4:$N$503,$A20,顧客管理!$J$4:$J$503,D$14))</f>
        <v>0</v>
      </c>
      <c r="E20" s="24" t="n">
        <f aca="false">IF(OR($A20="",E$14=""),"",COUNTIFS(顧客管理!$N$4:$N$503,$A20,顧客管理!$J$4:$J$503,E$14))</f>
        <v>0</v>
      </c>
      <c r="F20" s="24" t="n">
        <f aca="false">IF(OR($A20="",F$14=""),"",COUNTIFS(顧客管理!$N$4:$N$503,$A20,顧客管理!$J$4:$J$503,F$14))</f>
        <v>0</v>
      </c>
      <c r="G20" s="24" t="n">
        <f aca="false">IF(OR($A20="",G$14=""),"",COUNTIFS(顧客管理!$N$4:$N$503,$A20,顧客管理!$J$4:$J$503,G$14))</f>
        <v>0</v>
      </c>
      <c r="H20" s="25" t="n">
        <f aca="false">SUM(B20:G20)</f>
        <v>0</v>
      </c>
    </row>
    <row r="21" customFormat="false" ht="15" hidden="false" customHeight="false" outlineLevel="0" collapsed="false">
      <c r="A21" s="23" t="str">
        <f aca="false">マスタ!A8</f>
        <v>開通済</v>
      </c>
      <c r="B21" s="24" t="n">
        <f aca="false">IF(OR($A21="",B$14=""),"",COUNTIFS(顧客管理!$N$4:$N$503,$A21,顧客管理!$J$4:$J$503,B$14))</f>
        <v>0</v>
      </c>
      <c r="C21" s="24" t="n">
        <f aca="false">IF(OR($A21="",C$14=""),"",COUNTIFS(顧客管理!$N$4:$N$503,$A21,顧客管理!$J$4:$J$503,C$14))</f>
        <v>0</v>
      </c>
      <c r="D21" s="24" t="n">
        <f aca="false">IF(OR($A21="",D$14=""),"",COUNTIFS(顧客管理!$N$4:$N$503,$A21,顧客管理!$J$4:$J$503,D$14))</f>
        <v>0</v>
      </c>
      <c r="E21" s="24" t="n">
        <f aca="false">IF(OR($A21="",E$14=""),"",COUNTIFS(顧客管理!$N$4:$N$503,$A21,顧客管理!$J$4:$J$503,E$14))</f>
        <v>0</v>
      </c>
      <c r="F21" s="24" t="n">
        <f aca="false">IF(OR($A21="",F$14=""),"",COUNTIFS(顧客管理!$N$4:$N$503,$A21,顧客管理!$J$4:$J$503,F$14))</f>
        <v>0</v>
      </c>
      <c r="G21" s="24" t="n">
        <f aca="false">IF(OR($A21="",G$14=""),"",COUNTIFS(顧客管理!$N$4:$N$503,$A21,顧客管理!$J$4:$J$503,G$14))</f>
        <v>0</v>
      </c>
      <c r="H21" s="25" t="n">
        <f aca="false">SUM(B21:G21)</f>
        <v>0</v>
      </c>
    </row>
    <row r="22" customFormat="false" ht="15" hidden="false" customHeight="false" outlineLevel="0" collapsed="false">
      <c r="A22" s="23" t="str">
        <f aca="false">マスタ!A9</f>
        <v>保留</v>
      </c>
      <c r="B22" s="24" t="n">
        <f aca="false">IF(OR($A22="",B$14=""),"",COUNTIFS(顧客管理!$N$4:$N$503,$A22,顧客管理!$J$4:$J$503,B$14))</f>
        <v>0</v>
      </c>
      <c r="C22" s="24" t="n">
        <f aca="false">IF(OR($A22="",C$14=""),"",COUNTIFS(顧客管理!$N$4:$N$503,$A22,顧客管理!$J$4:$J$503,C$14))</f>
        <v>0</v>
      </c>
      <c r="D22" s="24" t="n">
        <f aca="false">IF(OR($A22="",D$14=""),"",COUNTIFS(顧客管理!$N$4:$N$503,$A22,顧客管理!$J$4:$J$503,D$14))</f>
        <v>0</v>
      </c>
      <c r="E22" s="24" t="n">
        <f aca="false">IF(OR($A22="",E$14=""),"",COUNTIFS(顧客管理!$N$4:$N$503,$A22,顧客管理!$J$4:$J$503,E$14))</f>
        <v>0</v>
      </c>
      <c r="F22" s="24" t="n">
        <f aca="false">IF(OR($A22="",F$14=""),"",COUNTIFS(顧客管理!$N$4:$N$503,$A22,顧客管理!$J$4:$J$503,F$14))</f>
        <v>0</v>
      </c>
      <c r="G22" s="24" t="n">
        <f aca="false">IF(OR($A22="",G$14=""),"",COUNTIFS(顧客管理!$N$4:$N$503,$A22,顧客管理!$J$4:$J$503,G$14))</f>
        <v>0</v>
      </c>
      <c r="H22" s="25" t="n">
        <f aca="false">SUM(B22:G22)</f>
        <v>0</v>
      </c>
    </row>
    <row r="23" customFormat="false" ht="15" hidden="false" customHeight="false" outlineLevel="0" collapsed="false">
      <c r="A23" s="23" t="str">
        <f aca="false">マスタ!A10</f>
        <v>キャンセル</v>
      </c>
      <c r="B23" s="24" t="n">
        <f aca="false">IF(OR($A23="",B$14=""),"",COUNTIFS(顧客管理!$N$4:$N$503,$A23,顧客管理!$J$4:$J$503,B$14))</f>
        <v>0</v>
      </c>
      <c r="C23" s="24" t="n">
        <f aca="false">IF(OR($A23="",C$14=""),"",COUNTIFS(顧客管理!$N$4:$N$503,$A23,顧客管理!$J$4:$J$503,C$14))</f>
        <v>0</v>
      </c>
      <c r="D23" s="24" t="n">
        <f aca="false">IF(OR($A23="",D$14=""),"",COUNTIFS(顧客管理!$N$4:$N$503,$A23,顧客管理!$J$4:$J$503,D$14))</f>
        <v>0</v>
      </c>
      <c r="E23" s="24" t="n">
        <f aca="false">IF(OR($A23="",E$14=""),"",COUNTIFS(顧客管理!$N$4:$N$503,$A23,顧客管理!$J$4:$J$503,E$14))</f>
        <v>0</v>
      </c>
      <c r="F23" s="24" t="n">
        <f aca="false">IF(OR($A23="",F$14=""),"",COUNTIFS(顧客管理!$N$4:$N$503,$A23,顧客管理!$J$4:$J$503,F$14))</f>
        <v>0</v>
      </c>
      <c r="G23" s="24" t="n">
        <f aca="false">IF(OR($A23="",G$14=""),"",COUNTIFS(顧客管理!$N$4:$N$503,$A23,顧客管理!$J$4:$J$503,G$14))</f>
        <v>0</v>
      </c>
      <c r="H23" s="25" t="n">
        <f aca="false">SUM(B23:G23)</f>
        <v>0</v>
      </c>
    </row>
    <row r="24" customFormat="false" ht="15" hidden="false" customHeight="false" outlineLevel="0" collapsed="false">
      <c r="A24" s="18" t="s">
        <v>53</v>
      </c>
      <c r="B24" s="26" t="n">
        <f aca="false">SUM(B15:B23)</f>
        <v>0</v>
      </c>
      <c r="C24" s="26" t="n">
        <f aca="false">SUM(C15:C23)</f>
        <v>1</v>
      </c>
      <c r="D24" s="26" t="n">
        <f aca="false">SUM(D15:D23)</f>
        <v>0</v>
      </c>
      <c r="E24" s="26" t="n">
        <f aca="false">SUM(E15:E23)</f>
        <v>0</v>
      </c>
      <c r="F24" s="26" t="n">
        <f aca="false">SUM(F15:F23)</f>
        <v>0</v>
      </c>
      <c r="G24" s="26" t="n">
        <f aca="false">SUM(G15:G23)</f>
        <v>0</v>
      </c>
      <c r="H24" s="26" t="n">
        <f aca="false">SUM(H15:H23)</f>
        <v>1</v>
      </c>
    </row>
    <row r="26" customFormat="false" ht="15" hidden="false" customHeight="false" outlineLevel="0" collapsed="false">
      <c r="A26" s="21" t="s">
        <v>54</v>
      </c>
    </row>
    <row r="27" customFormat="false" ht="15" hidden="false" customHeight="false" outlineLevel="0" collapsed="false">
      <c r="A27" s="27" t="s">
        <v>15</v>
      </c>
      <c r="B27" s="27" t="s">
        <v>55</v>
      </c>
      <c r="C27" s="27" t="s">
        <v>56</v>
      </c>
    </row>
    <row r="28" customFormat="false" ht="15" hidden="false" customHeight="false" outlineLevel="0" collapsed="false">
      <c r="A28" s="24" t="str">
        <f aca="false">マスタ!C2</f>
        <v>山田</v>
      </c>
      <c r="B28" s="24" t="n">
        <f aca="false">IF(A28="","",COUNTIFS(顧客管理!$M$4:$M$503,A28,顧客管理!$N$4:$N$503,"&lt;&gt;開通済",顧客管理!$N$4:$N$503,"&lt;&gt;キャンセル",顧客管理!$D$4:$D$503,"?*"))</f>
        <v>1</v>
      </c>
      <c r="C28" s="24" t="n">
        <f aca="false">IF(A28="","",COUNTIFS(顧客管理!$M$4:$M$503,A28,顧客管理!$V$4:$V$503,"*超過"))</f>
        <v>0</v>
      </c>
    </row>
    <row r="29" customFormat="false" ht="15" hidden="false" customHeight="false" outlineLevel="0" collapsed="false">
      <c r="A29" s="24" t="str">
        <f aca="false">マスタ!C3</f>
        <v>佐藤</v>
      </c>
      <c r="B29" s="24" t="n">
        <f aca="false">IF(A29="","",COUNTIFS(顧客管理!$M$4:$M$503,A29,顧客管理!$N$4:$N$503,"&lt;&gt;開通済",顧客管理!$N$4:$N$503,"&lt;&gt;キャンセル",顧客管理!$D$4:$D$503,"?*"))</f>
        <v>0</v>
      </c>
      <c r="C29" s="24" t="n">
        <f aca="false">IF(A29="","",COUNTIFS(顧客管理!$M$4:$M$503,A29,顧客管理!$V$4:$V$503,"*超過"))</f>
        <v>0</v>
      </c>
    </row>
    <row r="30" customFormat="false" ht="15" hidden="false" customHeight="false" outlineLevel="0" collapsed="false">
      <c r="A30" s="24" t="str">
        <f aca="false">マスタ!C4</f>
        <v>鈴木</v>
      </c>
      <c r="B30" s="24" t="n">
        <f aca="false">IF(A30="","",COUNTIFS(顧客管理!$M$4:$M$503,A30,顧客管理!$N$4:$N$503,"&lt;&gt;開通済",顧客管理!$N$4:$N$503,"&lt;&gt;キャンセル",顧客管理!$D$4:$D$503,"?*"))</f>
        <v>0</v>
      </c>
      <c r="C30" s="24" t="n">
        <f aca="false">IF(A30="","",COUNTIFS(顧客管理!$M$4:$M$503,A30,顧客管理!$V$4:$V$503,"*超過"))</f>
        <v>0</v>
      </c>
    </row>
    <row r="31" customFormat="false" ht="15" hidden="false" customHeight="false" outlineLevel="0" collapsed="false">
      <c r="A31" s="24" t="str">
        <f aca="false">マスタ!C5</f>
        <v>（追加してください）</v>
      </c>
      <c r="B31" s="24" t="n">
        <f aca="false">IF(A31="","",COUNTIFS(顧客管理!$M$4:$M$503,A31,顧客管理!$N$4:$N$503,"&lt;&gt;開通済",顧客管理!$N$4:$N$503,"&lt;&gt;キャンセル",顧客管理!$D$4:$D$503,"?*"))</f>
        <v>0</v>
      </c>
      <c r="C31" s="24" t="n">
        <f aca="false">IF(A31="","",COUNTIFS(顧客管理!$M$4:$M$503,A31,顧客管理!$V$4:$V$503,"*超過"))</f>
        <v>0</v>
      </c>
    </row>
  </sheetData>
  <conditionalFormatting sqref="B7">
    <cfRule type="expression" priority="2" aboveAverage="0" equalAverage="0" bottom="0" percent="0" rank="0" text="" dxfId="22">
      <formula>B7&gt;0</formula>
    </cfRule>
  </conditionalFormatting>
  <conditionalFormatting sqref="B8">
    <cfRule type="expression" priority="3" aboveAverage="0" equalAverage="0" bottom="0" percent="0" rank="0" text="" dxfId="22">
      <formula>B8&gt;0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</cols>
  <sheetData>
    <row r="1" customFormat="false" ht="15" hidden="false" customHeight="false" outlineLevel="0" collapsed="false">
      <c r="A1" s="28" t="s">
        <v>16</v>
      </c>
      <c r="B1" s="28" t="s">
        <v>12</v>
      </c>
      <c r="C1" s="28" t="s">
        <v>15</v>
      </c>
      <c r="D1" s="28" t="s">
        <v>14</v>
      </c>
      <c r="E1" s="28" t="s">
        <v>25</v>
      </c>
    </row>
    <row r="2" customFormat="false" ht="15" hidden="false" customHeight="false" outlineLevel="0" collapsed="false">
      <c r="A2" s="29" t="s">
        <v>57</v>
      </c>
      <c r="B2" s="29" t="s">
        <v>58</v>
      </c>
      <c r="C2" s="29" t="s">
        <v>36</v>
      </c>
      <c r="D2" s="29" t="s">
        <v>35</v>
      </c>
      <c r="E2" s="29" t="s">
        <v>39</v>
      </c>
    </row>
    <row r="3" customFormat="false" ht="15" hidden="false" customHeight="false" outlineLevel="0" collapsed="false">
      <c r="A3" s="29" t="s">
        <v>59</v>
      </c>
      <c r="B3" s="30" t="s">
        <v>60</v>
      </c>
      <c r="C3" s="29" t="s">
        <v>61</v>
      </c>
      <c r="D3" s="30" t="s">
        <v>62</v>
      </c>
      <c r="E3" s="29" t="s">
        <v>63</v>
      </c>
    </row>
    <row r="4" customFormat="false" ht="15" hidden="false" customHeight="false" outlineLevel="0" collapsed="false">
      <c r="A4" s="29" t="s">
        <v>64</v>
      </c>
      <c r="B4" s="30" t="s">
        <v>65</v>
      </c>
      <c r="C4" s="29" t="s">
        <v>66</v>
      </c>
      <c r="D4" s="29" t="s">
        <v>67</v>
      </c>
      <c r="E4" s="29" t="s">
        <v>68</v>
      </c>
    </row>
    <row r="5" customFormat="false" ht="15" hidden="false" customHeight="false" outlineLevel="0" collapsed="false">
      <c r="A5" s="29" t="s">
        <v>69</v>
      </c>
      <c r="B5" s="29" t="s">
        <v>70</v>
      </c>
      <c r="C5" s="29" t="s">
        <v>71</v>
      </c>
      <c r="D5" s="29" t="s">
        <v>72</v>
      </c>
    </row>
    <row r="6" customFormat="false" ht="15" hidden="false" customHeight="false" outlineLevel="0" collapsed="false">
      <c r="A6" s="29" t="s">
        <v>37</v>
      </c>
      <c r="B6" s="29" t="s">
        <v>73</v>
      </c>
      <c r="D6" s="29" t="s">
        <v>74</v>
      </c>
    </row>
    <row r="7" customFormat="false" ht="15" hidden="false" customHeight="false" outlineLevel="0" collapsed="false">
      <c r="A7" s="29" t="s">
        <v>75</v>
      </c>
      <c r="B7" s="29" t="s">
        <v>74</v>
      </c>
    </row>
    <row r="8" customFormat="false" ht="15" hidden="false" customHeight="false" outlineLevel="0" collapsed="false">
      <c r="A8" s="29" t="s">
        <v>45</v>
      </c>
    </row>
    <row r="9" customFormat="false" ht="15" hidden="false" customHeight="false" outlineLevel="0" collapsed="false">
      <c r="A9" s="29" t="s">
        <v>76</v>
      </c>
    </row>
    <row r="10" customFormat="false" ht="15" hidden="false" customHeight="false" outlineLevel="0" collapsed="false">
      <c r="A10" s="29" t="s">
        <v>77</v>
      </c>
    </row>
    <row r="12" customFormat="false" ht="15" hidden="false" customHeight="false" outlineLevel="0" collapsed="false">
      <c r="A12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79</v>
      </c>
    </row>
    <row r="2" customFormat="false" ht="15" hidden="false" customHeight="false" outlineLevel="0" collapsed="false">
      <c r="A2" s="31"/>
    </row>
    <row r="3" customFormat="false" ht="15" hidden="false" customHeight="false" outlineLevel="0" collapsed="false">
      <c r="A3" s="31" t="s">
        <v>80</v>
      </c>
    </row>
    <row r="4" customFormat="false" ht="15" hidden="false" customHeight="false" outlineLevel="0" collapsed="false">
      <c r="A4" s="32" t="s">
        <v>81</v>
      </c>
    </row>
    <row r="5" customFormat="false" ht="15" hidden="false" customHeight="false" outlineLevel="0" collapsed="false">
      <c r="A5" s="32" t="s">
        <v>82</v>
      </c>
    </row>
    <row r="6" customFormat="false" ht="15" hidden="false" customHeight="false" outlineLevel="0" collapsed="false">
      <c r="A6" s="32" t="s">
        <v>83</v>
      </c>
    </row>
    <row r="7" customFormat="false" ht="15" hidden="false" customHeight="false" outlineLevel="0" collapsed="false">
      <c r="A7" s="31" t="s">
        <v>84</v>
      </c>
    </row>
    <row r="8" customFormat="false" ht="15" hidden="false" customHeight="false" outlineLevel="0" collapsed="false">
      <c r="A8" s="32" t="s">
        <v>85</v>
      </c>
    </row>
    <row r="9" customFormat="false" ht="15" hidden="false" customHeight="false" outlineLevel="0" collapsed="false">
      <c r="A9" s="32" t="s">
        <v>86</v>
      </c>
    </row>
    <row r="10" customFormat="false" ht="15" hidden="false" customHeight="false" outlineLevel="0" collapsed="false">
      <c r="A10" s="31" t="s">
        <v>87</v>
      </c>
    </row>
    <row r="11" customFormat="false" ht="15" hidden="false" customHeight="false" outlineLevel="0" collapsed="false">
      <c r="A11" s="31" t="s">
        <v>88</v>
      </c>
    </row>
    <row r="12" customFormat="false" ht="15" hidden="false" customHeight="false" outlineLevel="0" collapsed="false">
      <c r="A12" s="32" t="s">
        <v>89</v>
      </c>
    </row>
    <row r="13" customFormat="false" ht="15" hidden="false" customHeight="false" outlineLevel="0" collapsed="false">
      <c r="A13" s="31" t="s">
        <v>90</v>
      </c>
    </row>
    <row r="14" customFormat="false" ht="15" hidden="false" customHeight="false" outlineLevel="0" collapsed="false">
      <c r="A14" s="31" t="s">
        <v>91</v>
      </c>
    </row>
    <row r="15" customFormat="false" ht="15" hidden="false" customHeight="false" outlineLevel="0" collapsed="false">
      <c r="A15" s="31" t="s">
        <v>92</v>
      </c>
    </row>
    <row r="16" customFormat="false" ht="15" hidden="false" customHeight="false" outlineLevel="0" collapsed="false">
      <c r="A16" s="31"/>
    </row>
    <row r="17" customFormat="false" ht="15" hidden="false" customHeight="false" outlineLevel="0" collapsed="false">
      <c r="A17" s="31" t="s">
        <v>93</v>
      </c>
    </row>
    <row r="18" customFormat="false" ht="15" hidden="false" customHeight="false" outlineLevel="0" collapsed="false">
      <c r="A18" s="3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2026-10-26T06:46:59Z</dcterms:created>
  <dc:creator>openpyxl</dc:creator>
  <dc:description/>
  <dc:language>en-US</dc:language>
  <cp:lastModifiedBy/>
  <dcterms:modified xsi:type="dcterms:W3CDTF">2026-10-26T06:47:00Z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