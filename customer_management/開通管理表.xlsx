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い方" sheetId="1" state="visible" r:id="rId3"/>
    <sheet name="顧客一覧" sheetId="2" state="visible" r:id="rId4"/>
    <sheet name="開通管理" sheetId="3" state="visible" r:id="rId5"/>
    <sheet name="ヒアリング" sheetId="4" state="visible" r:id="rId6"/>
    <sheet name="集計" sheetId="5" state="visible" r:id="rId7"/>
    <sheet name="制作指示" sheetId="6" state="visible" r:id="rId8"/>
    <sheet name="設定" sheetId="7" state="visible" r:id="rId9"/>
    <sheet name="マスタ" sheetId="8" state="visible" r:id="rId10"/>
  </sheets>
  <definedNames>
    <definedName function="false" hidden="true" localSheetId="2" name="_xlnm._FilterDatabase" vbProcedure="false">開通管理!$A$4:$X$604</definedName>
    <definedName function="false" hidden="true" localSheetId="1" name="_xlnm._FilterDatabase" vbProcedure="false">顧客一覧!$A$4:$AM$304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C0001 </t>
        </r>
        <r>
          <rPr>
            <sz val="10"/>
            <rFont val="WenQuanYi Zen Hei"/>
            <family val="2"/>
          </rPr>
          <t xml:space="preserve">のように重複しない</t>
        </r>
        <r>
          <rPr>
            <sz val="10"/>
            <rFont val="Arial"/>
            <family val="2"/>
          </rPr>
          <t xml:space="preserve">ID</t>
        </r>
        <r>
          <rPr>
            <sz val="10"/>
            <rFont val="WenQuanYi Zen Hei"/>
            <family val="2"/>
          </rPr>
          <t xml:space="preserve">を付けてください。開通管理シートと紐づけるキーになります。</t>
        </r>
      </text>
    </comment>
    <comment ref="Q4" authorId="0">
      <text>
        <r>
          <rPr>
            <sz val="10"/>
            <rFont val="WenQuanYi Zen Hei"/>
            <family val="2"/>
          </rPr>
          <t xml:space="preserve">開通管理シートでこの顧客</t>
        </r>
        <r>
          <rPr>
            <sz val="10"/>
            <rFont val="Arial"/>
            <family val="2"/>
          </rPr>
          <t xml:space="preserve">ID</t>
        </r>
        <r>
          <rPr>
            <sz val="10"/>
            <rFont val="WenQuanYi Zen Hei"/>
            <family val="2"/>
          </rPr>
          <t xml:space="preserve">の案件数（キャンセル除く）</t>
        </r>
      </text>
    </comment>
    <comment ref="S4" authorId="0">
      <text>
        <r>
          <rPr>
            <sz val="10"/>
            <rFont val="WenQuanYi Zen Hei"/>
            <family val="2"/>
          </rPr>
          <t xml:space="preserve">全開通＝申込んだ商材がすべて開通済。ここからヒアリング・制作を開始します。</t>
        </r>
      </text>
    </comment>
    <comment ref="T4" authorId="0">
      <text>
        <r>
          <rPr>
            <sz val="10"/>
            <rFont val="WenQuanYi Zen Hei"/>
            <family val="2"/>
          </rPr>
          <t xml:space="preserve">すべて開通した場合の、最後に開通した日</t>
        </r>
      </text>
    </comment>
    <comment ref="U4" authorId="0">
      <text>
        <r>
          <rPr>
            <sz val="10"/>
            <rFont val="WenQuanYi Zen Hei"/>
            <family val="2"/>
          </rPr>
          <t xml:space="preserve">開通管理シートの削減額の合計（キャンセル除く）</t>
        </r>
      </text>
    </comment>
    <comment ref="V4" authorId="0">
      <text>
        <r>
          <rPr>
            <sz val="10"/>
            <rFont val="WenQuanYi Zen Hei"/>
            <family val="2"/>
          </rPr>
          <t xml:space="preserve">公式</t>
        </r>
        <r>
          <rPr>
            <sz val="10"/>
            <rFont val="Arial"/>
            <family val="2"/>
          </rPr>
          <t xml:space="preserve">LINE</t>
        </r>
        <r>
          <rPr>
            <sz val="10"/>
            <rFont val="WenQuanYi Zen Hei"/>
            <family val="2"/>
          </rPr>
          <t xml:space="preserve">を友だち追加してもらった日</t>
        </r>
      </text>
    </comment>
    <comment ref="W4" authorId="0">
      <text>
        <r>
          <rPr>
            <sz val="10"/>
            <rFont val="WenQuanYi Zen Hei"/>
            <family val="2"/>
          </rPr>
          <t xml:space="preserve">この顧客専用の</t>
        </r>
        <r>
          <rPr>
            <sz val="10"/>
            <rFont val="Arial"/>
            <family val="2"/>
          </rPr>
          <t xml:space="preserve">Google</t>
        </r>
        <r>
          <rPr>
            <sz val="10"/>
            <rFont val="WenQuanYi Zen Hei"/>
            <family val="2"/>
          </rPr>
          <t xml:space="preserve">フォーム</t>
        </r>
        <r>
          <rPr>
            <sz val="10"/>
            <rFont val="Arial"/>
            <family val="2"/>
          </rPr>
          <t xml:space="preserve">URL</t>
        </r>
        <r>
          <rPr>
            <sz val="10"/>
            <rFont val="WenQuanYi Zen Hei"/>
            <family val="2"/>
          </rPr>
          <t xml:space="preserve">（顧客</t>
        </r>
        <r>
          <rPr>
            <sz val="10"/>
            <rFont val="Arial"/>
            <family val="2"/>
          </rPr>
          <t xml:space="preserve">ID</t>
        </r>
        <r>
          <rPr>
            <sz val="10"/>
            <rFont val="WenQuanYi Zen Hei"/>
            <family val="2"/>
          </rPr>
          <t xml:space="preserve">が自動入力される）。これを</t>
        </r>
        <r>
          <rPr>
            <sz val="10"/>
            <rFont val="Arial"/>
            <family val="2"/>
          </rPr>
          <t xml:space="preserve">LINE</t>
        </r>
        <r>
          <rPr>
            <sz val="10"/>
            <rFont val="WenQuanYi Zen Hei"/>
            <family val="2"/>
          </rPr>
          <t xml:space="preserve">で送ります。</t>
        </r>
      </text>
    </comment>
    <comment ref="X4" authorId="0">
      <text>
        <r>
          <rPr>
            <sz val="10"/>
            <rFont val="Arial"/>
            <family val="2"/>
          </rPr>
          <t xml:space="preserve">LINE</t>
        </r>
        <r>
          <rPr>
            <sz val="10"/>
            <rFont val="WenQuanYi Zen Hei"/>
            <family val="2"/>
          </rPr>
          <t xml:space="preserve">でフォーム</t>
        </r>
        <r>
          <rPr>
            <sz val="10"/>
            <rFont val="Arial"/>
            <family val="2"/>
          </rPr>
          <t xml:space="preserve">URL</t>
        </r>
        <r>
          <rPr>
            <sz val="10"/>
            <rFont val="WenQuanYi Zen Hei"/>
            <family val="2"/>
          </rPr>
          <t xml:space="preserve">を送った日</t>
        </r>
      </text>
    </comment>
    <comment ref="Y4" authorId="0">
      <text>
        <r>
          <rPr>
            <sz val="10"/>
            <rFont val="Arial"/>
            <family val="2"/>
          </rPr>
          <t xml:space="preserve">Google</t>
        </r>
        <r>
          <rPr>
            <sz val="10"/>
            <rFont val="WenQuanYi Zen Hei"/>
            <family val="2"/>
          </rPr>
          <t xml:space="preserve">フォームに回答があると自動で入ります（手入力も可）</t>
        </r>
      </text>
    </comment>
    <comment ref="Z4" authorId="0">
      <text>
        <r>
          <rPr>
            <sz val="10"/>
            <rFont val="WenQuanYi Zen Hei"/>
            <family val="2"/>
          </rPr>
          <t xml:space="preserve">フォーム回答と画像（</t>
        </r>
        <r>
          <rPr>
            <sz val="10"/>
            <rFont val="Arial"/>
            <family val="2"/>
          </rPr>
          <t xml:space="preserve">LINE</t>
        </r>
        <r>
          <rPr>
            <sz val="10"/>
            <rFont val="WenQuanYi Zen Hei"/>
            <family val="2"/>
          </rPr>
          <t xml:space="preserve">で受領）がそろった日。ここから納品営業日数をカウントします。</t>
        </r>
      </text>
    </comment>
    <comment ref="AA4" authorId="0">
      <text>
        <r>
          <rPr>
            <sz val="10"/>
            <rFont val="WenQuanYi Zen Hei"/>
            <family val="2"/>
          </rPr>
          <t xml:space="preserve">ヒアリング完了日＋設定シートの営業日数（土日祝・休業日を除く）</t>
        </r>
      </text>
    </comment>
    <comment ref="AD4" authorId="0">
      <text>
        <r>
          <rPr>
            <sz val="10"/>
            <rFont val="WenQuanYi Zen Hei"/>
            <family val="2"/>
          </rPr>
          <t xml:space="preserve">サブドメインに使う英数字（例：</t>
        </r>
        <r>
          <rPr>
            <sz val="10"/>
            <rFont val="Arial"/>
            <family val="2"/>
          </rPr>
          <t xml:space="preserve">sample-seikotsu</t>
        </r>
        <r>
          <rPr>
            <sz val="10"/>
            <rFont val="WenQuanYi Zen Hei"/>
            <family val="2"/>
          </rPr>
          <t xml:space="preserve">）。制作指示に反映されます。</t>
        </r>
      </text>
    </comment>
    <comment ref="AH4" authorId="0">
      <text>
        <r>
          <rPr>
            <sz val="10"/>
            <rFont val="WenQuanYi Zen Hei"/>
            <family val="2"/>
          </rPr>
          <t xml:space="preserve">最終開通日＋設定シートの月数。この日に解約されていないか確認します。</t>
        </r>
      </text>
    </comment>
    <comment ref="AL4" authorId="0">
      <text>
        <r>
          <rPr>
            <sz val="10"/>
            <rFont val="WenQuanYi Zen Hei"/>
            <family val="2"/>
          </rPr>
          <t xml:space="preserve">自動判定（上ほど優先）：対応期限超過／納品遅延／本日対応／ヒアリング依頼待ち（全開通したのに未依頼）／ヒアリング未回収（フォーム未回答）／素材確認待ち（回答あり・完了日未入力）／納品間近／解約チェック／納品済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WenQuanYi Zen Hei"/>
            <family val="2"/>
          </rPr>
          <t xml:space="preserve">顧客一覧シートの顧客</t>
        </r>
        <r>
          <rPr>
            <sz val="10"/>
            <rFont val="Arial"/>
            <family val="2"/>
          </rPr>
          <t xml:space="preserve">ID</t>
        </r>
        <r>
          <rPr>
            <sz val="10"/>
            <rFont val="WenQuanYi Zen Hei"/>
            <family val="2"/>
          </rPr>
          <t xml:space="preserve">を入力</t>
        </r>
      </text>
    </comment>
    <comment ref="C4" authorId="0">
      <text>
        <r>
          <rPr>
            <sz val="10"/>
            <rFont val="WenQuanYi Zen Hei"/>
            <family val="2"/>
          </rPr>
          <t xml:space="preserve">顧客</t>
        </r>
        <r>
          <rPr>
            <sz val="10"/>
            <rFont val="Arial"/>
            <family val="2"/>
          </rPr>
          <t xml:space="preserve">ID</t>
        </r>
        <r>
          <rPr>
            <sz val="10"/>
            <rFont val="WenQuanYi Zen Hei"/>
            <family val="2"/>
          </rPr>
          <t xml:space="preserve">から自動表示</t>
        </r>
      </text>
    </comment>
    <comment ref="D4" authorId="0">
      <text>
        <r>
          <rPr>
            <sz val="10"/>
            <rFont val="WenQuanYi Zen Hei"/>
            <family val="2"/>
          </rPr>
          <t xml:space="preserve">顧客</t>
        </r>
        <r>
          <rPr>
            <sz val="10"/>
            <rFont val="Arial"/>
            <family val="2"/>
          </rPr>
          <t xml:space="preserve">ID</t>
        </r>
        <r>
          <rPr>
            <sz val="10"/>
            <rFont val="WenQuanYi Zen Hei"/>
            <family val="2"/>
          </rPr>
          <t xml:space="preserve">から自動表示</t>
        </r>
      </text>
    </comment>
    <comment ref="G4" authorId="0">
      <text>
        <r>
          <rPr>
            <sz val="10"/>
            <rFont val="WenQuanYi Zen Hei"/>
            <family val="2"/>
          </rPr>
          <t xml:space="preserve">直近の請求書の金額（税込）</t>
        </r>
      </text>
    </comment>
    <comment ref="I4" authorId="0">
      <text>
        <r>
          <rPr>
            <sz val="10"/>
            <rFont val="WenQuanYi Zen Hei"/>
            <family val="2"/>
          </rPr>
          <t xml:space="preserve">シミュレーション上の金額（税込）</t>
        </r>
      </text>
    </comment>
    <comment ref="J4" authorId="0">
      <text>
        <r>
          <rPr>
            <sz val="10"/>
            <rFont val="WenQuanYi Zen Hei"/>
            <family val="2"/>
          </rPr>
          <t xml:space="preserve">現在の月額－新しい月額（マイナス＝高くなる）</t>
        </r>
      </text>
    </comment>
    <comment ref="M4" authorId="0">
      <text>
        <r>
          <rPr>
            <sz val="10"/>
            <rFont val="WenQuanYi Zen Hei"/>
            <family val="2"/>
          </rPr>
          <t xml:space="preserve">解約金を月間削減額で何ヶ月で取り戻せるか</t>
        </r>
      </text>
    </comment>
    <comment ref="W4" authorId="0">
      <text>
        <r>
          <rPr>
            <sz val="10"/>
            <rFont val="WenQuanYi Zen Hei"/>
            <family val="2"/>
          </rPr>
          <t xml:space="preserve">対応期限超過／開通予定日超過／本日対応／開通間近（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日以内）／完了</t>
        </r>
      </text>
    </comment>
  </commentList>
</comments>
</file>

<file path=xl/sharedStrings.xml><?xml version="1.0" encoding="utf-8"?>
<sst xmlns="http://schemas.openxmlformats.org/spreadsheetml/2006/main" count="406" uniqueCount="302">
  <si>
    <t xml:space="preserve">管理表の使い方</t>
  </si>
  <si>
    <t xml:space="preserve">■ 全体の流れ</t>
  </si>
  <si>
    <r>
      <rPr>
        <sz val="11"/>
        <rFont val="WenQuanYi Zen Hei"/>
        <family val="2"/>
      </rPr>
      <t xml:space="preserve">アポ（無料で動画・</t>
    </r>
    <r>
      <rPr>
        <sz val="11"/>
        <rFont val="Meiryo UI"/>
        <family val="0"/>
        <charset val="1"/>
      </rPr>
      <t xml:space="preserve">LP</t>
    </r>
    <r>
      <rPr>
        <sz val="11"/>
        <rFont val="WenQuanYi Zen Hei"/>
        <family val="2"/>
      </rPr>
      <t xml:space="preserve">・</t>
    </r>
    <r>
      <rPr>
        <sz val="11"/>
        <rFont val="Meiryo UI"/>
        <family val="0"/>
        <charset val="1"/>
      </rPr>
      <t xml:space="preserve">HP</t>
    </r>
    <r>
      <rPr>
        <sz val="11"/>
        <rFont val="WenQuanYi Zen Hei"/>
        <family val="2"/>
      </rPr>
      <t xml:space="preserve">制作のご案内）→ 商談（公共料金の見直し）→ 切り替え申込 → 開通 → 公式</t>
    </r>
    <r>
      <rPr>
        <sz val="11"/>
        <rFont val="Meiryo UI"/>
        <family val="0"/>
        <charset val="1"/>
      </rPr>
      <t xml:space="preserve">LINE</t>
    </r>
    <r>
      <rPr>
        <sz val="11"/>
        <rFont val="WenQuanYi Zen Hei"/>
        <family val="2"/>
      </rPr>
      <t xml:space="preserve">でヒアリング → 制作 → 納品（</t>
    </r>
    <r>
      <rPr>
        <sz val="11"/>
        <rFont val="Meiryo UI"/>
        <family val="0"/>
        <charset val="1"/>
      </rPr>
      <t xml:space="preserve">10</t>
    </r>
    <r>
      <rPr>
        <sz val="11"/>
        <rFont val="WenQuanYi Zen Hei"/>
        <family val="2"/>
      </rPr>
      <t xml:space="preserve">営業日以内）→ 解約チェック</t>
    </r>
  </si>
  <si>
    <t xml:space="preserve">※ 短期解約のリスクを避けるため、制作は「全開通」を確認してからスタートします。</t>
  </si>
  <si>
    <t xml:space="preserve">■ シートの役割</t>
  </si>
  <si>
    <r>
      <rPr>
        <sz val="11"/>
        <rFont val="WenQuanYi Zen Hei"/>
        <family val="2"/>
      </rPr>
      <t xml:space="preserve">顧客一覧 …… 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行＝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顧客。アポ・商談・成果物の制作・納品を管理（メインのシート）</t>
    </r>
  </si>
  <si>
    <r>
      <rPr>
        <sz val="11"/>
        <rFont val="WenQuanYi Zen Hei"/>
        <family val="2"/>
      </rPr>
      <t xml:space="preserve">開通管理 …… 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行＝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商材。電気・</t>
    </r>
    <r>
      <rPr>
        <sz val="11"/>
        <rFont val="Meiryo UI"/>
        <family val="0"/>
        <charset val="1"/>
      </rPr>
      <t xml:space="preserve">Wi-Fi</t>
    </r>
    <r>
      <rPr>
        <sz val="11"/>
        <rFont val="WenQuanYi Zen Hei"/>
        <family val="2"/>
      </rPr>
      <t xml:space="preserve">などの料金比較と、申込〜開通、代理店手数料を管理</t>
    </r>
  </si>
  <si>
    <r>
      <rPr>
        <sz val="11"/>
        <rFont val="WenQuanYi Zen Hei"/>
        <family val="2"/>
      </rPr>
      <t xml:space="preserve">ヒアリング …… 公式</t>
    </r>
    <r>
      <rPr>
        <sz val="11"/>
        <rFont val="Meiryo UI"/>
        <family val="0"/>
        <charset val="1"/>
      </rPr>
      <t xml:space="preserve">LINE</t>
    </r>
    <r>
      <rPr>
        <sz val="11"/>
        <rFont val="WenQuanYi Zen Hei"/>
        <family val="2"/>
      </rPr>
      <t xml:space="preserve">で送るメッセージと、</t>
    </r>
    <r>
      <rPr>
        <sz val="11"/>
        <rFont val="Meiryo UI"/>
        <family val="0"/>
        <charset val="1"/>
      </rPr>
      <t xml:space="preserve">Google</t>
    </r>
    <r>
      <rPr>
        <sz val="11"/>
        <rFont val="WenQuanYi Zen Hei"/>
        <family val="2"/>
      </rPr>
      <t xml:space="preserve">フォームの質問一覧</t>
    </r>
  </si>
  <si>
    <r>
      <rPr>
        <sz val="11"/>
        <rFont val="WenQuanYi Zen Hei"/>
        <family val="2"/>
      </rPr>
      <t xml:space="preserve">制作指示 …… フォーム回答から自動作成される制作用テキスト（</t>
    </r>
    <r>
      <rPr>
        <sz val="11"/>
        <rFont val="Meiryo UI"/>
        <family val="0"/>
        <charset val="1"/>
      </rPr>
      <t xml:space="preserve">Google</t>
    </r>
    <r>
      <rPr>
        <sz val="11"/>
        <rFont val="WenQuanYi Zen Hei"/>
        <family val="2"/>
      </rPr>
      <t xml:space="preserve">スプレッドシートで連携した場合）</t>
    </r>
  </si>
  <si>
    <t xml:space="preserve">集計 …… 件数・遅れ・手数料などを自動集計</t>
  </si>
  <si>
    <r>
      <rPr>
        <sz val="11"/>
        <rFont val="WenQuanYi Zen Hei"/>
        <family val="2"/>
      </rPr>
      <t xml:space="preserve">設定 …… 納品営業日数（</t>
    </r>
    <r>
      <rPr>
        <sz val="11"/>
        <rFont val="Meiryo UI"/>
        <family val="0"/>
        <charset val="1"/>
      </rPr>
      <t xml:space="preserve">10</t>
    </r>
    <r>
      <rPr>
        <sz val="11"/>
        <rFont val="WenQuanYi Zen Hei"/>
        <family val="2"/>
      </rPr>
      <t xml:space="preserve">日）、催促日数、解約チェック月数、祝日・休業日</t>
    </r>
  </si>
  <si>
    <t xml:space="preserve">マスタ …… プルダウンの選択肢（営業担当・商材など）</t>
  </si>
  <si>
    <t xml:space="preserve">■ 手順</t>
  </si>
  <si>
    <r>
      <rPr>
        <sz val="11"/>
        <rFont val="Meiryo UI"/>
        <family val="0"/>
        <charset val="1"/>
      </rPr>
      <t xml:space="preserve">1. </t>
    </r>
    <r>
      <rPr>
        <sz val="11"/>
        <rFont val="WenQuanYi Zen Hei"/>
        <family val="2"/>
      </rPr>
      <t xml:space="preserve">アポが取れたら「顧客一覧」に顧客</t>
    </r>
    <r>
      <rPr>
        <sz val="11"/>
        <rFont val="Meiryo UI"/>
        <family val="0"/>
        <charset val="1"/>
      </rPr>
      <t xml:space="preserve">ID</t>
    </r>
    <r>
      <rPr>
        <sz val="11"/>
        <rFont val="WenQuanYi Zen Hei"/>
        <family val="2"/>
      </rPr>
      <t xml:space="preserve">（</t>
    </r>
    <r>
      <rPr>
        <sz val="11"/>
        <rFont val="Meiryo UI"/>
        <family val="0"/>
        <charset val="1"/>
      </rPr>
      <t xml:space="preserve">C0001</t>
    </r>
    <r>
      <rPr>
        <sz val="11"/>
        <rFont val="WenQuanYi Zen Hei"/>
        <family val="2"/>
      </rPr>
      <t xml:space="preserve">〜）・会社名・アポ日・営業担当を入力。営業ステータス＝アポ確定</t>
    </r>
  </si>
  <si>
    <r>
      <rPr>
        <sz val="11"/>
        <rFont val="Meiryo UI"/>
        <family val="0"/>
        <charset val="1"/>
      </rPr>
      <t xml:space="preserve">2. </t>
    </r>
    <r>
      <rPr>
        <sz val="11"/>
        <rFont val="WenQuanYi Zen Hei"/>
        <family val="2"/>
      </rPr>
      <t xml:space="preserve">商談したら商談日を入力。切り替える商材ごとに「開通管理」へ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行ずつ入力（顧客</t>
    </r>
    <r>
      <rPr>
        <sz val="11"/>
        <rFont val="Meiryo UI"/>
        <family val="0"/>
        <charset val="1"/>
      </rPr>
      <t xml:space="preserve">ID</t>
    </r>
    <r>
      <rPr>
        <sz val="11"/>
        <rFont val="WenQuanYi Zen Hei"/>
        <family val="2"/>
      </rPr>
      <t xml:space="preserve">で紐づき、会社名は自動表示）</t>
    </r>
  </si>
  <si>
    <t xml:space="preserve">   現在の月額・新しい月額を入れると削減額・年間削減額・解約金の回収月数が自動計算 → 商談時の説明にも使えます</t>
  </si>
  <si>
    <r>
      <rPr>
        <sz val="11"/>
        <rFont val="Meiryo UI"/>
        <family val="0"/>
        <charset val="1"/>
      </rPr>
      <t xml:space="preserve">3. </t>
    </r>
    <r>
      <rPr>
        <sz val="11"/>
        <rFont val="WenQuanYi Zen Hei"/>
        <family val="2"/>
      </rPr>
      <t xml:space="preserve">申込〜開通までは「開通管理」の開通ステータスと工事・切替予定日を更新。開通したら開通日を入力</t>
    </r>
  </si>
  <si>
    <r>
      <rPr>
        <sz val="11"/>
        <rFont val="Meiryo UI"/>
        <family val="0"/>
        <charset val="1"/>
      </rPr>
      <t xml:space="preserve">4. </t>
    </r>
    <r>
      <rPr>
        <sz val="11"/>
        <rFont val="WenQuanYi Zen Hei"/>
        <family val="2"/>
      </rPr>
      <t xml:space="preserve">すべての商材が開通すると、顧客一覧の「開通状況」が『全開通』になり、アラートに『ヒアリング依頼待ち』が出ます</t>
    </r>
  </si>
  <si>
    <r>
      <rPr>
        <sz val="11"/>
        <rFont val="Meiryo UI"/>
        <family val="0"/>
        <charset val="1"/>
      </rPr>
      <t xml:space="preserve">5. </t>
    </r>
    <r>
      <rPr>
        <sz val="11"/>
        <rFont val="WenQuanYi Zen Hei"/>
        <family val="2"/>
      </rPr>
      <t xml:space="preserve">「ヒアリング」シートのメッセージに、顧客一覧の「ヒアリングフォーム</t>
    </r>
    <r>
      <rPr>
        <sz val="11"/>
        <rFont val="Meiryo UI"/>
        <family val="0"/>
        <charset val="1"/>
      </rPr>
      <t xml:space="preserve">URL</t>
    </r>
    <r>
      <rPr>
        <sz val="11"/>
        <rFont val="WenQuanYi Zen Hei"/>
        <family val="2"/>
      </rPr>
      <t xml:space="preserve">」を貼って公式</t>
    </r>
    <r>
      <rPr>
        <sz val="11"/>
        <rFont val="Meiryo UI"/>
        <family val="0"/>
        <charset val="1"/>
      </rPr>
      <t xml:space="preserve">LINE</t>
    </r>
    <r>
      <rPr>
        <sz val="11"/>
        <rFont val="WenQuanYi Zen Hei"/>
        <family val="2"/>
      </rPr>
      <t xml:space="preserve">で送り、ヒアリング依頼日を入力</t>
    </r>
  </si>
  <si>
    <t xml:space="preserve">   お客様がフォームに回答すると「フォーム回答日」が自動で入り、「制作指示」シートに制作用テキストができます（未回答のまま設定日数たつと『ヒアリング未回収』）</t>
  </si>
  <si>
    <r>
      <rPr>
        <sz val="11"/>
        <rFont val="Meiryo UI"/>
        <family val="0"/>
        <charset val="1"/>
      </rPr>
      <t xml:space="preserve">6. </t>
    </r>
    <r>
      <rPr>
        <sz val="11"/>
        <rFont val="WenQuanYi Zen Hei"/>
        <family val="2"/>
      </rPr>
      <t xml:space="preserve">画像を</t>
    </r>
    <r>
      <rPr>
        <sz val="11"/>
        <rFont val="Meiryo UI"/>
        <family val="0"/>
        <charset val="1"/>
      </rPr>
      <t xml:space="preserve">LINE</t>
    </r>
    <r>
      <rPr>
        <sz val="11"/>
        <rFont val="WenQuanYi Zen Hei"/>
        <family val="2"/>
      </rPr>
      <t xml:space="preserve">で受け取り、回答と画像がそろったらヒアリング完了日を入力 → 納品予定日（土日祝を除く</t>
    </r>
    <r>
      <rPr>
        <sz val="11"/>
        <rFont val="Meiryo UI"/>
        <family val="0"/>
        <charset val="1"/>
      </rPr>
      <t xml:space="preserve">10</t>
    </r>
    <r>
      <rPr>
        <sz val="11"/>
        <rFont val="WenQuanYi Zen Hei"/>
        <family val="2"/>
      </rPr>
      <t xml:space="preserve">営業日後）が自動で出ます</t>
    </r>
  </si>
  <si>
    <r>
      <rPr>
        <sz val="11"/>
        <rFont val="Meiryo UI"/>
        <family val="0"/>
        <charset val="1"/>
      </rPr>
      <t xml:space="preserve">7. </t>
    </r>
    <r>
      <rPr>
        <sz val="11"/>
        <rFont val="WenQuanYi Zen Hei"/>
        <family val="2"/>
      </rPr>
      <t xml:space="preserve">納品したら納品日・公開</t>
    </r>
    <r>
      <rPr>
        <sz val="11"/>
        <rFont val="Meiryo UI"/>
        <family val="0"/>
        <charset val="1"/>
      </rPr>
      <t xml:space="preserve">URL</t>
    </r>
    <r>
      <rPr>
        <sz val="11"/>
        <rFont val="WenQuanYi Zen Hei"/>
        <family val="2"/>
      </rPr>
      <t xml:space="preserve">（サブドメイン）を入力。開通から</t>
    </r>
    <r>
      <rPr>
        <sz val="11"/>
        <rFont val="Meiryo UI"/>
        <family val="0"/>
        <charset val="1"/>
      </rPr>
      <t xml:space="preserve">6</t>
    </r>
    <r>
      <rPr>
        <sz val="11"/>
        <rFont val="WenQuanYi Zen Hei"/>
        <family val="2"/>
      </rPr>
      <t xml:space="preserve">ヶ月後に『解約チェック』が出るので、確認結果を入力</t>
    </r>
  </si>
  <si>
    <t xml:space="preserve">■ 毎日の使い方</t>
  </si>
  <si>
    <r>
      <rPr>
        <sz val="11"/>
        <rFont val="WenQuanYi Zen Hei"/>
        <family val="2"/>
      </rPr>
      <t xml:space="preserve">顧客一覧・開通管理の「アラート」列のフィルター（▼）で、色の付いたものを上から片付けるだけで</t>
    </r>
    <r>
      <rPr>
        <sz val="11"/>
        <rFont val="Meiryo UI"/>
        <family val="0"/>
        <charset val="1"/>
      </rPr>
      <t xml:space="preserve">OK</t>
    </r>
    <r>
      <rPr>
        <sz val="11"/>
        <rFont val="WenQuanYi Zen Hei"/>
        <family val="2"/>
      </rPr>
      <t xml:space="preserve">です。</t>
    </r>
  </si>
  <si>
    <t xml:space="preserve">赤：対応期限超過／濃い赤：納品遅延・開通予定日超過／オレンジ：本日対応／青：ヒアリング依頼待ち／薄オレンジ：ヒアリング未回収／黄：納品間近・開通間近／紫：解約チェック／緑：完了</t>
  </si>
  <si>
    <t xml:space="preserve">■ セルの色</t>
  </si>
  <si>
    <t xml:space="preserve">黄色＝入力するセル　／　青灰色＝自動計算（入力しない）　／　グレーの斜体＝記入例（使い始める前に削除）</t>
  </si>
  <si>
    <r>
      <rPr>
        <b val="true"/>
        <sz val="12"/>
        <color rgb="FF1F4E78"/>
        <rFont val="Meiryo UI"/>
        <family val="0"/>
        <charset val="1"/>
      </rPr>
      <t xml:space="preserve">■ Google</t>
    </r>
    <r>
      <rPr>
        <b val="true"/>
        <sz val="12"/>
        <color rgb="FF1F4E78"/>
        <rFont val="WenQuanYi Zen Hei"/>
        <family val="2"/>
      </rPr>
      <t xml:space="preserve">フォーム連携の初期設定（最初の</t>
    </r>
    <r>
      <rPr>
        <b val="true"/>
        <sz val="12"/>
        <color rgb="FF1F4E78"/>
        <rFont val="Meiryo UI"/>
        <family val="0"/>
        <charset val="1"/>
      </rPr>
      <t xml:space="preserve">1</t>
    </r>
    <r>
      <rPr>
        <b val="true"/>
        <sz val="12"/>
        <color rgb="FF1F4E78"/>
        <rFont val="WenQuanYi Zen Hei"/>
        <family val="2"/>
      </rPr>
      <t xml:space="preserve">回だけ）</t>
    </r>
  </si>
  <si>
    <r>
      <rPr>
        <sz val="11"/>
        <rFont val="Meiryo UI"/>
        <family val="0"/>
        <charset val="1"/>
      </rPr>
      <t xml:space="preserve">1. </t>
    </r>
    <r>
      <rPr>
        <sz val="11"/>
        <rFont val="WenQuanYi Zen Hei"/>
        <family val="2"/>
      </rPr>
      <t xml:space="preserve">このファイルを</t>
    </r>
    <r>
      <rPr>
        <sz val="11"/>
        <rFont val="Meiryo UI"/>
        <family val="0"/>
        <charset val="1"/>
      </rPr>
      <t xml:space="preserve">Google</t>
    </r>
    <r>
      <rPr>
        <sz val="11"/>
        <rFont val="WenQuanYi Zen Hei"/>
        <family val="2"/>
      </rPr>
      <t xml:space="preserve">ドライブにアップロード → 開く → ファイル →「</t>
    </r>
    <r>
      <rPr>
        <sz val="11"/>
        <rFont val="Meiryo UI"/>
        <family val="0"/>
        <charset val="1"/>
      </rPr>
      <t xml:space="preserve">Google</t>
    </r>
    <r>
      <rPr>
        <sz val="11"/>
        <rFont val="WenQuanYi Zen Hei"/>
        <family val="2"/>
      </rPr>
      <t xml:space="preserve">スプレッドシートとして保存」</t>
    </r>
  </si>
  <si>
    <r>
      <rPr>
        <sz val="11"/>
        <rFont val="Meiryo UI"/>
        <family val="0"/>
        <charset val="1"/>
      </rPr>
      <t xml:space="preserve">2. </t>
    </r>
    <r>
      <rPr>
        <sz val="11"/>
        <rFont val="WenQuanYi Zen Hei"/>
        <family val="2"/>
      </rPr>
      <t xml:space="preserve">保存したスプレッドシートで 拡張機能 → </t>
    </r>
    <r>
      <rPr>
        <sz val="11"/>
        <rFont val="Meiryo UI"/>
        <family val="0"/>
        <charset val="1"/>
      </rPr>
      <t xml:space="preserve">Apps Script </t>
    </r>
    <r>
      <rPr>
        <sz val="11"/>
        <rFont val="WenQuanYi Zen Hei"/>
        <family val="2"/>
      </rPr>
      <t xml:space="preserve">を開き、同梱の『ヒアリングフォーム連携</t>
    </r>
    <r>
      <rPr>
        <sz val="11"/>
        <rFont val="Meiryo UI"/>
        <family val="0"/>
        <charset val="1"/>
      </rPr>
      <t xml:space="preserve">.gs</t>
    </r>
    <r>
      <rPr>
        <sz val="11"/>
        <rFont val="WenQuanYi Zen Hei"/>
        <family val="2"/>
      </rPr>
      <t xml:space="preserve">』の中身を全部貼り付けて保存</t>
    </r>
  </si>
  <si>
    <r>
      <rPr>
        <sz val="11"/>
        <rFont val="Meiryo UI"/>
        <family val="0"/>
        <charset val="1"/>
      </rPr>
      <t xml:space="preserve">3. </t>
    </r>
    <r>
      <rPr>
        <sz val="11"/>
        <rFont val="WenQuanYi Zen Hei"/>
        <family val="2"/>
      </rPr>
      <t xml:space="preserve">スプレッドシートを再読み込み → 上部メニュー「ヒアリング」→「① フォームを作成（初回のみ）」→ 権限を許可</t>
    </r>
  </si>
  <si>
    <r>
      <rPr>
        <sz val="11"/>
        <rFont val="WenQuanYi Zen Hei"/>
        <family val="2"/>
      </rPr>
      <t xml:space="preserve">   → フォームが自動作成され、回答シート「フォーム回答」と自動処理が設定され、顧客ごとのフォーム</t>
    </r>
    <r>
      <rPr>
        <sz val="11"/>
        <rFont val="Meiryo UI"/>
        <family val="0"/>
        <charset val="1"/>
      </rPr>
      <t xml:space="preserve">URL</t>
    </r>
    <r>
      <rPr>
        <sz val="11"/>
        <rFont val="WenQuanYi Zen Hei"/>
        <family val="2"/>
      </rPr>
      <t xml:space="preserve">が顧客一覧に表示されます</t>
    </r>
  </si>
  <si>
    <r>
      <rPr>
        <sz val="11"/>
        <rFont val="Meiryo UI"/>
        <family val="0"/>
        <charset val="1"/>
      </rPr>
      <t xml:space="preserve">4. </t>
    </r>
    <r>
      <rPr>
        <sz val="11"/>
        <rFont val="WenQuanYi Zen Hei"/>
        <family val="2"/>
      </rPr>
      <t xml:space="preserve">スラッグや本番</t>
    </r>
    <r>
      <rPr>
        <sz val="11"/>
        <rFont val="Meiryo UI"/>
        <family val="0"/>
        <charset val="1"/>
      </rPr>
      <t xml:space="preserve">/</t>
    </r>
    <r>
      <rPr>
        <sz val="11"/>
        <rFont val="WenQuanYi Zen Hei"/>
        <family val="2"/>
      </rPr>
      <t xml:space="preserve">デモをあとから変えたときは「ヒアリング」→「制作指示を作り直す」</t>
    </r>
  </si>
  <si>
    <t xml:space="preserve">※ 個人情報を含むため、共有範囲の設定に注意してください。</t>
  </si>
  <si>
    <t xml:space="preserve">顧客一覧（アポ → 商談 → 開通 → ヒアリング → 納品）</t>
  </si>
  <si>
    <r>
      <rPr>
        <sz val="10"/>
        <color rgb="FF7F7F7F"/>
        <rFont val="Meiryo UI"/>
        <family val="0"/>
        <charset val="1"/>
      </rPr>
      <t xml:space="preserve">1</t>
    </r>
    <r>
      <rPr>
        <sz val="10"/>
        <color rgb="FF7F7F7F"/>
        <rFont val="WenQuanYi Zen Hei"/>
        <family val="2"/>
      </rPr>
      <t xml:space="preserve">行＝</t>
    </r>
    <r>
      <rPr>
        <sz val="10"/>
        <color rgb="FF7F7F7F"/>
        <rFont val="Meiryo UI"/>
        <family val="0"/>
        <charset val="1"/>
      </rPr>
      <t xml:space="preserve">1</t>
    </r>
    <r>
      <rPr>
        <sz val="10"/>
        <color rgb="FF7F7F7F"/>
        <rFont val="WenQuanYi Zen Hei"/>
        <family val="2"/>
      </rPr>
      <t xml:space="preserve">顧客。黄色＝入力欄 ／ 青灰色＝自動計算（触らない）。電気・</t>
    </r>
    <r>
      <rPr>
        <sz val="10"/>
        <color rgb="FF7F7F7F"/>
        <rFont val="Meiryo UI"/>
        <family val="0"/>
        <charset val="1"/>
      </rPr>
      <t xml:space="preserve">Wi-Fi</t>
    </r>
    <r>
      <rPr>
        <sz val="10"/>
        <color rgb="FF7F7F7F"/>
        <rFont val="WenQuanYi Zen Hei"/>
        <family val="2"/>
      </rPr>
      <t xml:space="preserve">などの申込内容は「開通管理」シートに顧客</t>
    </r>
    <r>
      <rPr>
        <sz val="10"/>
        <color rgb="FF7F7F7F"/>
        <rFont val="Meiryo UI"/>
        <family val="0"/>
        <charset val="1"/>
      </rPr>
      <t xml:space="preserve">ID</t>
    </r>
    <r>
      <rPr>
        <sz val="10"/>
        <color rgb="FF7F7F7F"/>
        <rFont val="WenQuanYi Zen Hei"/>
        <family val="2"/>
      </rPr>
      <t xml:space="preserve">で入力します。</t>
    </r>
  </si>
  <si>
    <t xml:space="preserve">基本情報</t>
  </si>
  <si>
    <t xml:space="preserve">営業</t>
  </si>
  <si>
    <t xml:space="preserve">開通状況（自動）</t>
  </si>
  <si>
    <t xml:space="preserve">成果物制作（開通後にスタート）</t>
  </si>
  <si>
    <t xml:space="preserve">アフターフォロー</t>
  </si>
  <si>
    <t xml:space="preserve">対応管理</t>
  </si>
  <si>
    <t xml:space="preserve">No</t>
  </si>
  <si>
    <r>
      <rPr>
        <b val="true"/>
        <sz val="10"/>
        <color rgb="FFFFFFFF"/>
        <rFont val="WenQuanYi Zen Hei"/>
        <family val="2"/>
      </rPr>
      <t xml:space="preserve">顧客</t>
    </r>
    <r>
      <rPr>
        <b val="true"/>
        <sz val="10"/>
        <color rgb="FFFFFFFF"/>
        <rFont val="Meiryo UI"/>
        <family val="0"/>
        <charset val="1"/>
      </rPr>
      <t xml:space="preserve">ID</t>
    </r>
  </si>
  <si>
    <t xml:space="preserve">会社名・屋号</t>
  </si>
  <si>
    <t xml:space="preserve">ご担当者名</t>
  </si>
  <si>
    <r>
      <rPr>
        <b val="true"/>
        <sz val="10"/>
        <color rgb="FFFFFFFF"/>
        <rFont val="WenQuanYi Zen Hei"/>
        <family val="2"/>
      </rPr>
      <t xml:space="preserve">法人</t>
    </r>
    <r>
      <rPr>
        <b val="true"/>
        <sz val="10"/>
        <color rgb="FFFFFFFF"/>
        <rFont val="Meiryo UI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個人</t>
    </r>
  </si>
  <si>
    <t xml:space="preserve">電話番号</t>
  </si>
  <si>
    <t xml:space="preserve">メール</t>
  </si>
  <si>
    <t xml:space="preserve">住所</t>
  </si>
  <si>
    <t xml:space="preserve">業種</t>
  </si>
  <si>
    <t xml:space="preserve">獲得経路</t>
  </si>
  <si>
    <t xml:space="preserve">営業担当</t>
  </si>
  <si>
    <t xml:space="preserve">アポ日</t>
  </si>
  <si>
    <t xml:space="preserve">商談日</t>
  </si>
  <si>
    <t xml:space="preserve">営業ステータス</t>
  </si>
  <si>
    <t xml:space="preserve">失注理由</t>
  </si>
  <si>
    <t xml:space="preserve">成果物の種類</t>
  </si>
  <si>
    <t xml:space="preserve">申込件数</t>
  </si>
  <si>
    <t xml:space="preserve">開通済件数</t>
  </si>
  <si>
    <t xml:space="preserve">開通状況</t>
  </si>
  <si>
    <t xml:space="preserve">最終開通日</t>
  </si>
  <si>
    <t xml:space="preserve">月間削減額</t>
  </si>
  <si>
    <r>
      <rPr>
        <b val="true"/>
        <sz val="10"/>
        <color rgb="FFFFFFFF"/>
        <rFont val="Meiryo UI"/>
        <family val="0"/>
        <charset val="1"/>
      </rPr>
      <t xml:space="preserve">LINE</t>
    </r>
    <r>
      <rPr>
        <b val="true"/>
        <sz val="10"/>
        <color rgb="FFFFFFFF"/>
        <rFont val="WenQuanYi Zen Hei"/>
        <family val="2"/>
      </rPr>
      <t xml:space="preserve">登録日</t>
    </r>
  </si>
  <si>
    <r>
      <rPr>
        <b val="true"/>
        <sz val="10"/>
        <color rgb="FFFFFFFF"/>
        <rFont val="WenQuanYi Zen Hei"/>
        <family val="2"/>
      </rPr>
      <t xml:space="preserve">ヒアリングフォーム</t>
    </r>
    <r>
      <rPr>
        <b val="true"/>
        <sz val="10"/>
        <color rgb="FFFFFFFF"/>
        <rFont val="Meiryo UI"/>
        <family val="0"/>
        <charset val="1"/>
      </rPr>
      <t xml:space="preserve">URL</t>
    </r>
  </si>
  <si>
    <t xml:space="preserve">ヒアリング依頼日</t>
  </si>
  <si>
    <t xml:space="preserve">フォーム回答日</t>
  </si>
  <si>
    <t xml:space="preserve">ヒアリング完了日</t>
  </si>
  <si>
    <t xml:space="preserve">納品予定日</t>
  </si>
  <si>
    <t xml:space="preserve">制作ステータス</t>
  </si>
  <si>
    <t xml:space="preserve">制作担当</t>
  </si>
  <si>
    <t xml:space="preserve">スラッグ</t>
  </si>
  <si>
    <r>
      <rPr>
        <b val="true"/>
        <sz val="10"/>
        <color rgb="FFFFFFFF"/>
        <rFont val="WenQuanYi Zen Hei"/>
        <family val="2"/>
      </rPr>
      <t xml:space="preserve">本番</t>
    </r>
    <r>
      <rPr>
        <b val="true"/>
        <sz val="10"/>
        <color rgb="FFFFFFFF"/>
        <rFont val="Meiryo UI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デモ</t>
    </r>
  </si>
  <si>
    <t xml:space="preserve">納品日</t>
  </si>
  <si>
    <r>
      <rPr>
        <b val="true"/>
        <sz val="10"/>
        <color rgb="FFFFFFFF"/>
        <rFont val="WenQuanYi Zen Hei"/>
        <family val="2"/>
      </rPr>
      <t xml:space="preserve">公開</t>
    </r>
    <r>
      <rPr>
        <b val="true"/>
        <sz val="10"/>
        <color rgb="FFFFFFFF"/>
        <rFont val="Meiryo UI"/>
        <family val="0"/>
        <charset val="1"/>
      </rPr>
      <t xml:space="preserve">URL</t>
    </r>
    <r>
      <rPr>
        <b val="true"/>
        <sz val="10"/>
        <color rgb="FFFFFFFF"/>
        <rFont val="WenQuanYi Zen Hei"/>
        <family val="2"/>
      </rPr>
      <t xml:space="preserve">（サブドメイン）</t>
    </r>
  </si>
  <si>
    <t xml:space="preserve">解約チェック日</t>
  </si>
  <si>
    <t xml:space="preserve">解約チェック結果</t>
  </si>
  <si>
    <t xml:space="preserve">次回アクション</t>
  </si>
  <si>
    <t xml:space="preserve">次回対応日</t>
  </si>
  <si>
    <t xml:space="preserve">アラート</t>
  </si>
  <si>
    <t xml:space="preserve">備考</t>
  </si>
  <si>
    <t xml:space="preserve">C0001</t>
  </si>
  <si>
    <t xml:space="preserve">（記入例）〇〇整骨院</t>
  </si>
  <si>
    <t xml:space="preserve">山本 太郎</t>
  </si>
  <si>
    <t xml:space="preserve">個人事業主</t>
  </si>
  <si>
    <t xml:space="preserve">090-1234-5678</t>
  </si>
  <si>
    <t xml:space="preserve">example@example.com</t>
  </si>
  <si>
    <r>
      <rPr>
        <i val="true"/>
        <sz val="10"/>
        <color rgb="FF7F7F7F"/>
        <rFont val="WenQuanYi Zen Hei"/>
        <family val="2"/>
      </rPr>
      <t xml:space="preserve">東京都〇〇区〇〇</t>
    </r>
    <r>
      <rPr>
        <i val="true"/>
        <sz val="10"/>
        <color rgb="FF7F7F7F"/>
        <rFont val="Meiryo UI"/>
        <family val="0"/>
        <charset val="1"/>
      </rPr>
      <t xml:space="preserve">1-2-3</t>
    </r>
  </si>
  <si>
    <t xml:space="preserve">整骨院</t>
  </si>
  <si>
    <t xml:space="preserve">テレアポ</t>
  </si>
  <si>
    <t xml:space="preserve">山田</t>
  </si>
  <si>
    <t xml:space="preserve">成約</t>
  </si>
  <si>
    <t xml:space="preserve">ホームページ</t>
  </si>
  <si>
    <t xml:space="preserve">未着手</t>
  </si>
  <si>
    <t xml:space="preserve">sample-seikotsu</t>
  </si>
  <si>
    <t xml:space="preserve">本番</t>
  </si>
  <si>
    <r>
      <rPr>
        <i val="true"/>
        <sz val="10"/>
        <color rgb="FF7F7F7F"/>
        <rFont val="Meiryo UI"/>
        <family val="0"/>
        <charset val="1"/>
      </rPr>
      <t xml:space="preserve">Wi-Fi</t>
    </r>
    <r>
      <rPr>
        <i val="true"/>
        <sz val="10"/>
        <color rgb="FF7F7F7F"/>
        <rFont val="WenQuanYi Zen Hei"/>
        <family val="2"/>
      </rPr>
      <t xml:space="preserve">工事完了の確認後、</t>
    </r>
    <r>
      <rPr>
        <i val="true"/>
        <sz val="10"/>
        <color rgb="FF7F7F7F"/>
        <rFont val="Meiryo UI"/>
        <family val="0"/>
        <charset val="1"/>
      </rPr>
      <t xml:space="preserve">LINE</t>
    </r>
    <r>
      <rPr>
        <i val="true"/>
        <sz val="10"/>
        <color rgb="FF7F7F7F"/>
        <rFont val="WenQuanYi Zen Hei"/>
        <family val="2"/>
      </rPr>
      <t xml:space="preserve">でヒアリングフォーム</t>
    </r>
    <r>
      <rPr>
        <i val="true"/>
        <sz val="10"/>
        <color rgb="FF7F7F7F"/>
        <rFont val="Meiryo UI"/>
        <family val="0"/>
        <charset val="1"/>
      </rPr>
      <t xml:space="preserve">URL</t>
    </r>
    <r>
      <rPr>
        <i val="true"/>
        <sz val="10"/>
        <color rgb="FF7F7F7F"/>
        <rFont val="WenQuanYi Zen Hei"/>
        <family val="2"/>
      </rPr>
      <t xml:space="preserve">を送付</t>
    </r>
  </si>
  <si>
    <t xml:space="preserve">この行は記入例です。使い始める前に削除してください（開通管理シートの例も）</t>
  </si>
  <si>
    <r>
      <rPr>
        <b val="true"/>
        <sz val="16"/>
        <color rgb="FF1F4E78"/>
        <rFont val="WenQuanYi Zen Hei"/>
        <family val="2"/>
      </rPr>
      <t xml:space="preserve">開通管理（電気・</t>
    </r>
    <r>
      <rPr>
        <b val="true"/>
        <sz val="16"/>
        <color rgb="FF1F4E78"/>
        <rFont val="Meiryo UI"/>
        <family val="0"/>
        <charset val="1"/>
      </rPr>
      <t xml:space="preserve">Wi-Fi</t>
    </r>
    <r>
      <rPr>
        <b val="true"/>
        <sz val="16"/>
        <color rgb="FF1F4E78"/>
        <rFont val="WenQuanYi Zen Hei"/>
        <family val="2"/>
      </rPr>
      <t xml:space="preserve">などの申込〜開通）</t>
    </r>
  </si>
  <si>
    <r>
      <rPr>
        <sz val="10"/>
        <color rgb="FF7F7F7F"/>
        <rFont val="Meiryo UI"/>
        <family val="0"/>
        <charset val="1"/>
      </rPr>
      <t xml:space="preserve">1</t>
    </r>
    <r>
      <rPr>
        <sz val="10"/>
        <color rgb="FF7F7F7F"/>
        <rFont val="WenQuanYi Zen Hei"/>
        <family val="2"/>
      </rPr>
      <t xml:space="preserve">行＝</t>
    </r>
    <r>
      <rPr>
        <sz val="10"/>
        <color rgb="FF7F7F7F"/>
        <rFont val="Meiryo UI"/>
        <family val="0"/>
        <charset val="1"/>
      </rPr>
      <t xml:space="preserve">1</t>
    </r>
    <r>
      <rPr>
        <sz val="10"/>
        <color rgb="FF7F7F7F"/>
        <rFont val="WenQuanYi Zen Hei"/>
        <family val="2"/>
      </rPr>
      <t xml:space="preserve">商材。同じお客様が電気と</t>
    </r>
    <r>
      <rPr>
        <sz val="10"/>
        <color rgb="FF7F7F7F"/>
        <rFont val="Meiryo UI"/>
        <family val="0"/>
        <charset val="1"/>
      </rPr>
      <t xml:space="preserve">Wi-Fi</t>
    </r>
    <r>
      <rPr>
        <sz val="10"/>
        <color rgb="FF7F7F7F"/>
        <rFont val="WenQuanYi Zen Hei"/>
        <family val="2"/>
      </rPr>
      <t xml:space="preserve">を申し込む場合は</t>
    </r>
    <r>
      <rPr>
        <sz val="10"/>
        <color rgb="FF7F7F7F"/>
        <rFont val="Meiryo UI"/>
        <family val="0"/>
        <charset val="1"/>
      </rPr>
      <t xml:space="preserve">2</t>
    </r>
    <r>
      <rPr>
        <sz val="10"/>
        <color rgb="FF7F7F7F"/>
        <rFont val="WenQuanYi Zen Hei"/>
        <family val="2"/>
      </rPr>
      <t xml:space="preserve">行に分け、同じ顧客</t>
    </r>
    <r>
      <rPr>
        <sz val="10"/>
        <color rgb="FF7F7F7F"/>
        <rFont val="Meiryo UI"/>
        <family val="0"/>
        <charset val="1"/>
      </rPr>
      <t xml:space="preserve">ID</t>
    </r>
    <r>
      <rPr>
        <sz val="10"/>
        <color rgb="FF7F7F7F"/>
        <rFont val="WenQuanYi Zen Hei"/>
        <family val="2"/>
      </rPr>
      <t xml:space="preserve">を入力します。</t>
    </r>
  </si>
  <si>
    <t xml:space="preserve">案件</t>
  </si>
  <si>
    <t xml:space="preserve">料金見直し</t>
  </si>
  <si>
    <t xml:space="preserve">開通</t>
  </si>
  <si>
    <t xml:space="preserve">手数料</t>
  </si>
  <si>
    <t xml:space="preserve">商材</t>
  </si>
  <si>
    <t xml:space="preserve">現在の会社・プラン</t>
  </si>
  <si>
    <t xml:space="preserve">現在の月額</t>
  </si>
  <si>
    <t xml:space="preserve">新しい事業者・プラン</t>
  </si>
  <si>
    <t xml:space="preserve">新しい月額</t>
  </si>
  <si>
    <t xml:space="preserve">年間削減額</t>
  </si>
  <si>
    <t xml:space="preserve">現契約の解約金</t>
  </si>
  <si>
    <t xml:space="preserve">解約金回収月数</t>
  </si>
  <si>
    <t xml:space="preserve">申込日</t>
  </si>
  <si>
    <t xml:space="preserve">開通ステータス</t>
  </si>
  <si>
    <t xml:space="preserve">工事・切替予定日</t>
  </si>
  <si>
    <t xml:space="preserve">開通日</t>
  </si>
  <si>
    <t xml:space="preserve">開通予定まで</t>
  </si>
  <si>
    <t xml:space="preserve">代理店手数料</t>
  </si>
  <si>
    <t xml:space="preserve">入金日</t>
  </si>
  <si>
    <t xml:space="preserve">電気</t>
  </si>
  <si>
    <r>
      <rPr>
        <i val="true"/>
        <sz val="10"/>
        <color rgb="FF7F7F7F"/>
        <rFont val="WenQuanYi Zen Hei"/>
        <family val="2"/>
      </rPr>
      <t xml:space="preserve">〇〇電力 従量電灯</t>
    </r>
    <r>
      <rPr>
        <i val="true"/>
        <sz val="10"/>
        <color rgb="FF7F7F7F"/>
        <rFont val="Meiryo UI"/>
        <family val="0"/>
        <charset val="1"/>
      </rPr>
      <t xml:space="preserve">B</t>
    </r>
  </si>
  <si>
    <t xml:space="preserve">△△でんき ビジネスプラン</t>
  </si>
  <si>
    <t xml:space="preserve">開通済</t>
  </si>
  <si>
    <r>
      <rPr>
        <i val="true"/>
        <sz val="10"/>
        <color rgb="FF7F7F7F"/>
        <rFont val="Meiryo UI"/>
        <family val="0"/>
        <charset val="1"/>
      </rPr>
      <t xml:space="preserve">Wi-Fi</t>
    </r>
    <r>
      <rPr>
        <i val="true"/>
        <sz val="10"/>
        <color rgb="FF7F7F7F"/>
        <rFont val="WenQuanYi Zen Hei"/>
        <family val="2"/>
      </rPr>
      <t xml:space="preserve">（光回線）</t>
    </r>
  </si>
  <si>
    <r>
      <rPr>
        <i val="true"/>
        <sz val="10"/>
        <color rgb="FF7F7F7F"/>
        <rFont val="WenQuanYi Zen Hei"/>
        <family val="2"/>
      </rPr>
      <t xml:space="preserve">〇〇光 </t>
    </r>
    <r>
      <rPr>
        <i val="true"/>
        <sz val="10"/>
        <color rgb="FF7F7F7F"/>
        <rFont val="Meiryo UI"/>
        <family val="0"/>
        <charset val="1"/>
      </rPr>
      <t xml:space="preserve">1G</t>
    </r>
  </si>
  <si>
    <r>
      <rPr>
        <i val="true"/>
        <sz val="10"/>
        <color rgb="FF7F7F7F"/>
        <rFont val="WenQuanYi Zen Hei"/>
        <family val="2"/>
      </rPr>
      <t xml:space="preserve">△△光 </t>
    </r>
    <r>
      <rPr>
        <i val="true"/>
        <sz val="10"/>
        <color rgb="FF7F7F7F"/>
        <rFont val="Meiryo UI"/>
        <family val="0"/>
        <charset val="1"/>
      </rPr>
      <t xml:space="preserve">1G</t>
    </r>
  </si>
  <si>
    <t xml:space="preserve">工事・切替日確定</t>
  </si>
  <si>
    <t xml:space="preserve">工事完了をお客様に確認</t>
  </si>
  <si>
    <r>
      <rPr>
        <b val="true"/>
        <sz val="16"/>
        <color rgb="FF1F4E78"/>
        <rFont val="WenQuanYi Zen Hei"/>
        <family val="2"/>
      </rPr>
      <t xml:space="preserve">ヒアリング（公式</t>
    </r>
    <r>
      <rPr>
        <b val="true"/>
        <sz val="16"/>
        <color rgb="FF1F4E78"/>
        <rFont val="Meiryo UI"/>
        <family val="0"/>
        <charset val="1"/>
      </rPr>
      <t xml:space="preserve">LINE</t>
    </r>
    <r>
      <rPr>
        <b val="true"/>
        <sz val="16"/>
        <color rgb="FF1F4E78"/>
        <rFont val="WenQuanYi Zen Hei"/>
        <family val="2"/>
      </rPr>
      <t xml:space="preserve">＋</t>
    </r>
    <r>
      <rPr>
        <b val="true"/>
        <sz val="16"/>
        <color rgb="FF1F4E78"/>
        <rFont val="Meiryo UI"/>
        <family val="0"/>
        <charset val="1"/>
      </rPr>
      <t xml:space="preserve">Google</t>
    </r>
    <r>
      <rPr>
        <b val="true"/>
        <sz val="16"/>
        <color rgb="FF1F4E78"/>
        <rFont val="WenQuanYi Zen Hei"/>
        <family val="2"/>
      </rPr>
      <t xml:space="preserve">フォーム）</t>
    </r>
  </si>
  <si>
    <r>
      <rPr>
        <sz val="10"/>
        <color rgb="FF7F7F7F"/>
        <rFont val="WenQuanYi Zen Hei"/>
        <family val="2"/>
      </rPr>
      <t xml:space="preserve">全開通を確認したら、顧客一覧の「ヒアリングフォーム</t>
    </r>
    <r>
      <rPr>
        <sz val="10"/>
        <color rgb="FF7F7F7F"/>
        <rFont val="Meiryo UI"/>
        <family val="0"/>
        <charset val="1"/>
      </rPr>
      <t xml:space="preserve">URL</t>
    </r>
    <r>
      <rPr>
        <sz val="10"/>
        <color rgb="FF7F7F7F"/>
        <rFont val="WenQuanYi Zen Hei"/>
        <family val="2"/>
      </rPr>
      <t xml:space="preserve">」を下のメッセージに貼って公式</t>
    </r>
    <r>
      <rPr>
        <sz val="10"/>
        <color rgb="FF7F7F7F"/>
        <rFont val="Meiryo UI"/>
        <family val="0"/>
        <charset val="1"/>
      </rPr>
      <t xml:space="preserve">LINE</t>
    </r>
    <r>
      <rPr>
        <sz val="10"/>
        <color rgb="FF7F7F7F"/>
        <rFont val="WenQuanYi Zen Hei"/>
        <family val="2"/>
      </rPr>
      <t xml:space="preserve">で送ります。</t>
    </r>
  </si>
  <si>
    <r>
      <rPr>
        <b val="true"/>
        <sz val="12"/>
        <color rgb="FF1F4E78"/>
        <rFont val="Meiryo UI"/>
        <family val="0"/>
        <charset val="1"/>
      </rPr>
      <t xml:space="preserve">■ LINE</t>
    </r>
    <r>
      <rPr>
        <b val="true"/>
        <sz val="12"/>
        <color rgb="FF1F4E78"/>
        <rFont val="WenQuanYi Zen Hei"/>
        <family val="2"/>
      </rPr>
      <t xml:space="preserve">で送るメッセージ</t>
    </r>
  </si>
  <si>
    <r>
      <rPr>
        <sz val="10"/>
        <rFont val="WenQuanYi Zen Hei"/>
        <family val="2"/>
      </rPr>
      <t xml:space="preserve">【ホームページ無料制作のヒアリングのお願い】
この度は電気・インターネットのお切り替え、ありがとうございました！
開通が確認できましたので、お約束していたホームページの制作に入らせていただきます。
下記のフォームから、お店の情報をご入力ください（</t>
    </r>
    <r>
      <rPr>
        <sz val="10"/>
        <rFont val="Meiryo UI"/>
        <family val="0"/>
        <charset val="1"/>
      </rPr>
      <t xml:space="preserve">5</t>
    </r>
    <r>
      <rPr>
        <sz val="10"/>
        <rFont val="WenQuanYi Zen Hei"/>
        <family val="2"/>
      </rPr>
      <t xml:space="preserve">分ほどで終わります）。
▼ヒアリングフォーム
（ここに顧客一覧の「ヒアリングフォーム</t>
    </r>
    <r>
      <rPr>
        <sz val="10"/>
        <rFont val="Meiryo UI"/>
        <family val="0"/>
        <charset val="1"/>
      </rPr>
      <t xml:space="preserve">URL</t>
    </r>
    <r>
      <rPr>
        <sz val="10"/>
        <rFont val="WenQuanYi Zen Hei"/>
        <family val="2"/>
      </rPr>
      <t xml:space="preserve">」を貼る）
また、ロゴ・お店の外観や店内・メニューなどの写真を、この</t>
    </r>
    <r>
      <rPr>
        <sz val="10"/>
        <rFont val="Meiryo UI"/>
        <family val="0"/>
        <charset val="1"/>
      </rPr>
      <t xml:space="preserve">LINE</t>
    </r>
    <r>
      <rPr>
        <sz val="10"/>
        <rFont val="WenQuanYi Zen Hei"/>
        <family val="2"/>
      </rPr>
      <t xml:space="preserve">にそのままお送りください。
ご回答と写真がそろってから、約</t>
    </r>
    <r>
      <rPr>
        <sz val="10"/>
        <rFont val="Meiryo UI"/>
        <family val="0"/>
        <charset val="1"/>
      </rPr>
      <t xml:space="preserve">2</t>
    </r>
    <r>
      <rPr>
        <sz val="10"/>
        <rFont val="WenQuanYi Zen Hei"/>
        <family val="2"/>
      </rPr>
      <t xml:space="preserve">週間（</t>
    </r>
    <r>
      <rPr>
        <sz val="10"/>
        <rFont val="Meiryo UI"/>
        <family val="0"/>
        <charset val="1"/>
      </rPr>
      <t xml:space="preserve">10</t>
    </r>
    <r>
      <rPr>
        <sz val="10"/>
        <rFont val="WenQuanYi Zen Hei"/>
        <family val="2"/>
      </rPr>
      <t xml:space="preserve">営業日）でお渡しいたします。</t>
    </r>
  </si>
  <si>
    <r>
      <rPr>
        <b val="true"/>
        <sz val="12"/>
        <color rgb="FF1F4E78"/>
        <rFont val="Meiryo UI"/>
        <family val="0"/>
        <charset val="1"/>
      </rPr>
      <t xml:space="preserve">■ Google</t>
    </r>
    <r>
      <rPr>
        <b val="true"/>
        <sz val="12"/>
        <color rgb="FF1F4E78"/>
        <rFont val="WenQuanYi Zen Hei"/>
        <family val="2"/>
      </rPr>
      <t xml:space="preserve">フォームの質問（スクリプトがこの内容で自動作成します）</t>
    </r>
  </si>
  <si>
    <t xml:space="preserve">テンプレのキー</t>
  </si>
  <si>
    <t xml:space="preserve">質問</t>
  </si>
  <si>
    <t xml:space="preserve">必須</t>
  </si>
  <si>
    <t xml:space="preserve">種類</t>
  </si>
  <si>
    <t xml:space="preserve">補足（フォームに表示）</t>
  </si>
  <si>
    <t xml:space="preserve">（紐づけ用）</t>
  </si>
  <si>
    <r>
      <rPr>
        <sz val="10"/>
        <rFont val="WenQuanYi Zen Hei"/>
        <family val="2"/>
      </rPr>
      <t xml:space="preserve">お客様</t>
    </r>
    <r>
      <rPr>
        <sz val="10"/>
        <rFont val="Meiryo UI"/>
        <family val="0"/>
        <charset val="1"/>
      </rPr>
      <t xml:space="preserve">ID</t>
    </r>
  </si>
  <si>
    <t xml:space="preserve">記述（短文）</t>
  </si>
  <si>
    <r>
      <rPr>
        <sz val="10"/>
        <rFont val="Meiryo UI"/>
        <family val="0"/>
        <charset val="1"/>
      </rPr>
      <t xml:space="preserve">LINE</t>
    </r>
    <r>
      <rPr>
        <sz val="10"/>
        <rFont val="WenQuanYi Zen Hei"/>
        <family val="2"/>
      </rPr>
      <t xml:space="preserve">で送る</t>
    </r>
    <r>
      <rPr>
        <sz val="10"/>
        <rFont val="Meiryo UI"/>
        <family val="0"/>
        <charset val="1"/>
      </rPr>
      <t xml:space="preserve">URL</t>
    </r>
    <r>
      <rPr>
        <sz val="10"/>
        <rFont val="WenQuanYi Zen Hei"/>
        <family val="2"/>
      </rPr>
      <t xml:space="preserve">から開くと自動で入っています</t>
    </r>
  </si>
  <si>
    <t xml:space="preserve">STORE_NAME</t>
  </si>
  <si>
    <t xml:space="preserve">店舗名</t>
  </si>
  <si>
    <t xml:space="preserve">BUSINESS_TYPE</t>
  </si>
  <si>
    <t xml:space="preserve">例：整骨院、美容室、居酒屋</t>
  </si>
  <si>
    <t xml:space="preserve">TARGET</t>
  </si>
  <si>
    <t xml:space="preserve">来てほしいお客様（ターゲット）</t>
  </si>
  <si>
    <t xml:space="preserve">段落</t>
  </si>
  <si>
    <r>
      <rPr>
        <sz val="10"/>
        <rFont val="WenQuanYi Zen Hei"/>
        <family val="2"/>
      </rPr>
      <t xml:space="preserve">例：</t>
    </r>
    <r>
      <rPr>
        <sz val="10"/>
        <rFont val="Meiryo UI"/>
        <family val="0"/>
        <charset val="1"/>
      </rPr>
      <t xml:space="preserve">30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50</t>
    </r>
    <r>
      <rPr>
        <sz val="10"/>
        <rFont val="WenQuanYi Zen Hei"/>
        <family val="2"/>
      </rPr>
      <t xml:space="preserve">代の肩こり・腰痛に悩む会社員</t>
    </r>
  </si>
  <si>
    <t xml:space="preserve">BRAND_IMAGE</t>
  </si>
  <si>
    <t xml:space="preserve">お店の雰囲気・イメージ</t>
  </si>
  <si>
    <t xml:space="preserve">例：清潔感・ナチュラル・高級感、好きな色など</t>
  </si>
  <si>
    <t xml:space="preserve">STRENGTHS</t>
  </si>
  <si>
    <t xml:space="preserve">お店の強み・こだわり</t>
  </si>
  <si>
    <r>
      <rPr>
        <sz val="10"/>
        <rFont val="WenQuanYi Zen Hei"/>
        <family val="2"/>
      </rPr>
      <t xml:space="preserve">他店と違うところを</t>
    </r>
    <r>
      <rPr>
        <sz val="10"/>
        <rFont val="Meiryo UI"/>
        <family val="0"/>
        <charset val="1"/>
      </rPr>
      <t xml:space="preserve">3</t>
    </r>
    <r>
      <rPr>
        <sz val="10"/>
        <rFont val="WenQuanYi Zen Hei"/>
        <family val="2"/>
      </rPr>
      <t xml:space="preserve">つほど</t>
    </r>
  </si>
  <si>
    <t xml:space="preserve">MENU</t>
  </si>
  <si>
    <t xml:space="preserve">メニュー・料金</t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</si>
  <si>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行に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つ「メニュー名：料金」</t>
    </r>
  </si>
  <si>
    <t xml:space="preserve">ADDRESS</t>
  </si>
  <si>
    <t xml:space="preserve">HOURS</t>
  </si>
  <si>
    <t xml:space="preserve">営業時間</t>
  </si>
  <si>
    <r>
      <rPr>
        <sz val="10"/>
        <rFont val="WenQuanYi Zen Hei"/>
        <family val="2"/>
      </rPr>
      <t xml:space="preserve">例：</t>
    </r>
    <r>
      <rPr>
        <sz val="10"/>
        <rFont val="Meiryo UI"/>
        <family val="0"/>
        <charset val="1"/>
      </rPr>
      <t xml:space="preserve">10:00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20:00</t>
    </r>
    <r>
      <rPr>
        <sz val="10"/>
        <rFont val="WenQuanYi Zen Hei"/>
        <family val="2"/>
      </rPr>
      <t xml:space="preserve">（土日は</t>
    </r>
    <r>
      <rPr>
        <sz val="10"/>
        <rFont val="Meiryo UI"/>
        <family val="0"/>
        <charset val="1"/>
      </rPr>
      <t xml:space="preserve">18:00</t>
    </r>
    <r>
      <rPr>
        <sz val="10"/>
        <rFont val="WenQuanYi Zen Hei"/>
        <family val="2"/>
      </rPr>
      <t xml:space="preserve">まで）</t>
    </r>
  </si>
  <si>
    <t xml:space="preserve">HOLIDAY</t>
  </si>
  <si>
    <t xml:space="preserve">定休日</t>
  </si>
  <si>
    <t xml:space="preserve">PHONE</t>
  </si>
  <si>
    <t xml:space="preserve">RESERVATION_URL</t>
  </si>
  <si>
    <r>
      <rPr>
        <sz val="10"/>
        <rFont val="WenQuanYi Zen Hei"/>
        <family val="2"/>
      </rPr>
      <t xml:space="preserve">予約ページの</t>
    </r>
    <r>
      <rPr>
        <sz val="10"/>
        <rFont val="Meiryo UI"/>
        <family val="0"/>
        <charset val="1"/>
      </rPr>
      <t xml:space="preserve">URL</t>
    </r>
  </si>
  <si>
    <t xml:space="preserve">ホットペッパーなど。なければ空欄</t>
  </si>
  <si>
    <t xml:space="preserve">LINE_URL</t>
  </si>
  <si>
    <r>
      <rPr>
        <sz val="10"/>
        <rFont val="WenQuanYi Zen Hei"/>
        <family val="2"/>
      </rPr>
      <t xml:space="preserve">お店の</t>
    </r>
    <r>
      <rPr>
        <sz val="10"/>
        <rFont val="Meiryo UI"/>
        <family val="0"/>
        <charset val="1"/>
      </rPr>
      <t xml:space="preserve">LINE</t>
    </r>
    <r>
      <rPr>
        <sz val="10"/>
        <rFont val="WenQuanYi Zen Hei"/>
        <family val="2"/>
      </rPr>
      <t xml:space="preserve">の</t>
    </r>
    <r>
      <rPr>
        <sz val="10"/>
        <rFont val="Meiryo UI"/>
        <family val="0"/>
        <charset val="1"/>
      </rPr>
      <t xml:space="preserve">URL</t>
    </r>
  </si>
  <si>
    <t xml:space="preserve">なければ空欄</t>
  </si>
  <si>
    <t xml:space="preserve">INSTAGRAM_URL</t>
  </si>
  <si>
    <r>
      <rPr>
        <sz val="10"/>
        <rFont val="Meiryo UI"/>
        <family val="0"/>
        <charset val="1"/>
      </rPr>
      <t xml:space="preserve">Instagram</t>
    </r>
    <r>
      <rPr>
        <sz val="10"/>
        <rFont val="WenQuanYi Zen Hei"/>
        <family val="2"/>
      </rPr>
      <t xml:space="preserve">の</t>
    </r>
    <r>
      <rPr>
        <sz val="10"/>
        <rFont val="Meiryo UI"/>
        <family val="0"/>
        <charset val="1"/>
      </rPr>
      <t xml:space="preserve">URL</t>
    </r>
  </si>
  <si>
    <t xml:space="preserve">OTHER_INFO</t>
  </si>
  <si>
    <t xml:space="preserve">その他・載せたいこと</t>
  </si>
  <si>
    <t xml:space="preserve">お客様の声、資格、駐車場の有無など</t>
  </si>
  <si>
    <t xml:space="preserve">画像</t>
  </si>
  <si>
    <t xml:space="preserve">画像（ロゴ・写真）の送り方</t>
  </si>
  <si>
    <t xml:space="preserve">選択式</t>
  </si>
  <si>
    <r>
      <rPr>
        <sz val="10"/>
        <rFont val="WenQuanYi Zen Hei"/>
        <family val="2"/>
      </rPr>
      <t xml:space="preserve">公式</t>
    </r>
    <r>
      <rPr>
        <sz val="10"/>
        <rFont val="Meiryo UI"/>
        <family val="0"/>
        <charset val="1"/>
      </rPr>
      <t xml:space="preserve">LINE</t>
    </r>
    <r>
      <rPr>
        <sz val="10"/>
        <rFont val="WenQuanYi Zen Hei"/>
        <family val="2"/>
      </rPr>
      <t xml:space="preserve">で送る／画像はない（おまかせ）</t>
    </r>
  </si>
  <si>
    <r>
      <rPr>
        <sz val="10"/>
        <color rgb="FF7F7F7F"/>
        <rFont val="WenQuanYi Zen Hei"/>
        <family val="2"/>
      </rPr>
      <t xml:space="preserve">※ スラッグ・本番</t>
    </r>
    <r>
      <rPr>
        <sz val="10"/>
        <color rgb="FF7F7F7F"/>
        <rFont val="Meiryo UI"/>
        <family val="0"/>
        <charset val="1"/>
      </rPr>
      <t xml:space="preserve">/</t>
    </r>
    <r>
      <rPr>
        <sz val="10"/>
        <color rgb="FF7F7F7F"/>
        <rFont val="WenQuanYi Zen Hei"/>
        <family val="2"/>
      </rPr>
      <t xml:space="preserve">デモはお客様には聞かず、顧客一覧に社内で入力します（制作指示に自動で反映）。</t>
    </r>
  </si>
  <si>
    <r>
      <rPr>
        <sz val="10"/>
        <color rgb="FF7F7F7F"/>
        <rFont val="WenQuanYi Zen Hei"/>
        <family val="2"/>
      </rPr>
      <t xml:space="preserve">※ 質問を変えるときは、スクリプト（ヒアリングフォーム連携</t>
    </r>
    <r>
      <rPr>
        <sz val="10"/>
        <color rgb="FF7F7F7F"/>
        <rFont val="Meiryo UI"/>
        <family val="0"/>
        <charset val="1"/>
      </rPr>
      <t xml:space="preserve">.gs</t>
    </r>
    <r>
      <rPr>
        <sz val="10"/>
        <color rgb="FF7F7F7F"/>
        <rFont val="WenQuanYi Zen Hei"/>
        <family val="2"/>
      </rPr>
      <t xml:space="preserve">）の </t>
    </r>
    <r>
      <rPr>
        <sz val="10"/>
        <color rgb="FF7F7F7F"/>
        <rFont val="Meiryo UI"/>
        <family val="0"/>
        <charset val="1"/>
      </rPr>
      <t xml:space="preserve">QUESTIONS </t>
    </r>
    <r>
      <rPr>
        <sz val="10"/>
        <color rgb="FF7F7F7F"/>
        <rFont val="WenQuanYi Zen Hei"/>
        <family val="2"/>
      </rPr>
      <t xml:space="preserve">も同じように直してください。</t>
    </r>
  </si>
  <si>
    <t xml:space="preserve">■ 納品時に伝えること</t>
  </si>
  <si>
    <r>
      <rPr>
        <sz val="10"/>
        <rFont val="WenQuanYi Zen Hei"/>
        <family val="2"/>
      </rPr>
      <t xml:space="preserve">・公開</t>
    </r>
    <r>
      <rPr>
        <sz val="10"/>
        <rFont val="Meiryo UI"/>
        <family val="0"/>
        <charset val="1"/>
      </rPr>
      <t xml:space="preserve">URL</t>
    </r>
    <r>
      <rPr>
        <sz val="10"/>
        <rFont val="WenQuanYi Zen Hei"/>
        <family val="2"/>
      </rPr>
      <t xml:space="preserve">（サブドメイン）と、無料での修正対応の範囲</t>
    </r>
  </si>
  <si>
    <r>
      <rPr>
        <sz val="10"/>
        <rFont val="WenQuanYi Zen Hei"/>
        <family val="2"/>
      </rPr>
      <t xml:space="preserve">・今後の更新・追加制作のご相談先（公式</t>
    </r>
    <r>
      <rPr>
        <sz val="10"/>
        <rFont val="Meiryo UI"/>
        <family val="0"/>
        <charset val="1"/>
      </rPr>
      <t xml:space="preserve">LINE</t>
    </r>
    <r>
      <rPr>
        <sz val="10"/>
        <rFont val="WenQuanYi Zen Hei"/>
        <family val="2"/>
      </rPr>
      <t xml:space="preserve">）</t>
    </r>
  </si>
  <si>
    <t xml:space="preserve">・電気・インターネットで困ったことがあればいつでも連絡してほしい旨（解約防止）</t>
  </si>
  <si>
    <t xml:space="preserve">集計</t>
  </si>
  <si>
    <t xml:space="preserve">顧客一覧・開通管理から自動集計されます（入力不要）</t>
  </si>
  <si>
    <t xml:space="preserve">営業担当別</t>
  </si>
  <si>
    <t xml:space="preserve">アポ数</t>
  </si>
  <si>
    <t xml:space="preserve">アポ</t>
  </si>
  <si>
    <t xml:space="preserve">商談</t>
  </si>
  <si>
    <t xml:space="preserve">納品済</t>
  </si>
  <si>
    <t xml:space="preserve">成約率</t>
  </si>
  <si>
    <t xml:space="preserve">商談数</t>
  </si>
  <si>
    <t xml:space="preserve">成約数</t>
  </si>
  <si>
    <r>
      <rPr>
        <b val="true"/>
        <sz val="10"/>
        <rFont val="WenQuanYi Zen Hei"/>
        <family val="2"/>
      </rPr>
      <t xml:space="preserve">成約率（成約</t>
    </r>
    <r>
      <rPr>
        <b val="true"/>
        <sz val="10"/>
        <rFont val="Meiryo UI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商談）</t>
    </r>
  </si>
  <si>
    <t xml:space="preserve">開通待ちの顧客</t>
  </si>
  <si>
    <t xml:space="preserve">全開通した顧客</t>
  </si>
  <si>
    <t xml:space="preserve">開通予定日超過の案件</t>
  </si>
  <si>
    <t xml:space="preserve">月間削減額の合計（お客様）</t>
  </si>
  <si>
    <r>
      <rPr>
        <b val="true"/>
        <sz val="10"/>
        <color rgb="FFFFFFFF"/>
        <rFont val="WenQuanYi Zen Hei"/>
        <family val="2"/>
      </rPr>
      <t xml:space="preserve">開通ステータス </t>
    </r>
    <r>
      <rPr>
        <b val="true"/>
        <sz val="10"/>
        <color rgb="FFFFFFFF"/>
        <rFont val="Meiryo UI"/>
        <family val="0"/>
        <charset val="1"/>
      </rPr>
      <t xml:space="preserve">× </t>
    </r>
    <r>
      <rPr>
        <b val="true"/>
        <sz val="10"/>
        <color rgb="FFFFFFFF"/>
        <rFont val="WenQuanYi Zen Hei"/>
        <family val="2"/>
      </rPr>
      <t xml:space="preserve">商材（案件数）</t>
    </r>
  </si>
  <si>
    <t xml:space="preserve">ステータス</t>
  </si>
  <si>
    <t xml:space="preserve">合計</t>
  </si>
  <si>
    <t xml:space="preserve">制作・納品</t>
  </si>
  <si>
    <t xml:space="preserve">ヒアリング依頼待ち</t>
  </si>
  <si>
    <t xml:space="preserve">ヒアリング未回収</t>
  </si>
  <si>
    <t xml:space="preserve">制作中（未納品）</t>
  </si>
  <si>
    <t xml:space="preserve">納品遅延</t>
  </si>
  <si>
    <t xml:space="preserve">今月の納品数</t>
  </si>
  <si>
    <t xml:space="preserve">お金・リスク</t>
  </si>
  <si>
    <t xml:space="preserve">代理店手数料（開通済）</t>
  </si>
  <si>
    <t xml:space="preserve">うち未入金</t>
  </si>
  <si>
    <t xml:space="preserve">解約チェック待ち</t>
  </si>
  <si>
    <t xml:space="preserve">解約あり（一部含む）</t>
  </si>
  <si>
    <t xml:space="preserve">制作指示（フォーム回答から自動作成）</t>
  </si>
  <si>
    <r>
      <rPr>
        <sz val="10"/>
        <color rgb="FF7F7F7F"/>
        <rFont val="Meiryo UI"/>
        <family val="0"/>
        <charset val="1"/>
      </rPr>
      <t xml:space="preserve">Google</t>
    </r>
    <r>
      <rPr>
        <sz val="10"/>
        <color rgb="FF7F7F7F"/>
        <rFont val="WenQuanYi Zen Hei"/>
        <family val="2"/>
      </rPr>
      <t xml:space="preserve">フォームに回答が来ると、</t>
    </r>
    <r>
      <rPr>
        <sz val="10"/>
        <color rgb="FF7F7F7F"/>
        <rFont val="Meiryo UI"/>
        <family val="0"/>
        <charset val="1"/>
      </rPr>
      <t xml:space="preserve">1</t>
    </r>
    <r>
      <rPr>
        <sz val="10"/>
        <color rgb="FF7F7F7F"/>
        <rFont val="WenQuanYi Zen Hei"/>
        <family val="2"/>
      </rPr>
      <t xml:space="preserve">顧客</t>
    </r>
    <r>
      <rPr>
        <sz val="10"/>
        <color rgb="FF7F7F7F"/>
        <rFont val="Meiryo UI"/>
        <family val="0"/>
        <charset val="1"/>
      </rPr>
      <t xml:space="preserve">1</t>
    </r>
    <r>
      <rPr>
        <sz val="10"/>
        <color rgb="FF7F7F7F"/>
        <rFont val="WenQuanYi Zen Hei"/>
        <family val="2"/>
      </rPr>
      <t xml:space="preserve">行でここにテンプレート形式のテキストが作られます。</t>
    </r>
    <r>
      <rPr>
        <sz val="10"/>
        <color rgb="FF7F7F7F"/>
        <rFont val="Meiryo UI"/>
        <family val="0"/>
        <charset val="1"/>
      </rPr>
      <t xml:space="preserve">E</t>
    </r>
    <r>
      <rPr>
        <sz val="10"/>
        <color rgb="FF7F7F7F"/>
        <rFont val="WenQuanYi Zen Hei"/>
        <family val="2"/>
      </rPr>
      <t xml:space="preserve">列をコピーして制作に使ってください。</t>
    </r>
  </si>
  <si>
    <t xml:space="preserve">回答日時</t>
  </si>
  <si>
    <t xml:space="preserve">制作指示テキスト</t>
  </si>
  <si>
    <t xml:space="preserve">設定</t>
  </si>
  <si>
    <t xml:space="preserve">黄色セルは変更できます。変更すると全シートの計算に反映されます。</t>
  </si>
  <si>
    <t xml:space="preserve">項目</t>
  </si>
  <si>
    <t xml:space="preserve">値</t>
  </si>
  <si>
    <t xml:space="preserve">単位</t>
  </si>
  <si>
    <t xml:space="preserve">説明</t>
  </si>
  <si>
    <t xml:space="preserve">祝日・休業日</t>
  </si>
  <si>
    <t xml:space="preserve">名称</t>
  </si>
  <si>
    <t xml:space="preserve">納品までの営業日数</t>
  </si>
  <si>
    <t xml:space="preserve">日</t>
  </si>
  <si>
    <t xml:space="preserve">ヒアリング完了（素材受領）日から数えて、土日祝を除いた営業日数</t>
  </si>
  <si>
    <t xml:space="preserve">元日</t>
  </si>
  <si>
    <r>
      <rPr>
        <sz val="10"/>
        <color rgb="FF7F7F7F"/>
        <rFont val="WenQuanYi Zen Hei"/>
        <family val="2"/>
      </rPr>
      <t xml:space="preserve">※ 祝日は</t>
    </r>
    <r>
      <rPr>
        <sz val="10"/>
        <color rgb="FF7F7F7F"/>
        <rFont val="Meiryo UI"/>
        <family val="0"/>
        <charset val="1"/>
      </rPr>
      <t xml:space="preserve">2026</t>
    </r>
    <r>
      <rPr>
        <sz val="10"/>
        <color rgb="FF7F7F7F"/>
        <rFont val="WenQuanYi Zen Hei"/>
        <family val="2"/>
      </rPr>
      <t xml:space="preserve">〜</t>
    </r>
    <r>
      <rPr>
        <sz val="10"/>
        <color rgb="FF7F7F7F"/>
        <rFont val="Meiryo UI"/>
        <family val="0"/>
        <charset val="1"/>
      </rPr>
      <t xml:space="preserve">2028</t>
    </r>
    <r>
      <rPr>
        <sz val="10"/>
        <color rgb="FF7F7F7F"/>
        <rFont val="WenQuanYi Zen Hei"/>
        <family val="2"/>
      </rPr>
      <t xml:space="preserve">年分を入力済みです。年末年始・夏季休業など会社の休みは、</t>
    </r>
    <r>
      <rPr>
        <sz val="10"/>
        <color rgb="FF7F7F7F"/>
        <rFont val="Meiryo UI"/>
        <family val="0"/>
        <charset val="1"/>
      </rPr>
      <t xml:space="preserve">F</t>
    </r>
    <r>
      <rPr>
        <sz val="10"/>
        <color rgb="FF7F7F7F"/>
        <rFont val="WenQuanYi Zen Hei"/>
        <family val="2"/>
      </rPr>
      <t xml:space="preserve">列の空いている行（〜</t>
    </r>
    <r>
      <rPr>
        <sz val="10"/>
        <color rgb="FF7F7F7F"/>
        <rFont val="Meiryo UI"/>
        <family val="0"/>
        <charset val="1"/>
      </rPr>
      <t xml:space="preserve">120</t>
    </r>
    <r>
      <rPr>
        <sz val="10"/>
        <color rgb="FF7F7F7F"/>
        <rFont val="WenQuanYi Zen Hei"/>
        <family val="2"/>
      </rPr>
      <t xml:space="preserve">行目）に追記してください。</t>
    </r>
  </si>
  <si>
    <t xml:space="preserve">ヒアリング催促までの日数</t>
  </si>
  <si>
    <r>
      <rPr>
        <sz val="10"/>
        <color rgb="FF7F7F7F"/>
        <rFont val="Meiryo UI"/>
        <family val="0"/>
        <charset val="1"/>
      </rPr>
      <t xml:space="preserve">LINE</t>
    </r>
    <r>
      <rPr>
        <sz val="10"/>
        <color rgb="FF7F7F7F"/>
        <rFont val="WenQuanYi Zen Hei"/>
        <family val="2"/>
      </rPr>
      <t xml:space="preserve">でヒアリングを依頼してから回答がない場合にアラートを出すまでの日数</t>
    </r>
  </si>
  <si>
    <t xml:space="preserve">成人の日</t>
  </si>
  <si>
    <t xml:space="preserve">納品間近アラート</t>
  </si>
  <si>
    <t xml:space="preserve">納品予定日の何日前から「納品間近」を表示するか</t>
  </si>
  <si>
    <t xml:space="preserve">建国記念の日</t>
  </si>
  <si>
    <t xml:space="preserve">短期解約チェック（開通後）</t>
  </si>
  <si>
    <t xml:space="preserve">ヶ月</t>
  </si>
  <si>
    <t xml:space="preserve">開通から何ヶ月後に解約されていないか確認するか（代理店契約の条件に合わせて変更）</t>
  </si>
  <si>
    <t xml:space="preserve">天皇誕生日</t>
  </si>
  <si>
    <t xml:space="preserve">春分の日</t>
  </si>
  <si>
    <t xml:space="preserve">昭和の日</t>
  </si>
  <si>
    <r>
      <rPr>
        <b val="true"/>
        <sz val="12"/>
        <color rgb="FF1F4E78"/>
        <rFont val="Meiryo UI"/>
        <family val="0"/>
        <charset val="1"/>
      </rPr>
      <t xml:space="preserve">Google</t>
    </r>
    <r>
      <rPr>
        <b val="true"/>
        <sz val="12"/>
        <color rgb="FF1F4E78"/>
        <rFont val="WenQuanYi Zen Hei"/>
        <family val="2"/>
      </rPr>
      <t xml:space="preserve">フォーム連携（メニュー「ヒアリング」→「フォームを作成」で自動入力）</t>
    </r>
  </si>
  <si>
    <t xml:space="preserve">憲法記念日</t>
  </si>
  <si>
    <r>
      <rPr>
        <b val="true"/>
        <sz val="10"/>
        <rFont val="WenQuanYi Zen Hei"/>
        <family val="2"/>
      </rPr>
      <t xml:space="preserve">フォーム編集</t>
    </r>
    <r>
      <rPr>
        <b val="true"/>
        <sz val="10"/>
        <rFont val="Meiryo UI"/>
        <family val="0"/>
        <charset val="1"/>
      </rPr>
      <t xml:space="preserve">URL</t>
    </r>
  </si>
  <si>
    <r>
      <rPr>
        <sz val="10"/>
        <color rgb="FF7F7F7F"/>
        <rFont val="WenQuanYi Zen Hei"/>
        <family val="2"/>
      </rPr>
      <t xml:space="preserve">質問を直したいときに開く</t>
    </r>
    <r>
      <rPr>
        <sz val="10"/>
        <color rgb="FF7F7F7F"/>
        <rFont val="Meiryo UI"/>
        <family val="0"/>
        <charset val="1"/>
      </rPr>
      <t xml:space="preserve">URL</t>
    </r>
  </si>
  <si>
    <t xml:space="preserve">みどりの日</t>
  </si>
  <si>
    <r>
      <rPr>
        <b val="true"/>
        <sz val="10"/>
        <rFont val="WenQuanYi Zen Hei"/>
        <family val="2"/>
      </rPr>
      <t xml:space="preserve">フォーム回答</t>
    </r>
    <r>
      <rPr>
        <b val="true"/>
        <sz val="10"/>
        <rFont val="Meiryo UI"/>
        <family val="0"/>
        <charset val="1"/>
      </rPr>
      <t xml:space="preserve">URL</t>
    </r>
  </si>
  <si>
    <r>
      <rPr>
        <sz val="10"/>
        <color rgb="FF7F7F7F"/>
        <rFont val="WenQuanYi Zen Hei"/>
        <family val="2"/>
      </rPr>
      <t xml:space="preserve">フォームそのものの</t>
    </r>
    <r>
      <rPr>
        <sz val="10"/>
        <color rgb="FF7F7F7F"/>
        <rFont val="Meiryo UI"/>
        <family val="0"/>
        <charset val="1"/>
      </rPr>
      <t xml:space="preserve">URL</t>
    </r>
  </si>
  <si>
    <t xml:space="preserve">こどもの日</t>
  </si>
  <si>
    <r>
      <rPr>
        <b val="true"/>
        <sz val="10"/>
        <rFont val="WenQuanYi Zen Hei"/>
        <family val="2"/>
      </rPr>
      <t xml:space="preserve">事前入力</t>
    </r>
    <r>
      <rPr>
        <b val="true"/>
        <sz val="10"/>
        <rFont val="Meiryo UI"/>
        <family val="0"/>
        <charset val="1"/>
      </rPr>
      <t xml:space="preserve">URL</t>
    </r>
    <r>
      <rPr>
        <b val="true"/>
        <sz val="10"/>
        <rFont val="WenQuanYi Zen Hei"/>
        <family val="2"/>
      </rPr>
      <t xml:space="preserve">（ひな形）</t>
    </r>
  </si>
  <si>
    <r>
      <rPr>
        <sz val="10"/>
        <color rgb="FF7F7F7F"/>
        <rFont val="Meiryo UI"/>
        <family val="0"/>
        <charset val="1"/>
      </rPr>
      <t xml:space="preserve">__ID__ </t>
    </r>
    <r>
      <rPr>
        <sz val="10"/>
        <color rgb="FF7F7F7F"/>
        <rFont val="WenQuanYi Zen Hei"/>
        <family val="2"/>
      </rPr>
      <t xml:space="preserve">の部分が顧客</t>
    </r>
    <r>
      <rPr>
        <sz val="10"/>
        <color rgb="FF7F7F7F"/>
        <rFont val="Meiryo UI"/>
        <family val="0"/>
        <charset val="1"/>
      </rPr>
      <t xml:space="preserve">ID</t>
    </r>
    <r>
      <rPr>
        <sz val="10"/>
        <color rgb="FF7F7F7F"/>
        <rFont val="WenQuanYi Zen Hei"/>
        <family val="2"/>
      </rPr>
      <t xml:space="preserve">に置き換わり、顧客一覧の「ヒアリングフォーム</t>
    </r>
    <r>
      <rPr>
        <sz val="10"/>
        <color rgb="FF7F7F7F"/>
        <rFont val="Meiryo UI"/>
        <family val="0"/>
        <charset val="1"/>
      </rPr>
      <t xml:space="preserve">URL</t>
    </r>
    <r>
      <rPr>
        <sz val="10"/>
        <color rgb="FF7F7F7F"/>
        <rFont val="WenQuanYi Zen Hei"/>
        <family val="2"/>
      </rPr>
      <t xml:space="preserve">」になります</t>
    </r>
  </si>
  <si>
    <t xml:space="preserve">振替休日</t>
  </si>
  <si>
    <t xml:space="preserve">海の日</t>
  </si>
  <si>
    <t xml:space="preserve">山の日</t>
  </si>
  <si>
    <t xml:space="preserve">敬老の日</t>
  </si>
  <si>
    <t xml:space="preserve">国民の休日</t>
  </si>
  <si>
    <t xml:space="preserve">秋分の日</t>
  </si>
  <si>
    <t xml:space="preserve">スポーツの日</t>
  </si>
  <si>
    <t xml:space="preserve">文化の日</t>
  </si>
  <si>
    <t xml:space="preserve">勤労感謝の日</t>
  </si>
  <si>
    <t xml:space="preserve">成果物</t>
  </si>
  <si>
    <t xml:space="preserve">アポ確定</t>
  </si>
  <si>
    <t xml:space="preserve">申込準備</t>
  </si>
  <si>
    <t xml:space="preserve">LP</t>
  </si>
  <si>
    <t xml:space="preserve">法人</t>
  </si>
  <si>
    <r>
      <rPr>
        <sz val="10"/>
        <rFont val="WenQuanYi Zen Hei"/>
        <family val="2"/>
      </rPr>
      <t xml:space="preserve">継続中（</t>
    </r>
    <r>
      <rPr>
        <sz val="10"/>
        <rFont val="Meiryo UI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</si>
  <si>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t xml:space="preserve">商談済（検討中）</t>
  </si>
  <si>
    <t xml:space="preserve">書類待ち</t>
  </si>
  <si>
    <t xml:space="preserve">ヒアリング依頼済</t>
  </si>
  <si>
    <r>
      <rPr>
        <sz val="10"/>
        <rFont val="Meiryo UI"/>
        <family val="0"/>
        <charset val="1"/>
      </rPr>
      <t xml:space="preserve">Wi-Fi</t>
    </r>
    <r>
      <rPr>
        <sz val="10"/>
        <rFont val="WenQuanYi Zen Hei"/>
        <family val="2"/>
      </rPr>
      <t xml:space="preserve">（光回線）</t>
    </r>
  </si>
  <si>
    <t xml:space="preserve">佐藤</t>
  </si>
  <si>
    <t xml:space="preserve">紹介</t>
  </si>
  <si>
    <t xml:space="preserve">解約あり</t>
  </si>
  <si>
    <t xml:space="preserve">デモ</t>
  </si>
  <si>
    <t xml:space="preserve">申込済</t>
  </si>
  <si>
    <t xml:space="preserve">フォーム回答済</t>
  </si>
  <si>
    <r>
      <rPr>
        <sz val="10"/>
        <rFont val="Meiryo UI"/>
        <family val="0"/>
        <charset val="1"/>
      </rPr>
      <t xml:space="preserve">Wi-Fi</t>
    </r>
    <r>
      <rPr>
        <sz val="10"/>
        <rFont val="WenQuanYi Zen Hei"/>
        <family val="2"/>
      </rPr>
      <t xml:space="preserve">（ホームルーター）</t>
    </r>
  </si>
  <si>
    <t xml:space="preserve">動画</t>
  </si>
  <si>
    <t xml:space="preserve">鈴木</t>
  </si>
  <si>
    <t xml:space="preserve">SNS</t>
  </si>
  <si>
    <t xml:space="preserve">個人</t>
  </si>
  <si>
    <t xml:space="preserve">一部解約</t>
  </si>
  <si>
    <t xml:space="preserve">保留</t>
  </si>
  <si>
    <t xml:space="preserve">審査中</t>
  </si>
  <si>
    <t xml:space="preserve">素材受領済</t>
  </si>
  <si>
    <t xml:space="preserve">ガス</t>
  </si>
  <si>
    <r>
      <rPr>
        <sz val="10"/>
        <rFont val="Meiryo UI"/>
        <family val="0"/>
        <charset val="1"/>
      </rPr>
      <t xml:space="preserve">LP</t>
    </r>
    <r>
      <rPr>
        <sz val="10"/>
        <rFont val="WenQuanYi Zen Hei"/>
        <family val="2"/>
      </rPr>
      <t xml:space="preserve">＋動画</t>
    </r>
  </si>
  <si>
    <t xml:space="preserve">飛び込み</t>
  </si>
  <si>
    <t xml:space="preserve">失注</t>
  </si>
  <si>
    <t xml:space="preserve">工事日調整中</t>
  </si>
  <si>
    <t xml:space="preserve">制作中</t>
  </si>
  <si>
    <t xml:space="preserve">その他</t>
  </si>
  <si>
    <t xml:space="preserve">ホームページ＋動画</t>
  </si>
  <si>
    <r>
      <rPr>
        <sz val="10"/>
        <rFont val="Meiryo UI"/>
        <family val="0"/>
        <charset val="1"/>
      </rPr>
      <t xml:space="preserve">Web</t>
    </r>
    <r>
      <rPr>
        <sz val="10"/>
        <rFont val="WenQuanYi Zen Hei"/>
        <family val="2"/>
      </rPr>
      <t xml:space="preserve">問い合わせ</t>
    </r>
  </si>
  <si>
    <t xml:space="preserve">先方確認中</t>
  </si>
  <si>
    <t xml:space="preserve">修正中</t>
  </si>
  <si>
    <t xml:space="preserve">キャンセル</t>
  </si>
  <si>
    <r>
      <rPr>
        <sz val="10"/>
        <color rgb="FF7F7F7F"/>
        <rFont val="WenQuanYi Zen Hei"/>
        <family val="2"/>
      </rPr>
      <t xml:space="preserve">※ 各列の</t>
    </r>
    <r>
      <rPr>
        <sz val="10"/>
        <color rgb="FF7F7F7F"/>
        <rFont val="Meiryo UI"/>
        <family val="0"/>
        <charset val="1"/>
      </rPr>
      <t xml:space="preserve">2</t>
    </r>
    <r>
      <rPr>
        <sz val="10"/>
        <color rgb="FF7F7F7F"/>
        <rFont val="WenQuanYi Zen Hei"/>
        <family val="2"/>
      </rPr>
      <t xml:space="preserve">〜</t>
    </r>
    <r>
      <rPr>
        <sz val="10"/>
        <color rgb="FF7F7F7F"/>
        <rFont val="Meiryo UI"/>
        <family val="0"/>
        <charset val="1"/>
      </rPr>
      <t xml:space="preserve">30</t>
    </r>
    <r>
      <rPr>
        <sz val="10"/>
        <color rgb="FF7F7F7F"/>
        <rFont val="WenQuanYi Zen Hei"/>
        <family val="2"/>
      </rPr>
      <t xml:space="preserve">行目がプルダウンの選択肢になります。追加・変更</t>
    </r>
    <r>
      <rPr>
        <sz val="10"/>
        <color rgb="FF7F7F7F"/>
        <rFont val="Meiryo UI"/>
        <family val="0"/>
        <charset val="1"/>
      </rPr>
      <t xml:space="preserve">OK</t>
    </r>
    <r>
      <rPr>
        <sz val="10"/>
        <color rgb="FF7F7F7F"/>
        <rFont val="WenQuanYi Zen Hei"/>
        <family val="2"/>
      </rPr>
      <t xml:space="preserve">（ステータス名を変えると集計やアラートが合わなくなるので、ステータス列は追加のみ推奨）。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</si>
</sst>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@"/>
    <numFmt numFmtId="167" formatCode="yyyy/mm/dd"/>
    <numFmt numFmtId="168" formatCode="0\件"/>
    <numFmt numFmtId="169" formatCode="#,##0\円"/>
    <numFmt numFmtId="170" formatCode="#,##0\円;[RED]\-#,##0\円"/>
    <numFmt numFmtId="171" formatCode="0.0&quot;ヶ月&quot;"/>
    <numFmt numFmtId="172" formatCode="0\日;&quot;超過&quot;0\日;&quot;当日&quot;"/>
    <numFmt numFmtId="173" formatCode="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WenQuanYi Zen Hei"/>
      <family val="2"/>
    </font>
    <font>
      <sz val="11"/>
      <name val="Meiryo UI"/>
      <family val="0"/>
      <charset val="1"/>
    </font>
    <font>
      <b val="true"/>
      <sz val="12"/>
      <color rgb="FF1F4E78"/>
      <name val="WenQuanYi Zen Hei"/>
      <family val="2"/>
    </font>
    <font>
      <sz val="11"/>
      <name val="WenQuanYi Zen Hei"/>
      <family val="2"/>
    </font>
    <font>
      <b val="true"/>
      <sz val="12"/>
      <color rgb="FF1F4E78"/>
      <name val="Meiryo UI"/>
      <family val="0"/>
      <charset val="1"/>
    </font>
    <font>
      <sz val="10"/>
      <color rgb="FF7F7F7F"/>
      <name val="Meiryo UI"/>
      <family val="0"/>
      <charset val="1"/>
    </font>
    <font>
      <sz val="10"/>
      <color rgb="FF7F7F7F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 UI"/>
      <family val="0"/>
      <charset val="1"/>
    </font>
    <font>
      <sz val="10"/>
      <name val="Meiryo UI"/>
      <family val="0"/>
      <charset val="1"/>
    </font>
    <font>
      <i val="true"/>
      <sz val="10"/>
      <color rgb="FF7F7F7F"/>
      <name val="Meiryo UI"/>
      <family val="0"/>
      <charset val="1"/>
    </font>
    <font>
      <i val="true"/>
      <sz val="10"/>
      <color rgb="FF7F7F7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b val="true"/>
      <sz val="16"/>
      <color rgb="FF1F4E78"/>
      <name val="Meiryo UI"/>
      <family val="0"/>
      <charset val="1"/>
    </font>
    <font>
      <b val="true"/>
      <sz val="10"/>
      <name val="WenQuanYi Zen Hei"/>
      <family val="2"/>
    </font>
    <font>
      <b val="true"/>
      <sz val="12"/>
      <name val="Meiryo UI"/>
      <family val="0"/>
      <charset val="1"/>
    </font>
    <font>
      <b val="true"/>
      <sz val="10"/>
      <name val="Meiryo UI"/>
      <family val="0"/>
      <charset val="1"/>
    </font>
    <font>
      <b val="true"/>
      <sz val="12"/>
      <color rgb="FF0000FF"/>
      <name val="Meiryo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75B5"/>
        <bgColor rgb="FF0066CC"/>
      </patternFill>
    </fill>
    <fill>
      <patternFill patternType="solid">
        <fgColor rgb="FF44546A"/>
        <bgColor rgb="FF1F4E78"/>
      </patternFill>
    </fill>
    <fill>
      <patternFill patternType="solid">
        <fgColor rgb="FF1F4E78"/>
        <bgColor rgb="FF44546A"/>
      </patternFill>
    </fill>
    <fill>
      <patternFill patternType="solid">
        <fgColor rgb="FFEEF3F8"/>
        <bgColor rgb="FFDDEBF7"/>
      </patternFill>
    </fill>
    <fill>
      <patternFill patternType="solid">
        <fgColor rgb="FFFFFDE7"/>
        <bgColor rgb="FFFFFFFF"/>
      </patternFill>
    </fill>
    <fill>
      <patternFill patternType="solid">
        <fgColor rgb="FFDDEBF7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44546A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DE7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ont>
        <b val="1"/>
        <color rgb="FFFFFFFF"/>
      </font>
      <fill>
        <patternFill>
          <bgColor rgb="FFC00000"/>
        </patternFill>
      </fill>
    </dxf>
    <dxf>
      <font>
        <b val="1"/>
        <color rgb="FF000000"/>
      </font>
      <fill>
        <patternFill>
          <bgColor rgb="FFFFC000"/>
        </patternFill>
      </fill>
    </dxf>
    <dxf>
      <font>
        <b val="1"/>
        <color rgb="FF000000"/>
      </font>
      <fill>
        <patternFill>
          <bgColor rgb="FF9BC2E6"/>
        </patternFill>
      </fill>
    </dxf>
    <dxf>
      <font>
        <b val="1"/>
        <color rgb="FF000000"/>
      </font>
      <fill>
        <patternFill>
          <bgColor rgb="FFF4B084"/>
        </patternFill>
      </fill>
    </dxf>
    <dxf>
      <font>
        <b val="1"/>
        <color rgb="FF000000"/>
      </font>
      <fill>
        <patternFill>
          <bgColor rgb="FFB4E5E1"/>
        </patternFill>
      </fill>
    </dxf>
    <dxf>
      <font>
        <b val="1"/>
        <color rgb="FF000000"/>
      </font>
      <fill>
        <patternFill>
          <bgColor rgb="FFFFE699"/>
        </patternFill>
      </fill>
    </dxf>
    <dxf>
      <font>
        <b val="1"/>
        <color rgb="FF000000"/>
      </font>
      <fill>
        <patternFill>
          <bgColor rgb="FFCC99FF"/>
        </patternFill>
      </fill>
    </dxf>
    <dxf>
      <font>
        <b val="1"/>
        <color rgb="FF000000"/>
      </font>
      <fill>
        <patternFill>
          <bgColor rgb="FFA9D08E"/>
        </patternFill>
      </fill>
    </dxf>
    <dxf>
      <font>
        <b val="1"/>
        <color rgb="FF000000"/>
      </font>
      <fill>
        <patternFill>
          <bgColor rgb="FFC6E0B4"/>
        </patternFill>
      </fill>
    </dxf>
    <dxf>
      <font>
        <b val="1"/>
        <color rgb="FF808080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ont>
        <color rgb="FF808080"/>
      </font>
      <fill>
        <patternFill>
          <bgColor rgb="FFD9D9D9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E2EFDA"/>
        </patternFill>
      </fill>
    </dxf>
    <dxf>
      <font>
        <strike val="1"/>
        <color rgb="FF808080"/>
      </font>
      <fill>
        <patternFill>
          <bgColor rgb="FFD9D9D9"/>
        </patternFill>
      </fill>
    </dxf>
    <dxf>
      <font>
        <b val="1"/>
        <color rgb="FFFF0000"/>
      </font>
    </dxf>
    <dxf>
      <font>
        <b val="1"/>
        <color rgb="FFFF0000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B4E5E1"/>
      <rgbColor rgb="FF993366"/>
      <rgbColor rgb="FFFFFDE7"/>
      <rgbColor rgb="FFDDEBF7"/>
      <rgbColor rgb="FF660066"/>
      <rgbColor rgb="FFE7E6E6"/>
      <rgbColor rgb="FF0066CC"/>
      <rgbColor rgb="FFD9D9D9"/>
      <rgbColor rgb="FF000080"/>
      <rgbColor rgb="FFFF00FF"/>
      <rgbColor rgb="FFC6E0B4"/>
      <rgbColor rgb="FF00FFFF"/>
      <rgbColor rgb="FF800080"/>
      <rgbColor rgb="FF800000"/>
      <rgbColor rgb="FF008080"/>
      <rgbColor rgb="FF0000FF"/>
      <rgbColor rgb="FF00CCFF"/>
      <rgbColor rgb="FFEEF3F8"/>
      <rgbColor rgb="FFE2EFDA"/>
      <rgbColor rgb="FFFFE699"/>
      <rgbColor rgb="FF9BC2E6"/>
      <rgbColor rgb="FFFCE4D6"/>
      <rgbColor rgb="FFCC99FF"/>
      <rgbColor rgb="FFF4B084"/>
      <rgbColor rgb="FF2F75B5"/>
      <rgbColor rgb="FF33CCCC"/>
      <rgbColor rgb="FFA9D08E"/>
      <rgbColor rgb="FFFFC000"/>
      <rgbColor rgb="FFFF9900"/>
      <rgbColor rgb="FFFF6600"/>
      <rgbColor rgb="FF44546A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4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4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22</v>
      </c>
    </row>
    <row r="28" customFormat="false" ht="15" hidden="false" customHeight="false" outlineLevel="0" collapsed="false">
      <c r="A28" s="4" t="s">
        <v>23</v>
      </c>
    </row>
    <row r="29" customFormat="false" ht="15" hidden="false" customHeight="false" outlineLevel="0" collapsed="false">
      <c r="A29" s="4" t="s">
        <v>24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3" t="s">
        <v>25</v>
      </c>
    </row>
    <row r="32" customFormat="false" ht="15" hidden="false" customHeight="false" outlineLevel="0" collapsed="false">
      <c r="A32" s="4" t="s">
        <v>26</v>
      </c>
    </row>
    <row r="33" customFormat="false" ht="15" hidden="false" customHeight="false" outlineLevel="0" collapsed="false">
      <c r="A33" s="2"/>
    </row>
    <row r="34" customFormat="false" ht="17.15" hidden="false" customHeight="false" outlineLevel="0" collapsed="false">
      <c r="A34" s="5" t="s">
        <v>27</v>
      </c>
    </row>
    <row r="35" customFormat="false" ht="15" hidden="false" customHeight="false" outlineLevel="0" collapsed="false">
      <c r="A35" s="2" t="s">
        <v>28</v>
      </c>
    </row>
    <row r="36" customFormat="false" ht="15" hidden="false" customHeight="false" outlineLevel="0" collapsed="false">
      <c r="A36" s="2" t="s">
        <v>29</v>
      </c>
    </row>
    <row r="37" customFormat="false" ht="1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4" t="s">
        <v>31</v>
      </c>
    </row>
    <row r="39" customFormat="false" ht="15" hidden="false" customHeight="false" outlineLevel="0" collapsed="false">
      <c r="A39" s="2" t="s">
        <v>32</v>
      </c>
    </row>
    <row r="40" customFormat="false" ht="15" hidden="false" customHeight="false" outlineLevel="0" collapsed="false">
      <c r="A40" s="2"/>
    </row>
    <row r="41" customFormat="false" ht="15" hidden="false" customHeight="false" outlineLevel="0" collapsed="false">
      <c r="A41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3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20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3" min="12" style="0" width="11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6" min="16" style="0" width="14"/>
    <col collapsed="false" customWidth="true" hidden="false" outlineLevel="0" max="18" min="17" style="0" width="7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3" min="23" style="0" width="30"/>
    <col collapsed="false" customWidth="true" hidden="false" outlineLevel="0" max="27" min="24" style="0" width="11"/>
    <col collapsed="false" customWidth="true" hidden="false" outlineLevel="0" max="28" min="28" style="0" width="13"/>
    <col collapsed="false" customWidth="true" hidden="false" outlineLevel="0" max="29" min="29" style="0" width="9"/>
    <col collapsed="false" customWidth="true" hidden="false" outlineLevel="0" max="30" min="30" style="0" width="16"/>
    <col collapsed="false" customWidth="true" hidden="false" outlineLevel="0" max="31" min="31" style="0" width="9"/>
    <col collapsed="false" customWidth="true" hidden="false" outlineLevel="0" max="32" min="32" style="0" width="11"/>
    <col collapsed="false" customWidth="true" hidden="false" outlineLevel="0" max="33" min="33" style="0" width="26"/>
    <col collapsed="false" customWidth="true" hidden="false" outlineLevel="0" max="34" min="34" style="0" width="11"/>
    <col collapsed="false" customWidth="true" hidden="false" outlineLevel="0" max="35" min="35" style="0" width="12"/>
    <col collapsed="false" customWidth="true" hidden="false" outlineLevel="0" max="36" min="36" style="0" width="24"/>
    <col collapsed="false" customWidth="true" hidden="false" outlineLevel="0" max="37" min="37" style="0" width="11"/>
    <col collapsed="false" customWidth="true" hidden="false" outlineLevel="0" max="38" min="38" style="0" width="15"/>
    <col collapsed="false" customWidth="true" hidden="false" outlineLevel="0" max="39" min="39" style="0" width="28"/>
  </cols>
  <sheetData>
    <row r="1" customFormat="false" ht="19.7" hidden="false" customHeight="false" outlineLevel="0" collapsed="false">
      <c r="A1" s="1" t="s">
        <v>34</v>
      </c>
    </row>
    <row r="2" customFormat="false" ht="15" hidden="false" customHeight="false" outlineLevel="0" collapsed="false">
      <c r="A2" s="6" t="s">
        <v>35</v>
      </c>
    </row>
    <row r="3" customFormat="false" ht="15" hidden="false" customHeight="true" outlineLevel="0" collapsed="false">
      <c r="A3" s="7" t="s">
        <v>36</v>
      </c>
      <c r="B3" s="7"/>
      <c r="C3" s="7"/>
      <c r="D3" s="7"/>
      <c r="E3" s="7"/>
      <c r="F3" s="7"/>
      <c r="G3" s="7"/>
      <c r="H3" s="7"/>
      <c r="I3" s="7"/>
      <c r="J3" s="7" t="s">
        <v>37</v>
      </c>
      <c r="K3" s="7"/>
      <c r="L3" s="7"/>
      <c r="M3" s="7"/>
      <c r="N3" s="7"/>
      <c r="O3" s="7"/>
      <c r="P3" s="7"/>
      <c r="Q3" s="7" t="s">
        <v>38</v>
      </c>
      <c r="R3" s="7"/>
      <c r="S3" s="7"/>
      <c r="T3" s="7"/>
      <c r="U3" s="7"/>
      <c r="V3" s="7" t="s">
        <v>39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 t="s">
        <v>40</v>
      </c>
      <c r="AI3" s="7"/>
      <c r="AJ3" s="7" t="s">
        <v>41</v>
      </c>
      <c r="AK3" s="7"/>
      <c r="AL3" s="7"/>
      <c r="AM3" s="7"/>
    </row>
    <row r="4" customFormat="false" ht="33.75" hidden="false" customHeight="true" outlineLevel="0" collapsed="false">
      <c r="A4" s="8" t="s">
        <v>42</v>
      </c>
      <c r="B4" s="9" t="s">
        <v>43</v>
      </c>
      <c r="C4" s="9" t="s">
        <v>44</v>
      </c>
      <c r="D4" s="9" t="s">
        <v>45</v>
      </c>
      <c r="E4" s="9" t="s">
        <v>46</v>
      </c>
      <c r="F4" s="9" t="s">
        <v>47</v>
      </c>
      <c r="G4" s="9" t="s">
        <v>48</v>
      </c>
      <c r="H4" s="9" t="s">
        <v>49</v>
      </c>
      <c r="I4" s="9" t="s">
        <v>50</v>
      </c>
      <c r="J4" s="9" t="s">
        <v>51</v>
      </c>
      <c r="K4" s="9" t="s">
        <v>52</v>
      </c>
      <c r="L4" s="9" t="s">
        <v>53</v>
      </c>
      <c r="M4" s="9" t="s">
        <v>54</v>
      </c>
      <c r="N4" s="9" t="s">
        <v>55</v>
      </c>
      <c r="O4" s="9" t="s">
        <v>56</v>
      </c>
      <c r="P4" s="9" t="s">
        <v>57</v>
      </c>
      <c r="Q4" s="10" t="s">
        <v>58</v>
      </c>
      <c r="R4" s="10" t="s">
        <v>59</v>
      </c>
      <c r="S4" s="10" t="s">
        <v>60</v>
      </c>
      <c r="T4" s="10" t="s">
        <v>61</v>
      </c>
      <c r="U4" s="10" t="s">
        <v>62</v>
      </c>
      <c r="V4" s="11" t="s">
        <v>63</v>
      </c>
      <c r="W4" s="10" t="s">
        <v>64</v>
      </c>
      <c r="X4" s="9" t="s">
        <v>65</v>
      </c>
      <c r="Y4" s="9" t="s">
        <v>66</v>
      </c>
      <c r="Z4" s="9" t="s">
        <v>67</v>
      </c>
      <c r="AA4" s="10" t="s">
        <v>68</v>
      </c>
      <c r="AB4" s="9" t="s">
        <v>69</v>
      </c>
      <c r="AC4" s="9" t="s">
        <v>70</v>
      </c>
      <c r="AD4" s="9" t="s">
        <v>71</v>
      </c>
      <c r="AE4" s="9" t="s">
        <v>72</v>
      </c>
      <c r="AF4" s="9" t="s">
        <v>73</v>
      </c>
      <c r="AG4" s="9" t="s">
        <v>74</v>
      </c>
      <c r="AH4" s="10" t="s">
        <v>75</v>
      </c>
      <c r="AI4" s="9" t="s">
        <v>76</v>
      </c>
      <c r="AJ4" s="9" t="s">
        <v>77</v>
      </c>
      <c r="AK4" s="9" t="s">
        <v>78</v>
      </c>
      <c r="AL4" s="10" t="s">
        <v>79</v>
      </c>
      <c r="AM4" s="9" t="s">
        <v>80</v>
      </c>
    </row>
    <row r="5" customFormat="false" ht="15" hidden="false" customHeight="false" outlineLevel="0" collapsed="false">
      <c r="A5" s="12" t="n">
        <f aca="false">IF(C5="","",ROW()-4)</f>
        <v>1</v>
      </c>
      <c r="B5" s="13" t="s">
        <v>81</v>
      </c>
      <c r="C5" s="14" t="s">
        <v>82</v>
      </c>
      <c r="D5" s="14" t="s">
        <v>83</v>
      </c>
      <c r="E5" s="14" t="s">
        <v>84</v>
      </c>
      <c r="F5" s="15" t="s">
        <v>85</v>
      </c>
      <c r="G5" s="13" t="s">
        <v>86</v>
      </c>
      <c r="H5" s="14" t="s">
        <v>87</v>
      </c>
      <c r="I5" s="14" t="s">
        <v>88</v>
      </c>
      <c r="J5" s="14" t="s">
        <v>89</v>
      </c>
      <c r="K5" s="14" t="s">
        <v>90</v>
      </c>
      <c r="L5" s="16" t="n">
        <v>46296</v>
      </c>
      <c r="M5" s="16" t="n">
        <v>46301</v>
      </c>
      <c r="N5" s="14" t="s">
        <v>91</v>
      </c>
      <c r="O5" s="17"/>
      <c r="P5" s="14" t="s">
        <v>92</v>
      </c>
      <c r="Q5" s="18" t="n">
        <f aca="false">IF(B5="","",COUNTIFS(開通管理!$B$5:$B$604,B5,開通管理!$O$5:$O$604,"&lt;&gt;キャンセル"))</f>
        <v>2</v>
      </c>
      <c r="R5" s="18" t="n">
        <f aca="false">IF(B5="","",COUNTIFS(開通管理!$B$5:$B$604,B5,開通管理!$O$5:$O$604,"開通済"))</f>
        <v>1</v>
      </c>
      <c r="S5" s="19" t="str">
        <f aca="false">IF(B5="","",IF(Q5=0,"未申込",IF(R5&lt;Q5,"開通待ち（"&amp;R5&amp;"/"&amp;Q5&amp;"）","全開通")))</f>
        <v>開通待ち（1/2）</v>
      </c>
      <c r="T5" s="20" t="str">
        <f aca="false">IF(S5&lt;&gt;"全開通","",_xlfn.MAXIFS(開通管理!$Q$5:$Q$604,開通管理!$B$5:$B$604,B5))</f>
        <v/>
      </c>
      <c r="U5" s="21" t="n">
        <f aca="false">IF(B5="","",SUMIFS(開通管理!$J$5:$J$604,開通管理!$B$5:$B$604,B5,開通管理!$O$5:$O$604,"&lt;&gt;キャンセル"))</f>
        <v>3730</v>
      </c>
      <c r="V5" s="16" t="n">
        <v>46301</v>
      </c>
      <c r="W5" s="12" t="str">
        <f aca="false">IF(OR(B5="",設定!$B$14=""),"",SUBSTITUTE(設定!$B$14,"__ID__",B5))</f>
        <v/>
      </c>
      <c r="X5" s="22"/>
      <c r="Y5" s="22"/>
      <c r="Z5" s="22"/>
      <c r="AA5" s="20" t="str">
        <f aca="false">IF(Z5="","",WORKDAY(Z5,設定!$B$5,設定!$F$5:$F$120))</f>
        <v/>
      </c>
      <c r="AB5" s="14" t="s">
        <v>93</v>
      </c>
      <c r="AC5" s="17"/>
      <c r="AD5" s="13" t="s">
        <v>94</v>
      </c>
      <c r="AE5" s="14" t="s">
        <v>95</v>
      </c>
      <c r="AF5" s="22"/>
      <c r="AG5" s="17"/>
      <c r="AH5" s="20" t="str">
        <f aca="false">IF(T5="","",EDATE(T5,設定!$B$8))</f>
        <v/>
      </c>
      <c r="AI5" s="17"/>
      <c r="AJ5" s="13" t="s">
        <v>96</v>
      </c>
      <c r="AK5" s="16" t="n">
        <v>46332</v>
      </c>
      <c r="AL5" s="23" t="str">
        <f aca="true">IF(C5="","",IF(N5="失注","―",IF(AND(AK5&lt;&gt;"",AK5&lt;TODAY()),"対応期限超過",IF(AND(AF5="",AA5&lt;&gt;"",IF(AA5="",FALSE(),AA5&lt;TODAY())),"納品遅延",IF(AND(AK5&lt;&gt;"",AK5=TODAY()),"本日対応",IF(AND(S5="全開通",X5="",AF5=""),"ヒアリング依頼待ち",IF(AND(X5&lt;&gt;"",Y5="",Z5="",TODAY()-X5&gt;=設定!$B$6),"ヒアリング未回収",IF(AND(Y5&lt;&gt;"",Z5=""),"素材確認待ち",IF(AND(AF5="",AA5&lt;&gt;"",IF(AA5="",FALSE(),AA5-TODAY()&lt;=設定!$B$7)),"納品間近",IF(AND(AH5&lt;&gt;"",IF(AH5="",FALSE(),AH5&lt;=TODAY()),AI5=""),"解約チェック",IF(AF5&lt;&gt;"","納品済","")))))))))))</f>
        <v/>
      </c>
      <c r="AM5" s="14" t="s">
        <v>97</v>
      </c>
    </row>
    <row r="6" customFormat="false" ht="15" hidden="false" customHeight="false" outlineLevel="0" collapsed="false">
      <c r="A6" s="12" t="str">
        <f aca="false">IF(C6="","",ROW()-4)</f>
        <v/>
      </c>
      <c r="B6" s="17"/>
      <c r="C6" s="17"/>
      <c r="D6" s="17"/>
      <c r="E6" s="17"/>
      <c r="F6" s="24"/>
      <c r="G6" s="17"/>
      <c r="H6" s="17"/>
      <c r="I6" s="17"/>
      <c r="J6" s="17"/>
      <c r="K6" s="17"/>
      <c r="L6" s="22"/>
      <c r="M6" s="22"/>
      <c r="N6" s="17"/>
      <c r="O6" s="17"/>
      <c r="P6" s="17"/>
      <c r="Q6" s="18" t="str">
        <f aca="false">IF(B6="","",COUNTIFS(開通管理!$B$5:$B$604,B6,開通管理!$O$5:$O$604,"&lt;&gt;キャンセル"))</f>
        <v/>
      </c>
      <c r="R6" s="18" t="str">
        <f aca="false">IF(B6="","",COUNTIFS(開通管理!$B$5:$B$604,B6,開通管理!$O$5:$O$604,"開通済"))</f>
        <v/>
      </c>
      <c r="S6" s="19" t="str">
        <f aca="false">IF(B6="","",IF(Q6=0,"未申込",IF(R6&lt;Q6,"開通待ち（"&amp;R6&amp;"/"&amp;Q6&amp;"）","全開通")))</f>
        <v/>
      </c>
      <c r="T6" s="20" t="str">
        <f aca="false">IF(S6&lt;&gt;"全開通","",_xlfn.MAXIFS(開通管理!$Q$5:$Q$604,開通管理!$B$5:$B$604,B6))</f>
        <v/>
      </c>
      <c r="U6" s="21" t="str">
        <f aca="false">IF(B6="","",SUMIFS(開通管理!$J$5:$J$604,開通管理!$B$5:$B$604,B6,開通管理!$O$5:$O$604,"&lt;&gt;キャンセル"))</f>
        <v/>
      </c>
      <c r="V6" s="22"/>
      <c r="W6" s="12" t="str">
        <f aca="false">IF(OR(B6="",設定!$B$14=""),"",SUBSTITUTE(設定!$B$14,"__ID__",B6))</f>
        <v/>
      </c>
      <c r="X6" s="22"/>
      <c r="Y6" s="22"/>
      <c r="Z6" s="22"/>
      <c r="AA6" s="20" t="str">
        <f aca="false">IF(Z6="","",WORKDAY(Z6,設定!$B$5,設定!$F$5:$F$120))</f>
        <v/>
      </c>
      <c r="AB6" s="17"/>
      <c r="AC6" s="17"/>
      <c r="AD6" s="17"/>
      <c r="AE6" s="17"/>
      <c r="AF6" s="22"/>
      <c r="AG6" s="17"/>
      <c r="AH6" s="20" t="str">
        <f aca="false">IF(T6="","",EDATE(T6,設定!$B$8))</f>
        <v/>
      </c>
      <c r="AI6" s="17"/>
      <c r="AJ6" s="17"/>
      <c r="AK6" s="22"/>
      <c r="AL6" s="23" t="str">
        <f aca="true">IF(C6="","",IF(N6="失注","―",IF(AND(AK6&lt;&gt;"",AK6&lt;TODAY()),"対応期限超過",IF(AND(AF6="",AA6&lt;&gt;"",IF(AA6="",FALSE(),AA6&lt;TODAY())),"納品遅延",IF(AND(AK6&lt;&gt;"",AK6=TODAY()),"本日対応",IF(AND(S6="全開通",X6="",AF6=""),"ヒアリング依頼待ち",IF(AND(X6&lt;&gt;"",Y6="",Z6="",TODAY()-X6&gt;=設定!$B$6),"ヒアリング未回収",IF(AND(Y6&lt;&gt;"",Z6=""),"素材確認待ち",IF(AND(AF6="",AA6&lt;&gt;"",IF(AA6="",FALSE(),AA6-TODAY()&lt;=設定!$B$7)),"納品間近",IF(AND(AH6&lt;&gt;"",IF(AH6="",FALSE(),AH6&lt;=TODAY()),AI6=""),"解約チェック",IF(AF6&lt;&gt;"","納品済","")))))))))))</f>
        <v/>
      </c>
      <c r="AM6" s="17"/>
    </row>
    <row r="7" customFormat="false" ht="15" hidden="false" customHeight="false" outlineLevel="0" collapsed="false">
      <c r="A7" s="12" t="str">
        <f aca="false">IF(C7="","",ROW()-4)</f>
        <v/>
      </c>
      <c r="B7" s="17"/>
      <c r="C7" s="17"/>
      <c r="D7" s="17"/>
      <c r="E7" s="17"/>
      <c r="F7" s="24"/>
      <c r="G7" s="17"/>
      <c r="H7" s="17"/>
      <c r="I7" s="17"/>
      <c r="J7" s="17"/>
      <c r="K7" s="17"/>
      <c r="L7" s="22"/>
      <c r="M7" s="22"/>
      <c r="N7" s="17"/>
      <c r="O7" s="17"/>
      <c r="P7" s="17"/>
      <c r="Q7" s="18" t="str">
        <f aca="false">IF(B7="","",COUNTIFS(開通管理!$B$5:$B$604,B7,開通管理!$O$5:$O$604,"&lt;&gt;キャンセル"))</f>
        <v/>
      </c>
      <c r="R7" s="18" t="str">
        <f aca="false">IF(B7="","",COUNTIFS(開通管理!$B$5:$B$604,B7,開通管理!$O$5:$O$604,"開通済"))</f>
        <v/>
      </c>
      <c r="S7" s="19" t="str">
        <f aca="false">IF(B7="","",IF(Q7=0,"未申込",IF(R7&lt;Q7,"開通待ち（"&amp;R7&amp;"/"&amp;Q7&amp;"）","全開通")))</f>
        <v/>
      </c>
      <c r="T7" s="20" t="str">
        <f aca="false">IF(S7&lt;&gt;"全開通","",_xlfn.MAXIFS(開通管理!$Q$5:$Q$604,開通管理!$B$5:$B$604,B7))</f>
        <v/>
      </c>
      <c r="U7" s="21" t="str">
        <f aca="false">IF(B7="","",SUMIFS(開通管理!$J$5:$J$604,開通管理!$B$5:$B$604,B7,開通管理!$O$5:$O$604,"&lt;&gt;キャンセル"))</f>
        <v/>
      </c>
      <c r="V7" s="22"/>
      <c r="W7" s="12" t="str">
        <f aca="false">IF(OR(B7="",設定!$B$14=""),"",SUBSTITUTE(設定!$B$14,"__ID__",B7))</f>
        <v/>
      </c>
      <c r="X7" s="22"/>
      <c r="Y7" s="22"/>
      <c r="Z7" s="22"/>
      <c r="AA7" s="20" t="str">
        <f aca="false">IF(Z7="","",WORKDAY(Z7,設定!$B$5,設定!$F$5:$F$120))</f>
        <v/>
      </c>
      <c r="AB7" s="17"/>
      <c r="AC7" s="17"/>
      <c r="AD7" s="17"/>
      <c r="AE7" s="17"/>
      <c r="AF7" s="22"/>
      <c r="AG7" s="17"/>
      <c r="AH7" s="20" t="str">
        <f aca="false">IF(T7="","",EDATE(T7,設定!$B$8))</f>
        <v/>
      </c>
      <c r="AI7" s="17"/>
      <c r="AJ7" s="17"/>
      <c r="AK7" s="22"/>
      <c r="AL7" s="23" t="str">
        <f aca="true">IF(C7="","",IF(N7="失注","―",IF(AND(AK7&lt;&gt;"",AK7&lt;TODAY()),"対応期限超過",IF(AND(AF7="",AA7&lt;&gt;"",IF(AA7="",FALSE(),AA7&lt;TODAY())),"納品遅延",IF(AND(AK7&lt;&gt;"",AK7=TODAY()),"本日対応",IF(AND(S7="全開通",X7="",AF7=""),"ヒアリング依頼待ち",IF(AND(X7&lt;&gt;"",Y7="",Z7="",TODAY()-X7&gt;=設定!$B$6),"ヒアリング未回収",IF(AND(Y7&lt;&gt;"",Z7=""),"素材確認待ち",IF(AND(AF7="",AA7&lt;&gt;"",IF(AA7="",FALSE(),AA7-TODAY()&lt;=設定!$B$7)),"納品間近",IF(AND(AH7&lt;&gt;"",IF(AH7="",FALSE(),AH7&lt;=TODAY()),AI7=""),"解約チェック",IF(AF7&lt;&gt;"","納品済","")))))))))))</f>
        <v/>
      </c>
      <c r="AM7" s="17"/>
    </row>
    <row r="8" customFormat="false" ht="15" hidden="false" customHeight="false" outlineLevel="0" collapsed="false">
      <c r="A8" s="12" t="str">
        <f aca="false">IF(C8="","",ROW()-4)</f>
        <v/>
      </c>
      <c r="B8" s="17"/>
      <c r="C8" s="17"/>
      <c r="D8" s="17"/>
      <c r="E8" s="17"/>
      <c r="F8" s="24"/>
      <c r="G8" s="17"/>
      <c r="H8" s="17"/>
      <c r="I8" s="17"/>
      <c r="J8" s="17"/>
      <c r="K8" s="17"/>
      <c r="L8" s="22"/>
      <c r="M8" s="22"/>
      <c r="N8" s="17"/>
      <c r="O8" s="17"/>
      <c r="P8" s="17"/>
      <c r="Q8" s="18" t="str">
        <f aca="false">IF(B8="","",COUNTIFS(開通管理!$B$5:$B$604,B8,開通管理!$O$5:$O$604,"&lt;&gt;キャンセル"))</f>
        <v/>
      </c>
      <c r="R8" s="18" t="str">
        <f aca="false">IF(B8="","",COUNTIFS(開通管理!$B$5:$B$604,B8,開通管理!$O$5:$O$604,"開通済"))</f>
        <v/>
      </c>
      <c r="S8" s="19" t="str">
        <f aca="false">IF(B8="","",IF(Q8=0,"未申込",IF(R8&lt;Q8,"開通待ち（"&amp;R8&amp;"/"&amp;Q8&amp;"）","全開通")))</f>
        <v/>
      </c>
      <c r="T8" s="20" t="str">
        <f aca="false">IF(S8&lt;&gt;"全開通","",_xlfn.MAXIFS(開通管理!$Q$5:$Q$604,開通管理!$B$5:$B$604,B8))</f>
        <v/>
      </c>
      <c r="U8" s="21" t="str">
        <f aca="false">IF(B8="","",SUMIFS(開通管理!$J$5:$J$604,開通管理!$B$5:$B$604,B8,開通管理!$O$5:$O$604,"&lt;&gt;キャンセル"))</f>
        <v/>
      </c>
      <c r="V8" s="22"/>
      <c r="W8" s="12" t="str">
        <f aca="false">IF(OR(B8="",設定!$B$14=""),"",SUBSTITUTE(設定!$B$14,"__ID__",B8))</f>
        <v/>
      </c>
      <c r="X8" s="22"/>
      <c r="Y8" s="22"/>
      <c r="Z8" s="22"/>
      <c r="AA8" s="20" t="str">
        <f aca="false">IF(Z8="","",WORKDAY(Z8,設定!$B$5,設定!$F$5:$F$120))</f>
        <v/>
      </c>
      <c r="AB8" s="17"/>
      <c r="AC8" s="17"/>
      <c r="AD8" s="17"/>
      <c r="AE8" s="17"/>
      <c r="AF8" s="22"/>
      <c r="AG8" s="17"/>
      <c r="AH8" s="20" t="str">
        <f aca="false">IF(T8="","",EDATE(T8,設定!$B$8))</f>
        <v/>
      </c>
      <c r="AI8" s="17"/>
      <c r="AJ8" s="17"/>
      <c r="AK8" s="22"/>
      <c r="AL8" s="23" t="str">
        <f aca="true">IF(C8="","",IF(N8="失注","―",IF(AND(AK8&lt;&gt;"",AK8&lt;TODAY()),"対応期限超過",IF(AND(AF8="",AA8&lt;&gt;"",IF(AA8="",FALSE(),AA8&lt;TODAY())),"納品遅延",IF(AND(AK8&lt;&gt;"",AK8=TODAY()),"本日対応",IF(AND(S8="全開通",X8="",AF8=""),"ヒアリング依頼待ち",IF(AND(X8&lt;&gt;"",Y8="",Z8="",TODAY()-X8&gt;=設定!$B$6),"ヒアリング未回収",IF(AND(Y8&lt;&gt;"",Z8=""),"素材確認待ち",IF(AND(AF8="",AA8&lt;&gt;"",IF(AA8="",FALSE(),AA8-TODAY()&lt;=設定!$B$7)),"納品間近",IF(AND(AH8&lt;&gt;"",IF(AH8="",FALSE(),AH8&lt;=TODAY()),AI8=""),"解約チェック",IF(AF8&lt;&gt;"","納品済","")))))))))))</f>
        <v/>
      </c>
      <c r="AM8" s="17"/>
    </row>
    <row r="9" customFormat="false" ht="15" hidden="false" customHeight="false" outlineLevel="0" collapsed="false">
      <c r="A9" s="12" t="str">
        <f aca="false">IF(C9="","",ROW()-4)</f>
        <v/>
      </c>
      <c r="B9" s="17"/>
      <c r="C9" s="17"/>
      <c r="D9" s="17"/>
      <c r="E9" s="17"/>
      <c r="F9" s="24"/>
      <c r="G9" s="17"/>
      <c r="H9" s="17"/>
      <c r="I9" s="17"/>
      <c r="J9" s="17"/>
      <c r="K9" s="17"/>
      <c r="L9" s="22"/>
      <c r="M9" s="22"/>
      <c r="N9" s="17"/>
      <c r="O9" s="17"/>
      <c r="P9" s="17"/>
      <c r="Q9" s="18" t="str">
        <f aca="false">IF(B9="","",COUNTIFS(開通管理!$B$5:$B$604,B9,開通管理!$O$5:$O$604,"&lt;&gt;キャンセル"))</f>
        <v/>
      </c>
      <c r="R9" s="18" t="str">
        <f aca="false">IF(B9="","",COUNTIFS(開通管理!$B$5:$B$604,B9,開通管理!$O$5:$O$604,"開通済"))</f>
        <v/>
      </c>
      <c r="S9" s="19" t="str">
        <f aca="false">IF(B9="","",IF(Q9=0,"未申込",IF(R9&lt;Q9,"開通待ち（"&amp;R9&amp;"/"&amp;Q9&amp;"）","全開通")))</f>
        <v/>
      </c>
      <c r="T9" s="20" t="str">
        <f aca="false">IF(S9&lt;&gt;"全開通","",_xlfn.MAXIFS(開通管理!$Q$5:$Q$604,開通管理!$B$5:$B$604,B9))</f>
        <v/>
      </c>
      <c r="U9" s="21" t="str">
        <f aca="false">IF(B9="","",SUMIFS(開通管理!$J$5:$J$604,開通管理!$B$5:$B$604,B9,開通管理!$O$5:$O$604,"&lt;&gt;キャンセル"))</f>
        <v/>
      </c>
      <c r="V9" s="22"/>
      <c r="W9" s="12" t="str">
        <f aca="false">IF(OR(B9="",設定!$B$14=""),"",SUBSTITUTE(設定!$B$14,"__ID__",B9))</f>
        <v/>
      </c>
      <c r="X9" s="22"/>
      <c r="Y9" s="22"/>
      <c r="Z9" s="22"/>
      <c r="AA9" s="20" t="str">
        <f aca="false">IF(Z9="","",WORKDAY(Z9,設定!$B$5,設定!$F$5:$F$120))</f>
        <v/>
      </c>
      <c r="AB9" s="17"/>
      <c r="AC9" s="17"/>
      <c r="AD9" s="17"/>
      <c r="AE9" s="17"/>
      <c r="AF9" s="22"/>
      <c r="AG9" s="17"/>
      <c r="AH9" s="20" t="str">
        <f aca="false">IF(T9="","",EDATE(T9,設定!$B$8))</f>
        <v/>
      </c>
      <c r="AI9" s="17"/>
      <c r="AJ9" s="17"/>
      <c r="AK9" s="22"/>
      <c r="AL9" s="23" t="str">
        <f aca="true">IF(C9="","",IF(N9="失注","―",IF(AND(AK9&lt;&gt;"",AK9&lt;TODAY()),"対応期限超過",IF(AND(AF9="",AA9&lt;&gt;"",IF(AA9="",FALSE(),AA9&lt;TODAY())),"納品遅延",IF(AND(AK9&lt;&gt;"",AK9=TODAY()),"本日対応",IF(AND(S9="全開通",X9="",AF9=""),"ヒアリング依頼待ち",IF(AND(X9&lt;&gt;"",Y9="",Z9="",TODAY()-X9&gt;=設定!$B$6),"ヒアリング未回収",IF(AND(Y9&lt;&gt;"",Z9=""),"素材確認待ち",IF(AND(AF9="",AA9&lt;&gt;"",IF(AA9="",FALSE(),AA9-TODAY()&lt;=設定!$B$7)),"納品間近",IF(AND(AH9&lt;&gt;"",IF(AH9="",FALSE(),AH9&lt;=TODAY()),AI9=""),"解約チェック",IF(AF9&lt;&gt;"","納品済","")))))))))))</f>
        <v/>
      </c>
      <c r="AM9" s="17"/>
    </row>
    <row r="10" customFormat="false" ht="15" hidden="false" customHeight="false" outlineLevel="0" collapsed="false">
      <c r="A10" s="12" t="str">
        <f aca="false">IF(C10="","",ROW()-4)</f>
        <v/>
      </c>
      <c r="B10" s="17"/>
      <c r="C10" s="17"/>
      <c r="D10" s="17"/>
      <c r="E10" s="17"/>
      <c r="F10" s="24"/>
      <c r="G10" s="17"/>
      <c r="H10" s="17"/>
      <c r="I10" s="17"/>
      <c r="J10" s="17"/>
      <c r="K10" s="17"/>
      <c r="L10" s="22"/>
      <c r="M10" s="22"/>
      <c r="N10" s="17"/>
      <c r="O10" s="17"/>
      <c r="P10" s="17"/>
      <c r="Q10" s="18" t="str">
        <f aca="false">IF(B10="","",COUNTIFS(開通管理!$B$5:$B$604,B10,開通管理!$O$5:$O$604,"&lt;&gt;キャンセル"))</f>
        <v/>
      </c>
      <c r="R10" s="18" t="str">
        <f aca="false">IF(B10="","",COUNTIFS(開通管理!$B$5:$B$604,B10,開通管理!$O$5:$O$604,"開通済"))</f>
        <v/>
      </c>
      <c r="S10" s="19" t="str">
        <f aca="false">IF(B10="","",IF(Q10=0,"未申込",IF(R10&lt;Q10,"開通待ち（"&amp;R10&amp;"/"&amp;Q10&amp;"）","全開通")))</f>
        <v/>
      </c>
      <c r="T10" s="20" t="str">
        <f aca="false">IF(S10&lt;&gt;"全開通","",_xlfn.MAXIFS(開通管理!$Q$5:$Q$604,開通管理!$B$5:$B$604,B10))</f>
        <v/>
      </c>
      <c r="U10" s="21" t="str">
        <f aca="false">IF(B10="","",SUMIFS(開通管理!$J$5:$J$604,開通管理!$B$5:$B$604,B10,開通管理!$O$5:$O$604,"&lt;&gt;キャンセル"))</f>
        <v/>
      </c>
      <c r="V10" s="22"/>
      <c r="W10" s="12" t="str">
        <f aca="false">IF(OR(B10="",設定!$B$14=""),"",SUBSTITUTE(設定!$B$14,"__ID__",B10))</f>
        <v/>
      </c>
      <c r="X10" s="22"/>
      <c r="Y10" s="22"/>
      <c r="Z10" s="22"/>
      <c r="AA10" s="20" t="str">
        <f aca="false">IF(Z10="","",WORKDAY(Z10,設定!$B$5,設定!$F$5:$F$120))</f>
        <v/>
      </c>
      <c r="AB10" s="17"/>
      <c r="AC10" s="17"/>
      <c r="AD10" s="17"/>
      <c r="AE10" s="17"/>
      <c r="AF10" s="22"/>
      <c r="AG10" s="17"/>
      <c r="AH10" s="20" t="str">
        <f aca="false">IF(T10="","",EDATE(T10,設定!$B$8))</f>
        <v/>
      </c>
      <c r="AI10" s="17"/>
      <c r="AJ10" s="17"/>
      <c r="AK10" s="22"/>
      <c r="AL10" s="23" t="str">
        <f aca="true">IF(C10="","",IF(N10="失注","―",IF(AND(AK10&lt;&gt;"",AK10&lt;TODAY()),"対応期限超過",IF(AND(AF10="",AA10&lt;&gt;"",IF(AA10="",FALSE(),AA10&lt;TODAY())),"納品遅延",IF(AND(AK10&lt;&gt;"",AK10=TODAY()),"本日対応",IF(AND(S10="全開通",X10="",AF10=""),"ヒアリング依頼待ち",IF(AND(X10&lt;&gt;"",Y10="",Z10="",TODAY()-X10&gt;=設定!$B$6),"ヒアリング未回収",IF(AND(Y10&lt;&gt;"",Z10=""),"素材確認待ち",IF(AND(AF10="",AA10&lt;&gt;"",IF(AA10="",FALSE(),AA10-TODAY()&lt;=設定!$B$7)),"納品間近",IF(AND(AH10&lt;&gt;"",IF(AH10="",FALSE(),AH10&lt;=TODAY()),AI10=""),"解約チェック",IF(AF10&lt;&gt;"","納品済","")))))))))))</f>
        <v/>
      </c>
      <c r="AM10" s="17"/>
    </row>
    <row r="11" customFormat="false" ht="15" hidden="false" customHeight="false" outlineLevel="0" collapsed="false">
      <c r="A11" s="12" t="str">
        <f aca="false">IF(C11="","",ROW()-4)</f>
        <v/>
      </c>
      <c r="B11" s="17"/>
      <c r="C11" s="17"/>
      <c r="D11" s="17"/>
      <c r="E11" s="17"/>
      <c r="F11" s="24"/>
      <c r="G11" s="17"/>
      <c r="H11" s="17"/>
      <c r="I11" s="17"/>
      <c r="J11" s="17"/>
      <c r="K11" s="17"/>
      <c r="L11" s="22"/>
      <c r="M11" s="22"/>
      <c r="N11" s="17"/>
      <c r="O11" s="17"/>
      <c r="P11" s="17"/>
      <c r="Q11" s="18" t="str">
        <f aca="false">IF(B11="","",COUNTIFS(開通管理!$B$5:$B$604,B11,開通管理!$O$5:$O$604,"&lt;&gt;キャンセル"))</f>
        <v/>
      </c>
      <c r="R11" s="18" t="str">
        <f aca="false">IF(B11="","",COUNTIFS(開通管理!$B$5:$B$604,B11,開通管理!$O$5:$O$604,"開通済"))</f>
        <v/>
      </c>
      <c r="S11" s="19" t="str">
        <f aca="false">IF(B11="","",IF(Q11=0,"未申込",IF(R11&lt;Q11,"開通待ち（"&amp;R11&amp;"/"&amp;Q11&amp;"）","全開通")))</f>
        <v/>
      </c>
      <c r="T11" s="20" t="str">
        <f aca="false">IF(S11&lt;&gt;"全開通","",_xlfn.MAXIFS(開通管理!$Q$5:$Q$604,開通管理!$B$5:$B$604,B11))</f>
        <v/>
      </c>
      <c r="U11" s="21" t="str">
        <f aca="false">IF(B11="","",SUMIFS(開通管理!$J$5:$J$604,開通管理!$B$5:$B$604,B11,開通管理!$O$5:$O$604,"&lt;&gt;キャンセル"))</f>
        <v/>
      </c>
      <c r="V11" s="22"/>
      <c r="W11" s="12" t="str">
        <f aca="false">IF(OR(B11="",設定!$B$14=""),"",SUBSTITUTE(設定!$B$14,"__ID__",B11))</f>
        <v/>
      </c>
      <c r="X11" s="22"/>
      <c r="Y11" s="22"/>
      <c r="Z11" s="22"/>
      <c r="AA11" s="20" t="str">
        <f aca="false">IF(Z11="","",WORKDAY(Z11,設定!$B$5,設定!$F$5:$F$120))</f>
        <v/>
      </c>
      <c r="AB11" s="17"/>
      <c r="AC11" s="17"/>
      <c r="AD11" s="17"/>
      <c r="AE11" s="17"/>
      <c r="AF11" s="22"/>
      <c r="AG11" s="17"/>
      <c r="AH11" s="20" t="str">
        <f aca="false">IF(T11="","",EDATE(T11,設定!$B$8))</f>
        <v/>
      </c>
      <c r="AI11" s="17"/>
      <c r="AJ11" s="17"/>
      <c r="AK11" s="22"/>
      <c r="AL11" s="23" t="str">
        <f aca="true">IF(C11="","",IF(N11="失注","―",IF(AND(AK11&lt;&gt;"",AK11&lt;TODAY()),"対応期限超過",IF(AND(AF11="",AA11&lt;&gt;"",IF(AA11="",FALSE(),AA11&lt;TODAY())),"納品遅延",IF(AND(AK11&lt;&gt;"",AK11=TODAY()),"本日対応",IF(AND(S11="全開通",X11="",AF11=""),"ヒアリング依頼待ち",IF(AND(X11&lt;&gt;"",Y11="",Z11="",TODAY()-X11&gt;=設定!$B$6),"ヒアリング未回収",IF(AND(Y11&lt;&gt;"",Z11=""),"素材確認待ち",IF(AND(AF11="",AA11&lt;&gt;"",IF(AA11="",FALSE(),AA11-TODAY()&lt;=設定!$B$7)),"納品間近",IF(AND(AH11&lt;&gt;"",IF(AH11="",FALSE(),AH11&lt;=TODAY()),AI11=""),"解約チェック",IF(AF11&lt;&gt;"","納品済","")))))))))))</f>
        <v/>
      </c>
      <c r="AM11" s="17"/>
    </row>
    <row r="12" customFormat="false" ht="15" hidden="false" customHeight="false" outlineLevel="0" collapsed="false">
      <c r="A12" s="12" t="str">
        <f aca="false">IF(C12="","",ROW()-4)</f>
        <v/>
      </c>
      <c r="B12" s="17"/>
      <c r="C12" s="17"/>
      <c r="D12" s="17"/>
      <c r="E12" s="17"/>
      <c r="F12" s="24"/>
      <c r="G12" s="17"/>
      <c r="H12" s="17"/>
      <c r="I12" s="17"/>
      <c r="J12" s="17"/>
      <c r="K12" s="17"/>
      <c r="L12" s="22"/>
      <c r="M12" s="22"/>
      <c r="N12" s="17"/>
      <c r="O12" s="17"/>
      <c r="P12" s="17"/>
      <c r="Q12" s="18" t="str">
        <f aca="false">IF(B12="","",COUNTIFS(開通管理!$B$5:$B$604,B12,開通管理!$O$5:$O$604,"&lt;&gt;キャンセル"))</f>
        <v/>
      </c>
      <c r="R12" s="18" t="str">
        <f aca="false">IF(B12="","",COUNTIFS(開通管理!$B$5:$B$604,B12,開通管理!$O$5:$O$604,"開通済"))</f>
        <v/>
      </c>
      <c r="S12" s="19" t="str">
        <f aca="false">IF(B12="","",IF(Q12=0,"未申込",IF(R12&lt;Q12,"開通待ち（"&amp;R12&amp;"/"&amp;Q12&amp;"）","全開通")))</f>
        <v/>
      </c>
      <c r="T12" s="20" t="str">
        <f aca="false">IF(S12&lt;&gt;"全開通","",_xlfn.MAXIFS(開通管理!$Q$5:$Q$604,開通管理!$B$5:$B$604,B12))</f>
        <v/>
      </c>
      <c r="U12" s="21" t="str">
        <f aca="false">IF(B12="","",SUMIFS(開通管理!$J$5:$J$604,開通管理!$B$5:$B$604,B12,開通管理!$O$5:$O$604,"&lt;&gt;キャンセル"))</f>
        <v/>
      </c>
      <c r="V12" s="22"/>
      <c r="W12" s="12" t="str">
        <f aca="false">IF(OR(B12="",設定!$B$14=""),"",SUBSTITUTE(設定!$B$14,"__ID__",B12))</f>
        <v/>
      </c>
      <c r="X12" s="22"/>
      <c r="Y12" s="22"/>
      <c r="Z12" s="22"/>
      <c r="AA12" s="20" t="str">
        <f aca="false">IF(Z12="","",WORKDAY(Z12,設定!$B$5,設定!$F$5:$F$120))</f>
        <v/>
      </c>
      <c r="AB12" s="17"/>
      <c r="AC12" s="17"/>
      <c r="AD12" s="17"/>
      <c r="AE12" s="17"/>
      <c r="AF12" s="22"/>
      <c r="AG12" s="17"/>
      <c r="AH12" s="20" t="str">
        <f aca="false">IF(T12="","",EDATE(T12,設定!$B$8))</f>
        <v/>
      </c>
      <c r="AI12" s="17"/>
      <c r="AJ12" s="17"/>
      <c r="AK12" s="22"/>
      <c r="AL12" s="23" t="str">
        <f aca="true">IF(C12="","",IF(N12="失注","―",IF(AND(AK12&lt;&gt;"",AK12&lt;TODAY()),"対応期限超過",IF(AND(AF12="",AA12&lt;&gt;"",IF(AA12="",FALSE(),AA12&lt;TODAY())),"納品遅延",IF(AND(AK12&lt;&gt;"",AK12=TODAY()),"本日対応",IF(AND(S12="全開通",X12="",AF12=""),"ヒアリング依頼待ち",IF(AND(X12&lt;&gt;"",Y12="",Z12="",TODAY()-X12&gt;=設定!$B$6),"ヒアリング未回収",IF(AND(Y12&lt;&gt;"",Z12=""),"素材確認待ち",IF(AND(AF12="",AA12&lt;&gt;"",IF(AA12="",FALSE(),AA12-TODAY()&lt;=設定!$B$7)),"納品間近",IF(AND(AH12&lt;&gt;"",IF(AH12="",FALSE(),AH12&lt;=TODAY()),AI12=""),"解約チェック",IF(AF12&lt;&gt;"","納品済","")))))))))))</f>
        <v/>
      </c>
      <c r="AM12" s="17"/>
    </row>
    <row r="13" customFormat="false" ht="15" hidden="false" customHeight="false" outlineLevel="0" collapsed="false">
      <c r="A13" s="12" t="str">
        <f aca="false">IF(C13="","",ROW()-4)</f>
        <v/>
      </c>
      <c r="B13" s="17"/>
      <c r="C13" s="17"/>
      <c r="D13" s="17"/>
      <c r="E13" s="17"/>
      <c r="F13" s="24"/>
      <c r="G13" s="17"/>
      <c r="H13" s="17"/>
      <c r="I13" s="17"/>
      <c r="J13" s="17"/>
      <c r="K13" s="17"/>
      <c r="L13" s="22"/>
      <c r="M13" s="22"/>
      <c r="N13" s="17"/>
      <c r="O13" s="17"/>
      <c r="P13" s="17"/>
      <c r="Q13" s="18" t="str">
        <f aca="false">IF(B13="","",COUNTIFS(開通管理!$B$5:$B$604,B13,開通管理!$O$5:$O$604,"&lt;&gt;キャンセル"))</f>
        <v/>
      </c>
      <c r="R13" s="18" t="str">
        <f aca="false">IF(B13="","",COUNTIFS(開通管理!$B$5:$B$604,B13,開通管理!$O$5:$O$604,"開通済"))</f>
        <v/>
      </c>
      <c r="S13" s="19" t="str">
        <f aca="false">IF(B13="","",IF(Q13=0,"未申込",IF(R13&lt;Q13,"開通待ち（"&amp;R13&amp;"/"&amp;Q13&amp;"）","全開通")))</f>
        <v/>
      </c>
      <c r="T13" s="20" t="str">
        <f aca="false">IF(S13&lt;&gt;"全開通","",_xlfn.MAXIFS(開通管理!$Q$5:$Q$604,開通管理!$B$5:$B$604,B13))</f>
        <v/>
      </c>
      <c r="U13" s="21" t="str">
        <f aca="false">IF(B13="","",SUMIFS(開通管理!$J$5:$J$604,開通管理!$B$5:$B$604,B13,開通管理!$O$5:$O$604,"&lt;&gt;キャンセル"))</f>
        <v/>
      </c>
      <c r="V13" s="22"/>
      <c r="W13" s="12" t="str">
        <f aca="false">IF(OR(B13="",設定!$B$14=""),"",SUBSTITUTE(設定!$B$14,"__ID__",B13))</f>
        <v/>
      </c>
      <c r="X13" s="22"/>
      <c r="Y13" s="22"/>
      <c r="Z13" s="22"/>
      <c r="AA13" s="20" t="str">
        <f aca="false">IF(Z13="","",WORKDAY(Z13,設定!$B$5,設定!$F$5:$F$120))</f>
        <v/>
      </c>
      <c r="AB13" s="17"/>
      <c r="AC13" s="17"/>
      <c r="AD13" s="17"/>
      <c r="AE13" s="17"/>
      <c r="AF13" s="22"/>
      <c r="AG13" s="17"/>
      <c r="AH13" s="20" t="str">
        <f aca="false">IF(T13="","",EDATE(T13,設定!$B$8))</f>
        <v/>
      </c>
      <c r="AI13" s="17"/>
      <c r="AJ13" s="17"/>
      <c r="AK13" s="22"/>
      <c r="AL13" s="23" t="str">
        <f aca="true">IF(C13="","",IF(N13="失注","―",IF(AND(AK13&lt;&gt;"",AK13&lt;TODAY()),"対応期限超過",IF(AND(AF13="",AA13&lt;&gt;"",IF(AA13="",FALSE(),AA13&lt;TODAY())),"納品遅延",IF(AND(AK13&lt;&gt;"",AK13=TODAY()),"本日対応",IF(AND(S13="全開通",X13="",AF13=""),"ヒアリング依頼待ち",IF(AND(X13&lt;&gt;"",Y13="",Z13="",TODAY()-X13&gt;=設定!$B$6),"ヒアリング未回収",IF(AND(Y13&lt;&gt;"",Z13=""),"素材確認待ち",IF(AND(AF13="",AA13&lt;&gt;"",IF(AA13="",FALSE(),AA13-TODAY()&lt;=設定!$B$7)),"納品間近",IF(AND(AH13&lt;&gt;"",IF(AH13="",FALSE(),AH13&lt;=TODAY()),AI13=""),"解約チェック",IF(AF13&lt;&gt;"","納品済","")))))))))))</f>
        <v/>
      </c>
      <c r="AM13" s="17"/>
    </row>
    <row r="14" customFormat="false" ht="15" hidden="false" customHeight="false" outlineLevel="0" collapsed="false">
      <c r="A14" s="12" t="str">
        <f aca="false">IF(C14="","",ROW()-4)</f>
        <v/>
      </c>
      <c r="B14" s="17"/>
      <c r="C14" s="17"/>
      <c r="D14" s="17"/>
      <c r="E14" s="17"/>
      <c r="F14" s="24"/>
      <c r="G14" s="17"/>
      <c r="H14" s="17"/>
      <c r="I14" s="17"/>
      <c r="J14" s="17"/>
      <c r="K14" s="17"/>
      <c r="L14" s="22"/>
      <c r="M14" s="22"/>
      <c r="N14" s="17"/>
      <c r="O14" s="17"/>
      <c r="P14" s="17"/>
      <c r="Q14" s="18" t="str">
        <f aca="false">IF(B14="","",COUNTIFS(開通管理!$B$5:$B$604,B14,開通管理!$O$5:$O$604,"&lt;&gt;キャンセル"))</f>
        <v/>
      </c>
      <c r="R14" s="18" t="str">
        <f aca="false">IF(B14="","",COUNTIFS(開通管理!$B$5:$B$604,B14,開通管理!$O$5:$O$604,"開通済"))</f>
        <v/>
      </c>
      <c r="S14" s="19" t="str">
        <f aca="false">IF(B14="","",IF(Q14=0,"未申込",IF(R14&lt;Q14,"開通待ち（"&amp;R14&amp;"/"&amp;Q14&amp;"）","全開通")))</f>
        <v/>
      </c>
      <c r="T14" s="20" t="str">
        <f aca="false">IF(S14&lt;&gt;"全開通","",_xlfn.MAXIFS(開通管理!$Q$5:$Q$604,開通管理!$B$5:$B$604,B14))</f>
        <v/>
      </c>
      <c r="U14" s="21" t="str">
        <f aca="false">IF(B14="","",SUMIFS(開通管理!$J$5:$J$604,開通管理!$B$5:$B$604,B14,開通管理!$O$5:$O$604,"&lt;&gt;キャンセル"))</f>
        <v/>
      </c>
      <c r="V14" s="22"/>
      <c r="W14" s="12" t="str">
        <f aca="false">IF(OR(B14="",設定!$B$14=""),"",SUBSTITUTE(設定!$B$14,"__ID__",B14))</f>
        <v/>
      </c>
      <c r="X14" s="22"/>
      <c r="Y14" s="22"/>
      <c r="Z14" s="22"/>
      <c r="AA14" s="20" t="str">
        <f aca="false">IF(Z14="","",WORKDAY(Z14,設定!$B$5,設定!$F$5:$F$120))</f>
        <v/>
      </c>
      <c r="AB14" s="17"/>
      <c r="AC14" s="17"/>
      <c r="AD14" s="17"/>
      <c r="AE14" s="17"/>
      <c r="AF14" s="22"/>
      <c r="AG14" s="17"/>
      <c r="AH14" s="20" t="str">
        <f aca="false">IF(T14="","",EDATE(T14,設定!$B$8))</f>
        <v/>
      </c>
      <c r="AI14" s="17"/>
      <c r="AJ14" s="17"/>
      <c r="AK14" s="22"/>
      <c r="AL14" s="23" t="str">
        <f aca="true">IF(C14="","",IF(N14="失注","―",IF(AND(AK14&lt;&gt;"",AK14&lt;TODAY()),"対応期限超過",IF(AND(AF14="",AA14&lt;&gt;"",IF(AA14="",FALSE(),AA14&lt;TODAY())),"納品遅延",IF(AND(AK14&lt;&gt;"",AK14=TODAY()),"本日対応",IF(AND(S14="全開通",X14="",AF14=""),"ヒアリング依頼待ち",IF(AND(X14&lt;&gt;"",Y14="",Z14="",TODAY()-X14&gt;=設定!$B$6),"ヒアリング未回収",IF(AND(Y14&lt;&gt;"",Z14=""),"素材確認待ち",IF(AND(AF14="",AA14&lt;&gt;"",IF(AA14="",FALSE(),AA14-TODAY()&lt;=設定!$B$7)),"納品間近",IF(AND(AH14&lt;&gt;"",IF(AH14="",FALSE(),AH14&lt;=TODAY()),AI14=""),"解約チェック",IF(AF14&lt;&gt;"","納品済","")))))))))))</f>
        <v/>
      </c>
      <c r="AM14" s="17"/>
    </row>
    <row r="15" customFormat="false" ht="15" hidden="false" customHeight="false" outlineLevel="0" collapsed="false">
      <c r="A15" s="12" t="str">
        <f aca="false">IF(C15="","",ROW()-4)</f>
        <v/>
      </c>
      <c r="B15" s="17"/>
      <c r="C15" s="17"/>
      <c r="D15" s="17"/>
      <c r="E15" s="17"/>
      <c r="F15" s="24"/>
      <c r="G15" s="17"/>
      <c r="H15" s="17"/>
      <c r="I15" s="17"/>
      <c r="J15" s="17"/>
      <c r="K15" s="17"/>
      <c r="L15" s="22"/>
      <c r="M15" s="22"/>
      <c r="N15" s="17"/>
      <c r="O15" s="17"/>
      <c r="P15" s="17"/>
      <c r="Q15" s="18" t="str">
        <f aca="false">IF(B15="","",COUNTIFS(開通管理!$B$5:$B$604,B15,開通管理!$O$5:$O$604,"&lt;&gt;キャンセル"))</f>
        <v/>
      </c>
      <c r="R15" s="18" t="str">
        <f aca="false">IF(B15="","",COUNTIFS(開通管理!$B$5:$B$604,B15,開通管理!$O$5:$O$604,"開通済"))</f>
        <v/>
      </c>
      <c r="S15" s="19" t="str">
        <f aca="false">IF(B15="","",IF(Q15=0,"未申込",IF(R15&lt;Q15,"開通待ち（"&amp;R15&amp;"/"&amp;Q15&amp;"）","全開通")))</f>
        <v/>
      </c>
      <c r="T15" s="20" t="str">
        <f aca="false">IF(S15&lt;&gt;"全開通","",_xlfn.MAXIFS(開通管理!$Q$5:$Q$604,開通管理!$B$5:$B$604,B15))</f>
        <v/>
      </c>
      <c r="U15" s="21" t="str">
        <f aca="false">IF(B15="","",SUMIFS(開通管理!$J$5:$J$604,開通管理!$B$5:$B$604,B15,開通管理!$O$5:$O$604,"&lt;&gt;キャンセル"))</f>
        <v/>
      </c>
      <c r="V15" s="22"/>
      <c r="W15" s="12" t="str">
        <f aca="false">IF(OR(B15="",設定!$B$14=""),"",SUBSTITUTE(設定!$B$14,"__ID__",B15))</f>
        <v/>
      </c>
      <c r="X15" s="22"/>
      <c r="Y15" s="22"/>
      <c r="Z15" s="22"/>
      <c r="AA15" s="20" t="str">
        <f aca="false">IF(Z15="","",WORKDAY(Z15,設定!$B$5,設定!$F$5:$F$120))</f>
        <v/>
      </c>
      <c r="AB15" s="17"/>
      <c r="AC15" s="17"/>
      <c r="AD15" s="17"/>
      <c r="AE15" s="17"/>
      <c r="AF15" s="22"/>
      <c r="AG15" s="17"/>
      <c r="AH15" s="20" t="str">
        <f aca="false">IF(T15="","",EDATE(T15,設定!$B$8))</f>
        <v/>
      </c>
      <c r="AI15" s="17"/>
      <c r="AJ15" s="17"/>
      <c r="AK15" s="22"/>
      <c r="AL15" s="23" t="str">
        <f aca="true">IF(C15="","",IF(N15="失注","―",IF(AND(AK15&lt;&gt;"",AK15&lt;TODAY()),"対応期限超過",IF(AND(AF15="",AA15&lt;&gt;"",IF(AA15="",FALSE(),AA15&lt;TODAY())),"納品遅延",IF(AND(AK15&lt;&gt;"",AK15=TODAY()),"本日対応",IF(AND(S15="全開通",X15="",AF15=""),"ヒアリング依頼待ち",IF(AND(X15&lt;&gt;"",Y15="",Z15="",TODAY()-X15&gt;=設定!$B$6),"ヒアリング未回収",IF(AND(Y15&lt;&gt;"",Z15=""),"素材確認待ち",IF(AND(AF15="",AA15&lt;&gt;"",IF(AA15="",FALSE(),AA15-TODAY()&lt;=設定!$B$7)),"納品間近",IF(AND(AH15&lt;&gt;"",IF(AH15="",FALSE(),AH15&lt;=TODAY()),AI15=""),"解約チェック",IF(AF15&lt;&gt;"","納品済","")))))))))))</f>
        <v/>
      </c>
      <c r="AM15" s="17"/>
    </row>
    <row r="16" customFormat="false" ht="15" hidden="false" customHeight="false" outlineLevel="0" collapsed="false">
      <c r="A16" s="12" t="str">
        <f aca="false">IF(C16="","",ROW()-4)</f>
        <v/>
      </c>
      <c r="B16" s="17"/>
      <c r="C16" s="17"/>
      <c r="D16" s="17"/>
      <c r="E16" s="17"/>
      <c r="F16" s="24"/>
      <c r="G16" s="17"/>
      <c r="H16" s="17"/>
      <c r="I16" s="17"/>
      <c r="J16" s="17"/>
      <c r="K16" s="17"/>
      <c r="L16" s="22"/>
      <c r="M16" s="22"/>
      <c r="N16" s="17"/>
      <c r="O16" s="17"/>
      <c r="P16" s="17"/>
      <c r="Q16" s="18" t="str">
        <f aca="false">IF(B16="","",COUNTIFS(開通管理!$B$5:$B$604,B16,開通管理!$O$5:$O$604,"&lt;&gt;キャンセル"))</f>
        <v/>
      </c>
      <c r="R16" s="18" t="str">
        <f aca="false">IF(B16="","",COUNTIFS(開通管理!$B$5:$B$604,B16,開通管理!$O$5:$O$604,"開通済"))</f>
        <v/>
      </c>
      <c r="S16" s="19" t="str">
        <f aca="false">IF(B16="","",IF(Q16=0,"未申込",IF(R16&lt;Q16,"開通待ち（"&amp;R16&amp;"/"&amp;Q16&amp;"）","全開通")))</f>
        <v/>
      </c>
      <c r="T16" s="20" t="str">
        <f aca="false">IF(S16&lt;&gt;"全開通","",_xlfn.MAXIFS(開通管理!$Q$5:$Q$604,開通管理!$B$5:$B$604,B16))</f>
        <v/>
      </c>
      <c r="U16" s="21" t="str">
        <f aca="false">IF(B16="","",SUMIFS(開通管理!$J$5:$J$604,開通管理!$B$5:$B$604,B16,開通管理!$O$5:$O$604,"&lt;&gt;キャンセル"))</f>
        <v/>
      </c>
      <c r="V16" s="22"/>
      <c r="W16" s="12" t="str">
        <f aca="false">IF(OR(B16="",設定!$B$14=""),"",SUBSTITUTE(設定!$B$14,"__ID__",B16))</f>
        <v/>
      </c>
      <c r="X16" s="22"/>
      <c r="Y16" s="22"/>
      <c r="Z16" s="22"/>
      <c r="AA16" s="20" t="str">
        <f aca="false">IF(Z16="","",WORKDAY(Z16,設定!$B$5,設定!$F$5:$F$120))</f>
        <v/>
      </c>
      <c r="AB16" s="17"/>
      <c r="AC16" s="17"/>
      <c r="AD16" s="17"/>
      <c r="AE16" s="17"/>
      <c r="AF16" s="22"/>
      <c r="AG16" s="17"/>
      <c r="AH16" s="20" t="str">
        <f aca="false">IF(T16="","",EDATE(T16,設定!$B$8))</f>
        <v/>
      </c>
      <c r="AI16" s="17"/>
      <c r="AJ16" s="17"/>
      <c r="AK16" s="22"/>
      <c r="AL16" s="23" t="str">
        <f aca="true">IF(C16="","",IF(N16="失注","―",IF(AND(AK16&lt;&gt;"",AK16&lt;TODAY()),"対応期限超過",IF(AND(AF16="",AA16&lt;&gt;"",IF(AA16="",FALSE(),AA16&lt;TODAY())),"納品遅延",IF(AND(AK16&lt;&gt;"",AK16=TODAY()),"本日対応",IF(AND(S16="全開通",X16="",AF16=""),"ヒアリング依頼待ち",IF(AND(X16&lt;&gt;"",Y16="",Z16="",TODAY()-X16&gt;=設定!$B$6),"ヒアリング未回収",IF(AND(Y16&lt;&gt;"",Z16=""),"素材確認待ち",IF(AND(AF16="",AA16&lt;&gt;"",IF(AA16="",FALSE(),AA16-TODAY()&lt;=設定!$B$7)),"納品間近",IF(AND(AH16&lt;&gt;"",IF(AH16="",FALSE(),AH16&lt;=TODAY()),AI16=""),"解約チェック",IF(AF16&lt;&gt;"","納品済","")))))))))))</f>
        <v/>
      </c>
      <c r="AM16" s="17"/>
    </row>
    <row r="17" customFormat="false" ht="15" hidden="false" customHeight="false" outlineLevel="0" collapsed="false">
      <c r="A17" s="12" t="str">
        <f aca="false">IF(C17="","",ROW()-4)</f>
        <v/>
      </c>
      <c r="B17" s="17"/>
      <c r="C17" s="17"/>
      <c r="D17" s="17"/>
      <c r="E17" s="17"/>
      <c r="F17" s="24"/>
      <c r="G17" s="17"/>
      <c r="H17" s="17"/>
      <c r="I17" s="17"/>
      <c r="J17" s="17"/>
      <c r="K17" s="17"/>
      <c r="L17" s="22"/>
      <c r="M17" s="22"/>
      <c r="N17" s="17"/>
      <c r="O17" s="17"/>
      <c r="P17" s="17"/>
      <c r="Q17" s="18" t="str">
        <f aca="false">IF(B17="","",COUNTIFS(開通管理!$B$5:$B$604,B17,開通管理!$O$5:$O$604,"&lt;&gt;キャンセル"))</f>
        <v/>
      </c>
      <c r="R17" s="18" t="str">
        <f aca="false">IF(B17="","",COUNTIFS(開通管理!$B$5:$B$604,B17,開通管理!$O$5:$O$604,"開通済"))</f>
        <v/>
      </c>
      <c r="S17" s="19" t="str">
        <f aca="false">IF(B17="","",IF(Q17=0,"未申込",IF(R17&lt;Q17,"開通待ち（"&amp;R17&amp;"/"&amp;Q17&amp;"）","全開通")))</f>
        <v/>
      </c>
      <c r="T17" s="20" t="str">
        <f aca="false">IF(S17&lt;&gt;"全開通","",_xlfn.MAXIFS(開通管理!$Q$5:$Q$604,開通管理!$B$5:$B$604,B17))</f>
        <v/>
      </c>
      <c r="U17" s="21" t="str">
        <f aca="false">IF(B17="","",SUMIFS(開通管理!$J$5:$J$604,開通管理!$B$5:$B$604,B17,開通管理!$O$5:$O$604,"&lt;&gt;キャンセル"))</f>
        <v/>
      </c>
      <c r="V17" s="22"/>
      <c r="W17" s="12" t="str">
        <f aca="false">IF(OR(B17="",設定!$B$14=""),"",SUBSTITUTE(設定!$B$14,"__ID__",B17))</f>
        <v/>
      </c>
      <c r="X17" s="22"/>
      <c r="Y17" s="22"/>
      <c r="Z17" s="22"/>
      <c r="AA17" s="20" t="str">
        <f aca="false">IF(Z17="","",WORKDAY(Z17,設定!$B$5,設定!$F$5:$F$120))</f>
        <v/>
      </c>
      <c r="AB17" s="17"/>
      <c r="AC17" s="17"/>
      <c r="AD17" s="17"/>
      <c r="AE17" s="17"/>
      <c r="AF17" s="22"/>
      <c r="AG17" s="17"/>
      <c r="AH17" s="20" t="str">
        <f aca="false">IF(T17="","",EDATE(T17,設定!$B$8))</f>
        <v/>
      </c>
      <c r="AI17" s="17"/>
      <c r="AJ17" s="17"/>
      <c r="AK17" s="22"/>
      <c r="AL17" s="23" t="str">
        <f aca="true">IF(C17="","",IF(N17="失注","―",IF(AND(AK17&lt;&gt;"",AK17&lt;TODAY()),"対応期限超過",IF(AND(AF17="",AA17&lt;&gt;"",IF(AA17="",FALSE(),AA17&lt;TODAY())),"納品遅延",IF(AND(AK17&lt;&gt;"",AK17=TODAY()),"本日対応",IF(AND(S17="全開通",X17="",AF17=""),"ヒアリング依頼待ち",IF(AND(X17&lt;&gt;"",Y17="",Z17="",TODAY()-X17&gt;=設定!$B$6),"ヒアリング未回収",IF(AND(Y17&lt;&gt;"",Z17=""),"素材確認待ち",IF(AND(AF17="",AA17&lt;&gt;"",IF(AA17="",FALSE(),AA17-TODAY()&lt;=設定!$B$7)),"納品間近",IF(AND(AH17&lt;&gt;"",IF(AH17="",FALSE(),AH17&lt;=TODAY()),AI17=""),"解約チェック",IF(AF17&lt;&gt;"","納品済","")))))))))))</f>
        <v/>
      </c>
      <c r="AM17" s="17"/>
    </row>
    <row r="18" customFormat="false" ht="15" hidden="false" customHeight="false" outlineLevel="0" collapsed="false">
      <c r="A18" s="12" t="str">
        <f aca="false">IF(C18="","",ROW()-4)</f>
        <v/>
      </c>
      <c r="B18" s="17"/>
      <c r="C18" s="17"/>
      <c r="D18" s="17"/>
      <c r="E18" s="17"/>
      <c r="F18" s="24"/>
      <c r="G18" s="17"/>
      <c r="H18" s="17"/>
      <c r="I18" s="17"/>
      <c r="J18" s="17"/>
      <c r="K18" s="17"/>
      <c r="L18" s="22"/>
      <c r="M18" s="22"/>
      <c r="N18" s="17"/>
      <c r="O18" s="17"/>
      <c r="P18" s="17"/>
      <c r="Q18" s="18" t="str">
        <f aca="false">IF(B18="","",COUNTIFS(開通管理!$B$5:$B$604,B18,開通管理!$O$5:$O$604,"&lt;&gt;キャンセル"))</f>
        <v/>
      </c>
      <c r="R18" s="18" t="str">
        <f aca="false">IF(B18="","",COUNTIFS(開通管理!$B$5:$B$604,B18,開通管理!$O$5:$O$604,"開通済"))</f>
        <v/>
      </c>
      <c r="S18" s="19" t="str">
        <f aca="false">IF(B18="","",IF(Q18=0,"未申込",IF(R18&lt;Q18,"開通待ち（"&amp;R18&amp;"/"&amp;Q18&amp;"）","全開通")))</f>
        <v/>
      </c>
      <c r="T18" s="20" t="str">
        <f aca="false">IF(S18&lt;&gt;"全開通","",_xlfn.MAXIFS(開通管理!$Q$5:$Q$604,開通管理!$B$5:$B$604,B18))</f>
        <v/>
      </c>
      <c r="U18" s="21" t="str">
        <f aca="false">IF(B18="","",SUMIFS(開通管理!$J$5:$J$604,開通管理!$B$5:$B$604,B18,開通管理!$O$5:$O$604,"&lt;&gt;キャンセル"))</f>
        <v/>
      </c>
      <c r="V18" s="22"/>
      <c r="W18" s="12" t="str">
        <f aca="false">IF(OR(B18="",設定!$B$14=""),"",SUBSTITUTE(設定!$B$14,"__ID__",B18))</f>
        <v/>
      </c>
      <c r="X18" s="22"/>
      <c r="Y18" s="22"/>
      <c r="Z18" s="22"/>
      <c r="AA18" s="20" t="str">
        <f aca="false">IF(Z18="","",WORKDAY(Z18,設定!$B$5,設定!$F$5:$F$120))</f>
        <v/>
      </c>
      <c r="AB18" s="17"/>
      <c r="AC18" s="17"/>
      <c r="AD18" s="17"/>
      <c r="AE18" s="17"/>
      <c r="AF18" s="22"/>
      <c r="AG18" s="17"/>
      <c r="AH18" s="20" t="str">
        <f aca="false">IF(T18="","",EDATE(T18,設定!$B$8))</f>
        <v/>
      </c>
      <c r="AI18" s="17"/>
      <c r="AJ18" s="17"/>
      <c r="AK18" s="22"/>
      <c r="AL18" s="23" t="str">
        <f aca="true">IF(C18="","",IF(N18="失注","―",IF(AND(AK18&lt;&gt;"",AK18&lt;TODAY()),"対応期限超過",IF(AND(AF18="",AA18&lt;&gt;"",IF(AA18="",FALSE(),AA18&lt;TODAY())),"納品遅延",IF(AND(AK18&lt;&gt;"",AK18=TODAY()),"本日対応",IF(AND(S18="全開通",X18="",AF18=""),"ヒアリング依頼待ち",IF(AND(X18&lt;&gt;"",Y18="",Z18="",TODAY()-X18&gt;=設定!$B$6),"ヒアリング未回収",IF(AND(Y18&lt;&gt;"",Z18=""),"素材確認待ち",IF(AND(AF18="",AA18&lt;&gt;"",IF(AA18="",FALSE(),AA18-TODAY()&lt;=設定!$B$7)),"納品間近",IF(AND(AH18&lt;&gt;"",IF(AH18="",FALSE(),AH18&lt;=TODAY()),AI18=""),"解約チェック",IF(AF18&lt;&gt;"","納品済","")))))))))))</f>
        <v/>
      </c>
      <c r="AM18" s="17"/>
    </row>
    <row r="19" customFormat="false" ht="15" hidden="false" customHeight="false" outlineLevel="0" collapsed="false">
      <c r="A19" s="12" t="str">
        <f aca="false">IF(C19="","",ROW()-4)</f>
        <v/>
      </c>
      <c r="B19" s="17"/>
      <c r="C19" s="17"/>
      <c r="D19" s="17"/>
      <c r="E19" s="17"/>
      <c r="F19" s="24"/>
      <c r="G19" s="17"/>
      <c r="H19" s="17"/>
      <c r="I19" s="17"/>
      <c r="J19" s="17"/>
      <c r="K19" s="17"/>
      <c r="L19" s="22"/>
      <c r="M19" s="22"/>
      <c r="N19" s="17"/>
      <c r="O19" s="17"/>
      <c r="P19" s="17"/>
      <c r="Q19" s="18" t="str">
        <f aca="false">IF(B19="","",COUNTIFS(開通管理!$B$5:$B$604,B19,開通管理!$O$5:$O$604,"&lt;&gt;キャンセル"))</f>
        <v/>
      </c>
      <c r="R19" s="18" t="str">
        <f aca="false">IF(B19="","",COUNTIFS(開通管理!$B$5:$B$604,B19,開通管理!$O$5:$O$604,"開通済"))</f>
        <v/>
      </c>
      <c r="S19" s="19" t="str">
        <f aca="false">IF(B19="","",IF(Q19=0,"未申込",IF(R19&lt;Q19,"開通待ち（"&amp;R19&amp;"/"&amp;Q19&amp;"）","全開通")))</f>
        <v/>
      </c>
      <c r="T19" s="20" t="str">
        <f aca="false">IF(S19&lt;&gt;"全開通","",_xlfn.MAXIFS(開通管理!$Q$5:$Q$604,開通管理!$B$5:$B$604,B19))</f>
        <v/>
      </c>
      <c r="U19" s="21" t="str">
        <f aca="false">IF(B19="","",SUMIFS(開通管理!$J$5:$J$604,開通管理!$B$5:$B$604,B19,開通管理!$O$5:$O$604,"&lt;&gt;キャンセル"))</f>
        <v/>
      </c>
      <c r="V19" s="22"/>
      <c r="W19" s="12" t="str">
        <f aca="false">IF(OR(B19="",設定!$B$14=""),"",SUBSTITUTE(設定!$B$14,"__ID__",B19))</f>
        <v/>
      </c>
      <c r="X19" s="22"/>
      <c r="Y19" s="22"/>
      <c r="Z19" s="22"/>
      <c r="AA19" s="20" t="str">
        <f aca="false">IF(Z19="","",WORKDAY(Z19,設定!$B$5,設定!$F$5:$F$120))</f>
        <v/>
      </c>
      <c r="AB19" s="17"/>
      <c r="AC19" s="17"/>
      <c r="AD19" s="17"/>
      <c r="AE19" s="17"/>
      <c r="AF19" s="22"/>
      <c r="AG19" s="17"/>
      <c r="AH19" s="20" t="str">
        <f aca="false">IF(T19="","",EDATE(T19,設定!$B$8))</f>
        <v/>
      </c>
      <c r="AI19" s="17"/>
      <c r="AJ19" s="17"/>
      <c r="AK19" s="22"/>
      <c r="AL19" s="23" t="str">
        <f aca="true">IF(C19="","",IF(N19="失注","―",IF(AND(AK19&lt;&gt;"",AK19&lt;TODAY()),"対応期限超過",IF(AND(AF19="",AA19&lt;&gt;"",IF(AA19="",FALSE(),AA19&lt;TODAY())),"納品遅延",IF(AND(AK19&lt;&gt;"",AK19=TODAY()),"本日対応",IF(AND(S19="全開通",X19="",AF19=""),"ヒアリング依頼待ち",IF(AND(X19&lt;&gt;"",Y19="",Z19="",TODAY()-X19&gt;=設定!$B$6),"ヒアリング未回収",IF(AND(Y19&lt;&gt;"",Z19=""),"素材確認待ち",IF(AND(AF19="",AA19&lt;&gt;"",IF(AA19="",FALSE(),AA19-TODAY()&lt;=設定!$B$7)),"納品間近",IF(AND(AH19&lt;&gt;"",IF(AH19="",FALSE(),AH19&lt;=TODAY()),AI19=""),"解約チェック",IF(AF19&lt;&gt;"","納品済","")))))))))))</f>
        <v/>
      </c>
      <c r="AM19" s="17"/>
    </row>
    <row r="20" customFormat="false" ht="15" hidden="false" customHeight="false" outlineLevel="0" collapsed="false">
      <c r="A20" s="12" t="str">
        <f aca="false">IF(C20="","",ROW()-4)</f>
        <v/>
      </c>
      <c r="B20" s="17"/>
      <c r="C20" s="17"/>
      <c r="D20" s="17"/>
      <c r="E20" s="17"/>
      <c r="F20" s="24"/>
      <c r="G20" s="17"/>
      <c r="H20" s="17"/>
      <c r="I20" s="17"/>
      <c r="J20" s="17"/>
      <c r="K20" s="17"/>
      <c r="L20" s="22"/>
      <c r="M20" s="22"/>
      <c r="N20" s="17"/>
      <c r="O20" s="17"/>
      <c r="P20" s="17"/>
      <c r="Q20" s="18" t="str">
        <f aca="false">IF(B20="","",COUNTIFS(開通管理!$B$5:$B$604,B20,開通管理!$O$5:$O$604,"&lt;&gt;キャンセル"))</f>
        <v/>
      </c>
      <c r="R20" s="18" t="str">
        <f aca="false">IF(B20="","",COUNTIFS(開通管理!$B$5:$B$604,B20,開通管理!$O$5:$O$604,"開通済"))</f>
        <v/>
      </c>
      <c r="S20" s="19" t="str">
        <f aca="false">IF(B20="","",IF(Q20=0,"未申込",IF(R20&lt;Q20,"開通待ち（"&amp;R20&amp;"/"&amp;Q20&amp;"）","全開通")))</f>
        <v/>
      </c>
      <c r="T20" s="20" t="str">
        <f aca="false">IF(S20&lt;&gt;"全開通","",_xlfn.MAXIFS(開通管理!$Q$5:$Q$604,開通管理!$B$5:$B$604,B20))</f>
        <v/>
      </c>
      <c r="U20" s="21" t="str">
        <f aca="false">IF(B20="","",SUMIFS(開通管理!$J$5:$J$604,開通管理!$B$5:$B$604,B20,開通管理!$O$5:$O$604,"&lt;&gt;キャンセル"))</f>
        <v/>
      </c>
      <c r="V20" s="22"/>
      <c r="W20" s="12" t="str">
        <f aca="false">IF(OR(B20="",設定!$B$14=""),"",SUBSTITUTE(設定!$B$14,"__ID__",B20))</f>
        <v/>
      </c>
      <c r="X20" s="22"/>
      <c r="Y20" s="22"/>
      <c r="Z20" s="22"/>
      <c r="AA20" s="20" t="str">
        <f aca="false">IF(Z20="","",WORKDAY(Z20,設定!$B$5,設定!$F$5:$F$120))</f>
        <v/>
      </c>
      <c r="AB20" s="17"/>
      <c r="AC20" s="17"/>
      <c r="AD20" s="17"/>
      <c r="AE20" s="17"/>
      <c r="AF20" s="22"/>
      <c r="AG20" s="17"/>
      <c r="AH20" s="20" t="str">
        <f aca="false">IF(T20="","",EDATE(T20,設定!$B$8))</f>
        <v/>
      </c>
      <c r="AI20" s="17"/>
      <c r="AJ20" s="17"/>
      <c r="AK20" s="22"/>
      <c r="AL20" s="23" t="str">
        <f aca="true">IF(C20="","",IF(N20="失注","―",IF(AND(AK20&lt;&gt;"",AK20&lt;TODAY()),"対応期限超過",IF(AND(AF20="",AA20&lt;&gt;"",IF(AA20="",FALSE(),AA20&lt;TODAY())),"納品遅延",IF(AND(AK20&lt;&gt;"",AK20=TODAY()),"本日対応",IF(AND(S20="全開通",X20="",AF20=""),"ヒアリング依頼待ち",IF(AND(X20&lt;&gt;"",Y20="",Z20="",TODAY()-X20&gt;=設定!$B$6),"ヒアリング未回収",IF(AND(Y20&lt;&gt;"",Z20=""),"素材確認待ち",IF(AND(AF20="",AA20&lt;&gt;"",IF(AA20="",FALSE(),AA20-TODAY()&lt;=設定!$B$7)),"納品間近",IF(AND(AH20&lt;&gt;"",IF(AH20="",FALSE(),AH20&lt;=TODAY()),AI20=""),"解約チェック",IF(AF20&lt;&gt;"","納品済","")))))))))))</f>
        <v/>
      </c>
      <c r="AM20" s="17"/>
    </row>
    <row r="21" customFormat="false" ht="15" hidden="false" customHeight="false" outlineLevel="0" collapsed="false">
      <c r="A21" s="12" t="str">
        <f aca="false">IF(C21="","",ROW()-4)</f>
        <v/>
      </c>
      <c r="B21" s="17"/>
      <c r="C21" s="17"/>
      <c r="D21" s="17"/>
      <c r="E21" s="17"/>
      <c r="F21" s="24"/>
      <c r="G21" s="17"/>
      <c r="H21" s="17"/>
      <c r="I21" s="17"/>
      <c r="J21" s="17"/>
      <c r="K21" s="17"/>
      <c r="L21" s="22"/>
      <c r="M21" s="22"/>
      <c r="N21" s="17"/>
      <c r="O21" s="17"/>
      <c r="P21" s="17"/>
      <c r="Q21" s="18" t="str">
        <f aca="false">IF(B21="","",COUNTIFS(開通管理!$B$5:$B$604,B21,開通管理!$O$5:$O$604,"&lt;&gt;キャンセル"))</f>
        <v/>
      </c>
      <c r="R21" s="18" t="str">
        <f aca="false">IF(B21="","",COUNTIFS(開通管理!$B$5:$B$604,B21,開通管理!$O$5:$O$604,"開通済"))</f>
        <v/>
      </c>
      <c r="S21" s="19" t="str">
        <f aca="false">IF(B21="","",IF(Q21=0,"未申込",IF(R21&lt;Q21,"開通待ち（"&amp;R21&amp;"/"&amp;Q21&amp;"）","全開通")))</f>
        <v/>
      </c>
      <c r="T21" s="20" t="str">
        <f aca="false">IF(S21&lt;&gt;"全開通","",_xlfn.MAXIFS(開通管理!$Q$5:$Q$604,開通管理!$B$5:$B$604,B21))</f>
        <v/>
      </c>
      <c r="U21" s="21" t="str">
        <f aca="false">IF(B21="","",SUMIFS(開通管理!$J$5:$J$604,開通管理!$B$5:$B$604,B21,開通管理!$O$5:$O$604,"&lt;&gt;キャンセル"))</f>
        <v/>
      </c>
      <c r="V21" s="22"/>
      <c r="W21" s="12" t="str">
        <f aca="false">IF(OR(B21="",設定!$B$14=""),"",SUBSTITUTE(設定!$B$14,"__ID__",B21))</f>
        <v/>
      </c>
      <c r="X21" s="22"/>
      <c r="Y21" s="22"/>
      <c r="Z21" s="22"/>
      <c r="AA21" s="20" t="str">
        <f aca="false">IF(Z21="","",WORKDAY(Z21,設定!$B$5,設定!$F$5:$F$120))</f>
        <v/>
      </c>
      <c r="AB21" s="17"/>
      <c r="AC21" s="17"/>
      <c r="AD21" s="17"/>
      <c r="AE21" s="17"/>
      <c r="AF21" s="22"/>
      <c r="AG21" s="17"/>
      <c r="AH21" s="20" t="str">
        <f aca="false">IF(T21="","",EDATE(T21,設定!$B$8))</f>
        <v/>
      </c>
      <c r="AI21" s="17"/>
      <c r="AJ21" s="17"/>
      <c r="AK21" s="22"/>
      <c r="AL21" s="23" t="str">
        <f aca="true">IF(C21="","",IF(N21="失注","―",IF(AND(AK21&lt;&gt;"",AK21&lt;TODAY()),"対応期限超過",IF(AND(AF21="",AA21&lt;&gt;"",IF(AA21="",FALSE(),AA21&lt;TODAY())),"納品遅延",IF(AND(AK21&lt;&gt;"",AK21=TODAY()),"本日対応",IF(AND(S21="全開通",X21="",AF21=""),"ヒアリング依頼待ち",IF(AND(X21&lt;&gt;"",Y21="",Z21="",TODAY()-X21&gt;=設定!$B$6),"ヒアリング未回収",IF(AND(Y21&lt;&gt;"",Z21=""),"素材確認待ち",IF(AND(AF21="",AA21&lt;&gt;"",IF(AA21="",FALSE(),AA21-TODAY()&lt;=設定!$B$7)),"納品間近",IF(AND(AH21&lt;&gt;"",IF(AH21="",FALSE(),AH21&lt;=TODAY()),AI21=""),"解約チェック",IF(AF21&lt;&gt;"","納品済","")))))))))))</f>
        <v/>
      </c>
      <c r="AM21" s="17"/>
    </row>
    <row r="22" customFormat="false" ht="15" hidden="false" customHeight="false" outlineLevel="0" collapsed="false">
      <c r="A22" s="12" t="str">
        <f aca="false">IF(C22="","",ROW()-4)</f>
        <v/>
      </c>
      <c r="B22" s="17"/>
      <c r="C22" s="17"/>
      <c r="D22" s="17"/>
      <c r="E22" s="17"/>
      <c r="F22" s="24"/>
      <c r="G22" s="17"/>
      <c r="H22" s="17"/>
      <c r="I22" s="17"/>
      <c r="J22" s="17"/>
      <c r="K22" s="17"/>
      <c r="L22" s="22"/>
      <c r="M22" s="22"/>
      <c r="N22" s="17"/>
      <c r="O22" s="17"/>
      <c r="P22" s="17"/>
      <c r="Q22" s="18" t="str">
        <f aca="false">IF(B22="","",COUNTIFS(開通管理!$B$5:$B$604,B22,開通管理!$O$5:$O$604,"&lt;&gt;キャンセル"))</f>
        <v/>
      </c>
      <c r="R22" s="18" t="str">
        <f aca="false">IF(B22="","",COUNTIFS(開通管理!$B$5:$B$604,B22,開通管理!$O$5:$O$604,"開通済"))</f>
        <v/>
      </c>
      <c r="S22" s="19" t="str">
        <f aca="false">IF(B22="","",IF(Q22=0,"未申込",IF(R22&lt;Q22,"開通待ち（"&amp;R22&amp;"/"&amp;Q22&amp;"）","全開通")))</f>
        <v/>
      </c>
      <c r="T22" s="20" t="str">
        <f aca="false">IF(S22&lt;&gt;"全開通","",_xlfn.MAXIFS(開通管理!$Q$5:$Q$604,開通管理!$B$5:$B$604,B22))</f>
        <v/>
      </c>
      <c r="U22" s="21" t="str">
        <f aca="false">IF(B22="","",SUMIFS(開通管理!$J$5:$J$604,開通管理!$B$5:$B$604,B22,開通管理!$O$5:$O$604,"&lt;&gt;キャンセル"))</f>
        <v/>
      </c>
      <c r="V22" s="22"/>
      <c r="W22" s="12" t="str">
        <f aca="false">IF(OR(B22="",設定!$B$14=""),"",SUBSTITUTE(設定!$B$14,"__ID__",B22))</f>
        <v/>
      </c>
      <c r="X22" s="22"/>
      <c r="Y22" s="22"/>
      <c r="Z22" s="22"/>
      <c r="AA22" s="20" t="str">
        <f aca="false">IF(Z22="","",WORKDAY(Z22,設定!$B$5,設定!$F$5:$F$120))</f>
        <v/>
      </c>
      <c r="AB22" s="17"/>
      <c r="AC22" s="17"/>
      <c r="AD22" s="17"/>
      <c r="AE22" s="17"/>
      <c r="AF22" s="22"/>
      <c r="AG22" s="17"/>
      <c r="AH22" s="20" t="str">
        <f aca="false">IF(T22="","",EDATE(T22,設定!$B$8))</f>
        <v/>
      </c>
      <c r="AI22" s="17"/>
      <c r="AJ22" s="17"/>
      <c r="AK22" s="22"/>
      <c r="AL22" s="23" t="str">
        <f aca="true">IF(C22="","",IF(N22="失注","―",IF(AND(AK22&lt;&gt;"",AK22&lt;TODAY()),"対応期限超過",IF(AND(AF22="",AA22&lt;&gt;"",IF(AA22="",FALSE(),AA22&lt;TODAY())),"納品遅延",IF(AND(AK22&lt;&gt;"",AK22=TODAY()),"本日対応",IF(AND(S22="全開通",X22="",AF22=""),"ヒアリング依頼待ち",IF(AND(X22&lt;&gt;"",Y22="",Z22="",TODAY()-X22&gt;=設定!$B$6),"ヒアリング未回収",IF(AND(Y22&lt;&gt;"",Z22=""),"素材確認待ち",IF(AND(AF22="",AA22&lt;&gt;"",IF(AA22="",FALSE(),AA22-TODAY()&lt;=設定!$B$7)),"納品間近",IF(AND(AH22&lt;&gt;"",IF(AH22="",FALSE(),AH22&lt;=TODAY()),AI22=""),"解約チェック",IF(AF22&lt;&gt;"","納品済","")))))))))))</f>
        <v/>
      </c>
      <c r="AM22" s="17"/>
    </row>
    <row r="23" customFormat="false" ht="15" hidden="false" customHeight="false" outlineLevel="0" collapsed="false">
      <c r="A23" s="12" t="str">
        <f aca="false">IF(C23="","",ROW()-4)</f>
        <v/>
      </c>
      <c r="B23" s="17"/>
      <c r="C23" s="17"/>
      <c r="D23" s="17"/>
      <c r="E23" s="17"/>
      <c r="F23" s="24"/>
      <c r="G23" s="17"/>
      <c r="H23" s="17"/>
      <c r="I23" s="17"/>
      <c r="J23" s="17"/>
      <c r="K23" s="17"/>
      <c r="L23" s="22"/>
      <c r="M23" s="22"/>
      <c r="N23" s="17"/>
      <c r="O23" s="17"/>
      <c r="P23" s="17"/>
      <c r="Q23" s="18" t="str">
        <f aca="false">IF(B23="","",COUNTIFS(開通管理!$B$5:$B$604,B23,開通管理!$O$5:$O$604,"&lt;&gt;キャンセル"))</f>
        <v/>
      </c>
      <c r="R23" s="18" t="str">
        <f aca="false">IF(B23="","",COUNTIFS(開通管理!$B$5:$B$604,B23,開通管理!$O$5:$O$604,"開通済"))</f>
        <v/>
      </c>
      <c r="S23" s="19" t="str">
        <f aca="false">IF(B23="","",IF(Q23=0,"未申込",IF(R23&lt;Q23,"開通待ち（"&amp;R23&amp;"/"&amp;Q23&amp;"）","全開通")))</f>
        <v/>
      </c>
      <c r="T23" s="20" t="str">
        <f aca="false">IF(S23&lt;&gt;"全開通","",_xlfn.MAXIFS(開通管理!$Q$5:$Q$604,開通管理!$B$5:$B$604,B23))</f>
        <v/>
      </c>
      <c r="U23" s="21" t="str">
        <f aca="false">IF(B23="","",SUMIFS(開通管理!$J$5:$J$604,開通管理!$B$5:$B$604,B23,開通管理!$O$5:$O$604,"&lt;&gt;キャンセル"))</f>
        <v/>
      </c>
      <c r="V23" s="22"/>
      <c r="W23" s="12" t="str">
        <f aca="false">IF(OR(B23="",設定!$B$14=""),"",SUBSTITUTE(設定!$B$14,"__ID__",B23))</f>
        <v/>
      </c>
      <c r="X23" s="22"/>
      <c r="Y23" s="22"/>
      <c r="Z23" s="22"/>
      <c r="AA23" s="20" t="str">
        <f aca="false">IF(Z23="","",WORKDAY(Z23,設定!$B$5,設定!$F$5:$F$120))</f>
        <v/>
      </c>
      <c r="AB23" s="17"/>
      <c r="AC23" s="17"/>
      <c r="AD23" s="17"/>
      <c r="AE23" s="17"/>
      <c r="AF23" s="22"/>
      <c r="AG23" s="17"/>
      <c r="AH23" s="20" t="str">
        <f aca="false">IF(T23="","",EDATE(T23,設定!$B$8))</f>
        <v/>
      </c>
      <c r="AI23" s="17"/>
      <c r="AJ23" s="17"/>
      <c r="AK23" s="22"/>
      <c r="AL23" s="23" t="str">
        <f aca="true">IF(C23="","",IF(N23="失注","―",IF(AND(AK23&lt;&gt;"",AK23&lt;TODAY()),"対応期限超過",IF(AND(AF23="",AA23&lt;&gt;"",IF(AA23="",FALSE(),AA23&lt;TODAY())),"納品遅延",IF(AND(AK23&lt;&gt;"",AK23=TODAY()),"本日対応",IF(AND(S23="全開通",X23="",AF23=""),"ヒアリング依頼待ち",IF(AND(X23&lt;&gt;"",Y23="",Z23="",TODAY()-X23&gt;=設定!$B$6),"ヒアリング未回収",IF(AND(Y23&lt;&gt;"",Z23=""),"素材確認待ち",IF(AND(AF23="",AA23&lt;&gt;"",IF(AA23="",FALSE(),AA23-TODAY()&lt;=設定!$B$7)),"納品間近",IF(AND(AH23&lt;&gt;"",IF(AH23="",FALSE(),AH23&lt;=TODAY()),AI23=""),"解約チェック",IF(AF23&lt;&gt;"","納品済","")))))))))))</f>
        <v/>
      </c>
      <c r="AM23" s="17"/>
    </row>
    <row r="24" customFormat="false" ht="15" hidden="false" customHeight="false" outlineLevel="0" collapsed="false">
      <c r="A24" s="12" t="str">
        <f aca="false">IF(C24="","",ROW()-4)</f>
        <v/>
      </c>
      <c r="B24" s="17"/>
      <c r="C24" s="17"/>
      <c r="D24" s="17"/>
      <c r="E24" s="17"/>
      <c r="F24" s="24"/>
      <c r="G24" s="17"/>
      <c r="H24" s="17"/>
      <c r="I24" s="17"/>
      <c r="J24" s="17"/>
      <c r="K24" s="17"/>
      <c r="L24" s="22"/>
      <c r="M24" s="22"/>
      <c r="N24" s="17"/>
      <c r="O24" s="17"/>
      <c r="P24" s="17"/>
      <c r="Q24" s="18" t="str">
        <f aca="false">IF(B24="","",COUNTIFS(開通管理!$B$5:$B$604,B24,開通管理!$O$5:$O$604,"&lt;&gt;キャンセル"))</f>
        <v/>
      </c>
      <c r="R24" s="18" t="str">
        <f aca="false">IF(B24="","",COUNTIFS(開通管理!$B$5:$B$604,B24,開通管理!$O$5:$O$604,"開通済"))</f>
        <v/>
      </c>
      <c r="S24" s="19" t="str">
        <f aca="false">IF(B24="","",IF(Q24=0,"未申込",IF(R24&lt;Q24,"開通待ち（"&amp;R24&amp;"/"&amp;Q24&amp;"）","全開通")))</f>
        <v/>
      </c>
      <c r="T24" s="20" t="str">
        <f aca="false">IF(S24&lt;&gt;"全開通","",_xlfn.MAXIFS(開通管理!$Q$5:$Q$604,開通管理!$B$5:$B$604,B24))</f>
        <v/>
      </c>
      <c r="U24" s="21" t="str">
        <f aca="false">IF(B24="","",SUMIFS(開通管理!$J$5:$J$604,開通管理!$B$5:$B$604,B24,開通管理!$O$5:$O$604,"&lt;&gt;キャンセル"))</f>
        <v/>
      </c>
      <c r="V24" s="22"/>
      <c r="W24" s="12" t="str">
        <f aca="false">IF(OR(B24="",設定!$B$14=""),"",SUBSTITUTE(設定!$B$14,"__ID__",B24))</f>
        <v/>
      </c>
      <c r="X24" s="22"/>
      <c r="Y24" s="22"/>
      <c r="Z24" s="22"/>
      <c r="AA24" s="20" t="str">
        <f aca="false">IF(Z24="","",WORKDAY(Z24,設定!$B$5,設定!$F$5:$F$120))</f>
        <v/>
      </c>
      <c r="AB24" s="17"/>
      <c r="AC24" s="17"/>
      <c r="AD24" s="17"/>
      <c r="AE24" s="17"/>
      <c r="AF24" s="22"/>
      <c r="AG24" s="17"/>
      <c r="AH24" s="20" t="str">
        <f aca="false">IF(T24="","",EDATE(T24,設定!$B$8))</f>
        <v/>
      </c>
      <c r="AI24" s="17"/>
      <c r="AJ24" s="17"/>
      <c r="AK24" s="22"/>
      <c r="AL24" s="23" t="str">
        <f aca="true">IF(C24="","",IF(N24="失注","―",IF(AND(AK24&lt;&gt;"",AK24&lt;TODAY()),"対応期限超過",IF(AND(AF24="",AA24&lt;&gt;"",IF(AA24="",FALSE(),AA24&lt;TODAY())),"納品遅延",IF(AND(AK24&lt;&gt;"",AK24=TODAY()),"本日対応",IF(AND(S24="全開通",X24="",AF24=""),"ヒアリング依頼待ち",IF(AND(X24&lt;&gt;"",Y24="",Z24="",TODAY()-X24&gt;=設定!$B$6),"ヒアリング未回収",IF(AND(Y24&lt;&gt;"",Z24=""),"素材確認待ち",IF(AND(AF24="",AA24&lt;&gt;"",IF(AA24="",FALSE(),AA24-TODAY()&lt;=設定!$B$7)),"納品間近",IF(AND(AH24&lt;&gt;"",IF(AH24="",FALSE(),AH24&lt;=TODAY()),AI24=""),"解約チェック",IF(AF24&lt;&gt;"","納品済","")))))))))))</f>
        <v/>
      </c>
      <c r="AM24" s="17"/>
    </row>
    <row r="25" customFormat="false" ht="15" hidden="false" customHeight="false" outlineLevel="0" collapsed="false">
      <c r="A25" s="12" t="str">
        <f aca="false">IF(C25="","",ROW()-4)</f>
        <v/>
      </c>
      <c r="B25" s="17"/>
      <c r="C25" s="17"/>
      <c r="D25" s="17"/>
      <c r="E25" s="17"/>
      <c r="F25" s="24"/>
      <c r="G25" s="17"/>
      <c r="H25" s="17"/>
      <c r="I25" s="17"/>
      <c r="J25" s="17"/>
      <c r="K25" s="17"/>
      <c r="L25" s="22"/>
      <c r="M25" s="22"/>
      <c r="N25" s="17"/>
      <c r="O25" s="17"/>
      <c r="P25" s="17"/>
      <c r="Q25" s="18" t="str">
        <f aca="false">IF(B25="","",COUNTIFS(開通管理!$B$5:$B$604,B25,開通管理!$O$5:$O$604,"&lt;&gt;キャンセル"))</f>
        <v/>
      </c>
      <c r="R25" s="18" t="str">
        <f aca="false">IF(B25="","",COUNTIFS(開通管理!$B$5:$B$604,B25,開通管理!$O$5:$O$604,"開通済"))</f>
        <v/>
      </c>
      <c r="S25" s="19" t="str">
        <f aca="false">IF(B25="","",IF(Q25=0,"未申込",IF(R25&lt;Q25,"開通待ち（"&amp;R25&amp;"/"&amp;Q25&amp;"）","全開通")))</f>
        <v/>
      </c>
      <c r="T25" s="20" t="str">
        <f aca="false">IF(S25&lt;&gt;"全開通","",_xlfn.MAXIFS(開通管理!$Q$5:$Q$604,開通管理!$B$5:$B$604,B25))</f>
        <v/>
      </c>
      <c r="U25" s="21" t="str">
        <f aca="false">IF(B25="","",SUMIFS(開通管理!$J$5:$J$604,開通管理!$B$5:$B$604,B25,開通管理!$O$5:$O$604,"&lt;&gt;キャンセル"))</f>
        <v/>
      </c>
      <c r="V25" s="22"/>
      <c r="W25" s="12" t="str">
        <f aca="false">IF(OR(B25="",設定!$B$14=""),"",SUBSTITUTE(設定!$B$14,"__ID__",B25))</f>
        <v/>
      </c>
      <c r="X25" s="22"/>
      <c r="Y25" s="22"/>
      <c r="Z25" s="22"/>
      <c r="AA25" s="20" t="str">
        <f aca="false">IF(Z25="","",WORKDAY(Z25,設定!$B$5,設定!$F$5:$F$120))</f>
        <v/>
      </c>
      <c r="AB25" s="17"/>
      <c r="AC25" s="17"/>
      <c r="AD25" s="17"/>
      <c r="AE25" s="17"/>
      <c r="AF25" s="22"/>
      <c r="AG25" s="17"/>
      <c r="AH25" s="20" t="str">
        <f aca="false">IF(T25="","",EDATE(T25,設定!$B$8))</f>
        <v/>
      </c>
      <c r="AI25" s="17"/>
      <c r="AJ25" s="17"/>
      <c r="AK25" s="22"/>
      <c r="AL25" s="23" t="str">
        <f aca="true">IF(C25="","",IF(N25="失注","―",IF(AND(AK25&lt;&gt;"",AK25&lt;TODAY()),"対応期限超過",IF(AND(AF25="",AA25&lt;&gt;"",IF(AA25="",FALSE(),AA25&lt;TODAY())),"納品遅延",IF(AND(AK25&lt;&gt;"",AK25=TODAY()),"本日対応",IF(AND(S25="全開通",X25="",AF25=""),"ヒアリング依頼待ち",IF(AND(X25&lt;&gt;"",Y25="",Z25="",TODAY()-X25&gt;=設定!$B$6),"ヒアリング未回収",IF(AND(Y25&lt;&gt;"",Z25=""),"素材確認待ち",IF(AND(AF25="",AA25&lt;&gt;"",IF(AA25="",FALSE(),AA25-TODAY()&lt;=設定!$B$7)),"納品間近",IF(AND(AH25&lt;&gt;"",IF(AH25="",FALSE(),AH25&lt;=TODAY()),AI25=""),"解約チェック",IF(AF25&lt;&gt;"","納品済","")))))))))))</f>
        <v/>
      </c>
      <c r="AM25" s="17"/>
    </row>
    <row r="26" customFormat="false" ht="15" hidden="false" customHeight="false" outlineLevel="0" collapsed="false">
      <c r="A26" s="12" t="str">
        <f aca="false">IF(C26="","",ROW()-4)</f>
        <v/>
      </c>
      <c r="B26" s="17"/>
      <c r="C26" s="17"/>
      <c r="D26" s="17"/>
      <c r="E26" s="17"/>
      <c r="F26" s="24"/>
      <c r="G26" s="17"/>
      <c r="H26" s="17"/>
      <c r="I26" s="17"/>
      <c r="J26" s="17"/>
      <c r="K26" s="17"/>
      <c r="L26" s="22"/>
      <c r="M26" s="22"/>
      <c r="N26" s="17"/>
      <c r="O26" s="17"/>
      <c r="P26" s="17"/>
      <c r="Q26" s="18" t="str">
        <f aca="false">IF(B26="","",COUNTIFS(開通管理!$B$5:$B$604,B26,開通管理!$O$5:$O$604,"&lt;&gt;キャンセル"))</f>
        <v/>
      </c>
      <c r="R26" s="18" t="str">
        <f aca="false">IF(B26="","",COUNTIFS(開通管理!$B$5:$B$604,B26,開通管理!$O$5:$O$604,"開通済"))</f>
        <v/>
      </c>
      <c r="S26" s="19" t="str">
        <f aca="false">IF(B26="","",IF(Q26=0,"未申込",IF(R26&lt;Q26,"開通待ち（"&amp;R26&amp;"/"&amp;Q26&amp;"）","全開通")))</f>
        <v/>
      </c>
      <c r="T26" s="20" t="str">
        <f aca="false">IF(S26&lt;&gt;"全開通","",_xlfn.MAXIFS(開通管理!$Q$5:$Q$604,開通管理!$B$5:$B$604,B26))</f>
        <v/>
      </c>
      <c r="U26" s="21" t="str">
        <f aca="false">IF(B26="","",SUMIFS(開通管理!$J$5:$J$604,開通管理!$B$5:$B$604,B26,開通管理!$O$5:$O$604,"&lt;&gt;キャンセル"))</f>
        <v/>
      </c>
      <c r="V26" s="22"/>
      <c r="W26" s="12" t="str">
        <f aca="false">IF(OR(B26="",設定!$B$14=""),"",SUBSTITUTE(設定!$B$14,"__ID__",B26))</f>
        <v/>
      </c>
      <c r="X26" s="22"/>
      <c r="Y26" s="22"/>
      <c r="Z26" s="22"/>
      <c r="AA26" s="20" t="str">
        <f aca="false">IF(Z26="","",WORKDAY(Z26,設定!$B$5,設定!$F$5:$F$120))</f>
        <v/>
      </c>
      <c r="AB26" s="17"/>
      <c r="AC26" s="17"/>
      <c r="AD26" s="17"/>
      <c r="AE26" s="17"/>
      <c r="AF26" s="22"/>
      <c r="AG26" s="17"/>
      <c r="AH26" s="20" t="str">
        <f aca="false">IF(T26="","",EDATE(T26,設定!$B$8))</f>
        <v/>
      </c>
      <c r="AI26" s="17"/>
      <c r="AJ26" s="17"/>
      <c r="AK26" s="22"/>
      <c r="AL26" s="23" t="str">
        <f aca="true">IF(C26="","",IF(N26="失注","―",IF(AND(AK26&lt;&gt;"",AK26&lt;TODAY()),"対応期限超過",IF(AND(AF26="",AA26&lt;&gt;"",IF(AA26="",FALSE(),AA26&lt;TODAY())),"納品遅延",IF(AND(AK26&lt;&gt;"",AK26=TODAY()),"本日対応",IF(AND(S26="全開通",X26="",AF26=""),"ヒアリング依頼待ち",IF(AND(X26&lt;&gt;"",Y26="",Z26="",TODAY()-X26&gt;=設定!$B$6),"ヒアリング未回収",IF(AND(Y26&lt;&gt;"",Z26=""),"素材確認待ち",IF(AND(AF26="",AA26&lt;&gt;"",IF(AA26="",FALSE(),AA26-TODAY()&lt;=設定!$B$7)),"納品間近",IF(AND(AH26&lt;&gt;"",IF(AH26="",FALSE(),AH26&lt;=TODAY()),AI26=""),"解約チェック",IF(AF26&lt;&gt;"","納品済","")))))))))))</f>
        <v/>
      </c>
      <c r="AM26" s="17"/>
    </row>
    <row r="27" customFormat="false" ht="15" hidden="false" customHeight="false" outlineLevel="0" collapsed="false">
      <c r="A27" s="12" t="str">
        <f aca="false">IF(C27="","",ROW()-4)</f>
        <v/>
      </c>
      <c r="B27" s="17"/>
      <c r="C27" s="17"/>
      <c r="D27" s="17"/>
      <c r="E27" s="17"/>
      <c r="F27" s="24"/>
      <c r="G27" s="17"/>
      <c r="H27" s="17"/>
      <c r="I27" s="17"/>
      <c r="J27" s="17"/>
      <c r="K27" s="17"/>
      <c r="L27" s="22"/>
      <c r="M27" s="22"/>
      <c r="N27" s="17"/>
      <c r="O27" s="17"/>
      <c r="P27" s="17"/>
      <c r="Q27" s="18" t="str">
        <f aca="false">IF(B27="","",COUNTIFS(開通管理!$B$5:$B$604,B27,開通管理!$O$5:$O$604,"&lt;&gt;キャンセル"))</f>
        <v/>
      </c>
      <c r="R27" s="18" t="str">
        <f aca="false">IF(B27="","",COUNTIFS(開通管理!$B$5:$B$604,B27,開通管理!$O$5:$O$604,"開通済"))</f>
        <v/>
      </c>
      <c r="S27" s="19" t="str">
        <f aca="false">IF(B27="","",IF(Q27=0,"未申込",IF(R27&lt;Q27,"開通待ち（"&amp;R27&amp;"/"&amp;Q27&amp;"）","全開通")))</f>
        <v/>
      </c>
      <c r="T27" s="20" t="str">
        <f aca="false">IF(S27&lt;&gt;"全開通","",_xlfn.MAXIFS(開通管理!$Q$5:$Q$604,開通管理!$B$5:$B$604,B27))</f>
        <v/>
      </c>
      <c r="U27" s="21" t="str">
        <f aca="false">IF(B27="","",SUMIFS(開通管理!$J$5:$J$604,開通管理!$B$5:$B$604,B27,開通管理!$O$5:$O$604,"&lt;&gt;キャンセル"))</f>
        <v/>
      </c>
      <c r="V27" s="22"/>
      <c r="W27" s="12" t="str">
        <f aca="false">IF(OR(B27="",設定!$B$14=""),"",SUBSTITUTE(設定!$B$14,"__ID__",B27))</f>
        <v/>
      </c>
      <c r="X27" s="22"/>
      <c r="Y27" s="22"/>
      <c r="Z27" s="22"/>
      <c r="AA27" s="20" t="str">
        <f aca="false">IF(Z27="","",WORKDAY(Z27,設定!$B$5,設定!$F$5:$F$120))</f>
        <v/>
      </c>
      <c r="AB27" s="17"/>
      <c r="AC27" s="17"/>
      <c r="AD27" s="17"/>
      <c r="AE27" s="17"/>
      <c r="AF27" s="22"/>
      <c r="AG27" s="17"/>
      <c r="AH27" s="20" t="str">
        <f aca="false">IF(T27="","",EDATE(T27,設定!$B$8))</f>
        <v/>
      </c>
      <c r="AI27" s="17"/>
      <c r="AJ27" s="17"/>
      <c r="AK27" s="22"/>
      <c r="AL27" s="23" t="str">
        <f aca="true">IF(C27="","",IF(N27="失注","―",IF(AND(AK27&lt;&gt;"",AK27&lt;TODAY()),"対応期限超過",IF(AND(AF27="",AA27&lt;&gt;"",IF(AA27="",FALSE(),AA27&lt;TODAY())),"納品遅延",IF(AND(AK27&lt;&gt;"",AK27=TODAY()),"本日対応",IF(AND(S27="全開通",X27="",AF27=""),"ヒアリング依頼待ち",IF(AND(X27&lt;&gt;"",Y27="",Z27="",TODAY()-X27&gt;=設定!$B$6),"ヒアリング未回収",IF(AND(Y27&lt;&gt;"",Z27=""),"素材確認待ち",IF(AND(AF27="",AA27&lt;&gt;"",IF(AA27="",FALSE(),AA27-TODAY()&lt;=設定!$B$7)),"納品間近",IF(AND(AH27&lt;&gt;"",IF(AH27="",FALSE(),AH27&lt;=TODAY()),AI27=""),"解約チェック",IF(AF27&lt;&gt;"","納品済","")))))))))))</f>
        <v/>
      </c>
      <c r="AM27" s="17"/>
    </row>
    <row r="28" customFormat="false" ht="15" hidden="false" customHeight="false" outlineLevel="0" collapsed="false">
      <c r="A28" s="12" t="str">
        <f aca="false">IF(C28="","",ROW()-4)</f>
        <v/>
      </c>
      <c r="B28" s="17"/>
      <c r="C28" s="17"/>
      <c r="D28" s="17"/>
      <c r="E28" s="17"/>
      <c r="F28" s="24"/>
      <c r="G28" s="17"/>
      <c r="H28" s="17"/>
      <c r="I28" s="17"/>
      <c r="J28" s="17"/>
      <c r="K28" s="17"/>
      <c r="L28" s="22"/>
      <c r="M28" s="22"/>
      <c r="N28" s="17"/>
      <c r="O28" s="17"/>
      <c r="P28" s="17"/>
      <c r="Q28" s="18" t="str">
        <f aca="false">IF(B28="","",COUNTIFS(開通管理!$B$5:$B$604,B28,開通管理!$O$5:$O$604,"&lt;&gt;キャンセル"))</f>
        <v/>
      </c>
      <c r="R28" s="18" t="str">
        <f aca="false">IF(B28="","",COUNTIFS(開通管理!$B$5:$B$604,B28,開通管理!$O$5:$O$604,"開通済"))</f>
        <v/>
      </c>
      <c r="S28" s="19" t="str">
        <f aca="false">IF(B28="","",IF(Q28=0,"未申込",IF(R28&lt;Q28,"開通待ち（"&amp;R28&amp;"/"&amp;Q28&amp;"）","全開通")))</f>
        <v/>
      </c>
      <c r="T28" s="20" t="str">
        <f aca="false">IF(S28&lt;&gt;"全開通","",_xlfn.MAXIFS(開通管理!$Q$5:$Q$604,開通管理!$B$5:$B$604,B28))</f>
        <v/>
      </c>
      <c r="U28" s="21" t="str">
        <f aca="false">IF(B28="","",SUMIFS(開通管理!$J$5:$J$604,開通管理!$B$5:$B$604,B28,開通管理!$O$5:$O$604,"&lt;&gt;キャンセル"))</f>
        <v/>
      </c>
      <c r="V28" s="22"/>
      <c r="W28" s="12" t="str">
        <f aca="false">IF(OR(B28="",設定!$B$14=""),"",SUBSTITUTE(設定!$B$14,"__ID__",B28))</f>
        <v/>
      </c>
      <c r="X28" s="22"/>
      <c r="Y28" s="22"/>
      <c r="Z28" s="22"/>
      <c r="AA28" s="20" t="str">
        <f aca="false">IF(Z28="","",WORKDAY(Z28,設定!$B$5,設定!$F$5:$F$120))</f>
        <v/>
      </c>
      <c r="AB28" s="17"/>
      <c r="AC28" s="17"/>
      <c r="AD28" s="17"/>
      <c r="AE28" s="17"/>
      <c r="AF28" s="22"/>
      <c r="AG28" s="17"/>
      <c r="AH28" s="20" t="str">
        <f aca="false">IF(T28="","",EDATE(T28,設定!$B$8))</f>
        <v/>
      </c>
      <c r="AI28" s="17"/>
      <c r="AJ28" s="17"/>
      <c r="AK28" s="22"/>
      <c r="AL28" s="23" t="str">
        <f aca="true">IF(C28="","",IF(N28="失注","―",IF(AND(AK28&lt;&gt;"",AK28&lt;TODAY()),"対応期限超過",IF(AND(AF28="",AA28&lt;&gt;"",IF(AA28="",FALSE(),AA28&lt;TODAY())),"納品遅延",IF(AND(AK28&lt;&gt;"",AK28=TODAY()),"本日対応",IF(AND(S28="全開通",X28="",AF28=""),"ヒアリング依頼待ち",IF(AND(X28&lt;&gt;"",Y28="",Z28="",TODAY()-X28&gt;=設定!$B$6),"ヒアリング未回収",IF(AND(Y28&lt;&gt;"",Z28=""),"素材確認待ち",IF(AND(AF28="",AA28&lt;&gt;"",IF(AA28="",FALSE(),AA28-TODAY()&lt;=設定!$B$7)),"納品間近",IF(AND(AH28&lt;&gt;"",IF(AH28="",FALSE(),AH28&lt;=TODAY()),AI28=""),"解約チェック",IF(AF28&lt;&gt;"","納品済","")))))))))))</f>
        <v/>
      </c>
      <c r="AM28" s="17"/>
    </row>
    <row r="29" customFormat="false" ht="15" hidden="false" customHeight="false" outlineLevel="0" collapsed="false">
      <c r="A29" s="12" t="str">
        <f aca="false">IF(C29="","",ROW()-4)</f>
        <v/>
      </c>
      <c r="B29" s="17"/>
      <c r="C29" s="17"/>
      <c r="D29" s="17"/>
      <c r="E29" s="17"/>
      <c r="F29" s="24"/>
      <c r="G29" s="17"/>
      <c r="H29" s="17"/>
      <c r="I29" s="17"/>
      <c r="J29" s="17"/>
      <c r="K29" s="17"/>
      <c r="L29" s="22"/>
      <c r="M29" s="22"/>
      <c r="N29" s="17"/>
      <c r="O29" s="17"/>
      <c r="P29" s="17"/>
      <c r="Q29" s="18" t="str">
        <f aca="false">IF(B29="","",COUNTIFS(開通管理!$B$5:$B$604,B29,開通管理!$O$5:$O$604,"&lt;&gt;キャンセル"))</f>
        <v/>
      </c>
      <c r="R29" s="18" t="str">
        <f aca="false">IF(B29="","",COUNTIFS(開通管理!$B$5:$B$604,B29,開通管理!$O$5:$O$604,"開通済"))</f>
        <v/>
      </c>
      <c r="S29" s="19" t="str">
        <f aca="false">IF(B29="","",IF(Q29=0,"未申込",IF(R29&lt;Q29,"開通待ち（"&amp;R29&amp;"/"&amp;Q29&amp;"）","全開通")))</f>
        <v/>
      </c>
      <c r="T29" s="20" t="str">
        <f aca="false">IF(S29&lt;&gt;"全開通","",_xlfn.MAXIFS(開通管理!$Q$5:$Q$604,開通管理!$B$5:$B$604,B29))</f>
        <v/>
      </c>
      <c r="U29" s="21" t="str">
        <f aca="false">IF(B29="","",SUMIFS(開通管理!$J$5:$J$604,開通管理!$B$5:$B$604,B29,開通管理!$O$5:$O$604,"&lt;&gt;キャンセル"))</f>
        <v/>
      </c>
      <c r="V29" s="22"/>
      <c r="W29" s="12" t="str">
        <f aca="false">IF(OR(B29="",設定!$B$14=""),"",SUBSTITUTE(設定!$B$14,"__ID__",B29))</f>
        <v/>
      </c>
      <c r="X29" s="22"/>
      <c r="Y29" s="22"/>
      <c r="Z29" s="22"/>
      <c r="AA29" s="20" t="str">
        <f aca="false">IF(Z29="","",WORKDAY(Z29,設定!$B$5,設定!$F$5:$F$120))</f>
        <v/>
      </c>
      <c r="AB29" s="17"/>
      <c r="AC29" s="17"/>
      <c r="AD29" s="17"/>
      <c r="AE29" s="17"/>
      <c r="AF29" s="22"/>
      <c r="AG29" s="17"/>
      <c r="AH29" s="20" t="str">
        <f aca="false">IF(T29="","",EDATE(T29,設定!$B$8))</f>
        <v/>
      </c>
      <c r="AI29" s="17"/>
      <c r="AJ29" s="17"/>
      <c r="AK29" s="22"/>
      <c r="AL29" s="23" t="str">
        <f aca="true">IF(C29="","",IF(N29="失注","―",IF(AND(AK29&lt;&gt;"",AK29&lt;TODAY()),"対応期限超過",IF(AND(AF29="",AA29&lt;&gt;"",IF(AA29="",FALSE(),AA29&lt;TODAY())),"納品遅延",IF(AND(AK29&lt;&gt;"",AK29=TODAY()),"本日対応",IF(AND(S29="全開通",X29="",AF29=""),"ヒアリング依頼待ち",IF(AND(X29&lt;&gt;"",Y29="",Z29="",TODAY()-X29&gt;=設定!$B$6),"ヒアリング未回収",IF(AND(Y29&lt;&gt;"",Z29=""),"素材確認待ち",IF(AND(AF29="",AA29&lt;&gt;"",IF(AA29="",FALSE(),AA29-TODAY()&lt;=設定!$B$7)),"納品間近",IF(AND(AH29&lt;&gt;"",IF(AH29="",FALSE(),AH29&lt;=TODAY()),AI29=""),"解約チェック",IF(AF29&lt;&gt;"","納品済","")))))))))))</f>
        <v/>
      </c>
      <c r="AM29" s="17"/>
    </row>
    <row r="30" customFormat="false" ht="15" hidden="false" customHeight="false" outlineLevel="0" collapsed="false">
      <c r="A30" s="12" t="str">
        <f aca="false">IF(C30="","",ROW()-4)</f>
        <v/>
      </c>
      <c r="B30" s="17"/>
      <c r="C30" s="17"/>
      <c r="D30" s="17"/>
      <c r="E30" s="17"/>
      <c r="F30" s="24"/>
      <c r="G30" s="17"/>
      <c r="H30" s="17"/>
      <c r="I30" s="17"/>
      <c r="J30" s="17"/>
      <c r="K30" s="17"/>
      <c r="L30" s="22"/>
      <c r="M30" s="22"/>
      <c r="N30" s="17"/>
      <c r="O30" s="17"/>
      <c r="P30" s="17"/>
      <c r="Q30" s="18" t="str">
        <f aca="false">IF(B30="","",COUNTIFS(開通管理!$B$5:$B$604,B30,開通管理!$O$5:$O$604,"&lt;&gt;キャンセル"))</f>
        <v/>
      </c>
      <c r="R30" s="18" t="str">
        <f aca="false">IF(B30="","",COUNTIFS(開通管理!$B$5:$B$604,B30,開通管理!$O$5:$O$604,"開通済"))</f>
        <v/>
      </c>
      <c r="S30" s="19" t="str">
        <f aca="false">IF(B30="","",IF(Q30=0,"未申込",IF(R30&lt;Q30,"開通待ち（"&amp;R30&amp;"/"&amp;Q30&amp;"）","全開通")))</f>
        <v/>
      </c>
      <c r="T30" s="20" t="str">
        <f aca="false">IF(S30&lt;&gt;"全開通","",_xlfn.MAXIFS(開通管理!$Q$5:$Q$604,開通管理!$B$5:$B$604,B30))</f>
        <v/>
      </c>
      <c r="U30" s="21" t="str">
        <f aca="false">IF(B30="","",SUMIFS(開通管理!$J$5:$J$604,開通管理!$B$5:$B$604,B30,開通管理!$O$5:$O$604,"&lt;&gt;キャンセル"))</f>
        <v/>
      </c>
      <c r="V30" s="22"/>
      <c r="W30" s="12" t="str">
        <f aca="false">IF(OR(B30="",設定!$B$14=""),"",SUBSTITUTE(設定!$B$14,"__ID__",B30))</f>
        <v/>
      </c>
      <c r="X30" s="22"/>
      <c r="Y30" s="22"/>
      <c r="Z30" s="22"/>
      <c r="AA30" s="20" t="str">
        <f aca="false">IF(Z30="","",WORKDAY(Z30,設定!$B$5,設定!$F$5:$F$120))</f>
        <v/>
      </c>
      <c r="AB30" s="17"/>
      <c r="AC30" s="17"/>
      <c r="AD30" s="17"/>
      <c r="AE30" s="17"/>
      <c r="AF30" s="22"/>
      <c r="AG30" s="17"/>
      <c r="AH30" s="20" t="str">
        <f aca="false">IF(T30="","",EDATE(T30,設定!$B$8))</f>
        <v/>
      </c>
      <c r="AI30" s="17"/>
      <c r="AJ30" s="17"/>
      <c r="AK30" s="22"/>
      <c r="AL30" s="23" t="str">
        <f aca="true">IF(C30="","",IF(N30="失注","―",IF(AND(AK30&lt;&gt;"",AK30&lt;TODAY()),"対応期限超過",IF(AND(AF30="",AA30&lt;&gt;"",IF(AA30="",FALSE(),AA30&lt;TODAY())),"納品遅延",IF(AND(AK30&lt;&gt;"",AK30=TODAY()),"本日対応",IF(AND(S30="全開通",X30="",AF30=""),"ヒアリング依頼待ち",IF(AND(X30&lt;&gt;"",Y30="",Z30="",TODAY()-X30&gt;=設定!$B$6),"ヒアリング未回収",IF(AND(Y30&lt;&gt;"",Z30=""),"素材確認待ち",IF(AND(AF30="",AA30&lt;&gt;"",IF(AA30="",FALSE(),AA30-TODAY()&lt;=設定!$B$7)),"納品間近",IF(AND(AH30&lt;&gt;"",IF(AH30="",FALSE(),AH30&lt;=TODAY()),AI30=""),"解約チェック",IF(AF30&lt;&gt;"","納品済","")))))))))))</f>
        <v/>
      </c>
      <c r="AM30" s="17"/>
    </row>
    <row r="31" customFormat="false" ht="15" hidden="false" customHeight="false" outlineLevel="0" collapsed="false">
      <c r="A31" s="12" t="str">
        <f aca="false">IF(C31="","",ROW()-4)</f>
        <v/>
      </c>
      <c r="B31" s="17"/>
      <c r="C31" s="17"/>
      <c r="D31" s="17"/>
      <c r="E31" s="17"/>
      <c r="F31" s="24"/>
      <c r="G31" s="17"/>
      <c r="H31" s="17"/>
      <c r="I31" s="17"/>
      <c r="J31" s="17"/>
      <c r="K31" s="17"/>
      <c r="L31" s="22"/>
      <c r="M31" s="22"/>
      <c r="N31" s="17"/>
      <c r="O31" s="17"/>
      <c r="P31" s="17"/>
      <c r="Q31" s="18" t="str">
        <f aca="false">IF(B31="","",COUNTIFS(開通管理!$B$5:$B$604,B31,開通管理!$O$5:$O$604,"&lt;&gt;キャンセル"))</f>
        <v/>
      </c>
      <c r="R31" s="18" t="str">
        <f aca="false">IF(B31="","",COUNTIFS(開通管理!$B$5:$B$604,B31,開通管理!$O$5:$O$604,"開通済"))</f>
        <v/>
      </c>
      <c r="S31" s="19" t="str">
        <f aca="false">IF(B31="","",IF(Q31=0,"未申込",IF(R31&lt;Q31,"開通待ち（"&amp;R31&amp;"/"&amp;Q31&amp;"）","全開通")))</f>
        <v/>
      </c>
      <c r="T31" s="20" t="str">
        <f aca="false">IF(S31&lt;&gt;"全開通","",_xlfn.MAXIFS(開通管理!$Q$5:$Q$604,開通管理!$B$5:$B$604,B31))</f>
        <v/>
      </c>
      <c r="U31" s="21" t="str">
        <f aca="false">IF(B31="","",SUMIFS(開通管理!$J$5:$J$604,開通管理!$B$5:$B$604,B31,開通管理!$O$5:$O$604,"&lt;&gt;キャンセル"))</f>
        <v/>
      </c>
      <c r="V31" s="22"/>
      <c r="W31" s="12" t="str">
        <f aca="false">IF(OR(B31="",設定!$B$14=""),"",SUBSTITUTE(設定!$B$14,"__ID__",B31))</f>
        <v/>
      </c>
      <c r="X31" s="22"/>
      <c r="Y31" s="22"/>
      <c r="Z31" s="22"/>
      <c r="AA31" s="20" t="str">
        <f aca="false">IF(Z31="","",WORKDAY(Z31,設定!$B$5,設定!$F$5:$F$120))</f>
        <v/>
      </c>
      <c r="AB31" s="17"/>
      <c r="AC31" s="17"/>
      <c r="AD31" s="17"/>
      <c r="AE31" s="17"/>
      <c r="AF31" s="22"/>
      <c r="AG31" s="17"/>
      <c r="AH31" s="20" t="str">
        <f aca="false">IF(T31="","",EDATE(T31,設定!$B$8))</f>
        <v/>
      </c>
      <c r="AI31" s="17"/>
      <c r="AJ31" s="17"/>
      <c r="AK31" s="22"/>
      <c r="AL31" s="23" t="str">
        <f aca="true">IF(C31="","",IF(N31="失注","―",IF(AND(AK31&lt;&gt;"",AK31&lt;TODAY()),"対応期限超過",IF(AND(AF31="",AA31&lt;&gt;"",IF(AA31="",FALSE(),AA31&lt;TODAY())),"納品遅延",IF(AND(AK31&lt;&gt;"",AK31=TODAY()),"本日対応",IF(AND(S31="全開通",X31="",AF31=""),"ヒアリング依頼待ち",IF(AND(X31&lt;&gt;"",Y31="",Z31="",TODAY()-X31&gt;=設定!$B$6),"ヒアリング未回収",IF(AND(Y31&lt;&gt;"",Z31=""),"素材確認待ち",IF(AND(AF31="",AA31&lt;&gt;"",IF(AA31="",FALSE(),AA31-TODAY()&lt;=設定!$B$7)),"納品間近",IF(AND(AH31&lt;&gt;"",IF(AH31="",FALSE(),AH31&lt;=TODAY()),AI31=""),"解約チェック",IF(AF31&lt;&gt;"","納品済","")))))))))))</f>
        <v/>
      </c>
      <c r="AM31" s="17"/>
    </row>
    <row r="32" customFormat="false" ht="15" hidden="false" customHeight="false" outlineLevel="0" collapsed="false">
      <c r="A32" s="12" t="str">
        <f aca="false">IF(C32="","",ROW()-4)</f>
        <v/>
      </c>
      <c r="B32" s="17"/>
      <c r="C32" s="17"/>
      <c r="D32" s="17"/>
      <c r="E32" s="17"/>
      <c r="F32" s="24"/>
      <c r="G32" s="17"/>
      <c r="H32" s="17"/>
      <c r="I32" s="17"/>
      <c r="J32" s="17"/>
      <c r="K32" s="17"/>
      <c r="L32" s="22"/>
      <c r="M32" s="22"/>
      <c r="N32" s="17"/>
      <c r="O32" s="17"/>
      <c r="P32" s="17"/>
      <c r="Q32" s="18" t="str">
        <f aca="false">IF(B32="","",COUNTIFS(開通管理!$B$5:$B$604,B32,開通管理!$O$5:$O$604,"&lt;&gt;キャンセル"))</f>
        <v/>
      </c>
      <c r="R32" s="18" t="str">
        <f aca="false">IF(B32="","",COUNTIFS(開通管理!$B$5:$B$604,B32,開通管理!$O$5:$O$604,"開通済"))</f>
        <v/>
      </c>
      <c r="S32" s="19" t="str">
        <f aca="false">IF(B32="","",IF(Q32=0,"未申込",IF(R32&lt;Q32,"開通待ち（"&amp;R32&amp;"/"&amp;Q32&amp;"）","全開通")))</f>
        <v/>
      </c>
      <c r="T32" s="20" t="str">
        <f aca="false">IF(S32&lt;&gt;"全開通","",_xlfn.MAXIFS(開通管理!$Q$5:$Q$604,開通管理!$B$5:$B$604,B32))</f>
        <v/>
      </c>
      <c r="U32" s="21" t="str">
        <f aca="false">IF(B32="","",SUMIFS(開通管理!$J$5:$J$604,開通管理!$B$5:$B$604,B32,開通管理!$O$5:$O$604,"&lt;&gt;キャンセル"))</f>
        <v/>
      </c>
      <c r="V32" s="22"/>
      <c r="W32" s="12" t="str">
        <f aca="false">IF(OR(B32="",設定!$B$14=""),"",SUBSTITUTE(設定!$B$14,"__ID__",B32))</f>
        <v/>
      </c>
      <c r="X32" s="22"/>
      <c r="Y32" s="22"/>
      <c r="Z32" s="22"/>
      <c r="AA32" s="20" t="str">
        <f aca="false">IF(Z32="","",WORKDAY(Z32,設定!$B$5,設定!$F$5:$F$120))</f>
        <v/>
      </c>
      <c r="AB32" s="17"/>
      <c r="AC32" s="17"/>
      <c r="AD32" s="17"/>
      <c r="AE32" s="17"/>
      <c r="AF32" s="22"/>
      <c r="AG32" s="17"/>
      <c r="AH32" s="20" t="str">
        <f aca="false">IF(T32="","",EDATE(T32,設定!$B$8))</f>
        <v/>
      </c>
      <c r="AI32" s="17"/>
      <c r="AJ32" s="17"/>
      <c r="AK32" s="22"/>
      <c r="AL32" s="23" t="str">
        <f aca="true">IF(C32="","",IF(N32="失注","―",IF(AND(AK32&lt;&gt;"",AK32&lt;TODAY()),"対応期限超過",IF(AND(AF32="",AA32&lt;&gt;"",IF(AA32="",FALSE(),AA32&lt;TODAY())),"納品遅延",IF(AND(AK32&lt;&gt;"",AK32=TODAY()),"本日対応",IF(AND(S32="全開通",X32="",AF32=""),"ヒアリング依頼待ち",IF(AND(X32&lt;&gt;"",Y32="",Z32="",TODAY()-X32&gt;=設定!$B$6),"ヒアリング未回収",IF(AND(Y32&lt;&gt;"",Z32=""),"素材確認待ち",IF(AND(AF32="",AA32&lt;&gt;"",IF(AA32="",FALSE(),AA32-TODAY()&lt;=設定!$B$7)),"納品間近",IF(AND(AH32&lt;&gt;"",IF(AH32="",FALSE(),AH32&lt;=TODAY()),AI32=""),"解約チェック",IF(AF32&lt;&gt;"","納品済","")))))))))))</f>
        <v/>
      </c>
      <c r="AM32" s="17"/>
    </row>
    <row r="33" customFormat="false" ht="15" hidden="false" customHeight="false" outlineLevel="0" collapsed="false">
      <c r="A33" s="12" t="str">
        <f aca="false">IF(C33="","",ROW()-4)</f>
        <v/>
      </c>
      <c r="B33" s="17"/>
      <c r="C33" s="17"/>
      <c r="D33" s="17"/>
      <c r="E33" s="17"/>
      <c r="F33" s="24"/>
      <c r="G33" s="17"/>
      <c r="H33" s="17"/>
      <c r="I33" s="17"/>
      <c r="J33" s="17"/>
      <c r="K33" s="17"/>
      <c r="L33" s="22"/>
      <c r="M33" s="22"/>
      <c r="N33" s="17"/>
      <c r="O33" s="17"/>
      <c r="P33" s="17"/>
      <c r="Q33" s="18" t="str">
        <f aca="false">IF(B33="","",COUNTIFS(開通管理!$B$5:$B$604,B33,開通管理!$O$5:$O$604,"&lt;&gt;キャンセル"))</f>
        <v/>
      </c>
      <c r="R33" s="18" t="str">
        <f aca="false">IF(B33="","",COUNTIFS(開通管理!$B$5:$B$604,B33,開通管理!$O$5:$O$604,"開通済"))</f>
        <v/>
      </c>
      <c r="S33" s="19" t="str">
        <f aca="false">IF(B33="","",IF(Q33=0,"未申込",IF(R33&lt;Q33,"開通待ち（"&amp;R33&amp;"/"&amp;Q33&amp;"）","全開通")))</f>
        <v/>
      </c>
      <c r="T33" s="20" t="str">
        <f aca="false">IF(S33&lt;&gt;"全開通","",_xlfn.MAXIFS(開通管理!$Q$5:$Q$604,開通管理!$B$5:$B$604,B33))</f>
        <v/>
      </c>
      <c r="U33" s="21" t="str">
        <f aca="false">IF(B33="","",SUMIFS(開通管理!$J$5:$J$604,開通管理!$B$5:$B$604,B33,開通管理!$O$5:$O$604,"&lt;&gt;キャンセル"))</f>
        <v/>
      </c>
      <c r="V33" s="22"/>
      <c r="W33" s="12" t="str">
        <f aca="false">IF(OR(B33="",設定!$B$14=""),"",SUBSTITUTE(設定!$B$14,"__ID__",B33))</f>
        <v/>
      </c>
      <c r="X33" s="22"/>
      <c r="Y33" s="22"/>
      <c r="Z33" s="22"/>
      <c r="AA33" s="20" t="str">
        <f aca="false">IF(Z33="","",WORKDAY(Z33,設定!$B$5,設定!$F$5:$F$120))</f>
        <v/>
      </c>
      <c r="AB33" s="17"/>
      <c r="AC33" s="17"/>
      <c r="AD33" s="17"/>
      <c r="AE33" s="17"/>
      <c r="AF33" s="22"/>
      <c r="AG33" s="17"/>
      <c r="AH33" s="20" t="str">
        <f aca="false">IF(T33="","",EDATE(T33,設定!$B$8))</f>
        <v/>
      </c>
      <c r="AI33" s="17"/>
      <c r="AJ33" s="17"/>
      <c r="AK33" s="22"/>
      <c r="AL33" s="23" t="str">
        <f aca="true">IF(C33="","",IF(N33="失注","―",IF(AND(AK33&lt;&gt;"",AK33&lt;TODAY()),"対応期限超過",IF(AND(AF33="",AA33&lt;&gt;"",IF(AA33="",FALSE(),AA33&lt;TODAY())),"納品遅延",IF(AND(AK33&lt;&gt;"",AK33=TODAY()),"本日対応",IF(AND(S33="全開通",X33="",AF33=""),"ヒアリング依頼待ち",IF(AND(X33&lt;&gt;"",Y33="",Z33="",TODAY()-X33&gt;=設定!$B$6),"ヒアリング未回収",IF(AND(Y33&lt;&gt;"",Z33=""),"素材確認待ち",IF(AND(AF33="",AA33&lt;&gt;"",IF(AA33="",FALSE(),AA33-TODAY()&lt;=設定!$B$7)),"納品間近",IF(AND(AH33&lt;&gt;"",IF(AH33="",FALSE(),AH33&lt;=TODAY()),AI33=""),"解約チェック",IF(AF33&lt;&gt;"","納品済","")))))))))))</f>
        <v/>
      </c>
      <c r="AM33" s="17"/>
    </row>
    <row r="34" customFormat="false" ht="15" hidden="false" customHeight="false" outlineLevel="0" collapsed="false">
      <c r="A34" s="12" t="str">
        <f aca="false">IF(C34="","",ROW()-4)</f>
        <v/>
      </c>
      <c r="B34" s="17"/>
      <c r="C34" s="17"/>
      <c r="D34" s="17"/>
      <c r="E34" s="17"/>
      <c r="F34" s="24"/>
      <c r="G34" s="17"/>
      <c r="H34" s="17"/>
      <c r="I34" s="17"/>
      <c r="J34" s="17"/>
      <c r="K34" s="17"/>
      <c r="L34" s="22"/>
      <c r="M34" s="22"/>
      <c r="N34" s="17"/>
      <c r="O34" s="17"/>
      <c r="P34" s="17"/>
      <c r="Q34" s="18" t="str">
        <f aca="false">IF(B34="","",COUNTIFS(開通管理!$B$5:$B$604,B34,開通管理!$O$5:$O$604,"&lt;&gt;キャンセル"))</f>
        <v/>
      </c>
      <c r="R34" s="18" t="str">
        <f aca="false">IF(B34="","",COUNTIFS(開通管理!$B$5:$B$604,B34,開通管理!$O$5:$O$604,"開通済"))</f>
        <v/>
      </c>
      <c r="S34" s="19" t="str">
        <f aca="false">IF(B34="","",IF(Q34=0,"未申込",IF(R34&lt;Q34,"開通待ち（"&amp;R34&amp;"/"&amp;Q34&amp;"）","全開通")))</f>
        <v/>
      </c>
      <c r="T34" s="20" t="str">
        <f aca="false">IF(S34&lt;&gt;"全開通","",_xlfn.MAXIFS(開通管理!$Q$5:$Q$604,開通管理!$B$5:$B$604,B34))</f>
        <v/>
      </c>
      <c r="U34" s="21" t="str">
        <f aca="false">IF(B34="","",SUMIFS(開通管理!$J$5:$J$604,開通管理!$B$5:$B$604,B34,開通管理!$O$5:$O$604,"&lt;&gt;キャンセル"))</f>
        <v/>
      </c>
      <c r="V34" s="22"/>
      <c r="W34" s="12" t="str">
        <f aca="false">IF(OR(B34="",設定!$B$14=""),"",SUBSTITUTE(設定!$B$14,"__ID__",B34))</f>
        <v/>
      </c>
      <c r="X34" s="22"/>
      <c r="Y34" s="22"/>
      <c r="Z34" s="22"/>
      <c r="AA34" s="20" t="str">
        <f aca="false">IF(Z34="","",WORKDAY(Z34,設定!$B$5,設定!$F$5:$F$120))</f>
        <v/>
      </c>
      <c r="AB34" s="17"/>
      <c r="AC34" s="17"/>
      <c r="AD34" s="17"/>
      <c r="AE34" s="17"/>
      <c r="AF34" s="22"/>
      <c r="AG34" s="17"/>
      <c r="AH34" s="20" t="str">
        <f aca="false">IF(T34="","",EDATE(T34,設定!$B$8))</f>
        <v/>
      </c>
      <c r="AI34" s="17"/>
      <c r="AJ34" s="17"/>
      <c r="AK34" s="22"/>
      <c r="AL34" s="23" t="str">
        <f aca="true">IF(C34="","",IF(N34="失注","―",IF(AND(AK34&lt;&gt;"",AK34&lt;TODAY()),"対応期限超過",IF(AND(AF34="",AA34&lt;&gt;"",IF(AA34="",FALSE(),AA34&lt;TODAY())),"納品遅延",IF(AND(AK34&lt;&gt;"",AK34=TODAY()),"本日対応",IF(AND(S34="全開通",X34="",AF34=""),"ヒアリング依頼待ち",IF(AND(X34&lt;&gt;"",Y34="",Z34="",TODAY()-X34&gt;=設定!$B$6),"ヒアリング未回収",IF(AND(Y34&lt;&gt;"",Z34=""),"素材確認待ち",IF(AND(AF34="",AA34&lt;&gt;"",IF(AA34="",FALSE(),AA34-TODAY()&lt;=設定!$B$7)),"納品間近",IF(AND(AH34&lt;&gt;"",IF(AH34="",FALSE(),AH34&lt;=TODAY()),AI34=""),"解約チェック",IF(AF34&lt;&gt;"","納品済","")))))))))))</f>
        <v/>
      </c>
      <c r="AM34" s="17"/>
    </row>
    <row r="35" customFormat="false" ht="15" hidden="false" customHeight="false" outlineLevel="0" collapsed="false">
      <c r="A35" s="12" t="str">
        <f aca="false">IF(C35="","",ROW()-4)</f>
        <v/>
      </c>
      <c r="B35" s="17"/>
      <c r="C35" s="17"/>
      <c r="D35" s="17"/>
      <c r="E35" s="17"/>
      <c r="F35" s="24"/>
      <c r="G35" s="17"/>
      <c r="H35" s="17"/>
      <c r="I35" s="17"/>
      <c r="J35" s="17"/>
      <c r="K35" s="17"/>
      <c r="L35" s="22"/>
      <c r="M35" s="22"/>
      <c r="N35" s="17"/>
      <c r="O35" s="17"/>
      <c r="P35" s="17"/>
      <c r="Q35" s="18" t="str">
        <f aca="false">IF(B35="","",COUNTIFS(開通管理!$B$5:$B$604,B35,開通管理!$O$5:$O$604,"&lt;&gt;キャンセル"))</f>
        <v/>
      </c>
      <c r="R35" s="18" t="str">
        <f aca="false">IF(B35="","",COUNTIFS(開通管理!$B$5:$B$604,B35,開通管理!$O$5:$O$604,"開通済"))</f>
        <v/>
      </c>
      <c r="S35" s="19" t="str">
        <f aca="false">IF(B35="","",IF(Q35=0,"未申込",IF(R35&lt;Q35,"開通待ち（"&amp;R35&amp;"/"&amp;Q35&amp;"）","全開通")))</f>
        <v/>
      </c>
      <c r="T35" s="20" t="str">
        <f aca="false">IF(S35&lt;&gt;"全開通","",_xlfn.MAXIFS(開通管理!$Q$5:$Q$604,開通管理!$B$5:$B$604,B35))</f>
        <v/>
      </c>
      <c r="U35" s="21" t="str">
        <f aca="false">IF(B35="","",SUMIFS(開通管理!$J$5:$J$604,開通管理!$B$5:$B$604,B35,開通管理!$O$5:$O$604,"&lt;&gt;キャンセル"))</f>
        <v/>
      </c>
      <c r="V35" s="22"/>
      <c r="W35" s="12" t="str">
        <f aca="false">IF(OR(B35="",設定!$B$14=""),"",SUBSTITUTE(設定!$B$14,"__ID__",B35))</f>
        <v/>
      </c>
      <c r="X35" s="22"/>
      <c r="Y35" s="22"/>
      <c r="Z35" s="22"/>
      <c r="AA35" s="20" t="str">
        <f aca="false">IF(Z35="","",WORKDAY(Z35,設定!$B$5,設定!$F$5:$F$120))</f>
        <v/>
      </c>
      <c r="AB35" s="17"/>
      <c r="AC35" s="17"/>
      <c r="AD35" s="17"/>
      <c r="AE35" s="17"/>
      <c r="AF35" s="22"/>
      <c r="AG35" s="17"/>
      <c r="AH35" s="20" t="str">
        <f aca="false">IF(T35="","",EDATE(T35,設定!$B$8))</f>
        <v/>
      </c>
      <c r="AI35" s="17"/>
      <c r="AJ35" s="17"/>
      <c r="AK35" s="22"/>
      <c r="AL35" s="23" t="str">
        <f aca="true">IF(C35="","",IF(N35="失注","―",IF(AND(AK35&lt;&gt;"",AK35&lt;TODAY()),"対応期限超過",IF(AND(AF35="",AA35&lt;&gt;"",IF(AA35="",FALSE(),AA35&lt;TODAY())),"納品遅延",IF(AND(AK35&lt;&gt;"",AK35=TODAY()),"本日対応",IF(AND(S35="全開通",X35="",AF35=""),"ヒアリング依頼待ち",IF(AND(X35&lt;&gt;"",Y35="",Z35="",TODAY()-X35&gt;=設定!$B$6),"ヒアリング未回収",IF(AND(Y35&lt;&gt;"",Z35=""),"素材確認待ち",IF(AND(AF35="",AA35&lt;&gt;"",IF(AA35="",FALSE(),AA35-TODAY()&lt;=設定!$B$7)),"納品間近",IF(AND(AH35&lt;&gt;"",IF(AH35="",FALSE(),AH35&lt;=TODAY()),AI35=""),"解約チェック",IF(AF35&lt;&gt;"","納品済","")))))))))))</f>
        <v/>
      </c>
      <c r="AM35" s="17"/>
    </row>
    <row r="36" customFormat="false" ht="15" hidden="false" customHeight="false" outlineLevel="0" collapsed="false">
      <c r="A36" s="12" t="str">
        <f aca="false">IF(C36="","",ROW()-4)</f>
        <v/>
      </c>
      <c r="B36" s="17"/>
      <c r="C36" s="17"/>
      <c r="D36" s="17"/>
      <c r="E36" s="17"/>
      <c r="F36" s="24"/>
      <c r="G36" s="17"/>
      <c r="H36" s="17"/>
      <c r="I36" s="17"/>
      <c r="J36" s="17"/>
      <c r="K36" s="17"/>
      <c r="L36" s="22"/>
      <c r="M36" s="22"/>
      <c r="N36" s="17"/>
      <c r="O36" s="17"/>
      <c r="P36" s="17"/>
      <c r="Q36" s="18" t="str">
        <f aca="false">IF(B36="","",COUNTIFS(開通管理!$B$5:$B$604,B36,開通管理!$O$5:$O$604,"&lt;&gt;キャンセル"))</f>
        <v/>
      </c>
      <c r="R36" s="18" t="str">
        <f aca="false">IF(B36="","",COUNTIFS(開通管理!$B$5:$B$604,B36,開通管理!$O$5:$O$604,"開通済"))</f>
        <v/>
      </c>
      <c r="S36" s="19" t="str">
        <f aca="false">IF(B36="","",IF(Q36=0,"未申込",IF(R36&lt;Q36,"開通待ち（"&amp;R36&amp;"/"&amp;Q36&amp;"）","全開通")))</f>
        <v/>
      </c>
      <c r="T36" s="20" t="str">
        <f aca="false">IF(S36&lt;&gt;"全開通","",_xlfn.MAXIFS(開通管理!$Q$5:$Q$604,開通管理!$B$5:$B$604,B36))</f>
        <v/>
      </c>
      <c r="U36" s="21" t="str">
        <f aca="false">IF(B36="","",SUMIFS(開通管理!$J$5:$J$604,開通管理!$B$5:$B$604,B36,開通管理!$O$5:$O$604,"&lt;&gt;キャンセル"))</f>
        <v/>
      </c>
      <c r="V36" s="22"/>
      <c r="W36" s="12" t="str">
        <f aca="false">IF(OR(B36="",設定!$B$14=""),"",SUBSTITUTE(設定!$B$14,"__ID__",B36))</f>
        <v/>
      </c>
      <c r="X36" s="22"/>
      <c r="Y36" s="22"/>
      <c r="Z36" s="22"/>
      <c r="AA36" s="20" t="str">
        <f aca="false">IF(Z36="","",WORKDAY(Z36,設定!$B$5,設定!$F$5:$F$120))</f>
        <v/>
      </c>
      <c r="AB36" s="17"/>
      <c r="AC36" s="17"/>
      <c r="AD36" s="17"/>
      <c r="AE36" s="17"/>
      <c r="AF36" s="22"/>
      <c r="AG36" s="17"/>
      <c r="AH36" s="20" t="str">
        <f aca="false">IF(T36="","",EDATE(T36,設定!$B$8))</f>
        <v/>
      </c>
      <c r="AI36" s="17"/>
      <c r="AJ36" s="17"/>
      <c r="AK36" s="22"/>
      <c r="AL36" s="23" t="str">
        <f aca="true">IF(C36="","",IF(N36="失注","―",IF(AND(AK36&lt;&gt;"",AK36&lt;TODAY()),"対応期限超過",IF(AND(AF36="",AA36&lt;&gt;"",IF(AA36="",FALSE(),AA36&lt;TODAY())),"納品遅延",IF(AND(AK36&lt;&gt;"",AK36=TODAY()),"本日対応",IF(AND(S36="全開通",X36="",AF36=""),"ヒアリング依頼待ち",IF(AND(X36&lt;&gt;"",Y36="",Z36="",TODAY()-X36&gt;=設定!$B$6),"ヒアリング未回収",IF(AND(Y36&lt;&gt;"",Z36=""),"素材確認待ち",IF(AND(AF36="",AA36&lt;&gt;"",IF(AA36="",FALSE(),AA36-TODAY()&lt;=設定!$B$7)),"納品間近",IF(AND(AH36&lt;&gt;"",IF(AH36="",FALSE(),AH36&lt;=TODAY()),AI36=""),"解約チェック",IF(AF36&lt;&gt;"","納品済","")))))))))))</f>
        <v/>
      </c>
      <c r="AM36" s="17"/>
    </row>
    <row r="37" customFormat="false" ht="15" hidden="false" customHeight="false" outlineLevel="0" collapsed="false">
      <c r="A37" s="12" t="str">
        <f aca="false">IF(C37="","",ROW()-4)</f>
        <v/>
      </c>
      <c r="B37" s="17"/>
      <c r="C37" s="17"/>
      <c r="D37" s="17"/>
      <c r="E37" s="17"/>
      <c r="F37" s="24"/>
      <c r="G37" s="17"/>
      <c r="H37" s="17"/>
      <c r="I37" s="17"/>
      <c r="J37" s="17"/>
      <c r="K37" s="17"/>
      <c r="L37" s="22"/>
      <c r="M37" s="22"/>
      <c r="N37" s="17"/>
      <c r="O37" s="17"/>
      <c r="P37" s="17"/>
      <c r="Q37" s="18" t="str">
        <f aca="false">IF(B37="","",COUNTIFS(開通管理!$B$5:$B$604,B37,開通管理!$O$5:$O$604,"&lt;&gt;キャンセル"))</f>
        <v/>
      </c>
      <c r="R37" s="18" t="str">
        <f aca="false">IF(B37="","",COUNTIFS(開通管理!$B$5:$B$604,B37,開通管理!$O$5:$O$604,"開通済"))</f>
        <v/>
      </c>
      <c r="S37" s="19" t="str">
        <f aca="false">IF(B37="","",IF(Q37=0,"未申込",IF(R37&lt;Q37,"開通待ち（"&amp;R37&amp;"/"&amp;Q37&amp;"）","全開通")))</f>
        <v/>
      </c>
      <c r="T37" s="20" t="str">
        <f aca="false">IF(S37&lt;&gt;"全開通","",_xlfn.MAXIFS(開通管理!$Q$5:$Q$604,開通管理!$B$5:$B$604,B37))</f>
        <v/>
      </c>
      <c r="U37" s="21" t="str">
        <f aca="false">IF(B37="","",SUMIFS(開通管理!$J$5:$J$604,開通管理!$B$5:$B$604,B37,開通管理!$O$5:$O$604,"&lt;&gt;キャンセル"))</f>
        <v/>
      </c>
      <c r="V37" s="22"/>
      <c r="W37" s="12" t="str">
        <f aca="false">IF(OR(B37="",設定!$B$14=""),"",SUBSTITUTE(設定!$B$14,"__ID__",B37))</f>
        <v/>
      </c>
      <c r="X37" s="22"/>
      <c r="Y37" s="22"/>
      <c r="Z37" s="22"/>
      <c r="AA37" s="20" t="str">
        <f aca="false">IF(Z37="","",WORKDAY(Z37,設定!$B$5,設定!$F$5:$F$120))</f>
        <v/>
      </c>
      <c r="AB37" s="17"/>
      <c r="AC37" s="17"/>
      <c r="AD37" s="17"/>
      <c r="AE37" s="17"/>
      <c r="AF37" s="22"/>
      <c r="AG37" s="17"/>
      <c r="AH37" s="20" t="str">
        <f aca="false">IF(T37="","",EDATE(T37,設定!$B$8))</f>
        <v/>
      </c>
      <c r="AI37" s="17"/>
      <c r="AJ37" s="17"/>
      <c r="AK37" s="22"/>
      <c r="AL37" s="23" t="str">
        <f aca="true">IF(C37="","",IF(N37="失注","―",IF(AND(AK37&lt;&gt;"",AK37&lt;TODAY()),"対応期限超過",IF(AND(AF37="",AA37&lt;&gt;"",IF(AA37="",FALSE(),AA37&lt;TODAY())),"納品遅延",IF(AND(AK37&lt;&gt;"",AK37=TODAY()),"本日対応",IF(AND(S37="全開通",X37="",AF37=""),"ヒアリング依頼待ち",IF(AND(X37&lt;&gt;"",Y37="",Z37="",TODAY()-X37&gt;=設定!$B$6),"ヒアリング未回収",IF(AND(Y37&lt;&gt;"",Z37=""),"素材確認待ち",IF(AND(AF37="",AA37&lt;&gt;"",IF(AA37="",FALSE(),AA37-TODAY()&lt;=設定!$B$7)),"納品間近",IF(AND(AH37&lt;&gt;"",IF(AH37="",FALSE(),AH37&lt;=TODAY()),AI37=""),"解約チェック",IF(AF37&lt;&gt;"","納品済","")))))))))))</f>
        <v/>
      </c>
      <c r="AM37" s="17"/>
    </row>
    <row r="38" customFormat="false" ht="15" hidden="false" customHeight="false" outlineLevel="0" collapsed="false">
      <c r="A38" s="12" t="str">
        <f aca="false">IF(C38="","",ROW()-4)</f>
        <v/>
      </c>
      <c r="B38" s="17"/>
      <c r="C38" s="17"/>
      <c r="D38" s="17"/>
      <c r="E38" s="17"/>
      <c r="F38" s="24"/>
      <c r="G38" s="17"/>
      <c r="H38" s="17"/>
      <c r="I38" s="17"/>
      <c r="J38" s="17"/>
      <c r="K38" s="17"/>
      <c r="L38" s="22"/>
      <c r="M38" s="22"/>
      <c r="N38" s="17"/>
      <c r="O38" s="17"/>
      <c r="P38" s="17"/>
      <c r="Q38" s="18" t="str">
        <f aca="false">IF(B38="","",COUNTIFS(開通管理!$B$5:$B$604,B38,開通管理!$O$5:$O$604,"&lt;&gt;キャンセル"))</f>
        <v/>
      </c>
      <c r="R38" s="18" t="str">
        <f aca="false">IF(B38="","",COUNTIFS(開通管理!$B$5:$B$604,B38,開通管理!$O$5:$O$604,"開通済"))</f>
        <v/>
      </c>
      <c r="S38" s="19" t="str">
        <f aca="false">IF(B38="","",IF(Q38=0,"未申込",IF(R38&lt;Q38,"開通待ち（"&amp;R38&amp;"/"&amp;Q38&amp;"）","全開通")))</f>
        <v/>
      </c>
      <c r="T38" s="20" t="str">
        <f aca="false">IF(S38&lt;&gt;"全開通","",_xlfn.MAXIFS(開通管理!$Q$5:$Q$604,開通管理!$B$5:$B$604,B38))</f>
        <v/>
      </c>
      <c r="U38" s="21" t="str">
        <f aca="false">IF(B38="","",SUMIFS(開通管理!$J$5:$J$604,開通管理!$B$5:$B$604,B38,開通管理!$O$5:$O$604,"&lt;&gt;キャンセル"))</f>
        <v/>
      </c>
      <c r="V38" s="22"/>
      <c r="W38" s="12" t="str">
        <f aca="false">IF(OR(B38="",設定!$B$14=""),"",SUBSTITUTE(設定!$B$14,"__ID__",B38))</f>
        <v/>
      </c>
      <c r="X38" s="22"/>
      <c r="Y38" s="22"/>
      <c r="Z38" s="22"/>
      <c r="AA38" s="20" t="str">
        <f aca="false">IF(Z38="","",WORKDAY(Z38,設定!$B$5,設定!$F$5:$F$120))</f>
        <v/>
      </c>
      <c r="AB38" s="17"/>
      <c r="AC38" s="17"/>
      <c r="AD38" s="17"/>
      <c r="AE38" s="17"/>
      <c r="AF38" s="22"/>
      <c r="AG38" s="17"/>
      <c r="AH38" s="20" t="str">
        <f aca="false">IF(T38="","",EDATE(T38,設定!$B$8))</f>
        <v/>
      </c>
      <c r="AI38" s="17"/>
      <c r="AJ38" s="17"/>
      <c r="AK38" s="22"/>
      <c r="AL38" s="23" t="str">
        <f aca="true">IF(C38="","",IF(N38="失注","―",IF(AND(AK38&lt;&gt;"",AK38&lt;TODAY()),"対応期限超過",IF(AND(AF38="",AA38&lt;&gt;"",IF(AA38="",FALSE(),AA38&lt;TODAY())),"納品遅延",IF(AND(AK38&lt;&gt;"",AK38=TODAY()),"本日対応",IF(AND(S38="全開通",X38="",AF38=""),"ヒアリング依頼待ち",IF(AND(X38&lt;&gt;"",Y38="",Z38="",TODAY()-X38&gt;=設定!$B$6),"ヒアリング未回収",IF(AND(Y38&lt;&gt;"",Z38=""),"素材確認待ち",IF(AND(AF38="",AA38&lt;&gt;"",IF(AA38="",FALSE(),AA38-TODAY()&lt;=設定!$B$7)),"納品間近",IF(AND(AH38&lt;&gt;"",IF(AH38="",FALSE(),AH38&lt;=TODAY()),AI38=""),"解約チェック",IF(AF38&lt;&gt;"","納品済","")))))))))))</f>
        <v/>
      </c>
      <c r="AM38" s="17"/>
    </row>
    <row r="39" customFormat="false" ht="15" hidden="false" customHeight="false" outlineLevel="0" collapsed="false">
      <c r="A39" s="12" t="str">
        <f aca="false">IF(C39="","",ROW()-4)</f>
        <v/>
      </c>
      <c r="B39" s="17"/>
      <c r="C39" s="17"/>
      <c r="D39" s="17"/>
      <c r="E39" s="17"/>
      <c r="F39" s="24"/>
      <c r="G39" s="17"/>
      <c r="H39" s="17"/>
      <c r="I39" s="17"/>
      <c r="J39" s="17"/>
      <c r="K39" s="17"/>
      <c r="L39" s="22"/>
      <c r="M39" s="22"/>
      <c r="N39" s="17"/>
      <c r="O39" s="17"/>
      <c r="P39" s="17"/>
      <c r="Q39" s="18" t="str">
        <f aca="false">IF(B39="","",COUNTIFS(開通管理!$B$5:$B$604,B39,開通管理!$O$5:$O$604,"&lt;&gt;キャンセル"))</f>
        <v/>
      </c>
      <c r="R39" s="18" t="str">
        <f aca="false">IF(B39="","",COUNTIFS(開通管理!$B$5:$B$604,B39,開通管理!$O$5:$O$604,"開通済"))</f>
        <v/>
      </c>
      <c r="S39" s="19" t="str">
        <f aca="false">IF(B39="","",IF(Q39=0,"未申込",IF(R39&lt;Q39,"開通待ち（"&amp;R39&amp;"/"&amp;Q39&amp;"）","全開通")))</f>
        <v/>
      </c>
      <c r="T39" s="20" t="str">
        <f aca="false">IF(S39&lt;&gt;"全開通","",_xlfn.MAXIFS(開通管理!$Q$5:$Q$604,開通管理!$B$5:$B$604,B39))</f>
        <v/>
      </c>
      <c r="U39" s="21" t="str">
        <f aca="false">IF(B39="","",SUMIFS(開通管理!$J$5:$J$604,開通管理!$B$5:$B$604,B39,開通管理!$O$5:$O$604,"&lt;&gt;キャンセル"))</f>
        <v/>
      </c>
      <c r="V39" s="22"/>
      <c r="W39" s="12" t="str">
        <f aca="false">IF(OR(B39="",設定!$B$14=""),"",SUBSTITUTE(設定!$B$14,"__ID__",B39))</f>
        <v/>
      </c>
      <c r="X39" s="22"/>
      <c r="Y39" s="22"/>
      <c r="Z39" s="22"/>
      <c r="AA39" s="20" t="str">
        <f aca="false">IF(Z39="","",WORKDAY(Z39,設定!$B$5,設定!$F$5:$F$120))</f>
        <v/>
      </c>
      <c r="AB39" s="17"/>
      <c r="AC39" s="17"/>
      <c r="AD39" s="17"/>
      <c r="AE39" s="17"/>
      <c r="AF39" s="22"/>
      <c r="AG39" s="17"/>
      <c r="AH39" s="20" t="str">
        <f aca="false">IF(T39="","",EDATE(T39,設定!$B$8))</f>
        <v/>
      </c>
      <c r="AI39" s="17"/>
      <c r="AJ39" s="17"/>
      <c r="AK39" s="22"/>
      <c r="AL39" s="23" t="str">
        <f aca="true">IF(C39="","",IF(N39="失注","―",IF(AND(AK39&lt;&gt;"",AK39&lt;TODAY()),"対応期限超過",IF(AND(AF39="",AA39&lt;&gt;"",IF(AA39="",FALSE(),AA39&lt;TODAY())),"納品遅延",IF(AND(AK39&lt;&gt;"",AK39=TODAY()),"本日対応",IF(AND(S39="全開通",X39="",AF39=""),"ヒアリング依頼待ち",IF(AND(X39&lt;&gt;"",Y39="",Z39="",TODAY()-X39&gt;=設定!$B$6),"ヒアリング未回収",IF(AND(Y39&lt;&gt;"",Z39=""),"素材確認待ち",IF(AND(AF39="",AA39&lt;&gt;"",IF(AA39="",FALSE(),AA39-TODAY()&lt;=設定!$B$7)),"納品間近",IF(AND(AH39&lt;&gt;"",IF(AH39="",FALSE(),AH39&lt;=TODAY()),AI39=""),"解約チェック",IF(AF39&lt;&gt;"","納品済","")))))))))))</f>
        <v/>
      </c>
      <c r="AM39" s="17"/>
    </row>
    <row r="40" customFormat="false" ht="15" hidden="false" customHeight="false" outlineLevel="0" collapsed="false">
      <c r="A40" s="12" t="str">
        <f aca="false">IF(C40="","",ROW()-4)</f>
        <v/>
      </c>
      <c r="B40" s="17"/>
      <c r="C40" s="17"/>
      <c r="D40" s="17"/>
      <c r="E40" s="17"/>
      <c r="F40" s="24"/>
      <c r="G40" s="17"/>
      <c r="H40" s="17"/>
      <c r="I40" s="17"/>
      <c r="J40" s="17"/>
      <c r="K40" s="17"/>
      <c r="L40" s="22"/>
      <c r="M40" s="22"/>
      <c r="N40" s="17"/>
      <c r="O40" s="17"/>
      <c r="P40" s="17"/>
      <c r="Q40" s="18" t="str">
        <f aca="false">IF(B40="","",COUNTIFS(開通管理!$B$5:$B$604,B40,開通管理!$O$5:$O$604,"&lt;&gt;キャンセル"))</f>
        <v/>
      </c>
      <c r="R40" s="18" t="str">
        <f aca="false">IF(B40="","",COUNTIFS(開通管理!$B$5:$B$604,B40,開通管理!$O$5:$O$604,"開通済"))</f>
        <v/>
      </c>
      <c r="S40" s="19" t="str">
        <f aca="false">IF(B40="","",IF(Q40=0,"未申込",IF(R40&lt;Q40,"開通待ち（"&amp;R40&amp;"/"&amp;Q40&amp;"）","全開通")))</f>
        <v/>
      </c>
      <c r="T40" s="20" t="str">
        <f aca="false">IF(S40&lt;&gt;"全開通","",_xlfn.MAXIFS(開通管理!$Q$5:$Q$604,開通管理!$B$5:$B$604,B40))</f>
        <v/>
      </c>
      <c r="U40" s="21" t="str">
        <f aca="false">IF(B40="","",SUMIFS(開通管理!$J$5:$J$604,開通管理!$B$5:$B$604,B40,開通管理!$O$5:$O$604,"&lt;&gt;キャンセル"))</f>
        <v/>
      </c>
      <c r="V40" s="22"/>
      <c r="W40" s="12" t="str">
        <f aca="false">IF(OR(B40="",設定!$B$14=""),"",SUBSTITUTE(設定!$B$14,"__ID__",B40))</f>
        <v/>
      </c>
      <c r="X40" s="22"/>
      <c r="Y40" s="22"/>
      <c r="Z40" s="22"/>
      <c r="AA40" s="20" t="str">
        <f aca="false">IF(Z40="","",WORKDAY(Z40,設定!$B$5,設定!$F$5:$F$120))</f>
        <v/>
      </c>
      <c r="AB40" s="17"/>
      <c r="AC40" s="17"/>
      <c r="AD40" s="17"/>
      <c r="AE40" s="17"/>
      <c r="AF40" s="22"/>
      <c r="AG40" s="17"/>
      <c r="AH40" s="20" t="str">
        <f aca="false">IF(T40="","",EDATE(T40,設定!$B$8))</f>
        <v/>
      </c>
      <c r="AI40" s="17"/>
      <c r="AJ40" s="17"/>
      <c r="AK40" s="22"/>
      <c r="AL40" s="23" t="str">
        <f aca="true">IF(C40="","",IF(N40="失注","―",IF(AND(AK40&lt;&gt;"",AK40&lt;TODAY()),"対応期限超過",IF(AND(AF40="",AA40&lt;&gt;"",IF(AA40="",FALSE(),AA40&lt;TODAY())),"納品遅延",IF(AND(AK40&lt;&gt;"",AK40=TODAY()),"本日対応",IF(AND(S40="全開通",X40="",AF40=""),"ヒアリング依頼待ち",IF(AND(X40&lt;&gt;"",Y40="",Z40="",TODAY()-X40&gt;=設定!$B$6),"ヒアリング未回収",IF(AND(Y40&lt;&gt;"",Z40=""),"素材確認待ち",IF(AND(AF40="",AA40&lt;&gt;"",IF(AA40="",FALSE(),AA40-TODAY()&lt;=設定!$B$7)),"納品間近",IF(AND(AH40&lt;&gt;"",IF(AH40="",FALSE(),AH40&lt;=TODAY()),AI40=""),"解約チェック",IF(AF40&lt;&gt;"","納品済","")))))))))))</f>
        <v/>
      </c>
      <c r="AM40" s="17"/>
    </row>
    <row r="41" customFormat="false" ht="15" hidden="false" customHeight="false" outlineLevel="0" collapsed="false">
      <c r="A41" s="12" t="str">
        <f aca="false">IF(C41="","",ROW()-4)</f>
        <v/>
      </c>
      <c r="B41" s="17"/>
      <c r="C41" s="17"/>
      <c r="D41" s="17"/>
      <c r="E41" s="17"/>
      <c r="F41" s="24"/>
      <c r="G41" s="17"/>
      <c r="H41" s="17"/>
      <c r="I41" s="17"/>
      <c r="J41" s="17"/>
      <c r="K41" s="17"/>
      <c r="L41" s="22"/>
      <c r="M41" s="22"/>
      <c r="N41" s="17"/>
      <c r="O41" s="17"/>
      <c r="P41" s="17"/>
      <c r="Q41" s="18" t="str">
        <f aca="false">IF(B41="","",COUNTIFS(開通管理!$B$5:$B$604,B41,開通管理!$O$5:$O$604,"&lt;&gt;キャンセル"))</f>
        <v/>
      </c>
      <c r="R41" s="18" t="str">
        <f aca="false">IF(B41="","",COUNTIFS(開通管理!$B$5:$B$604,B41,開通管理!$O$5:$O$604,"開通済"))</f>
        <v/>
      </c>
      <c r="S41" s="19" t="str">
        <f aca="false">IF(B41="","",IF(Q41=0,"未申込",IF(R41&lt;Q41,"開通待ち（"&amp;R41&amp;"/"&amp;Q41&amp;"）","全開通")))</f>
        <v/>
      </c>
      <c r="T41" s="20" t="str">
        <f aca="false">IF(S41&lt;&gt;"全開通","",_xlfn.MAXIFS(開通管理!$Q$5:$Q$604,開通管理!$B$5:$B$604,B41))</f>
        <v/>
      </c>
      <c r="U41" s="21" t="str">
        <f aca="false">IF(B41="","",SUMIFS(開通管理!$J$5:$J$604,開通管理!$B$5:$B$604,B41,開通管理!$O$5:$O$604,"&lt;&gt;キャンセル"))</f>
        <v/>
      </c>
      <c r="V41" s="22"/>
      <c r="W41" s="12" t="str">
        <f aca="false">IF(OR(B41="",設定!$B$14=""),"",SUBSTITUTE(設定!$B$14,"__ID__",B41))</f>
        <v/>
      </c>
      <c r="X41" s="22"/>
      <c r="Y41" s="22"/>
      <c r="Z41" s="22"/>
      <c r="AA41" s="20" t="str">
        <f aca="false">IF(Z41="","",WORKDAY(Z41,設定!$B$5,設定!$F$5:$F$120))</f>
        <v/>
      </c>
      <c r="AB41" s="17"/>
      <c r="AC41" s="17"/>
      <c r="AD41" s="17"/>
      <c r="AE41" s="17"/>
      <c r="AF41" s="22"/>
      <c r="AG41" s="17"/>
      <c r="AH41" s="20" t="str">
        <f aca="false">IF(T41="","",EDATE(T41,設定!$B$8))</f>
        <v/>
      </c>
      <c r="AI41" s="17"/>
      <c r="AJ41" s="17"/>
      <c r="AK41" s="22"/>
      <c r="AL41" s="23" t="str">
        <f aca="true">IF(C41="","",IF(N41="失注","―",IF(AND(AK41&lt;&gt;"",AK41&lt;TODAY()),"対応期限超過",IF(AND(AF41="",AA41&lt;&gt;"",IF(AA41="",FALSE(),AA41&lt;TODAY())),"納品遅延",IF(AND(AK41&lt;&gt;"",AK41=TODAY()),"本日対応",IF(AND(S41="全開通",X41="",AF41=""),"ヒアリング依頼待ち",IF(AND(X41&lt;&gt;"",Y41="",Z41="",TODAY()-X41&gt;=設定!$B$6),"ヒアリング未回収",IF(AND(Y41&lt;&gt;"",Z41=""),"素材確認待ち",IF(AND(AF41="",AA41&lt;&gt;"",IF(AA41="",FALSE(),AA41-TODAY()&lt;=設定!$B$7)),"納品間近",IF(AND(AH41&lt;&gt;"",IF(AH41="",FALSE(),AH41&lt;=TODAY()),AI41=""),"解約チェック",IF(AF41&lt;&gt;"","納品済","")))))))))))</f>
        <v/>
      </c>
      <c r="AM41" s="17"/>
    </row>
    <row r="42" customFormat="false" ht="15" hidden="false" customHeight="false" outlineLevel="0" collapsed="false">
      <c r="A42" s="12" t="str">
        <f aca="false">IF(C42="","",ROW()-4)</f>
        <v/>
      </c>
      <c r="B42" s="17"/>
      <c r="C42" s="17"/>
      <c r="D42" s="17"/>
      <c r="E42" s="17"/>
      <c r="F42" s="24"/>
      <c r="G42" s="17"/>
      <c r="H42" s="17"/>
      <c r="I42" s="17"/>
      <c r="J42" s="17"/>
      <c r="K42" s="17"/>
      <c r="L42" s="22"/>
      <c r="M42" s="22"/>
      <c r="N42" s="17"/>
      <c r="O42" s="17"/>
      <c r="P42" s="17"/>
      <c r="Q42" s="18" t="str">
        <f aca="false">IF(B42="","",COUNTIFS(開通管理!$B$5:$B$604,B42,開通管理!$O$5:$O$604,"&lt;&gt;キャンセル"))</f>
        <v/>
      </c>
      <c r="R42" s="18" t="str">
        <f aca="false">IF(B42="","",COUNTIFS(開通管理!$B$5:$B$604,B42,開通管理!$O$5:$O$604,"開通済"))</f>
        <v/>
      </c>
      <c r="S42" s="19" t="str">
        <f aca="false">IF(B42="","",IF(Q42=0,"未申込",IF(R42&lt;Q42,"開通待ち（"&amp;R42&amp;"/"&amp;Q42&amp;"）","全開通")))</f>
        <v/>
      </c>
      <c r="T42" s="20" t="str">
        <f aca="false">IF(S42&lt;&gt;"全開通","",_xlfn.MAXIFS(開通管理!$Q$5:$Q$604,開通管理!$B$5:$B$604,B42))</f>
        <v/>
      </c>
      <c r="U42" s="21" t="str">
        <f aca="false">IF(B42="","",SUMIFS(開通管理!$J$5:$J$604,開通管理!$B$5:$B$604,B42,開通管理!$O$5:$O$604,"&lt;&gt;キャンセル"))</f>
        <v/>
      </c>
      <c r="V42" s="22"/>
      <c r="W42" s="12" t="str">
        <f aca="false">IF(OR(B42="",設定!$B$14=""),"",SUBSTITUTE(設定!$B$14,"__ID__",B42))</f>
        <v/>
      </c>
      <c r="X42" s="22"/>
      <c r="Y42" s="22"/>
      <c r="Z42" s="22"/>
      <c r="AA42" s="20" t="str">
        <f aca="false">IF(Z42="","",WORKDAY(Z42,設定!$B$5,設定!$F$5:$F$120))</f>
        <v/>
      </c>
      <c r="AB42" s="17"/>
      <c r="AC42" s="17"/>
      <c r="AD42" s="17"/>
      <c r="AE42" s="17"/>
      <c r="AF42" s="22"/>
      <c r="AG42" s="17"/>
      <c r="AH42" s="20" t="str">
        <f aca="false">IF(T42="","",EDATE(T42,設定!$B$8))</f>
        <v/>
      </c>
      <c r="AI42" s="17"/>
      <c r="AJ42" s="17"/>
      <c r="AK42" s="22"/>
      <c r="AL42" s="23" t="str">
        <f aca="true">IF(C42="","",IF(N42="失注","―",IF(AND(AK42&lt;&gt;"",AK42&lt;TODAY()),"対応期限超過",IF(AND(AF42="",AA42&lt;&gt;"",IF(AA42="",FALSE(),AA42&lt;TODAY())),"納品遅延",IF(AND(AK42&lt;&gt;"",AK42=TODAY()),"本日対応",IF(AND(S42="全開通",X42="",AF42=""),"ヒアリング依頼待ち",IF(AND(X42&lt;&gt;"",Y42="",Z42="",TODAY()-X42&gt;=設定!$B$6),"ヒアリング未回収",IF(AND(Y42&lt;&gt;"",Z42=""),"素材確認待ち",IF(AND(AF42="",AA42&lt;&gt;"",IF(AA42="",FALSE(),AA42-TODAY()&lt;=設定!$B$7)),"納品間近",IF(AND(AH42&lt;&gt;"",IF(AH42="",FALSE(),AH42&lt;=TODAY()),AI42=""),"解約チェック",IF(AF42&lt;&gt;"","納品済","")))))))))))</f>
        <v/>
      </c>
      <c r="AM42" s="17"/>
    </row>
    <row r="43" customFormat="false" ht="15" hidden="false" customHeight="false" outlineLevel="0" collapsed="false">
      <c r="A43" s="12" t="str">
        <f aca="false">IF(C43="","",ROW()-4)</f>
        <v/>
      </c>
      <c r="B43" s="17"/>
      <c r="C43" s="17"/>
      <c r="D43" s="17"/>
      <c r="E43" s="17"/>
      <c r="F43" s="24"/>
      <c r="G43" s="17"/>
      <c r="H43" s="17"/>
      <c r="I43" s="17"/>
      <c r="J43" s="17"/>
      <c r="K43" s="17"/>
      <c r="L43" s="22"/>
      <c r="M43" s="22"/>
      <c r="N43" s="17"/>
      <c r="O43" s="17"/>
      <c r="P43" s="17"/>
      <c r="Q43" s="18" t="str">
        <f aca="false">IF(B43="","",COUNTIFS(開通管理!$B$5:$B$604,B43,開通管理!$O$5:$O$604,"&lt;&gt;キャンセル"))</f>
        <v/>
      </c>
      <c r="R43" s="18" t="str">
        <f aca="false">IF(B43="","",COUNTIFS(開通管理!$B$5:$B$604,B43,開通管理!$O$5:$O$604,"開通済"))</f>
        <v/>
      </c>
      <c r="S43" s="19" t="str">
        <f aca="false">IF(B43="","",IF(Q43=0,"未申込",IF(R43&lt;Q43,"開通待ち（"&amp;R43&amp;"/"&amp;Q43&amp;"）","全開通")))</f>
        <v/>
      </c>
      <c r="T43" s="20" t="str">
        <f aca="false">IF(S43&lt;&gt;"全開通","",_xlfn.MAXIFS(開通管理!$Q$5:$Q$604,開通管理!$B$5:$B$604,B43))</f>
        <v/>
      </c>
      <c r="U43" s="21" t="str">
        <f aca="false">IF(B43="","",SUMIFS(開通管理!$J$5:$J$604,開通管理!$B$5:$B$604,B43,開通管理!$O$5:$O$604,"&lt;&gt;キャンセル"))</f>
        <v/>
      </c>
      <c r="V43" s="22"/>
      <c r="W43" s="12" t="str">
        <f aca="false">IF(OR(B43="",設定!$B$14=""),"",SUBSTITUTE(設定!$B$14,"__ID__",B43))</f>
        <v/>
      </c>
      <c r="X43" s="22"/>
      <c r="Y43" s="22"/>
      <c r="Z43" s="22"/>
      <c r="AA43" s="20" t="str">
        <f aca="false">IF(Z43="","",WORKDAY(Z43,設定!$B$5,設定!$F$5:$F$120))</f>
        <v/>
      </c>
      <c r="AB43" s="17"/>
      <c r="AC43" s="17"/>
      <c r="AD43" s="17"/>
      <c r="AE43" s="17"/>
      <c r="AF43" s="22"/>
      <c r="AG43" s="17"/>
      <c r="AH43" s="20" t="str">
        <f aca="false">IF(T43="","",EDATE(T43,設定!$B$8))</f>
        <v/>
      </c>
      <c r="AI43" s="17"/>
      <c r="AJ43" s="17"/>
      <c r="AK43" s="22"/>
      <c r="AL43" s="23" t="str">
        <f aca="true">IF(C43="","",IF(N43="失注","―",IF(AND(AK43&lt;&gt;"",AK43&lt;TODAY()),"対応期限超過",IF(AND(AF43="",AA43&lt;&gt;"",IF(AA43="",FALSE(),AA43&lt;TODAY())),"納品遅延",IF(AND(AK43&lt;&gt;"",AK43=TODAY()),"本日対応",IF(AND(S43="全開通",X43="",AF43=""),"ヒアリング依頼待ち",IF(AND(X43&lt;&gt;"",Y43="",Z43="",TODAY()-X43&gt;=設定!$B$6),"ヒアリング未回収",IF(AND(Y43&lt;&gt;"",Z43=""),"素材確認待ち",IF(AND(AF43="",AA43&lt;&gt;"",IF(AA43="",FALSE(),AA43-TODAY()&lt;=設定!$B$7)),"納品間近",IF(AND(AH43&lt;&gt;"",IF(AH43="",FALSE(),AH43&lt;=TODAY()),AI43=""),"解約チェック",IF(AF43&lt;&gt;"","納品済","")))))))))))</f>
        <v/>
      </c>
      <c r="AM43" s="17"/>
    </row>
    <row r="44" customFormat="false" ht="15" hidden="false" customHeight="false" outlineLevel="0" collapsed="false">
      <c r="A44" s="12" t="str">
        <f aca="false">IF(C44="","",ROW()-4)</f>
        <v/>
      </c>
      <c r="B44" s="17"/>
      <c r="C44" s="17"/>
      <c r="D44" s="17"/>
      <c r="E44" s="17"/>
      <c r="F44" s="24"/>
      <c r="G44" s="17"/>
      <c r="H44" s="17"/>
      <c r="I44" s="17"/>
      <c r="J44" s="17"/>
      <c r="K44" s="17"/>
      <c r="L44" s="22"/>
      <c r="M44" s="22"/>
      <c r="N44" s="17"/>
      <c r="O44" s="17"/>
      <c r="P44" s="17"/>
      <c r="Q44" s="18" t="str">
        <f aca="false">IF(B44="","",COUNTIFS(開通管理!$B$5:$B$604,B44,開通管理!$O$5:$O$604,"&lt;&gt;キャンセル"))</f>
        <v/>
      </c>
      <c r="R44" s="18" t="str">
        <f aca="false">IF(B44="","",COUNTIFS(開通管理!$B$5:$B$604,B44,開通管理!$O$5:$O$604,"開通済"))</f>
        <v/>
      </c>
      <c r="S44" s="19" t="str">
        <f aca="false">IF(B44="","",IF(Q44=0,"未申込",IF(R44&lt;Q44,"開通待ち（"&amp;R44&amp;"/"&amp;Q44&amp;"）","全開通")))</f>
        <v/>
      </c>
      <c r="T44" s="20" t="str">
        <f aca="false">IF(S44&lt;&gt;"全開通","",_xlfn.MAXIFS(開通管理!$Q$5:$Q$604,開通管理!$B$5:$B$604,B44))</f>
        <v/>
      </c>
      <c r="U44" s="21" t="str">
        <f aca="false">IF(B44="","",SUMIFS(開通管理!$J$5:$J$604,開通管理!$B$5:$B$604,B44,開通管理!$O$5:$O$604,"&lt;&gt;キャンセル"))</f>
        <v/>
      </c>
      <c r="V44" s="22"/>
      <c r="W44" s="12" t="str">
        <f aca="false">IF(OR(B44="",設定!$B$14=""),"",SUBSTITUTE(設定!$B$14,"__ID__",B44))</f>
        <v/>
      </c>
      <c r="X44" s="22"/>
      <c r="Y44" s="22"/>
      <c r="Z44" s="22"/>
      <c r="AA44" s="20" t="str">
        <f aca="false">IF(Z44="","",WORKDAY(Z44,設定!$B$5,設定!$F$5:$F$120))</f>
        <v/>
      </c>
      <c r="AB44" s="17"/>
      <c r="AC44" s="17"/>
      <c r="AD44" s="17"/>
      <c r="AE44" s="17"/>
      <c r="AF44" s="22"/>
      <c r="AG44" s="17"/>
      <c r="AH44" s="20" t="str">
        <f aca="false">IF(T44="","",EDATE(T44,設定!$B$8))</f>
        <v/>
      </c>
      <c r="AI44" s="17"/>
      <c r="AJ44" s="17"/>
      <c r="AK44" s="22"/>
      <c r="AL44" s="23" t="str">
        <f aca="true">IF(C44="","",IF(N44="失注","―",IF(AND(AK44&lt;&gt;"",AK44&lt;TODAY()),"対応期限超過",IF(AND(AF44="",AA44&lt;&gt;"",IF(AA44="",FALSE(),AA44&lt;TODAY())),"納品遅延",IF(AND(AK44&lt;&gt;"",AK44=TODAY()),"本日対応",IF(AND(S44="全開通",X44="",AF44=""),"ヒアリング依頼待ち",IF(AND(X44&lt;&gt;"",Y44="",Z44="",TODAY()-X44&gt;=設定!$B$6),"ヒアリング未回収",IF(AND(Y44&lt;&gt;"",Z44=""),"素材確認待ち",IF(AND(AF44="",AA44&lt;&gt;"",IF(AA44="",FALSE(),AA44-TODAY()&lt;=設定!$B$7)),"納品間近",IF(AND(AH44&lt;&gt;"",IF(AH44="",FALSE(),AH44&lt;=TODAY()),AI44=""),"解約チェック",IF(AF44&lt;&gt;"","納品済","")))))))))))</f>
        <v/>
      </c>
      <c r="AM44" s="17"/>
    </row>
    <row r="45" customFormat="false" ht="15" hidden="false" customHeight="false" outlineLevel="0" collapsed="false">
      <c r="A45" s="12" t="str">
        <f aca="false">IF(C45="","",ROW()-4)</f>
        <v/>
      </c>
      <c r="B45" s="17"/>
      <c r="C45" s="17"/>
      <c r="D45" s="17"/>
      <c r="E45" s="17"/>
      <c r="F45" s="24"/>
      <c r="G45" s="17"/>
      <c r="H45" s="17"/>
      <c r="I45" s="17"/>
      <c r="J45" s="17"/>
      <c r="K45" s="17"/>
      <c r="L45" s="22"/>
      <c r="M45" s="22"/>
      <c r="N45" s="17"/>
      <c r="O45" s="17"/>
      <c r="P45" s="17"/>
      <c r="Q45" s="18" t="str">
        <f aca="false">IF(B45="","",COUNTIFS(開通管理!$B$5:$B$604,B45,開通管理!$O$5:$O$604,"&lt;&gt;キャンセル"))</f>
        <v/>
      </c>
      <c r="R45" s="18" t="str">
        <f aca="false">IF(B45="","",COUNTIFS(開通管理!$B$5:$B$604,B45,開通管理!$O$5:$O$604,"開通済"))</f>
        <v/>
      </c>
      <c r="S45" s="19" t="str">
        <f aca="false">IF(B45="","",IF(Q45=0,"未申込",IF(R45&lt;Q45,"開通待ち（"&amp;R45&amp;"/"&amp;Q45&amp;"）","全開通")))</f>
        <v/>
      </c>
      <c r="T45" s="20" t="str">
        <f aca="false">IF(S45&lt;&gt;"全開通","",_xlfn.MAXIFS(開通管理!$Q$5:$Q$604,開通管理!$B$5:$B$604,B45))</f>
        <v/>
      </c>
      <c r="U45" s="21" t="str">
        <f aca="false">IF(B45="","",SUMIFS(開通管理!$J$5:$J$604,開通管理!$B$5:$B$604,B45,開通管理!$O$5:$O$604,"&lt;&gt;キャンセル"))</f>
        <v/>
      </c>
      <c r="V45" s="22"/>
      <c r="W45" s="12" t="str">
        <f aca="false">IF(OR(B45="",設定!$B$14=""),"",SUBSTITUTE(設定!$B$14,"__ID__",B45))</f>
        <v/>
      </c>
      <c r="X45" s="22"/>
      <c r="Y45" s="22"/>
      <c r="Z45" s="22"/>
      <c r="AA45" s="20" t="str">
        <f aca="false">IF(Z45="","",WORKDAY(Z45,設定!$B$5,設定!$F$5:$F$120))</f>
        <v/>
      </c>
      <c r="AB45" s="17"/>
      <c r="AC45" s="17"/>
      <c r="AD45" s="17"/>
      <c r="AE45" s="17"/>
      <c r="AF45" s="22"/>
      <c r="AG45" s="17"/>
      <c r="AH45" s="20" t="str">
        <f aca="false">IF(T45="","",EDATE(T45,設定!$B$8))</f>
        <v/>
      </c>
      <c r="AI45" s="17"/>
      <c r="AJ45" s="17"/>
      <c r="AK45" s="22"/>
      <c r="AL45" s="23" t="str">
        <f aca="true">IF(C45="","",IF(N45="失注","―",IF(AND(AK45&lt;&gt;"",AK45&lt;TODAY()),"対応期限超過",IF(AND(AF45="",AA45&lt;&gt;"",IF(AA45="",FALSE(),AA45&lt;TODAY())),"納品遅延",IF(AND(AK45&lt;&gt;"",AK45=TODAY()),"本日対応",IF(AND(S45="全開通",X45="",AF45=""),"ヒアリング依頼待ち",IF(AND(X45&lt;&gt;"",Y45="",Z45="",TODAY()-X45&gt;=設定!$B$6),"ヒアリング未回収",IF(AND(Y45&lt;&gt;"",Z45=""),"素材確認待ち",IF(AND(AF45="",AA45&lt;&gt;"",IF(AA45="",FALSE(),AA45-TODAY()&lt;=設定!$B$7)),"納品間近",IF(AND(AH45&lt;&gt;"",IF(AH45="",FALSE(),AH45&lt;=TODAY()),AI45=""),"解約チェック",IF(AF45&lt;&gt;"","納品済","")))))))))))</f>
        <v/>
      </c>
      <c r="AM45" s="17"/>
    </row>
    <row r="46" customFormat="false" ht="15" hidden="false" customHeight="false" outlineLevel="0" collapsed="false">
      <c r="A46" s="12" t="str">
        <f aca="false">IF(C46="","",ROW()-4)</f>
        <v/>
      </c>
      <c r="B46" s="17"/>
      <c r="C46" s="17"/>
      <c r="D46" s="17"/>
      <c r="E46" s="17"/>
      <c r="F46" s="24"/>
      <c r="G46" s="17"/>
      <c r="H46" s="17"/>
      <c r="I46" s="17"/>
      <c r="J46" s="17"/>
      <c r="K46" s="17"/>
      <c r="L46" s="22"/>
      <c r="M46" s="22"/>
      <c r="N46" s="17"/>
      <c r="O46" s="17"/>
      <c r="P46" s="17"/>
      <c r="Q46" s="18" t="str">
        <f aca="false">IF(B46="","",COUNTIFS(開通管理!$B$5:$B$604,B46,開通管理!$O$5:$O$604,"&lt;&gt;キャンセル"))</f>
        <v/>
      </c>
      <c r="R46" s="18" t="str">
        <f aca="false">IF(B46="","",COUNTIFS(開通管理!$B$5:$B$604,B46,開通管理!$O$5:$O$604,"開通済"))</f>
        <v/>
      </c>
      <c r="S46" s="19" t="str">
        <f aca="false">IF(B46="","",IF(Q46=0,"未申込",IF(R46&lt;Q46,"開通待ち（"&amp;R46&amp;"/"&amp;Q46&amp;"）","全開通")))</f>
        <v/>
      </c>
      <c r="T46" s="20" t="str">
        <f aca="false">IF(S46&lt;&gt;"全開通","",_xlfn.MAXIFS(開通管理!$Q$5:$Q$604,開通管理!$B$5:$B$604,B46))</f>
        <v/>
      </c>
      <c r="U46" s="21" t="str">
        <f aca="false">IF(B46="","",SUMIFS(開通管理!$J$5:$J$604,開通管理!$B$5:$B$604,B46,開通管理!$O$5:$O$604,"&lt;&gt;キャンセル"))</f>
        <v/>
      </c>
      <c r="V46" s="22"/>
      <c r="W46" s="12" t="str">
        <f aca="false">IF(OR(B46="",設定!$B$14=""),"",SUBSTITUTE(設定!$B$14,"__ID__",B46))</f>
        <v/>
      </c>
      <c r="X46" s="22"/>
      <c r="Y46" s="22"/>
      <c r="Z46" s="22"/>
      <c r="AA46" s="20" t="str">
        <f aca="false">IF(Z46="","",WORKDAY(Z46,設定!$B$5,設定!$F$5:$F$120))</f>
        <v/>
      </c>
      <c r="AB46" s="17"/>
      <c r="AC46" s="17"/>
      <c r="AD46" s="17"/>
      <c r="AE46" s="17"/>
      <c r="AF46" s="22"/>
      <c r="AG46" s="17"/>
      <c r="AH46" s="20" t="str">
        <f aca="false">IF(T46="","",EDATE(T46,設定!$B$8))</f>
        <v/>
      </c>
      <c r="AI46" s="17"/>
      <c r="AJ46" s="17"/>
      <c r="AK46" s="22"/>
      <c r="AL46" s="23" t="str">
        <f aca="true">IF(C46="","",IF(N46="失注","―",IF(AND(AK46&lt;&gt;"",AK46&lt;TODAY()),"対応期限超過",IF(AND(AF46="",AA46&lt;&gt;"",IF(AA46="",FALSE(),AA46&lt;TODAY())),"納品遅延",IF(AND(AK46&lt;&gt;"",AK46=TODAY()),"本日対応",IF(AND(S46="全開通",X46="",AF46=""),"ヒアリング依頼待ち",IF(AND(X46&lt;&gt;"",Y46="",Z46="",TODAY()-X46&gt;=設定!$B$6),"ヒアリング未回収",IF(AND(Y46&lt;&gt;"",Z46=""),"素材確認待ち",IF(AND(AF46="",AA46&lt;&gt;"",IF(AA46="",FALSE(),AA46-TODAY()&lt;=設定!$B$7)),"納品間近",IF(AND(AH46&lt;&gt;"",IF(AH46="",FALSE(),AH46&lt;=TODAY()),AI46=""),"解約チェック",IF(AF46&lt;&gt;"","納品済","")))))))))))</f>
        <v/>
      </c>
      <c r="AM46" s="17"/>
    </row>
    <row r="47" customFormat="false" ht="15" hidden="false" customHeight="false" outlineLevel="0" collapsed="false">
      <c r="A47" s="12" t="str">
        <f aca="false">IF(C47="","",ROW()-4)</f>
        <v/>
      </c>
      <c r="B47" s="17"/>
      <c r="C47" s="17"/>
      <c r="D47" s="17"/>
      <c r="E47" s="17"/>
      <c r="F47" s="24"/>
      <c r="G47" s="17"/>
      <c r="H47" s="17"/>
      <c r="I47" s="17"/>
      <c r="J47" s="17"/>
      <c r="K47" s="17"/>
      <c r="L47" s="22"/>
      <c r="M47" s="22"/>
      <c r="N47" s="17"/>
      <c r="O47" s="17"/>
      <c r="P47" s="17"/>
      <c r="Q47" s="18" t="str">
        <f aca="false">IF(B47="","",COUNTIFS(開通管理!$B$5:$B$604,B47,開通管理!$O$5:$O$604,"&lt;&gt;キャンセル"))</f>
        <v/>
      </c>
      <c r="R47" s="18" t="str">
        <f aca="false">IF(B47="","",COUNTIFS(開通管理!$B$5:$B$604,B47,開通管理!$O$5:$O$604,"開通済"))</f>
        <v/>
      </c>
      <c r="S47" s="19" t="str">
        <f aca="false">IF(B47="","",IF(Q47=0,"未申込",IF(R47&lt;Q47,"開通待ち（"&amp;R47&amp;"/"&amp;Q47&amp;"）","全開通")))</f>
        <v/>
      </c>
      <c r="T47" s="20" t="str">
        <f aca="false">IF(S47&lt;&gt;"全開通","",_xlfn.MAXIFS(開通管理!$Q$5:$Q$604,開通管理!$B$5:$B$604,B47))</f>
        <v/>
      </c>
      <c r="U47" s="21" t="str">
        <f aca="false">IF(B47="","",SUMIFS(開通管理!$J$5:$J$604,開通管理!$B$5:$B$604,B47,開通管理!$O$5:$O$604,"&lt;&gt;キャンセル"))</f>
        <v/>
      </c>
      <c r="V47" s="22"/>
      <c r="W47" s="12" t="str">
        <f aca="false">IF(OR(B47="",設定!$B$14=""),"",SUBSTITUTE(設定!$B$14,"__ID__",B47))</f>
        <v/>
      </c>
      <c r="X47" s="22"/>
      <c r="Y47" s="22"/>
      <c r="Z47" s="22"/>
      <c r="AA47" s="20" t="str">
        <f aca="false">IF(Z47="","",WORKDAY(Z47,設定!$B$5,設定!$F$5:$F$120))</f>
        <v/>
      </c>
      <c r="AB47" s="17"/>
      <c r="AC47" s="17"/>
      <c r="AD47" s="17"/>
      <c r="AE47" s="17"/>
      <c r="AF47" s="22"/>
      <c r="AG47" s="17"/>
      <c r="AH47" s="20" t="str">
        <f aca="false">IF(T47="","",EDATE(T47,設定!$B$8))</f>
        <v/>
      </c>
      <c r="AI47" s="17"/>
      <c r="AJ47" s="17"/>
      <c r="AK47" s="22"/>
      <c r="AL47" s="23" t="str">
        <f aca="true">IF(C47="","",IF(N47="失注","―",IF(AND(AK47&lt;&gt;"",AK47&lt;TODAY()),"対応期限超過",IF(AND(AF47="",AA47&lt;&gt;"",IF(AA47="",FALSE(),AA47&lt;TODAY())),"納品遅延",IF(AND(AK47&lt;&gt;"",AK47=TODAY()),"本日対応",IF(AND(S47="全開通",X47="",AF47=""),"ヒアリング依頼待ち",IF(AND(X47&lt;&gt;"",Y47="",Z47="",TODAY()-X47&gt;=設定!$B$6),"ヒアリング未回収",IF(AND(Y47&lt;&gt;"",Z47=""),"素材確認待ち",IF(AND(AF47="",AA47&lt;&gt;"",IF(AA47="",FALSE(),AA47-TODAY()&lt;=設定!$B$7)),"納品間近",IF(AND(AH47&lt;&gt;"",IF(AH47="",FALSE(),AH47&lt;=TODAY()),AI47=""),"解約チェック",IF(AF47&lt;&gt;"","納品済","")))))))))))</f>
        <v/>
      </c>
      <c r="AM47" s="17"/>
    </row>
    <row r="48" customFormat="false" ht="15" hidden="false" customHeight="false" outlineLevel="0" collapsed="false">
      <c r="A48" s="12" t="str">
        <f aca="false">IF(C48="","",ROW()-4)</f>
        <v/>
      </c>
      <c r="B48" s="17"/>
      <c r="C48" s="17"/>
      <c r="D48" s="17"/>
      <c r="E48" s="17"/>
      <c r="F48" s="24"/>
      <c r="G48" s="17"/>
      <c r="H48" s="17"/>
      <c r="I48" s="17"/>
      <c r="J48" s="17"/>
      <c r="K48" s="17"/>
      <c r="L48" s="22"/>
      <c r="M48" s="22"/>
      <c r="N48" s="17"/>
      <c r="O48" s="17"/>
      <c r="P48" s="17"/>
      <c r="Q48" s="18" t="str">
        <f aca="false">IF(B48="","",COUNTIFS(開通管理!$B$5:$B$604,B48,開通管理!$O$5:$O$604,"&lt;&gt;キャンセル"))</f>
        <v/>
      </c>
      <c r="R48" s="18" t="str">
        <f aca="false">IF(B48="","",COUNTIFS(開通管理!$B$5:$B$604,B48,開通管理!$O$5:$O$604,"開通済"))</f>
        <v/>
      </c>
      <c r="S48" s="19" t="str">
        <f aca="false">IF(B48="","",IF(Q48=0,"未申込",IF(R48&lt;Q48,"開通待ち（"&amp;R48&amp;"/"&amp;Q48&amp;"）","全開通")))</f>
        <v/>
      </c>
      <c r="T48" s="20" t="str">
        <f aca="false">IF(S48&lt;&gt;"全開通","",_xlfn.MAXIFS(開通管理!$Q$5:$Q$604,開通管理!$B$5:$B$604,B48))</f>
        <v/>
      </c>
      <c r="U48" s="21" t="str">
        <f aca="false">IF(B48="","",SUMIFS(開通管理!$J$5:$J$604,開通管理!$B$5:$B$604,B48,開通管理!$O$5:$O$604,"&lt;&gt;キャンセル"))</f>
        <v/>
      </c>
      <c r="V48" s="22"/>
      <c r="W48" s="12" t="str">
        <f aca="false">IF(OR(B48="",設定!$B$14=""),"",SUBSTITUTE(設定!$B$14,"__ID__",B48))</f>
        <v/>
      </c>
      <c r="X48" s="22"/>
      <c r="Y48" s="22"/>
      <c r="Z48" s="22"/>
      <c r="AA48" s="20" t="str">
        <f aca="false">IF(Z48="","",WORKDAY(Z48,設定!$B$5,設定!$F$5:$F$120))</f>
        <v/>
      </c>
      <c r="AB48" s="17"/>
      <c r="AC48" s="17"/>
      <c r="AD48" s="17"/>
      <c r="AE48" s="17"/>
      <c r="AF48" s="22"/>
      <c r="AG48" s="17"/>
      <c r="AH48" s="20" t="str">
        <f aca="false">IF(T48="","",EDATE(T48,設定!$B$8))</f>
        <v/>
      </c>
      <c r="AI48" s="17"/>
      <c r="AJ48" s="17"/>
      <c r="AK48" s="22"/>
      <c r="AL48" s="23" t="str">
        <f aca="true">IF(C48="","",IF(N48="失注","―",IF(AND(AK48&lt;&gt;"",AK48&lt;TODAY()),"対応期限超過",IF(AND(AF48="",AA48&lt;&gt;"",IF(AA48="",FALSE(),AA48&lt;TODAY())),"納品遅延",IF(AND(AK48&lt;&gt;"",AK48=TODAY()),"本日対応",IF(AND(S48="全開通",X48="",AF48=""),"ヒアリング依頼待ち",IF(AND(X48&lt;&gt;"",Y48="",Z48="",TODAY()-X48&gt;=設定!$B$6),"ヒアリング未回収",IF(AND(Y48&lt;&gt;"",Z48=""),"素材確認待ち",IF(AND(AF48="",AA48&lt;&gt;"",IF(AA48="",FALSE(),AA48-TODAY()&lt;=設定!$B$7)),"納品間近",IF(AND(AH48&lt;&gt;"",IF(AH48="",FALSE(),AH48&lt;=TODAY()),AI48=""),"解約チェック",IF(AF48&lt;&gt;"","納品済","")))))))))))</f>
        <v/>
      </c>
      <c r="AM48" s="17"/>
    </row>
    <row r="49" customFormat="false" ht="15" hidden="false" customHeight="false" outlineLevel="0" collapsed="false">
      <c r="A49" s="12" t="str">
        <f aca="false">IF(C49="","",ROW()-4)</f>
        <v/>
      </c>
      <c r="B49" s="17"/>
      <c r="C49" s="17"/>
      <c r="D49" s="17"/>
      <c r="E49" s="17"/>
      <c r="F49" s="24"/>
      <c r="G49" s="17"/>
      <c r="H49" s="17"/>
      <c r="I49" s="17"/>
      <c r="J49" s="17"/>
      <c r="K49" s="17"/>
      <c r="L49" s="22"/>
      <c r="M49" s="22"/>
      <c r="N49" s="17"/>
      <c r="O49" s="17"/>
      <c r="P49" s="17"/>
      <c r="Q49" s="18" t="str">
        <f aca="false">IF(B49="","",COUNTIFS(開通管理!$B$5:$B$604,B49,開通管理!$O$5:$O$604,"&lt;&gt;キャンセル"))</f>
        <v/>
      </c>
      <c r="R49" s="18" t="str">
        <f aca="false">IF(B49="","",COUNTIFS(開通管理!$B$5:$B$604,B49,開通管理!$O$5:$O$604,"開通済"))</f>
        <v/>
      </c>
      <c r="S49" s="19" t="str">
        <f aca="false">IF(B49="","",IF(Q49=0,"未申込",IF(R49&lt;Q49,"開通待ち（"&amp;R49&amp;"/"&amp;Q49&amp;"）","全開通")))</f>
        <v/>
      </c>
      <c r="T49" s="20" t="str">
        <f aca="false">IF(S49&lt;&gt;"全開通","",_xlfn.MAXIFS(開通管理!$Q$5:$Q$604,開通管理!$B$5:$B$604,B49))</f>
        <v/>
      </c>
      <c r="U49" s="21" t="str">
        <f aca="false">IF(B49="","",SUMIFS(開通管理!$J$5:$J$604,開通管理!$B$5:$B$604,B49,開通管理!$O$5:$O$604,"&lt;&gt;キャンセル"))</f>
        <v/>
      </c>
      <c r="V49" s="22"/>
      <c r="W49" s="12" t="str">
        <f aca="false">IF(OR(B49="",設定!$B$14=""),"",SUBSTITUTE(設定!$B$14,"__ID__",B49))</f>
        <v/>
      </c>
      <c r="X49" s="22"/>
      <c r="Y49" s="22"/>
      <c r="Z49" s="22"/>
      <c r="AA49" s="20" t="str">
        <f aca="false">IF(Z49="","",WORKDAY(Z49,設定!$B$5,設定!$F$5:$F$120))</f>
        <v/>
      </c>
      <c r="AB49" s="17"/>
      <c r="AC49" s="17"/>
      <c r="AD49" s="17"/>
      <c r="AE49" s="17"/>
      <c r="AF49" s="22"/>
      <c r="AG49" s="17"/>
      <c r="AH49" s="20" t="str">
        <f aca="false">IF(T49="","",EDATE(T49,設定!$B$8))</f>
        <v/>
      </c>
      <c r="AI49" s="17"/>
      <c r="AJ49" s="17"/>
      <c r="AK49" s="22"/>
      <c r="AL49" s="23" t="str">
        <f aca="true">IF(C49="","",IF(N49="失注","―",IF(AND(AK49&lt;&gt;"",AK49&lt;TODAY()),"対応期限超過",IF(AND(AF49="",AA49&lt;&gt;"",IF(AA49="",FALSE(),AA49&lt;TODAY())),"納品遅延",IF(AND(AK49&lt;&gt;"",AK49=TODAY()),"本日対応",IF(AND(S49="全開通",X49="",AF49=""),"ヒアリング依頼待ち",IF(AND(X49&lt;&gt;"",Y49="",Z49="",TODAY()-X49&gt;=設定!$B$6),"ヒアリング未回収",IF(AND(Y49&lt;&gt;"",Z49=""),"素材確認待ち",IF(AND(AF49="",AA49&lt;&gt;"",IF(AA49="",FALSE(),AA49-TODAY()&lt;=設定!$B$7)),"納品間近",IF(AND(AH49&lt;&gt;"",IF(AH49="",FALSE(),AH49&lt;=TODAY()),AI49=""),"解約チェック",IF(AF49&lt;&gt;"","納品済","")))))))))))</f>
        <v/>
      </c>
      <c r="AM49" s="17"/>
    </row>
    <row r="50" customFormat="false" ht="15" hidden="false" customHeight="false" outlineLevel="0" collapsed="false">
      <c r="A50" s="12" t="str">
        <f aca="false">IF(C50="","",ROW()-4)</f>
        <v/>
      </c>
      <c r="B50" s="17"/>
      <c r="C50" s="17"/>
      <c r="D50" s="17"/>
      <c r="E50" s="17"/>
      <c r="F50" s="24"/>
      <c r="G50" s="17"/>
      <c r="H50" s="17"/>
      <c r="I50" s="17"/>
      <c r="J50" s="17"/>
      <c r="K50" s="17"/>
      <c r="L50" s="22"/>
      <c r="M50" s="22"/>
      <c r="N50" s="17"/>
      <c r="O50" s="17"/>
      <c r="P50" s="17"/>
      <c r="Q50" s="18" t="str">
        <f aca="false">IF(B50="","",COUNTIFS(開通管理!$B$5:$B$604,B50,開通管理!$O$5:$O$604,"&lt;&gt;キャンセル"))</f>
        <v/>
      </c>
      <c r="R50" s="18" t="str">
        <f aca="false">IF(B50="","",COUNTIFS(開通管理!$B$5:$B$604,B50,開通管理!$O$5:$O$604,"開通済"))</f>
        <v/>
      </c>
      <c r="S50" s="19" t="str">
        <f aca="false">IF(B50="","",IF(Q50=0,"未申込",IF(R50&lt;Q50,"開通待ち（"&amp;R50&amp;"/"&amp;Q50&amp;"）","全開通")))</f>
        <v/>
      </c>
      <c r="T50" s="20" t="str">
        <f aca="false">IF(S50&lt;&gt;"全開通","",_xlfn.MAXIFS(開通管理!$Q$5:$Q$604,開通管理!$B$5:$B$604,B50))</f>
        <v/>
      </c>
      <c r="U50" s="21" t="str">
        <f aca="false">IF(B50="","",SUMIFS(開通管理!$J$5:$J$604,開通管理!$B$5:$B$604,B50,開通管理!$O$5:$O$604,"&lt;&gt;キャンセル"))</f>
        <v/>
      </c>
      <c r="V50" s="22"/>
      <c r="W50" s="12" t="str">
        <f aca="false">IF(OR(B50="",設定!$B$14=""),"",SUBSTITUTE(設定!$B$14,"__ID__",B50))</f>
        <v/>
      </c>
      <c r="X50" s="22"/>
      <c r="Y50" s="22"/>
      <c r="Z50" s="22"/>
      <c r="AA50" s="20" t="str">
        <f aca="false">IF(Z50="","",WORKDAY(Z50,設定!$B$5,設定!$F$5:$F$120))</f>
        <v/>
      </c>
      <c r="AB50" s="17"/>
      <c r="AC50" s="17"/>
      <c r="AD50" s="17"/>
      <c r="AE50" s="17"/>
      <c r="AF50" s="22"/>
      <c r="AG50" s="17"/>
      <c r="AH50" s="20" t="str">
        <f aca="false">IF(T50="","",EDATE(T50,設定!$B$8))</f>
        <v/>
      </c>
      <c r="AI50" s="17"/>
      <c r="AJ50" s="17"/>
      <c r="AK50" s="22"/>
      <c r="AL50" s="23" t="str">
        <f aca="true">IF(C50="","",IF(N50="失注","―",IF(AND(AK50&lt;&gt;"",AK50&lt;TODAY()),"対応期限超過",IF(AND(AF50="",AA50&lt;&gt;"",IF(AA50="",FALSE(),AA50&lt;TODAY())),"納品遅延",IF(AND(AK50&lt;&gt;"",AK50=TODAY()),"本日対応",IF(AND(S50="全開通",X50="",AF50=""),"ヒアリング依頼待ち",IF(AND(X50&lt;&gt;"",Y50="",Z50="",TODAY()-X50&gt;=設定!$B$6),"ヒアリング未回収",IF(AND(Y50&lt;&gt;"",Z50=""),"素材確認待ち",IF(AND(AF50="",AA50&lt;&gt;"",IF(AA50="",FALSE(),AA50-TODAY()&lt;=設定!$B$7)),"納品間近",IF(AND(AH50&lt;&gt;"",IF(AH50="",FALSE(),AH50&lt;=TODAY()),AI50=""),"解約チェック",IF(AF50&lt;&gt;"","納品済","")))))))))))</f>
        <v/>
      </c>
      <c r="AM50" s="17"/>
    </row>
    <row r="51" customFormat="false" ht="15" hidden="false" customHeight="false" outlineLevel="0" collapsed="false">
      <c r="A51" s="12" t="str">
        <f aca="false">IF(C51="","",ROW()-4)</f>
        <v/>
      </c>
      <c r="B51" s="17"/>
      <c r="C51" s="17"/>
      <c r="D51" s="17"/>
      <c r="E51" s="17"/>
      <c r="F51" s="24"/>
      <c r="G51" s="17"/>
      <c r="H51" s="17"/>
      <c r="I51" s="17"/>
      <c r="J51" s="17"/>
      <c r="K51" s="17"/>
      <c r="L51" s="22"/>
      <c r="M51" s="22"/>
      <c r="N51" s="17"/>
      <c r="O51" s="17"/>
      <c r="P51" s="17"/>
      <c r="Q51" s="18" t="str">
        <f aca="false">IF(B51="","",COUNTIFS(開通管理!$B$5:$B$604,B51,開通管理!$O$5:$O$604,"&lt;&gt;キャンセル"))</f>
        <v/>
      </c>
      <c r="R51" s="18" t="str">
        <f aca="false">IF(B51="","",COUNTIFS(開通管理!$B$5:$B$604,B51,開通管理!$O$5:$O$604,"開通済"))</f>
        <v/>
      </c>
      <c r="S51" s="19" t="str">
        <f aca="false">IF(B51="","",IF(Q51=0,"未申込",IF(R51&lt;Q51,"開通待ち（"&amp;R51&amp;"/"&amp;Q51&amp;"）","全開通")))</f>
        <v/>
      </c>
      <c r="T51" s="20" t="str">
        <f aca="false">IF(S51&lt;&gt;"全開通","",_xlfn.MAXIFS(開通管理!$Q$5:$Q$604,開通管理!$B$5:$B$604,B51))</f>
        <v/>
      </c>
      <c r="U51" s="21" t="str">
        <f aca="false">IF(B51="","",SUMIFS(開通管理!$J$5:$J$604,開通管理!$B$5:$B$604,B51,開通管理!$O$5:$O$604,"&lt;&gt;キャンセル"))</f>
        <v/>
      </c>
      <c r="V51" s="22"/>
      <c r="W51" s="12" t="str">
        <f aca="false">IF(OR(B51="",設定!$B$14=""),"",SUBSTITUTE(設定!$B$14,"__ID__",B51))</f>
        <v/>
      </c>
      <c r="X51" s="22"/>
      <c r="Y51" s="22"/>
      <c r="Z51" s="22"/>
      <c r="AA51" s="20" t="str">
        <f aca="false">IF(Z51="","",WORKDAY(Z51,設定!$B$5,設定!$F$5:$F$120))</f>
        <v/>
      </c>
      <c r="AB51" s="17"/>
      <c r="AC51" s="17"/>
      <c r="AD51" s="17"/>
      <c r="AE51" s="17"/>
      <c r="AF51" s="22"/>
      <c r="AG51" s="17"/>
      <c r="AH51" s="20" t="str">
        <f aca="false">IF(T51="","",EDATE(T51,設定!$B$8))</f>
        <v/>
      </c>
      <c r="AI51" s="17"/>
      <c r="AJ51" s="17"/>
      <c r="AK51" s="22"/>
      <c r="AL51" s="23" t="str">
        <f aca="true">IF(C51="","",IF(N51="失注","―",IF(AND(AK51&lt;&gt;"",AK51&lt;TODAY()),"対応期限超過",IF(AND(AF51="",AA51&lt;&gt;"",IF(AA51="",FALSE(),AA51&lt;TODAY())),"納品遅延",IF(AND(AK51&lt;&gt;"",AK51=TODAY()),"本日対応",IF(AND(S51="全開通",X51="",AF51=""),"ヒアリング依頼待ち",IF(AND(X51&lt;&gt;"",Y51="",Z51="",TODAY()-X51&gt;=設定!$B$6),"ヒアリング未回収",IF(AND(Y51&lt;&gt;"",Z51=""),"素材確認待ち",IF(AND(AF51="",AA51&lt;&gt;"",IF(AA51="",FALSE(),AA51-TODAY()&lt;=設定!$B$7)),"納品間近",IF(AND(AH51&lt;&gt;"",IF(AH51="",FALSE(),AH51&lt;=TODAY()),AI51=""),"解約チェック",IF(AF51&lt;&gt;"","納品済","")))))))))))</f>
        <v/>
      </c>
      <c r="AM51" s="17"/>
    </row>
    <row r="52" customFormat="false" ht="15" hidden="false" customHeight="false" outlineLevel="0" collapsed="false">
      <c r="A52" s="12" t="str">
        <f aca="false">IF(C52="","",ROW()-4)</f>
        <v/>
      </c>
      <c r="B52" s="17"/>
      <c r="C52" s="17"/>
      <c r="D52" s="17"/>
      <c r="E52" s="17"/>
      <c r="F52" s="24"/>
      <c r="G52" s="17"/>
      <c r="H52" s="17"/>
      <c r="I52" s="17"/>
      <c r="J52" s="17"/>
      <c r="K52" s="17"/>
      <c r="L52" s="22"/>
      <c r="M52" s="22"/>
      <c r="N52" s="17"/>
      <c r="O52" s="17"/>
      <c r="P52" s="17"/>
      <c r="Q52" s="18" t="str">
        <f aca="false">IF(B52="","",COUNTIFS(開通管理!$B$5:$B$604,B52,開通管理!$O$5:$O$604,"&lt;&gt;キャンセル"))</f>
        <v/>
      </c>
      <c r="R52" s="18" t="str">
        <f aca="false">IF(B52="","",COUNTIFS(開通管理!$B$5:$B$604,B52,開通管理!$O$5:$O$604,"開通済"))</f>
        <v/>
      </c>
      <c r="S52" s="19" t="str">
        <f aca="false">IF(B52="","",IF(Q52=0,"未申込",IF(R52&lt;Q52,"開通待ち（"&amp;R52&amp;"/"&amp;Q52&amp;"）","全開通")))</f>
        <v/>
      </c>
      <c r="T52" s="20" t="str">
        <f aca="false">IF(S52&lt;&gt;"全開通","",_xlfn.MAXIFS(開通管理!$Q$5:$Q$604,開通管理!$B$5:$B$604,B52))</f>
        <v/>
      </c>
      <c r="U52" s="21" t="str">
        <f aca="false">IF(B52="","",SUMIFS(開通管理!$J$5:$J$604,開通管理!$B$5:$B$604,B52,開通管理!$O$5:$O$604,"&lt;&gt;キャンセル"))</f>
        <v/>
      </c>
      <c r="V52" s="22"/>
      <c r="W52" s="12" t="str">
        <f aca="false">IF(OR(B52="",設定!$B$14=""),"",SUBSTITUTE(設定!$B$14,"__ID__",B52))</f>
        <v/>
      </c>
      <c r="X52" s="22"/>
      <c r="Y52" s="22"/>
      <c r="Z52" s="22"/>
      <c r="AA52" s="20" t="str">
        <f aca="false">IF(Z52="","",WORKDAY(Z52,設定!$B$5,設定!$F$5:$F$120))</f>
        <v/>
      </c>
      <c r="AB52" s="17"/>
      <c r="AC52" s="17"/>
      <c r="AD52" s="17"/>
      <c r="AE52" s="17"/>
      <c r="AF52" s="22"/>
      <c r="AG52" s="17"/>
      <c r="AH52" s="20" t="str">
        <f aca="false">IF(T52="","",EDATE(T52,設定!$B$8))</f>
        <v/>
      </c>
      <c r="AI52" s="17"/>
      <c r="AJ52" s="17"/>
      <c r="AK52" s="22"/>
      <c r="AL52" s="23" t="str">
        <f aca="true">IF(C52="","",IF(N52="失注","―",IF(AND(AK52&lt;&gt;"",AK52&lt;TODAY()),"対応期限超過",IF(AND(AF52="",AA52&lt;&gt;"",IF(AA52="",FALSE(),AA52&lt;TODAY())),"納品遅延",IF(AND(AK52&lt;&gt;"",AK52=TODAY()),"本日対応",IF(AND(S52="全開通",X52="",AF52=""),"ヒアリング依頼待ち",IF(AND(X52&lt;&gt;"",Y52="",Z52="",TODAY()-X52&gt;=設定!$B$6),"ヒアリング未回収",IF(AND(Y52&lt;&gt;"",Z52=""),"素材確認待ち",IF(AND(AF52="",AA52&lt;&gt;"",IF(AA52="",FALSE(),AA52-TODAY()&lt;=設定!$B$7)),"納品間近",IF(AND(AH52&lt;&gt;"",IF(AH52="",FALSE(),AH52&lt;=TODAY()),AI52=""),"解約チェック",IF(AF52&lt;&gt;"","納品済","")))))))))))</f>
        <v/>
      </c>
      <c r="AM52" s="17"/>
    </row>
    <row r="53" customFormat="false" ht="15" hidden="false" customHeight="false" outlineLevel="0" collapsed="false">
      <c r="A53" s="12" t="str">
        <f aca="false">IF(C53="","",ROW()-4)</f>
        <v/>
      </c>
      <c r="B53" s="17"/>
      <c r="C53" s="17"/>
      <c r="D53" s="17"/>
      <c r="E53" s="17"/>
      <c r="F53" s="24"/>
      <c r="G53" s="17"/>
      <c r="H53" s="17"/>
      <c r="I53" s="17"/>
      <c r="J53" s="17"/>
      <c r="K53" s="17"/>
      <c r="L53" s="22"/>
      <c r="M53" s="22"/>
      <c r="N53" s="17"/>
      <c r="O53" s="17"/>
      <c r="P53" s="17"/>
      <c r="Q53" s="18" t="str">
        <f aca="false">IF(B53="","",COUNTIFS(開通管理!$B$5:$B$604,B53,開通管理!$O$5:$O$604,"&lt;&gt;キャンセル"))</f>
        <v/>
      </c>
      <c r="R53" s="18" t="str">
        <f aca="false">IF(B53="","",COUNTIFS(開通管理!$B$5:$B$604,B53,開通管理!$O$5:$O$604,"開通済"))</f>
        <v/>
      </c>
      <c r="S53" s="19" t="str">
        <f aca="false">IF(B53="","",IF(Q53=0,"未申込",IF(R53&lt;Q53,"開通待ち（"&amp;R53&amp;"/"&amp;Q53&amp;"）","全開通")))</f>
        <v/>
      </c>
      <c r="T53" s="20" t="str">
        <f aca="false">IF(S53&lt;&gt;"全開通","",_xlfn.MAXIFS(開通管理!$Q$5:$Q$604,開通管理!$B$5:$B$604,B53))</f>
        <v/>
      </c>
      <c r="U53" s="21" t="str">
        <f aca="false">IF(B53="","",SUMIFS(開通管理!$J$5:$J$604,開通管理!$B$5:$B$604,B53,開通管理!$O$5:$O$604,"&lt;&gt;キャンセル"))</f>
        <v/>
      </c>
      <c r="V53" s="22"/>
      <c r="W53" s="12" t="str">
        <f aca="false">IF(OR(B53="",設定!$B$14=""),"",SUBSTITUTE(設定!$B$14,"__ID__",B53))</f>
        <v/>
      </c>
      <c r="X53" s="22"/>
      <c r="Y53" s="22"/>
      <c r="Z53" s="22"/>
      <c r="AA53" s="20" t="str">
        <f aca="false">IF(Z53="","",WORKDAY(Z53,設定!$B$5,設定!$F$5:$F$120))</f>
        <v/>
      </c>
      <c r="AB53" s="17"/>
      <c r="AC53" s="17"/>
      <c r="AD53" s="17"/>
      <c r="AE53" s="17"/>
      <c r="AF53" s="22"/>
      <c r="AG53" s="17"/>
      <c r="AH53" s="20" t="str">
        <f aca="false">IF(T53="","",EDATE(T53,設定!$B$8))</f>
        <v/>
      </c>
      <c r="AI53" s="17"/>
      <c r="AJ53" s="17"/>
      <c r="AK53" s="22"/>
      <c r="AL53" s="23" t="str">
        <f aca="true">IF(C53="","",IF(N53="失注","―",IF(AND(AK53&lt;&gt;"",AK53&lt;TODAY()),"対応期限超過",IF(AND(AF53="",AA53&lt;&gt;"",IF(AA53="",FALSE(),AA53&lt;TODAY())),"納品遅延",IF(AND(AK53&lt;&gt;"",AK53=TODAY()),"本日対応",IF(AND(S53="全開通",X53="",AF53=""),"ヒアリング依頼待ち",IF(AND(X53&lt;&gt;"",Y53="",Z53="",TODAY()-X53&gt;=設定!$B$6),"ヒアリング未回収",IF(AND(Y53&lt;&gt;"",Z53=""),"素材確認待ち",IF(AND(AF53="",AA53&lt;&gt;"",IF(AA53="",FALSE(),AA53-TODAY()&lt;=設定!$B$7)),"納品間近",IF(AND(AH53&lt;&gt;"",IF(AH53="",FALSE(),AH53&lt;=TODAY()),AI53=""),"解約チェック",IF(AF53&lt;&gt;"","納品済","")))))))))))</f>
        <v/>
      </c>
      <c r="AM53" s="17"/>
    </row>
    <row r="54" customFormat="false" ht="15" hidden="false" customHeight="false" outlineLevel="0" collapsed="false">
      <c r="A54" s="12" t="str">
        <f aca="false">IF(C54="","",ROW()-4)</f>
        <v/>
      </c>
      <c r="B54" s="17"/>
      <c r="C54" s="17"/>
      <c r="D54" s="17"/>
      <c r="E54" s="17"/>
      <c r="F54" s="24"/>
      <c r="G54" s="17"/>
      <c r="H54" s="17"/>
      <c r="I54" s="17"/>
      <c r="J54" s="17"/>
      <c r="K54" s="17"/>
      <c r="L54" s="22"/>
      <c r="M54" s="22"/>
      <c r="N54" s="17"/>
      <c r="O54" s="17"/>
      <c r="P54" s="17"/>
      <c r="Q54" s="18" t="str">
        <f aca="false">IF(B54="","",COUNTIFS(開通管理!$B$5:$B$604,B54,開通管理!$O$5:$O$604,"&lt;&gt;キャンセル"))</f>
        <v/>
      </c>
      <c r="R54" s="18" t="str">
        <f aca="false">IF(B54="","",COUNTIFS(開通管理!$B$5:$B$604,B54,開通管理!$O$5:$O$604,"開通済"))</f>
        <v/>
      </c>
      <c r="S54" s="19" t="str">
        <f aca="false">IF(B54="","",IF(Q54=0,"未申込",IF(R54&lt;Q54,"開通待ち（"&amp;R54&amp;"/"&amp;Q54&amp;"）","全開通")))</f>
        <v/>
      </c>
      <c r="T54" s="20" t="str">
        <f aca="false">IF(S54&lt;&gt;"全開通","",_xlfn.MAXIFS(開通管理!$Q$5:$Q$604,開通管理!$B$5:$B$604,B54))</f>
        <v/>
      </c>
      <c r="U54" s="21" t="str">
        <f aca="false">IF(B54="","",SUMIFS(開通管理!$J$5:$J$604,開通管理!$B$5:$B$604,B54,開通管理!$O$5:$O$604,"&lt;&gt;キャンセル"))</f>
        <v/>
      </c>
      <c r="V54" s="22"/>
      <c r="W54" s="12" t="str">
        <f aca="false">IF(OR(B54="",設定!$B$14=""),"",SUBSTITUTE(設定!$B$14,"__ID__",B54))</f>
        <v/>
      </c>
      <c r="X54" s="22"/>
      <c r="Y54" s="22"/>
      <c r="Z54" s="22"/>
      <c r="AA54" s="20" t="str">
        <f aca="false">IF(Z54="","",WORKDAY(Z54,設定!$B$5,設定!$F$5:$F$120))</f>
        <v/>
      </c>
      <c r="AB54" s="17"/>
      <c r="AC54" s="17"/>
      <c r="AD54" s="17"/>
      <c r="AE54" s="17"/>
      <c r="AF54" s="22"/>
      <c r="AG54" s="17"/>
      <c r="AH54" s="20" t="str">
        <f aca="false">IF(T54="","",EDATE(T54,設定!$B$8))</f>
        <v/>
      </c>
      <c r="AI54" s="17"/>
      <c r="AJ54" s="17"/>
      <c r="AK54" s="22"/>
      <c r="AL54" s="23" t="str">
        <f aca="true">IF(C54="","",IF(N54="失注","―",IF(AND(AK54&lt;&gt;"",AK54&lt;TODAY()),"対応期限超過",IF(AND(AF54="",AA54&lt;&gt;"",IF(AA54="",FALSE(),AA54&lt;TODAY())),"納品遅延",IF(AND(AK54&lt;&gt;"",AK54=TODAY()),"本日対応",IF(AND(S54="全開通",X54="",AF54=""),"ヒアリング依頼待ち",IF(AND(X54&lt;&gt;"",Y54="",Z54="",TODAY()-X54&gt;=設定!$B$6),"ヒアリング未回収",IF(AND(Y54&lt;&gt;"",Z54=""),"素材確認待ち",IF(AND(AF54="",AA54&lt;&gt;"",IF(AA54="",FALSE(),AA54-TODAY()&lt;=設定!$B$7)),"納品間近",IF(AND(AH54&lt;&gt;"",IF(AH54="",FALSE(),AH54&lt;=TODAY()),AI54=""),"解約チェック",IF(AF54&lt;&gt;"","納品済","")))))))))))</f>
        <v/>
      </c>
      <c r="AM54" s="17"/>
    </row>
    <row r="55" customFormat="false" ht="15" hidden="false" customHeight="false" outlineLevel="0" collapsed="false">
      <c r="A55" s="12" t="str">
        <f aca="false">IF(C55="","",ROW()-4)</f>
        <v/>
      </c>
      <c r="B55" s="17"/>
      <c r="C55" s="17"/>
      <c r="D55" s="17"/>
      <c r="E55" s="17"/>
      <c r="F55" s="24"/>
      <c r="G55" s="17"/>
      <c r="H55" s="17"/>
      <c r="I55" s="17"/>
      <c r="J55" s="17"/>
      <c r="K55" s="17"/>
      <c r="L55" s="22"/>
      <c r="M55" s="22"/>
      <c r="N55" s="17"/>
      <c r="O55" s="17"/>
      <c r="P55" s="17"/>
      <c r="Q55" s="18" t="str">
        <f aca="false">IF(B55="","",COUNTIFS(開通管理!$B$5:$B$604,B55,開通管理!$O$5:$O$604,"&lt;&gt;キャンセル"))</f>
        <v/>
      </c>
      <c r="R55" s="18" t="str">
        <f aca="false">IF(B55="","",COUNTIFS(開通管理!$B$5:$B$604,B55,開通管理!$O$5:$O$604,"開通済"))</f>
        <v/>
      </c>
      <c r="S55" s="19" t="str">
        <f aca="false">IF(B55="","",IF(Q55=0,"未申込",IF(R55&lt;Q55,"開通待ち（"&amp;R55&amp;"/"&amp;Q55&amp;"）","全開通")))</f>
        <v/>
      </c>
      <c r="T55" s="20" t="str">
        <f aca="false">IF(S55&lt;&gt;"全開通","",_xlfn.MAXIFS(開通管理!$Q$5:$Q$604,開通管理!$B$5:$B$604,B55))</f>
        <v/>
      </c>
      <c r="U55" s="21" t="str">
        <f aca="false">IF(B55="","",SUMIFS(開通管理!$J$5:$J$604,開通管理!$B$5:$B$604,B55,開通管理!$O$5:$O$604,"&lt;&gt;キャンセル"))</f>
        <v/>
      </c>
      <c r="V55" s="22"/>
      <c r="W55" s="12" t="str">
        <f aca="false">IF(OR(B55="",設定!$B$14=""),"",SUBSTITUTE(設定!$B$14,"__ID__",B55))</f>
        <v/>
      </c>
      <c r="X55" s="22"/>
      <c r="Y55" s="22"/>
      <c r="Z55" s="22"/>
      <c r="AA55" s="20" t="str">
        <f aca="false">IF(Z55="","",WORKDAY(Z55,設定!$B$5,設定!$F$5:$F$120))</f>
        <v/>
      </c>
      <c r="AB55" s="17"/>
      <c r="AC55" s="17"/>
      <c r="AD55" s="17"/>
      <c r="AE55" s="17"/>
      <c r="AF55" s="22"/>
      <c r="AG55" s="17"/>
      <c r="AH55" s="20" t="str">
        <f aca="false">IF(T55="","",EDATE(T55,設定!$B$8))</f>
        <v/>
      </c>
      <c r="AI55" s="17"/>
      <c r="AJ55" s="17"/>
      <c r="AK55" s="22"/>
      <c r="AL55" s="23" t="str">
        <f aca="true">IF(C55="","",IF(N55="失注","―",IF(AND(AK55&lt;&gt;"",AK55&lt;TODAY()),"対応期限超過",IF(AND(AF55="",AA55&lt;&gt;"",IF(AA55="",FALSE(),AA55&lt;TODAY())),"納品遅延",IF(AND(AK55&lt;&gt;"",AK55=TODAY()),"本日対応",IF(AND(S55="全開通",X55="",AF55=""),"ヒアリング依頼待ち",IF(AND(X55&lt;&gt;"",Y55="",Z55="",TODAY()-X55&gt;=設定!$B$6),"ヒアリング未回収",IF(AND(Y55&lt;&gt;"",Z55=""),"素材確認待ち",IF(AND(AF55="",AA55&lt;&gt;"",IF(AA55="",FALSE(),AA55-TODAY()&lt;=設定!$B$7)),"納品間近",IF(AND(AH55&lt;&gt;"",IF(AH55="",FALSE(),AH55&lt;=TODAY()),AI55=""),"解約チェック",IF(AF55&lt;&gt;"","納品済","")))))))))))</f>
        <v/>
      </c>
      <c r="AM55" s="17"/>
    </row>
    <row r="56" customFormat="false" ht="15" hidden="false" customHeight="false" outlineLevel="0" collapsed="false">
      <c r="A56" s="12" t="str">
        <f aca="false">IF(C56="","",ROW()-4)</f>
        <v/>
      </c>
      <c r="B56" s="17"/>
      <c r="C56" s="17"/>
      <c r="D56" s="17"/>
      <c r="E56" s="17"/>
      <c r="F56" s="24"/>
      <c r="G56" s="17"/>
      <c r="H56" s="17"/>
      <c r="I56" s="17"/>
      <c r="J56" s="17"/>
      <c r="K56" s="17"/>
      <c r="L56" s="22"/>
      <c r="M56" s="22"/>
      <c r="N56" s="17"/>
      <c r="O56" s="17"/>
      <c r="P56" s="17"/>
      <c r="Q56" s="18" t="str">
        <f aca="false">IF(B56="","",COUNTIFS(開通管理!$B$5:$B$604,B56,開通管理!$O$5:$O$604,"&lt;&gt;キャンセル"))</f>
        <v/>
      </c>
      <c r="R56" s="18" t="str">
        <f aca="false">IF(B56="","",COUNTIFS(開通管理!$B$5:$B$604,B56,開通管理!$O$5:$O$604,"開通済"))</f>
        <v/>
      </c>
      <c r="S56" s="19" t="str">
        <f aca="false">IF(B56="","",IF(Q56=0,"未申込",IF(R56&lt;Q56,"開通待ち（"&amp;R56&amp;"/"&amp;Q56&amp;"）","全開通")))</f>
        <v/>
      </c>
      <c r="T56" s="20" t="str">
        <f aca="false">IF(S56&lt;&gt;"全開通","",_xlfn.MAXIFS(開通管理!$Q$5:$Q$604,開通管理!$B$5:$B$604,B56))</f>
        <v/>
      </c>
      <c r="U56" s="21" t="str">
        <f aca="false">IF(B56="","",SUMIFS(開通管理!$J$5:$J$604,開通管理!$B$5:$B$604,B56,開通管理!$O$5:$O$604,"&lt;&gt;キャンセル"))</f>
        <v/>
      </c>
      <c r="V56" s="22"/>
      <c r="W56" s="12" t="str">
        <f aca="false">IF(OR(B56="",設定!$B$14=""),"",SUBSTITUTE(設定!$B$14,"__ID__",B56))</f>
        <v/>
      </c>
      <c r="X56" s="22"/>
      <c r="Y56" s="22"/>
      <c r="Z56" s="22"/>
      <c r="AA56" s="20" t="str">
        <f aca="false">IF(Z56="","",WORKDAY(Z56,設定!$B$5,設定!$F$5:$F$120))</f>
        <v/>
      </c>
      <c r="AB56" s="17"/>
      <c r="AC56" s="17"/>
      <c r="AD56" s="17"/>
      <c r="AE56" s="17"/>
      <c r="AF56" s="22"/>
      <c r="AG56" s="17"/>
      <c r="AH56" s="20" t="str">
        <f aca="false">IF(T56="","",EDATE(T56,設定!$B$8))</f>
        <v/>
      </c>
      <c r="AI56" s="17"/>
      <c r="AJ56" s="17"/>
      <c r="AK56" s="22"/>
      <c r="AL56" s="23" t="str">
        <f aca="true">IF(C56="","",IF(N56="失注","―",IF(AND(AK56&lt;&gt;"",AK56&lt;TODAY()),"対応期限超過",IF(AND(AF56="",AA56&lt;&gt;"",IF(AA56="",FALSE(),AA56&lt;TODAY())),"納品遅延",IF(AND(AK56&lt;&gt;"",AK56=TODAY()),"本日対応",IF(AND(S56="全開通",X56="",AF56=""),"ヒアリング依頼待ち",IF(AND(X56&lt;&gt;"",Y56="",Z56="",TODAY()-X56&gt;=設定!$B$6),"ヒアリング未回収",IF(AND(Y56&lt;&gt;"",Z56=""),"素材確認待ち",IF(AND(AF56="",AA56&lt;&gt;"",IF(AA56="",FALSE(),AA56-TODAY()&lt;=設定!$B$7)),"納品間近",IF(AND(AH56&lt;&gt;"",IF(AH56="",FALSE(),AH56&lt;=TODAY()),AI56=""),"解約チェック",IF(AF56&lt;&gt;"","納品済","")))))))))))</f>
        <v/>
      </c>
      <c r="AM56" s="17"/>
    </row>
    <row r="57" customFormat="false" ht="15" hidden="false" customHeight="false" outlineLevel="0" collapsed="false">
      <c r="A57" s="12" t="str">
        <f aca="false">IF(C57="","",ROW()-4)</f>
        <v/>
      </c>
      <c r="B57" s="17"/>
      <c r="C57" s="17"/>
      <c r="D57" s="17"/>
      <c r="E57" s="17"/>
      <c r="F57" s="24"/>
      <c r="G57" s="17"/>
      <c r="H57" s="17"/>
      <c r="I57" s="17"/>
      <c r="J57" s="17"/>
      <c r="K57" s="17"/>
      <c r="L57" s="22"/>
      <c r="M57" s="22"/>
      <c r="N57" s="17"/>
      <c r="O57" s="17"/>
      <c r="P57" s="17"/>
      <c r="Q57" s="18" t="str">
        <f aca="false">IF(B57="","",COUNTIFS(開通管理!$B$5:$B$604,B57,開通管理!$O$5:$O$604,"&lt;&gt;キャンセル"))</f>
        <v/>
      </c>
      <c r="R57" s="18" t="str">
        <f aca="false">IF(B57="","",COUNTIFS(開通管理!$B$5:$B$604,B57,開通管理!$O$5:$O$604,"開通済"))</f>
        <v/>
      </c>
      <c r="S57" s="19" t="str">
        <f aca="false">IF(B57="","",IF(Q57=0,"未申込",IF(R57&lt;Q57,"開通待ち（"&amp;R57&amp;"/"&amp;Q57&amp;"）","全開通")))</f>
        <v/>
      </c>
      <c r="T57" s="20" t="str">
        <f aca="false">IF(S57&lt;&gt;"全開通","",_xlfn.MAXIFS(開通管理!$Q$5:$Q$604,開通管理!$B$5:$B$604,B57))</f>
        <v/>
      </c>
      <c r="U57" s="21" t="str">
        <f aca="false">IF(B57="","",SUMIFS(開通管理!$J$5:$J$604,開通管理!$B$5:$B$604,B57,開通管理!$O$5:$O$604,"&lt;&gt;キャンセル"))</f>
        <v/>
      </c>
      <c r="V57" s="22"/>
      <c r="W57" s="12" t="str">
        <f aca="false">IF(OR(B57="",設定!$B$14=""),"",SUBSTITUTE(設定!$B$14,"__ID__",B57))</f>
        <v/>
      </c>
      <c r="X57" s="22"/>
      <c r="Y57" s="22"/>
      <c r="Z57" s="22"/>
      <c r="AA57" s="20" t="str">
        <f aca="false">IF(Z57="","",WORKDAY(Z57,設定!$B$5,設定!$F$5:$F$120))</f>
        <v/>
      </c>
      <c r="AB57" s="17"/>
      <c r="AC57" s="17"/>
      <c r="AD57" s="17"/>
      <c r="AE57" s="17"/>
      <c r="AF57" s="22"/>
      <c r="AG57" s="17"/>
      <c r="AH57" s="20" t="str">
        <f aca="false">IF(T57="","",EDATE(T57,設定!$B$8))</f>
        <v/>
      </c>
      <c r="AI57" s="17"/>
      <c r="AJ57" s="17"/>
      <c r="AK57" s="22"/>
      <c r="AL57" s="23" t="str">
        <f aca="true">IF(C57="","",IF(N57="失注","―",IF(AND(AK57&lt;&gt;"",AK57&lt;TODAY()),"対応期限超過",IF(AND(AF57="",AA57&lt;&gt;"",IF(AA57="",FALSE(),AA57&lt;TODAY())),"納品遅延",IF(AND(AK57&lt;&gt;"",AK57=TODAY()),"本日対応",IF(AND(S57="全開通",X57="",AF57=""),"ヒアリング依頼待ち",IF(AND(X57&lt;&gt;"",Y57="",Z57="",TODAY()-X57&gt;=設定!$B$6),"ヒアリング未回収",IF(AND(Y57&lt;&gt;"",Z57=""),"素材確認待ち",IF(AND(AF57="",AA57&lt;&gt;"",IF(AA57="",FALSE(),AA57-TODAY()&lt;=設定!$B$7)),"納品間近",IF(AND(AH57&lt;&gt;"",IF(AH57="",FALSE(),AH57&lt;=TODAY()),AI57=""),"解約チェック",IF(AF57&lt;&gt;"","納品済","")))))))))))</f>
        <v/>
      </c>
      <c r="AM57" s="17"/>
    </row>
    <row r="58" customFormat="false" ht="15" hidden="false" customHeight="false" outlineLevel="0" collapsed="false">
      <c r="A58" s="12" t="str">
        <f aca="false">IF(C58="","",ROW()-4)</f>
        <v/>
      </c>
      <c r="B58" s="17"/>
      <c r="C58" s="17"/>
      <c r="D58" s="17"/>
      <c r="E58" s="17"/>
      <c r="F58" s="24"/>
      <c r="G58" s="17"/>
      <c r="H58" s="17"/>
      <c r="I58" s="17"/>
      <c r="J58" s="17"/>
      <c r="K58" s="17"/>
      <c r="L58" s="22"/>
      <c r="M58" s="22"/>
      <c r="N58" s="17"/>
      <c r="O58" s="17"/>
      <c r="P58" s="17"/>
      <c r="Q58" s="18" t="str">
        <f aca="false">IF(B58="","",COUNTIFS(開通管理!$B$5:$B$604,B58,開通管理!$O$5:$O$604,"&lt;&gt;キャンセル"))</f>
        <v/>
      </c>
      <c r="R58" s="18" t="str">
        <f aca="false">IF(B58="","",COUNTIFS(開通管理!$B$5:$B$604,B58,開通管理!$O$5:$O$604,"開通済"))</f>
        <v/>
      </c>
      <c r="S58" s="19" t="str">
        <f aca="false">IF(B58="","",IF(Q58=0,"未申込",IF(R58&lt;Q58,"開通待ち（"&amp;R58&amp;"/"&amp;Q58&amp;"）","全開通")))</f>
        <v/>
      </c>
      <c r="T58" s="20" t="str">
        <f aca="false">IF(S58&lt;&gt;"全開通","",_xlfn.MAXIFS(開通管理!$Q$5:$Q$604,開通管理!$B$5:$B$604,B58))</f>
        <v/>
      </c>
      <c r="U58" s="21" t="str">
        <f aca="false">IF(B58="","",SUMIFS(開通管理!$J$5:$J$604,開通管理!$B$5:$B$604,B58,開通管理!$O$5:$O$604,"&lt;&gt;キャンセル"))</f>
        <v/>
      </c>
      <c r="V58" s="22"/>
      <c r="W58" s="12" t="str">
        <f aca="false">IF(OR(B58="",設定!$B$14=""),"",SUBSTITUTE(設定!$B$14,"__ID__",B58))</f>
        <v/>
      </c>
      <c r="X58" s="22"/>
      <c r="Y58" s="22"/>
      <c r="Z58" s="22"/>
      <c r="AA58" s="20" t="str">
        <f aca="false">IF(Z58="","",WORKDAY(Z58,設定!$B$5,設定!$F$5:$F$120))</f>
        <v/>
      </c>
      <c r="AB58" s="17"/>
      <c r="AC58" s="17"/>
      <c r="AD58" s="17"/>
      <c r="AE58" s="17"/>
      <c r="AF58" s="22"/>
      <c r="AG58" s="17"/>
      <c r="AH58" s="20" t="str">
        <f aca="false">IF(T58="","",EDATE(T58,設定!$B$8))</f>
        <v/>
      </c>
      <c r="AI58" s="17"/>
      <c r="AJ58" s="17"/>
      <c r="AK58" s="22"/>
      <c r="AL58" s="23" t="str">
        <f aca="true">IF(C58="","",IF(N58="失注","―",IF(AND(AK58&lt;&gt;"",AK58&lt;TODAY()),"対応期限超過",IF(AND(AF58="",AA58&lt;&gt;"",IF(AA58="",FALSE(),AA58&lt;TODAY())),"納品遅延",IF(AND(AK58&lt;&gt;"",AK58=TODAY()),"本日対応",IF(AND(S58="全開通",X58="",AF58=""),"ヒアリング依頼待ち",IF(AND(X58&lt;&gt;"",Y58="",Z58="",TODAY()-X58&gt;=設定!$B$6),"ヒアリング未回収",IF(AND(Y58&lt;&gt;"",Z58=""),"素材確認待ち",IF(AND(AF58="",AA58&lt;&gt;"",IF(AA58="",FALSE(),AA58-TODAY()&lt;=設定!$B$7)),"納品間近",IF(AND(AH58&lt;&gt;"",IF(AH58="",FALSE(),AH58&lt;=TODAY()),AI58=""),"解約チェック",IF(AF58&lt;&gt;"","納品済","")))))))))))</f>
        <v/>
      </c>
      <c r="AM58" s="17"/>
    </row>
    <row r="59" customFormat="false" ht="15" hidden="false" customHeight="false" outlineLevel="0" collapsed="false">
      <c r="A59" s="12" t="str">
        <f aca="false">IF(C59="","",ROW()-4)</f>
        <v/>
      </c>
      <c r="B59" s="17"/>
      <c r="C59" s="17"/>
      <c r="D59" s="17"/>
      <c r="E59" s="17"/>
      <c r="F59" s="24"/>
      <c r="G59" s="17"/>
      <c r="H59" s="17"/>
      <c r="I59" s="17"/>
      <c r="J59" s="17"/>
      <c r="K59" s="17"/>
      <c r="L59" s="22"/>
      <c r="M59" s="22"/>
      <c r="N59" s="17"/>
      <c r="O59" s="17"/>
      <c r="P59" s="17"/>
      <c r="Q59" s="18" t="str">
        <f aca="false">IF(B59="","",COUNTIFS(開通管理!$B$5:$B$604,B59,開通管理!$O$5:$O$604,"&lt;&gt;キャンセル"))</f>
        <v/>
      </c>
      <c r="R59" s="18" t="str">
        <f aca="false">IF(B59="","",COUNTIFS(開通管理!$B$5:$B$604,B59,開通管理!$O$5:$O$604,"開通済"))</f>
        <v/>
      </c>
      <c r="S59" s="19" t="str">
        <f aca="false">IF(B59="","",IF(Q59=0,"未申込",IF(R59&lt;Q59,"開通待ち（"&amp;R59&amp;"/"&amp;Q59&amp;"）","全開通")))</f>
        <v/>
      </c>
      <c r="T59" s="20" t="str">
        <f aca="false">IF(S59&lt;&gt;"全開通","",_xlfn.MAXIFS(開通管理!$Q$5:$Q$604,開通管理!$B$5:$B$604,B59))</f>
        <v/>
      </c>
      <c r="U59" s="21" t="str">
        <f aca="false">IF(B59="","",SUMIFS(開通管理!$J$5:$J$604,開通管理!$B$5:$B$604,B59,開通管理!$O$5:$O$604,"&lt;&gt;キャンセル"))</f>
        <v/>
      </c>
      <c r="V59" s="22"/>
      <c r="W59" s="12" t="str">
        <f aca="false">IF(OR(B59="",設定!$B$14=""),"",SUBSTITUTE(設定!$B$14,"__ID__",B59))</f>
        <v/>
      </c>
      <c r="X59" s="22"/>
      <c r="Y59" s="22"/>
      <c r="Z59" s="22"/>
      <c r="AA59" s="20" t="str">
        <f aca="false">IF(Z59="","",WORKDAY(Z59,設定!$B$5,設定!$F$5:$F$120))</f>
        <v/>
      </c>
      <c r="AB59" s="17"/>
      <c r="AC59" s="17"/>
      <c r="AD59" s="17"/>
      <c r="AE59" s="17"/>
      <c r="AF59" s="22"/>
      <c r="AG59" s="17"/>
      <c r="AH59" s="20" t="str">
        <f aca="false">IF(T59="","",EDATE(T59,設定!$B$8))</f>
        <v/>
      </c>
      <c r="AI59" s="17"/>
      <c r="AJ59" s="17"/>
      <c r="AK59" s="22"/>
      <c r="AL59" s="23" t="str">
        <f aca="true">IF(C59="","",IF(N59="失注","―",IF(AND(AK59&lt;&gt;"",AK59&lt;TODAY()),"対応期限超過",IF(AND(AF59="",AA59&lt;&gt;"",IF(AA59="",FALSE(),AA59&lt;TODAY())),"納品遅延",IF(AND(AK59&lt;&gt;"",AK59=TODAY()),"本日対応",IF(AND(S59="全開通",X59="",AF59=""),"ヒアリング依頼待ち",IF(AND(X59&lt;&gt;"",Y59="",Z59="",TODAY()-X59&gt;=設定!$B$6),"ヒアリング未回収",IF(AND(Y59&lt;&gt;"",Z59=""),"素材確認待ち",IF(AND(AF59="",AA59&lt;&gt;"",IF(AA59="",FALSE(),AA59-TODAY()&lt;=設定!$B$7)),"納品間近",IF(AND(AH59&lt;&gt;"",IF(AH59="",FALSE(),AH59&lt;=TODAY()),AI59=""),"解約チェック",IF(AF59&lt;&gt;"","納品済","")))))))))))</f>
        <v/>
      </c>
      <c r="AM59" s="17"/>
    </row>
    <row r="60" customFormat="false" ht="15" hidden="false" customHeight="false" outlineLevel="0" collapsed="false">
      <c r="A60" s="12" t="str">
        <f aca="false">IF(C60="","",ROW()-4)</f>
        <v/>
      </c>
      <c r="B60" s="17"/>
      <c r="C60" s="17"/>
      <c r="D60" s="17"/>
      <c r="E60" s="17"/>
      <c r="F60" s="24"/>
      <c r="G60" s="17"/>
      <c r="H60" s="17"/>
      <c r="I60" s="17"/>
      <c r="J60" s="17"/>
      <c r="K60" s="17"/>
      <c r="L60" s="22"/>
      <c r="M60" s="22"/>
      <c r="N60" s="17"/>
      <c r="O60" s="17"/>
      <c r="P60" s="17"/>
      <c r="Q60" s="18" t="str">
        <f aca="false">IF(B60="","",COUNTIFS(開通管理!$B$5:$B$604,B60,開通管理!$O$5:$O$604,"&lt;&gt;キャンセル"))</f>
        <v/>
      </c>
      <c r="R60" s="18" t="str">
        <f aca="false">IF(B60="","",COUNTIFS(開通管理!$B$5:$B$604,B60,開通管理!$O$5:$O$604,"開通済"))</f>
        <v/>
      </c>
      <c r="S60" s="19" t="str">
        <f aca="false">IF(B60="","",IF(Q60=0,"未申込",IF(R60&lt;Q60,"開通待ち（"&amp;R60&amp;"/"&amp;Q60&amp;"）","全開通")))</f>
        <v/>
      </c>
      <c r="T60" s="20" t="str">
        <f aca="false">IF(S60&lt;&gt;"全開通","",_xlfn.MAXIFS(開通管理!$Q$5:$Q$604,開通管理!$B$5:$B$604,B60))</f>
        <v/>
      </c>
      <c r="U60" s="21" t="str">
        <f aca="false">IF(B60="","",SUMIFS(開通管理!$J$5:$J$604,開通管理!$B$5:$B$604,B60,開通管理!$O$5:$O$604,"&lt;&gt;キャンセル"))</f>
        <v/>
      </c>
      <c r="V60" s="22"/>
      <c r="W60" s="12" t="str">
        <f aca="false">IF(OR(B60="",設定!$B$14=""),"",SUBSTITUTE(設定!$B$14,"__ID__",B60))</f>
        <v/>
      </c>
      <c r="X60" s="22"/>
      <c r="Y60" s="22"/>
      <c r="Z60" s="22"/>
      <c r="AA60" s="20" t="str">
        <f aca="false">IF(Z60="","",WORKDAY(Z60,設定!$B$5,設定!$F$5:$F$120))</f>
        <v/>
      </c>
      <c r="AB60" s="17"/>
      <c r="AC60" s="17"/>
      <c r="AD60" s="17"/>
      <c r="AE60" s="17"/>
      <c r="AF60" s="22"/>
      <c r="AG60" s="17"/>
      <c r="AH60" s="20" t="str">
        <f aca="false">IF(T60="","",EDATE(T60,設定!$B$8))</f>
        <v/>
      </c>
      <c r="AI60" s="17"/>
      <c r="AJ60" s="17"/>
      <c r="AK60" s="22"/>
      <c r="AL60" s="23" t="str">
        <f aca="true">IF(C60="","",IF(N60="失注","―",IF(AND(AK60&lt;&gt;"",AK60&lt;TODAY()),"対応期限超過",IF(AND(AF60="",AA60&lt;&gt;"",IF(AA60="",FALSE(),AA60&lt;TODAY())),"納品遅延",IF(AND(AK60&lt;&gt;"",AK60=TODAY()),"本日対応",IF(AND(S60="全開通",X60="",AF60=""),"ヒアリング依頼待ち",IF(AND(X60&lt;&gt;"",Y60="",Z60="",TODAY()-X60&gt;=設定!$B$6),"ヒアリング未回収",IF(AND(Y60&lt;&gt;"",Z60=""),"素材確認待ち",IF(AND(AF60="",AA60&lt;&gt;"",IF(AA60="",FALSE(),AA60-TODAY()&lt;=設定!$B$7)),"納品間近",IF(AND(AH60&lt;&gt;"",IF(AH60="",FALSE(),AH60&lt;=TODAY()),AI60=""),"解約チェック",IF(AF60&lt;&gt;"","納品済","")))))))))))</f>
        <v/>
      </c>
      <c r="AM60" s="17"/>
    </row>
    <row r="61" customFormat="false" ht="15" hidden="false" customHeight="false" outlineLevel="0" collapsed="false">
      <c r="A61" s="12" t="str">
        <f aca="false">IF(C61="","",ROW()-4)</f>
        <v/>
      </c>
      <c r="B61" s="17"/>
      <c r="C61" s="17"/>
      <c r="D61" s="17"/>
      <c r="E61" s="17"/>
      <c r="F61" s="24"/>
      <c r="G61" s="17"/>
      <c r="H61" s="17"/>
      <c r="I61" s="17"/>
      <c r="J61" s="17"/>
      <c r="K61" s="17"/>
      <c r="L61" s="22"/>
      <c r="M61" s="22"/>
      <c r="N61" s="17"/>
      <c r="O61" s="17"/>
      <c r="P61" s="17"/>
      <c r="Q61" s="18" t="str">
        <f aca="false">IF(B61="","",COUNTIFS(開通管理!$B$5:$B$604,B61,開通管理!$O$5:$O$604,"&lt;&gt;キャンセル"))</f>
        <v/>
      </c>
      <c r="R61" s="18" t="str">
        <f aca="false">IF(B61="","",COUNTIFS(開通管理!$B$5:$B$604,B61,開通管理!$O$5:$O$604,"開通済"))</f>
        <v/>
      </c>
      <c r="S61" s="19" t="str">
        <f aca="false">IF(B61="","",IF(Q61=0,"未申込",IF(R61&lt;Q61,"開通待ち（"&amp;R61&amp;"/"&amp;Q61&amp;"）","全開通")))</f>
        <v/>
      </c>
      <c r="T61" s="20" t="str">
        <f aca="false">IF(S61&lt;&gt;"全開通","",_xlfn.MAXIFS(開通管理!$Q$5:$Q$604,開通管理!$B$5:$B$604,B61))</f>
        <v/>
      </c>
      <c r="U61" s="21" t="str">
        <f aca="false">IF(B61="","",SUMIFS(開通管理!$J$5:$J$604,開通管理!$B$5:$B$604,B61,開通管理!$O$5:$O$604,"&lt;&gt;キャンセル"))</f>
        <v/>
      </c>
      <c r="V61" s="22"/>
      <c r="W61" s="12" t="str">
        <f aca="false">IF(OR(B61="",設定!$B$14=""),"",SUBSTITUTE(設定!$B$14,"__ID__",B61))</f>
        <v/>
      </c>
      <c r="X61" s="22"/>
      <c r="Y61" s="22"/>
      <c r="Z61" s="22"/>
      <c r="AA61" s="20" t="str">
        <f aca="false">IF(Z61="","",WORKDAY(Z61,設定!$B$5,設定!$F$5:$F$120))</f>
        <v/>
      </c>
      <c r="AB61" s="17"/>
      <c r="AC61" s="17"/>
      <c r="AD61" s="17"/>
      <c r="AE61" s="17"/>
      <c r="AF61" s="22"/>
      <c r="AG61" s="17"/>
      <c r="AH61" s="20" t="str">
        <f aca="false">IF(T61="","",EDATE(T61,設定!$B$8))</f>
        <v/>
      </c>
      <c r="AI61" s="17"/>
      <c r="AJ61" s="17"/>
      <c r="AK61" s="22"/>
      <c r="AL61" s="23" t="str">
        <f aca="true">IF(C61="","",IF(N61="失注","―",IF(AND(AK61&lt;&gt;"",AK61&lt;TODAY()),"対応期限超過",IF(AND(AF61="",AA61&lt;&gt;"",IF(AA61="",FALSE(),AA61&lt;TODAY())),"納品遅延",IF(AND(AK61&lt;&gt;"",AK61=TODAY()),"本日対応",IF(AND(S61="全開通",X61="",AF61=""),"ヒアリング依頼待ち",IF(AND(X61&lt;&gt;"",Y61="",Z61="",TODAY()-X61&gt;=設定!$B$6),"ヒアリング未回収",IF(AND(Y61&lt;&gt;"",Z61=""),"素材確認待ち",IF(AND(AF61="",AA61&lt;&gt;"",IF(AA61="",FALSE(),AA61-TODAY()&lt;=設定!$B$7)),"納品間近",IF(AND(AH61&lt;&gt;"",IF(AH61="",FALSE(),AH61&lt;=TODAY()),AI61=""),"解約チェック",IF(AF61&lt;&gt;"","納品済","")))))))))))</f>
        <v/>
      </c>
      <c r="AM61" s="17"/>
    </row>
    <row r="62" customFormat="false" ht="15" hidden="false" customHeight="false" outlineLevel="0" collapsed="false">
      <c r="A62" s="12" t="str">
        <f aca="false">IF(C62="","",ROW()-4)</f>
        <v/>
      </c>
      <c r="B62" s="17"/>
      <c r="C62" s="17"/>
      <c r="D62" s="17"/>
      <c r="E62" s="17"/>
      <c r="F62" s="24"/>
      <c r="G62" s="17"/>
      <c r="H62" s="17"/>
      <c r="I62" s="17"/>
      <c r="J62" s="17"/>
      <c r="K62" s="17"/>
      <c r="L62" s="22"/>
      <c r="M62" s="22"/>
      <c r="N62" s="17"/>
      <c r="O62" s="17"/>
      <c r="P62" s="17"/>
      <c r="Q62" s="18" t="str">
        <f aca="false">IF(B62="","",COUNTIFS(開通管理!$B$5:$B$604,B62,開通管理!$O$5:$O$604,"&lt;&gt;キャンセル"))</f>
        <v/>
      </c>
      <c r="R62" s="18" t="str">
        <f aca="false">IF(B62="","",COUNTIFS(開通管理!$B$5:$B$604,B62,開通管理!$O$5:$O$604,"開通済"))</f>
        <v/>
      </c>
      <c r="S62" s="19" t="str">
        <f aca="false">IF(B62="","",IF(Q62=0,"未申込",IF(R62&lt;Q62,"開通待ち（"&amp;R62&amp;"/"&amp;Q62&amp;"）","全開通")))</f>
        <v/>
      </c>
      <c r="T62" s="20" t="str">
        <f aca="false">IF(S62&lt;&gt;"全開通","",_xlfn.MAXIFS(開通管理!$Q$5:$Q$604,開通管理!$B$5:$B$604,B62))</f>
        <v/>
      </c>
      <c r="U62" s="21" t="str">
        <f aca="false">IF(B62="","",SUMIFS(開通管理!$J$5:$J$604,開通管理!$B$5:$B$604,B62,開通管理!$O$5:$O$604,"&lt;&gt;キャンセル"))</f>
        <v/>
      </c>
      <c r="V62" s="22"/>
      <c r="W62" s="12" t="str">
        <f aca="false">IF(OR(B62="",設定!$B$14=""),"",SUBSTITUTE(設定!$B$14,"__ID__",B62))</f>
        <v/>
      </c>
      <c r="X62" s="22"/>
      <c r="Y62" s="22"/>
      <c r="Z62" s="22"/>
      <c r="AA62" s="20" t="str">
        <f aca="false">IF(Z62="","",WORKDAY(Z62,設定!$B$5,設定!$F$5:$F$120))</f>
        <v/>
      </c>
      <c r="AB62" s="17"/>
      <c r="AC62" s="17"/>
      <c r="AD62" s="17"/>
      <c r="AE62" s="17"/>
      <c r="AF62" s="22"/>
      <c r="AG62" s="17"/>
      <c r="AH62" s="20" t="str">
        <f aca="false">IF(T62="","",EDATE(T62,設定!$B$8))</f>
        <v/>
      </c>
      <c r="AI62" s="17"/>
      <c r="AJ62" s="17"/>
      <c r="AK62" s="22"/>
      <c r="AL62" s="23" t="str">
        <f aca="true">IF(C62="","",IF(N62="失注","―",IF(AND(AK62&lt;&gt;"",AK62&lt;TODAY()),"対応期限超過",IF(AND(AF62="",AA62&lt;&gt;"",IF(AA62="",FALSE(),AA62&lt;TODAY())),"納品遅延",IF(AND(AK62&lt;&gt;"",AK62=TODAY()),"本日対応",IF(AND(S62="全開通",X62="",AF62=""),"ヒアリング依頼待ち",IF(AND(X62&lt;&gt;"",Y62="",Z62="",TODAY()-X62&gt;=設定!$B$6),"ヒアリング未回収",IF(AND(Y62&lt;&gt;"",Z62=""),"素材確認待ち",IF(AND(AF62="",AA62&lt;&gt;"",IF(AA62="",FALSE(),AA62-TODAY()&lt;=設定!$B$7)),"納品間近",IF(AND(AH62&lt;&gt;"",IF(AH62="",FALSE(),AH62&lt;=TODAY()),AI62=""),"解約チェック",IF(AF62&lt;&gt;"","納品済","")))))))))))</f>
        <v/>
      </c>
      <c r="AM62" s="17"/>
    </row>
    <row r="63" customFormat="false" ht="15" hidden="false" customHeight="false" outlineLevel="0" collapsed="false">
      <c r="A63" s="12" t="str">
        <f aca="false">IF(C63="","",ROW()-4)</f>
        <v/>
      </c>
      <c r="B63" s="17"/>
      <c r="C63" s="17"/>
      <c r="D63" s="17"/>
      <c r="E63" s="17"/>
      <c r="F63" s="24"/>
      <c r="G63" s="17"/>
      <c r="H63" s="17"/>
      <c r="I63" s="17"/>
      <c r="J63" s="17"/>
      <c r="K63" s="17"/>
      <c r="L63" s="22"/>
      <c r="M63" s="22"/>
      <c r="N63" s="17"/>
      <c r="O63" s="17"/>
      <c r="P63" s="17"/>
      <c r="Q63" s="18" t="str">
        <f aca="false">IF(B63="","",COUNTIFS(開通管理!$B$5:$B$604,B63,開通管理!$O$5:$O$604,"&lt;&gt;キャンセル"))</f>
        <v/>
      </c>
      <c r="R63" s="18" t="str">
        <f aca="false">IF(B63="","",COUNTIFS(開通管理!$B$5:$B$604,B63,開通管理!$O$5:$O$604,"開通済"))</f>
        <v/>
      </c>
      <c r="S63" s="19" t="str">
        <f aca="false">IF(B63="","",IF(Q63=0,"未申込",IF(R63&lt;Q63,"開通待ち（"&amp;R63&amp;"/"&amp;Q63&amp;"）","全開通")))</f>
        <v/>
      </c>
      <c r="T63" s="20" t="str">
        <f aca="false">IF(S63&lt;&gt;"全開通","",_xlfn.MAXIFS(開通管理!$Q$5:$Q$604,開通管理!$B$5:$B$604,B63))</f>
        <v/>
      </c>
      <c r="U63" s="21" t="str">
        <f aca="false">IF(B63="","",SUMIFS(開通管理!$J$5:$J$604,開通管理!$B$5:$B$604,B63,開通管理!$O$5:$O$604,"&lt;&gt;キャンセル"))</f>
        <v/>
      </c>
      <c r="V63" s="22"/>
      <c r="W63" s="12" t="str">
        <f aca="false">IF(OR(B63="",設定!$B$14=""),"",SUBSTITUTE(設定!$B$14,"__ID__",B63))</f>
        <v/>
      </c>
      <c r="X63" s="22"/>
      <c r="Y63" s="22"/>
      <c r="Z63" s="22"/>
      <c r="AA63" s="20" t="str">
        <f aca="false">IF(Z63="","",WORKDAY(Z63,設定!$B$5,設定!$F$5:$F$120))</f>
        <v/>
      </c>
      <c r="AB63" s="17"/>
      <c r="AC63" s="17"/>
      <c r="AD63" s="17"/>
      <c r="AE63" s="17"/>
      <c r="AF63" s="22"/>
      <c r="AG63" s="17"/>
      <c r="AH63" s="20" t="str">
        <f aca="false">IF(T63="","",EDATE(T63,設定!$B$8))</f>
        <v/>
      </c>
      <c r="AI63" s="17"/>
      <c r="AJ63" s="17"/>
      <c r="AK63" s="22"/>
      <c r="AL63" s="23" t="str">
        <f aca="true">IF(C63="","",IF(N63="失注","―",IF(AND(AK63&lt;&gt;"",AK63&lt;TODAY()),"対応期限超過",IF(AND(AF63="",AA63&lt;&gt;"",IF(AA63="",FALSE(),AA63&lt;TODAY())),"納品遅延",IF(AND(AK63&lt;&gt;"",AK63=TODAY()),"本日対応",IF(AND(S63="全開通",X63="",AF63=""),"ヒアリング依頼待ち",IF(AND(X63&lt;&gt;"",Y63="",Z63="",TODAY()-X63&gt;=設定!$B$6),"ヒアリング未回収",IF(AND(Y63&lt;&gt;"",Z63=""),"素材確認待ち",IF(AND(AF63="",AA63&lt;&gt;"",IF(AA63="",FALSE(),AA63-TODAY()&lt;=設定!$B$7)),"納品間近",IF(AND(AH63&lt;&gt;"",IF(AH63="",FALSE(),AH63&lt;=TODAY()),AI63=""),"解約チェック",IF(AF63&lt;&gt;"","納品済","")))))))))))</f>
        <v/>
      </c>
      <c r="AM63" s="17"/>
    </row>
    <row r="64" customFormat="false" ht="15" hidden="false" customHeight="false" outlineLevel="0" collapsed="false">
      <c r="A64" s="12" t="str">
        <f aca="false">IF(C64="","",ROW()-4)</f>
        <v/>
      </c>
      <c r="B64" s="17"/>
      <c r="C64" s="17"/>
      <c r="D64" s="17"/>
      <c r="E64" s="17"/>
      <c r="F64" s="24"/>
      <c r="G64" s="17"/>
      <c r="H64" s="17"/>
      <c r="I64" s="17"/>
      <c r="J64" s="17"/>
      <c r="K64" s="17"/>
      <c r="L64" s="22"/>
      <c r="M64" s="22"/>
      <c r="N64" s="17"/>
      <c r="O64" s="17"/>
      <c r="P64" s="17"/>
      <c r="Q64" s="18" t="str">
        <f aca="false">IF(B64="","",COUNTIFS(開通管理!$B$5:$B$604,B64,開通管理!$O$5:$O$604,"&lt;&gt;キャンセル"))</f>
        <v/>
      </c>
      <c r="R64" s="18" t="str">
        <f aca="false">IF(B64="","",COUNTIFS(開通管理!$B$5:$B$604,B64,開通管理!$O$5:$O$604,"開通済"))</f>
        <v/>
      </c>
      <c r="S64" s="19" t="str">
        <f aca="false">IF(B64="","",IF(Q64=0,"未申込",IF(R64&lt;Q64,"開通待ち（"&amp;R64&amp;"/"&amp;Q64&amp;"）","全開通")))</f>
        <v/>
      </c>
      <c r="T64" s="20" t="str">
        <f aca="false">IF(S64&lt;&gt;"全開通","",_xlfn.MAXIFS(開通管理!$Q$5:$Q$604,開通管理!$B$5:$B$604,B64))</f>
        <v/>
      </c>
      <c r="U64" s="21" t="str">
        <f aca="false">IF(B64="","",SUMIFS(開通管理!$J$5:$J$604,開通管理!$B$5:$B$604,B64,開通管理!$O$5:$O$604,"&lt;&gt;キャンセル"))</f>
        <v/>
      </c>
      <c r="V64" s="22"/>
      <c r="W64" s="12" t="str">
        <f aca="false">IF(OR(B64="",設定!$B$14=""),"",SUBSTITUTE(設定!$B$14,"__ID__",B64))</f>
        <v/>
      </c>
      <c r="X64" s="22"/>
      <c r="Y64" s="22"/>
      <c r="Z64" s="22"/>
      <c r="AA64" s="20" t="str">
        <f aca="false">IF(Z64="","",WORKDAY(Z64,設定!$B$5,設定!$F$5:$F$120))</f>
        <v/>
      </c>
      <c r="AB64" s="17"/>
      <c r="AC64" s="17"/>
      <c r="AD64" s="17"/>
      <c r="AE64" s="17"/>
      <c r="AF64" s="22"/>
      <c r="AG64" s="17"/>
      <c r="AH64" s="20" t="str">
        <f aca="false">IF(T64="","",EDATE(T64,設定!$B$8))</f>
        <v/>
      </c>
      <c r="AI64" s="17"/>
      <c r="AJ64" s="17"/>
      <c r="AK64" s="22"/>
      <c r="AL64" s="23" t="str">
        <f aca="true">IF(C64="","",IF(N64="失注","―",IF(AND(AK64&lt;&gt;"",AK64&lt;TODAY()),"対応期限超過",IF(AND(AF64="",AA64&lt;&gt;"",IF(AA64="",FALSE(),AA64&lt;TODAY())),"納品遅延",IF(AND(AK64&lt;&gt;"",AK64=TODAY()),"本日対応",IF(AND(S64="全開通",X64="",AF64=""),"ヒアリング依頼待ち",IF(AND(X64&lt;&gt;"",Y64="",Z64="",TODAY()-X64&gt;=設定!$B$6),"ヒアリング未回収",IF(AND(Y64&lt;&gt;"",Z64=""),"素材確認待ち",IF(AND(AF64="",AA64&lt;&gt;"",IF(AA64="",FALSE(),AA64-TODAY()&lt;=設定!$B$7)),"納品間近",IF(AND(AH64&lt;&gt;"",IF(AH64="",FALSE(),AH64&lt;=TODAY()),AI64=""),"解約チェック",IF(AF64&lt;&gt;"","納品済","")))))))))))</f>
        <v/>
      </c>
      <c r="AM64" s="17"/>
    </row>
    <row r="65" customFormat="false" ht="15" hidden="false" customHeight="false" outlineLevel="0" collapsed="false">
      <c r="A65" s="12" t="str">
        <f aca="false">IF(C65="","",ROW()-4)</f>
        <v/>
      </c>
      <c r="B65" s="17"/>
      <c r="C65" s="17"/>
      <c r="D65" s="17"/>
      <c r="E65" s="17"/>
      <c r="F65" s="24"/>
      <c r="G65" s="17"/>
      <c r="H65" s="17"/>
      <c r="I65" s="17"/>
      <c r="J65" s="17"/>
      <c r="K65" s="17"/>
      <c r="L65" s="22"/>
      <c r="M65" s="22"/>
      <c r="N65" s="17"/>
      <c r="O65" s="17"/>
      <c r="P65" s="17"/>
      <c r="Q65" s="18" t="str">
        <f aca="false">IF(B65="","",COUNTIFS(開通管理!$B$5:$B$604,B65,開通管理!$O$5:$O$604,"&lt;&gt;キャンセル"))</f>
        <v/>
      </c>
      <c r="R65" s="18" t="str">
        <f aca="false">IF(B65="","",COUNTIFS(開通管理!$B$5:$B$604,B65,開通管理!$O$5:$O$604,"開通済"))</f>
        <v/>
      </c>
      <c r="S65" s="19" t="str">
        <f aca="false">IF(B65="","",IF(Q65=0,"未申込",IF(R65&lt;Q65,"開通待ち（"&amp;R65&amp;"/"&amp;Q65&amp;"）","全開通")))</f>
        <v/>
      </c>
      <c r="T65" s="20" t="str">
        <f aca="false">IF(S65&lt;&gt;"全開通","",_xlfn.MAXIFS(開通管理!$Q$5:$Q$604,開通管理!$B$5:$B$604,B65))</f>
        <v/>
      </c>
      <c r="U65" s="21" t="str">
        <f aca="false">IF(B65="","",SUMIFS(開通管理!$J$5:$J$604,開通管理!$B$5:$B$604,B65,開通管理!$O$5:$O$604,"&lt;&gt;キャンセル"))</f>
        <v/>
      </c>
      <c r="V65" s="22"/>
      <c r="W65" s="12" t="str">
        <f aca="false">IF(OR(B65="",設定!$B$14=""),"",SUBSTITUTE(設定!$B$14,"__ID__",B65))</f>
        <v/>
      </c>
      <c r="X65" s="22"/>
      <c r="Y65" s="22"/>
      <c r="Z65" s="22"/>
      <c r="AA65" s="20" t="str">
        <f aca="false">IF(Z65="","",WORKDAY(Z65,設定!$B$5,設定!$F$5:$F$120))</f>
        <v/>
      </c>
      <c r="AB65" s="17"/>
      <c r="AC65" s="17"/>
      <c r="AD65" s="17"/>
      <c r="AE65" s="17"/>
      <c r="AF65" s="22"/>
      <c r="AG65" s="17"/>
      <c r="AH65" s="20" t="str">
        <f aca="false">IF(T65="","",EDATE(T65,設定!$B$8))</f>
        <v/>
      </c>
      <c r="AI65" s="17"/>
      <c r="AJ65" s="17"/>
      <c r="AK65" s="22"/>
      <c r="AL65" s="23" t="str">
        <f aca="true">IF(C65="","",IF(N65="失注","―",IF(AND(AK65&lt;&gt;"",AK65&lt;TODAY()),"対応期限超過",IF(AND(AF65="",AA65&lt;&gt;"",IF(AA65="",FALSE(),AA65&lt;TODAY())),"納品遅延",IF(AND(AK65&lt;&gt;"",AK65=TODAY()),"本日対応",IF(AND(S65="全開通",X65="",AF65=""),"ヒアリング依頼待ち",IF(AND(X65&lt;&gt;"",Y65="",Z65="",TODAY()-X65&gt;=設定!$B$6),"ヒアリング未回収",IF(AND(Y65&lt;&gt;"",Z65=""),"素材確認待ち",IF(AND(AF65="",AA65&lt;&gt;"",IF(AA65="",FALSE(),AA65-TODAY()&lt;=設定!$B$7)),"納品間近",IF(AND(AH65&lt;&gt;"",IF(AH65="",FALSE(),AH65&lt;=TODAY()),AI65=""),"解約チェック",IF(AF65&lt;&gt;"","納品済","")))))))))))</f>
        <v/>
      </c>
      <c r="AM65" s="17"/>
    </row>
    <row r="66" customFormat="false" ht="15" hidden="false" customHeight="false" outlineLevel="0" collapsed="false">
      <c r="A66" s="12" t="str">
        <f aca="false">IF(C66="","",ROW()-4)</f>
        <v/>
      </c>
      <c r="B66" s="17"/>
      <c r="C66" s="17"/>
      <c r="D66" s="17"/>
      <c r="E66" s="17"/>
      <c r="F66" s="24"/>
      <c r="G66" s="17"/>
      <c r="H66" s="17"/>
      <c r="I66" s="17"/>
      <c r="J66" s="17"/>
      <c r="K66" s="17"/>
      <c r="L66" s="22"/>
      <c r="M66" s="22"/>
      <c r="N66" s="17"/>
      <c r="O66" s="17"/>
      <c r="P66" s="17"/>
      <c r="Q66" s="18" t="str">
        <f aca="false">IF(B66="","",COUNTIFS(開通管理!$B$5:$B$604,B66,開通管理!$O$5:$O$604,"&lt;&gt;キャンセル"))</f>
        <v/>
      </c>
      <c r="R66" s="18" t="str">
        <f aca="false">IF(B66="","",COUNTIFS(開通管理!$B$5:$B$604,B66,開通管理!$O$5:$O$604,"開通済"))</f>
        <v/>
      </c>
      <c r="S66" s="19" t="str">
        <f aca="false">IF(B66="","",IF(Q66=0,"未申込",IF(R66&lt;Q66,"開通待ち（"&amp;R66&amp;"/"&amp;Q66&amp;"）","全開通")))</f>
        <v/>
      </c>
      <c r="T66" s="20" t="str">
        <f aca="false">IF(S66&lt;&gt;"全開通","",_xlfn.MAXIFS(開通管理!$Q$5:$Q$604,開通管理!$B$5:$B$604,B66))</f>
        <v/>
      </c>
      <c r="U66" s="21" t="str">
        <f aca="false">IF(B66="","",SUMIFS(開通管理!$J$5:$J$604,開通管理!$B$5:$B$604,B66,開通管理!$O$5:$O$604,"&lt;&gt;キャンセル"))</f>
        <v/>
      </c>
      <c r="V66" s="22"/>
      <c r="W66" s="12" t="str">
        <f aca="false">IF(OR(B66="",設定!$B$14=""),"",SUBSTITUTE(設定!$B$14,"__ID__",B66))</f>
        <v/>
      </c>
      <c r="X66" s="22"/>
      <c r="Y66" s="22"/>
      <c r="Z66" s="22"/>
      <c r="AA66" s="20" t="str">
        <f aca="false">IF(Z66="","",WORKDAY(Z66,設定!$B$5,設定!$F$5:$F$120))</f>
        <v/>
      </c>
      <c r="AB66" s="17"/>
      <c r="AC66" s="17"/>
      <c r="AD66" s="17"/>
      <c r="AE66" s="17"/>
      <c r="AF66" s="22"/>
      <c r="AG66" s="17"/>
      <c r="AH66" s="20" t="str">
        <f aca="false">IF(T66="","",EDATE(T66,設定!$B$8))</f>
        <v/>
      </c>
      <c r="AI66" s="17"/>
      <c r="AJ66" s="17"/>
      <c r="AK66" s="22"/>
      <c r="AL66" s="23" t="str">
        <f aca="true">IF(C66="","",IF(N66="失注","―",IF(AND(AK66&lt;&gt;"",AK66&lt;TODAY()),"対応期限超過",IF(AND(AF66="",AA66&lt;&gt;"",IF(AA66="",FALSE(),AA66&lt;TODAY())),"納品遅延",IF(AND(AK66&lt;&gt;"",AK66=TODAY()),"本日対応",IF(AND(S66="全開通",X66="",AF66=""),"ヒアリング依頼待ち",IF(AND(X66&lt;&gt;"",Y66="",Z66="",TODAY()-X66&gt;=設定!$B$6),"ヒアリング未回収",IF(AND(Y66&lt;&gt;"",Z66=""),"素材確認待ち",IF(AND(AF66="",AA66&lt;&gt;"",IF(AA66="",FALSE(),AA66-TODAY()&lt;=設定!$B$7)),"納品間近",IF(AND(AH66&lt;&gt;"",IF(AH66="",FALSE(),AH66&lt;=TODAY()),AI66=""),"解約チェック",IF(AF66&lt;&gt;"","納品済","")))))))))))</f>
        <v/>
      </c>
      <c r="AM66" s="17"/>
    </row>
    <row r="67" customFormat="false" ht="15" hidden="false" customHeight="false" outlineLevel="0" collapsed="false">
      <c r="A67" s="12" t="str">
        <f aca="false">IF(C67="","",ROW()-4)</f>
        <v/>
      </c>
      <c r="B67" s="17"/>
      <c r="C67" s="17"/>
      <c r="D67" s="17"/>
      <c r="E67" s="17"/>
      <c r="F67" s="24"/>
      <c r="G67" s="17"/>
      <c r="H67" s="17"/>
      <c r="I67" s="17"/>
      <c r="J67" s="17"/>
      <c r="K67" s="17"/>
      <c r="L67" s="22"/>
      <c r="M67" s="22"/>
      <c r="N67" s="17"/>
      <c r="O67" s="17"/>
      <c r="P67" s="17"/>
      <c r="Q67" s="18" t="str">
        <f aca="false">IF(B67="","",COUNTIFS(開通管理!$B$5:$B$604,B67,開通管理!$O$5:$O$604,"&lt;&gt;キャンセル"))</f>
        <v/>
      </c>
      <c r="R67" s="18" t="str">
        <f aca="false">IF(B67="","",COUNTIFS(開通管理!$B$5:$B$604,B67,開通管理!$O$5:$O$604,"開通済"))</f>
        <v/>
      </c>
      <c r="S67" s="19" t="str">
        <f aca="false">IF(B67="","",IF(Q67=0,"未申込",IF(R67&lt;Q67,"開通待ち（"&amp;R67&amp;"/"&amp;Q67&amp;"）","全開通")))</f>
        <v/>
      </c>
      <c r="T67" s="20" t="str">
        <f aca="false">IF(S67&lt;&gt;"全開通","",_xlfn.MAXIFS(開通管理!$Q$5:$Q$604,開通管理!$B$5:$B$604,B67))</f>
        <v/>
      </c>
      <c r="U67" s="21" t="str">
        <f aca="false">IF(B67="","",SUMIFS(開通管理!$J$5:$J$604,開通管理!$B$5:$B$604,B67,開通管理!$O$5:$O$604,"&lt;&gt;キャンセル"))</f>
        <v/>
      </c>
      <c r="V67" s="22"/>
      <c r="W67" s="12" t="str">
        <f aca="false">IF(OR(B67="",設定!$B$14=""),"",SUBSTITUTE(設定!$B$14,"__ID__",B67))</f>
        <v/>
      </c>
      <c r="X67" s="22"/>
      <c r="Y67" s="22"/>
      <c r="Z67" s="22"/>
      <c r="AA67" s="20" t="str">
        <f aca="false">IF(Z67="","",WORKDAY(Z67,設定!$B$5,設定!$F$5:$F$120))</f>
        <v/>
      </c>
      <c r="AB67" s="17"/>
      <c r="AC67" s="17"/>
      <c r="AD67" s="17"/>
      <c r="AE67" s="17"/>
      <c r="AF67" s="22"/>
      <c r="AG67" s="17"/>
      <c r="AH67" s="20" t="str">
        <f aca="false">IF(T67="","",EDATE(T67,設定!$B$8))</f>
        <v/>
      </c>
      <c r="AI67" s="17"/>
      <c r="AJ67" s="17"/>
      <c r="AK67" s="22"/>
      <c r="AL67" s="23" t="str">
        <f aca="true">IF(C67="","",IF(N67="失注","―",IF(AND(AK67&lt;&gt;"",AK67&lt;TODAY()),"対応期限超過",IF(AND(AF67="",AA67&lt;&gt;"",IF(AA67="",FALSE(),AA67&lt;TODAY())),"納品遅延",IF(AND(AK67&lt;&gt;"",AK67=TODAY()),"本日対応",IF(AND(S67="全開通",X67="",AF67=""),"ヒアリング依頼待ち",IF(AND(X67&lt;&gt;"",Y67="",Z67="",TODAY()-X67&gt;=設定!$B$6),"ヒアリング未回収",IF(AND(Y67&lt;&gt;"",Z67=""),"素材確認待ち",IF(AND(AF67="",AA67&lt;&gt;"",IF(AA67="",FALSE(),AA67-TODAY()&lt;=設定!$B$7)),"納品間近",IF(AND(AH67&lt;&gt;"",IF(AH67="",FALSE(),AH67&lt;=TODAY()),AI67=""),"解約チェック",IF(AF67&lt;&gt;"","納品済","")))))))))))</f>
        <v/>
      </c>
      <c r="AM67" s="17"/>
    </row>
    <row r="68" customFormat="false" ht="15" hidden="false" customHeight="false" outlineLevel="0" collapsed="false">
      <c r="A68" s="12" t="str">
        <f aca="false">IF(C68="","",ROW()-4)</f>
        <v/>
      </c>
      <c r="B68" s="17"/>
      <c r="C68" s="17"/>
      <c r="D68" s="17"/>
      <c r="E68" s="17"/>
      <c r="F68" s="24"/>
      <c r="G68" s="17"/>
      <c r="H68" s="17"/>
      <c r="I68" s="17"/>
      <c r="J68" s="17"/>
      <c r="K68" s="17"/>
      <c r="L68" s="22"/>
      <c r="M68" s="22"/>
      <c r="N68" s="17"/>
      <c r="O68" s="17"/>
      <c r="P68" s="17"/>
      <c r="Q68" s="18" t="str">
        <f aca="false">IF(B68="","",COUNTIFS(開通管理!$B$5:$B$604,B68,開通管理!$O$5:$O$604,"&lt;&gt;キャンセル"))</f>
        <v/>
      </c>
      <c r="R68" s="18" t="str">
        <f aca="false">IF(B68="","",COUNTIFS(開通管理!$B$5:$B$604,B68,開通管理!$O$5:$O$604,"開通済"))</f>
        <v/>
      </c>
      <c r="S68" s="19" t="str">
        <f aca="false">IF(B68="","",IF(Q68=0,"未申込",IF(R68&lt;Q68,"開通待ち（"&amp;R68&amp;"/"&amp;Q68&amp;"）","全開通")))</f>
        <v/>
      </c>
      <c r="T68" s="20" t="str">
        <f aca="false">IF(S68&lt;&gt;"全開通","",_xlfn.MAXIFS(開通管理!$Q$5:$Q$604,開通管理!$B$5:$B$604,B68))</f>
        <v/>
      </c>
      <c r="U68" s="21" t="str">
        <f aca="false">IF(B68="","",SUMIFS(開通管理!$J$5:$J$604,開通管理!$B$5:$B$604,B68,開通管理!$O$5:$O$604,"&lt;&gt;キャンセル"))</f>
        <v/>
      </c>
      <c r="V68" s="22"/>
      <c r="W68" s="12" t="str">
        <f aca="false">IF(OR(B68="",設定!$B$14=""),"",SUBSTITUTE(設定!$B$14,"__ID__",B68))</f>
        <v/>
      </c>
      <c r="X68" s="22"/>
      <c r="Y68" s="22"/>
      <c r="Z68" s="22"/>
      <c r="AA68" s="20" t="str">
        <f aca="false">IF(Z68="","",WORKDAY(Z68,設定!$B$5,設定!$F$5:$F$120))</f>
        <v/>
      </c>
      <c r="AB68" s="17"/>
      <c r="AC68" s="17"/>
      <c r="AD68" s="17"/>
      <c r="AE68" s="17"/>
      <c r="AF68" s="22"/>
      <c r="AG68" s="17"/>
      <c r="AH68" s="20" t="str">
        <f aca="false">IF(T68="","",EDATE(T68,設定!$B$8))</f>
        <v/>
      </c>
      <c r="AI68" s="17"/>
      <c r="AJ68" s="17"/>
      <c r="AK68" s="22"/>
      <c r="AL68" s="23" t="str">
        <f aca="true">IF(C68="","",IF(N68="失注","―",IF(AND(AK68&lt;&gt;"",AK68&lt;TODAY()),"対応期限超過",IF(AND(AF68="",AA68&lt;&gt;"",IF(AA68="",FALSE(),AA68&lt;TODAY())),"納品遅延",IF(AND(AK68&lt;&gt;"",AK68=TODAY()),"本日対応",IF(AND(S68="全開通",X68="",AF68=""),"ヒアリング依頼待ち",IF(AND(X68&lt;&gt;"",Y68="",Z68="",TODAY()-X68&gt;=設定!$B$6),"ヒアリング未回収",IF(AND(Y68&lt;&gt;"",Z68=""),"素材確認待ち",IF(AND(AF68="",AA68&lt;&gt;"",IF(AA68="",FALSE(),AA68-TODAY()&lt;=設定!$B$7)),"納品間近",IF(AND(AH68&lt;&gt;"",IF(AH68="",FALSE(),AH68&lt;=TODAY()),AI68=""),"解約チェック",IF(AF68&lt;&gt;"","納品済","")))))))))))</f>
        <v/>
      </c>
      <c r="AM68" s="17"/>
    </row>
    <row r="69" customFormat="false" ht="15" hidden="false" customHeight="false" outlineLevel="0" collapsed="false">
      <c r="A69" s="12" t="str">
        <f aca="false">IF(C69="","",ROW()-4)</f>
        <v/>
      </c>
      <c r="B69" s="17"/>
      <c r="C69" s="17"/>
      <c r="D69" s="17"/>
      <c r="E69" s="17"/>
      <c r="F69" s="24"/>
      <c r="G69" s="17"/>
      <c r="H69" s="17"/>
      <c r="I69" s="17"/>
      <c r="J69" s="17"/>
      <c r="K69" s="17"/>
      <c r="L69" s="22"/>
      <c r="M69" s="22"/>
      <c r="N69" s="17"/>
      <c r="O69" s="17"/>
      <c r="P69" s="17"/>
      <c r="Q69" s="18" t="str">
        <f aca="false">IF(B69="","",COUNTIFS(開通管理!$B$5:$B$604,B69,開通管理!$O$5:$O$604,"&lt;&gt;キャンセル"))</f>
        <v/>
      </c>
      <c r="R69" s="18" t="str">
        <f aca="false">IF(B69="","",COUNTIFS(開通管理!$B$5:$B$604,B69,開通管理!$O$5:$O$604,"開通済"))</f>
        <v/>
      </c>
      <c r="S69" s="19" t="str">
        <f aca="false">IF(B69="","",IF(Q69=0,"未申込",IF(R69&lt;Q69,"開通待ち（"&amp;R69&amp;"/"&amp;Q69&amp;"）","全開通")))</f>
        <v/>
      </c>
      <c r="T69" s="20" t="str">
        <f aca="false">IF(S69&lt;&gt;"全開通","",_xlfn.MAXIFS(開通管理!$Q$5:$Q$604,開通管理!$B$5:$B$604,B69))</f>
        <v/>
      </c>
      <c r="U69" s="21" t="str">
        <f aca="false">IF(B69="","",SUMIFS(開通管理!$J$5:$J$604,開通管理!$B$5:$B$604,B69,開通管理!$O$5:$O$604,"&lt;&gt;キャンセル"))</f>
        <v/>
      </c>
      <c r="V69" s="22"/>
      <c r="W69" s="12" t="str">
        <f aca="false">IF(OR(B69="",設定!$B$14=""),"",SUBSTITUTE(設定!$B$14,"__ID__",B69))</f>
        <v/>
      </c>
      <c r="X69" s="22"/>
      <c r="Y69" s="22"/>
      <c r="Z69" s="22"/>
      <c r="AA69" s="20" t="str">
        <f aca="false">IF(Z69="","",WORKDAY(Z69,設定!$B$5,設定!$F$5:$F$120))</f>
        <v/>
      </c>
      <c r="AB69" s="17"/>
      <c r="AC69" s="17"/>
      <c r="AD69" s="17"/>
      <c r="AE69" s="17"/>
      <c r="AF69" s="22"/>
      <c r="AG69" s="17"/>
      <c r="AH69" s="20" t="str">
        <f aca="false">IF(T69="","",EDATE(T69,設定!$B$8))</f>
        <v/>
      </c>
      <c r="AI69" s="17"/>
      <c r="AJ69" s="17"/>
      <c r="AK69" s="22"/>
      <c r="AL69" s="23" t="str">
        <f aca="true">IF(C69="","",IF(N69="失注","―",IF(AND(AK69&lt;&gt;"",AK69&lt;TODAY()),"対応期限超過",IF(AND(AF69="",AA69&lt;&gt;"",IF(AA69="",FALSE(),AA69&lt;TODAY())),"納品遅延",IF(AND(AK69&lt;&gt;"",AK69=TODAY()),"本日対応",IF(AND(S69="全開通",X69="",AF69=""),"ヒアリング依頼待ち",IF(AND(X69&lt;&gt;"",Y69="",Z69="",TODAY()-X69&gt;=設定!$B$6),"ヒアリング未回収",IF(AND(Y69&lt;&gt;"",Z69=""),"素材確認待ち",IF(AND(AF69="",AA69&lt;&gt;"",IF(AA69="",FALSE(),AA69-TODAY()&lt;=設定!$B$7)),"納品間近",IF(AND(AH69&lt;&gt;"",IF(AH69="",FALSE(),AH69&lt;=TODAY()),AI69=""),"解約チェック",IF(AF69&lt;&gt;"","納品済","")))))))))))</f>
        <v/>
      </c>
      <c r="AM69" s="17"/>
    </row>
    <row r="70" customFormat="false" ht="15" hidden="false" customHeight="false" outlineLevel="0" collapsed="false">
      <c r="A70" s="12" t="str">
        <f aca="false">IF(C70="","",ROW()-4)</f>
        <v/>
      </c>
      <c r="B70" s="17"/>
      <c r="C70" s="17"/>
      <c r="D70" s="17"/>
      <c r="E70" s="17"/>
      <c r="F70" s="24"/>
      <c r="G70" s="17"/>
      <c r="H70" s="17"/>
      <c r="I70" s="17"/>
      <c r="J70" s="17"/>
      <c r="K70" s="17"/>
      <c r="L70" s="22"/>
      <c r="M70" s="22"/>
      <c r="N70" s="17"/>
      <c r="O70" s="17"/>
      <c r="P70" s="17"/>
      <c r="Q70" s="18" t="str">
        <f aca="false">IF(B70="","",COUNTIFS(開通管理!$B$5:$B$604,B70,開通管理!$O$5:$O$604,"&lt;&gt;キャンセル"))</f>
        <v/>
      </c>
      <c r="R70" s="18" t="str">
        <f aca="false">IF(B70="","",COUNTIFS(開通管理!$B$5:$B$604,B70,開通管理!$O$5:$O$604,"開通済"))</f>
        <v/>
      </c>
      <c r="S70" s="19" t="str">
        <f aca="false">IF(B70="","",IF(Q70=0,"未申込",IF(R70&lt;Q70,"開通待ち（"&amp;R70&amp;"/"&amp;Q70&amp;"）","全開通")))</f>
        <v/>
      </c>
      <c r="T70" s="20" t="str">
        <f aca="false">IF(S70&lt;&gt;"全開通","",_xlfn.MAXIFS(開通管理!$Q$5:$Q$604,開通管理!$B$5:$B$604,B70))</f>
        <v/>
      </c>
      <c r="U70" s="21" t="str">
        <f aca="false">IF(B70="","",SUMIFS(開通管理!$J$5:$J$604,開通管理!$B$5:$B$604,B70,開通管理!$O$5:$O$604,"&lt;&gt;キャンセル"))</f>
        <v/>
      </c>
      <c r="V70" s="22"/>
      <c r="W70" s="12" t="str">
        <f aca="false">IF(OR(B70="",設定!$B$14=""),"",SUBSTITUTE(設定!$B$14,"__ID__",B70))</f>
        <v/>
      </c>
      <c r="X70" s="22"/>
      <c r="Y70" s="22"/>
      <c r="Z70" s="22"/>
      <c r="AA70" s="20" t="str">
        <f aca="false">IF(Z70="","",WORKDAY(Z70,設定!$B$5,設定!$F$5:$F$120))</f>
        <v/>
      </c>
      <c r="AB70" s="17"/>
      <c r="AC70" s="17"/>
      <c r="AD70" s="17"/>
      <c r="AE70" s="17"/>
      <c r="AF70" s="22"/>
      <c r="AG70" s="17"/>
      <c r="AH70" s="20" t="str">
        <f aca="false">IF(T70="","",EDATE(T70,設定!$B$8))</f>
        <v/>
      </c>
      <c r="AI70" s="17"/>
      <c r="AJ70" s="17"/>
      <c r="AK70" s="22"/>
      <c r="AL70" s="23" t="str">
        <f aca="true">IF(C70="","",IF(N70="失注","―",IF(AND(AK70&lt;&gt;"",AK70&lt;TODAY()),"対応期限超過",IF(AND(AF70="",AA70&lt;&gt;"",IF(AA70="",FALSE(),AA70&lt;TODAY())),"納品遅延",IF(AND(AK70&lt;&gt;"",AK70=TODAY()),"本日対応",IF(AND(S70="全開通",X70="",AF70=""),"ヒアリング依頼待ち",IF(AND(X70&lt;&gt;"",Y70="",Z70="",TODAY()-X70&gt;=設定!$B$6),"ヒアリング未回収",IF(AND(Y70&lt;&gt;"",Z70=""),"素材確認待ち",IF(AND(AF70="",AA70&lt;&gt;"",IF(AA70="",FALSE(),AA70-TODAY()&lt;=設定!$B$7)),"納品間近",IF(AND(AH70&lt;&gt;"",IF(AH70="",FALSE(),AH70&lt;=TODAY()),AI70=""),"解約チェック",IF(AF70&lt;&gt;"","納品済","")))))))))))</f>
        <v/>
      </c>
      <c r="AM70" s="17"/>
    </row>
    <row r="71" customFormat="false" ht="15" hidden="false" customHeight="false" outlineLevel="0" collapsed="false">
      <c r="A71" s="12" t="str">
        <f aca="false">IF(C71="","",ROW()-4)</f>
        <v/>
      </c>
      <c r="B71" s="17"/>
      <c r="C71" s="17"/>
      <c r="D71" s="17"/>
      <c r="E71" s="17"/>
      <c r="F71" s="24"/>
      <c r="G71" s="17"/>
      <c r="H71" s="17"/>
      <c r="I71" s="17"/>
      <c r="J71" s="17"/>
      <c r="K71" s="17"/>
      <c r="L71" s="22"/>
      <c r="M71" s="22"/>
      <c r="N71" s="17"/>
      <c r="O71" s="17"/>
      <c r="P71" s="17"/>
      <c r="Q71" s="18" t="str">
        <f aca="false">IF(B71="","",COUNTIFS(開通管理!$B$5:$B$604,B71,開通管理!$O$5:$O$604,"&lt;&gt;キャンセル"))</f>
        <v/>
      </c>
      <c r="R71" s="18" t="str">
        <f aca="false">IF(B71="","",COUNTIFS(開通管理!$B$5:$B$604,B71,開通管理!$O$5:$O$604,"開通済"))</f>
        <v/>
      </c>
      <c r="S71" s="19" t="str">
        <f aca="false">IF(B71="","",IF(Q71=0,"未申込",IF(R71&lt;Q71,"開通待ち（"&amp;R71&amp;"/"&amp;Q71&amp;"）","全開通")))</f>
        <v/>
      </c>
      <c r="T71" s="20" t="str">
        <f aca="false">IF(S71&lt;&gt;"全開通","",_xlfn.MAXIFS(開通管理!$Q$5:$Q$604,開通管理!$B$5:$B$604,B71))</f>
        <v/>
      </c>
      <c r="U71" s="21" t="str">
        <f aca="false">IF(B71="","",SUMIFS(開通管理!$J$5:$J$604,開通管理!$B$5:$B$604,B71,開通管理!$O$5:$O$604,"&lt;&gt;キャンセル"))</f>
        <v/>
      </c>
      <c r="V71" s="22"/>
      <c r="W71" s="12" t="str">
        <f aca="false">IF(OR(B71="",設定!$B$14=""),"",SUBSTITUTE(設定!$B$14,"__ID__",B71))</f>
        <v/>
      </c>
      <c r="X71" s="22"/>
      <c r="Y71" s="22"/>
      <c r="Z71" s="22"/>
      <c r="AA71" s="20" t="str">
        <f aca="false">IF(Z71="","",WORKDAY(Z71,設定!$B$5,設定!$F$5:$F$120))</f>
        <v/>
      </c>
      <c r="AB71" s="17"/>
      <c r="AC71" s="17"/>
      <c r="AD71" s="17"/>
      <c r="AE71" s="17"/>
      <c r="AF71" s="22"/>
      <c r="AG71" s="17"/>
      <c r="AH71" s="20" t="str">
        <f aca="false">IF(T71="","",EDATE(T71,設定!$B$8))</f>
        <v/>
      </c>
      <c r="AI71" s="17"/>
      <c r="AJ71" s="17"/>
      <c r="AK71" s="22"/>
      <c r="AL71" s="23" t="str">
        <f aca="true">IF(C71="","",IF(N71="失注","―",IF(AND(AK71&lt;&gt;"",AK71&lt;TODAY()),"対応期限超過",IF(AND(AF71="",AA71&lt;&gt;"",IF(AA71="",FALSE(),AA71&lt;TODAY())),"納品遅延",IF(AND(AK71&lt;&gt;"",AK71=TODAY()),"本日対応",IF(AND(S71="全開通",X71="",AF71=""),"ヒアリング依頼待ち",IF(AND(X71&lt;&gt;"",Y71="",Z71="",TODAY()-X71&gt;=設定!$B$6),"ヒアリング未回収",IF(AND(Y71&lt;&gt;"",Z71=""),"素材確認待ち",IF(AND(AF71="",AA71&lt;&gt;"",IF(AA71="",FALSE(),AA71-TODAY()&lt;=設定!$B$7)),"納品間近",IF(AND(AH71&lt;&gt;"",IF(AH71="",FALSE(),AH71&lt;=TODAY()),AI71=""),"解約チェック",IF(AF71&lt;&gt;"","納品済","")))))))))))</f>
        <v/>
      </c>
      <c r="AM71" s="17"/>
    </row>
    <row r="72" customFormat="false" ht="15" hidden="false" customHeight="false" outlineLevel="0" collapsed="false">
      <c r="A72" s="12" t="str">
        <f aca="false">IF(C72="","",ROW()-4)</f>
        <v/>
      </c>
      <c r="B72" s="17"/>
      <c r="C72" s="17"/>
      <c r="D72" s="17"/>
      <c r="E72" s="17"/>
      <c r="F72" s="24"/>
      <c r="G72" s="17"/>
      <c r="H72" s="17"/>
      <c r="I72" s="17"/>
      <c r="J72" s="17"/>
      <c r="K72" s="17"/>
      <c r="L72" s="22"/>
      <c r="M72" s="22"/>
      <c r="N72" s="17"/>
      <c r="O72" s="17"/>
      <c r="P72" s="17"/>
      <c r="Q72" s="18" t="str">
        <f aca="false">IF(B72="","",COUNTIFS(開通管理!$B$5:$B$604,B72,開通管理!$O$5:$O$604,"&lt;&gt;キャンセル"))</f>
        <v/>
      </c>
      <c r="R72" s="18" t="str">
        <f aca="false">IF(B72="","",COUNTIFS(開通管理!$B$5:$B$604,B72,開通管理!$O$5:$O$604,"開通済"))</f>
        <v/>
      </c>
      <c r="S72" s="19" t="str">
        <f aca="false">IF(B72="","",IF(Q72=0,"未申込",IF(R72&lt;Q72,"開通待ち（"&amp;R72&amp;"/"&amp;Q72&amp;"）","全開通")))</f>
        <v/>
      </c>
      <c r="T72" s="20" t="str">
        <f aca="false">IF(S72&lt;&gt;"全開通","",_xlfn.MAXIFS(開通管理!$Q$5:$Q$604,開通管理!$B$5:$B$604,B72))</f>
        <v/>
      </c>
      <c r="U72" s="21" t="str">
        <f aca="false">IF(B72="","",SUMIFS(開通管理!$J$5:$J$604,開通管理!$B$5:$B$604,B72,開通管理!$O$5:$O$604,"&lt;&gt;キャンセル"))</f>
        <v/>
      </c>
      <c r="V72" s="22"/>
      <c r="W72" s="12" t="str">
        <f aca="false">IF(OR(B72="",設定!$B$14=""),"",SUBSTITUTE(設定!$B$14,"__ID__",B72))</f>
        <v/>
      </c>
      <c r="X72" s="22"/>
      <c r="Y72" s="22"/>
      <c r="Z72" s="22"/>
      <c r="AA72" s="20" t="str">
        <f aca="false">IF(Z72="","",WORKDAY(Z72,設定!$B$5,設定!$F$5:$F$120))</f>
        <v/>
      </c>
      <c r="AB72" s="17"/>
      <c r="AC72" s="17"/>
      <c r="AD72" s="17"/>
      <c r="AE72" s="17"/>
      <c r="AF72" s="22"/>
      <c r="AG72" s="17"/>
      <c r="AH72" s="20" t="str">
        <f aca="false">IF(T72="","",EDATE(T72,設定!$B$8))</f>
        <v/>
      </c>
      <c r="AI72" s="17"/>
      <c r="AJ72" s="17"/>
      <c r="AK72" s="22"/>
      <c r="AL72" s="23" t="str">
        <f aca="true">IF(C72="","",IF(N72="失注","―",IF(AND(AK72&lt;&gt;"",AK72&lt;TODAY()),"対応期限超過",IF(AND(AF72="",AA72&lt;&gt;"",IF(AA72="",FALSE(),AA72&lt;TODAY())),"納品遅延",IF(AND(AK72&lt;&gt;"",AK72=TODAY()),"本日対応",IF(AND(S72="全開通",X72="",AF72=""),"ヒアリング依頼待ち",IF(AND(X72&lt;&gt;"",Y72="",Z72="",TODAY()-X72&gt;=設定!$B$6),"ヒアリング未回収",IF(AND(Y72&lt;&gt;"",Z72=""),"素材確認待ち",IF(AND(AF72="",AA72&lt;&gt;"",IF(AA72="",FALSE(),AA72-TODAY()&lt;=設定!$B$7)),"納品間近",IF(AND(AH72&lt;&gt;"",IF(AH72="",FALSE(),AH72&lt;=TODAY()),AI72=""),"解約チェック",IF(AF72&lt;&gt;"","納品済","")))))))))))</f>
        <v/>
      </c>
      <c r="AM72" s="17"/>
    </row>
    <row r="73" customFormat="false" ht="15" hidden="false" customHeight="false" outlineLevel="0" collapsed="false">
      <c r="A73" s="12" t="str">
        <f aca="false">IF(C73="","",ROW()-4)</f>
        <v/>
      </c>
      <c r="B73" s="17"/>
      <c r="C73" s="17"/>
      <c r="D73" s="17"/>
      <c r="E73" s="17"/>
      <c r="F73" s="24"/>
      <c r="G73" s="17"/>
      <c r="H73" s="17"/>
      <c r="I73" s="17"/>
      <c r="J73" s="17"/>
      <c r="K73" s="17"/>
      <c r="L73" s="22"/>
      <c r="M73" s="22"/>
      <c r="N73" s="17"/>
      <c r="O73" s="17"/>
      <c r="P73" s="17"/>
      <c r="Q73" s="18" t="str">
        <f aca="false">IF(B73="","",COUNTIFS(開通管理!$B$5:$B$604,B73,開通管理!$O$5:$O$604,"&lt;&gt;キャンセル"))</f>
        <v/>
      </c>
      <c r="R73" s="18" t="str">
        <f aca="false">IF(B73="","",COUNTIFS(開通管理!$B$5:$B$604,B73,開通管理!$O$5:$O$604,"開通済"))</f>
        <v/>
      </c>
      <c r="S73" s="19" t="str">
        <f aca="false">IF(B73="","",IF(Q73=0,"未申込",IF(R73&lt;Q73,"開通待ち（"&amp;R73&amp;"/"&amp;Q73&amp;"）","全開通")))</f>
        <v/>
      </c>
      <c r="T73" s="20" t="str">
        <f aca="false">IF(S73&lt;&gt;"全開通","",_xlfn.MAXIFS(開通管理!$Q$5:$Q$604,開通管理!$B$5:$B$604,B73))</f>
        <v/>
      </c>
      <c r="U73" s="21" t="str">
        <f aca="false">IF(B73="","",SUMIFS(開通管理!$J$5:$J$604,開通管理!$B$5:$B$604,B73,開通管理!$O$5:$O$604,"&lt;&gt;キャンセル"))</f>
        <v/>
      </c>
      <c r="V73" s="22"/>
      <c r="W73" s="12" t="str">
        <f aca="false">IF(OR(B73="",設定!$B$14=""),"",SUBSTITUTE(設定!$B$14,"__ID__",B73))</f>
        <v/>
      </c>
      <c r="X73" s="22"/>
      <c r="Y73" s="22"/>
      <c r="Z73" s="22"/>
      <c r="AA73" s="20" t="str">
        <f aca="false">IF(Z73="","",WORKDAY(Z73,設定!$B$5,設定!$F$5:$F$120))</f>
        <v/>
      </c>
      <c r="AB73" s="17"/>
      <c r="AC73" s="17"/>
      <c r="AD73" s="17"/>
      <c r="AE73" s="17"/>
      <c r="AF73" s="22"/>
      <c r="AG73" s="17"/>
      <c r="AH73" s="20" t="str">
        <f aca="false">IF(T73="","",EDATE(T73,設定!$B$8))</f>
        <v/>
      </c>
      <c r="AI73" s="17"/>
      <c r="AJ73" s="17"/>
      <c r="AK73" s="22"/>
      <c r="AL73" s="23" t="str">
        <f aca="true">IF(C73="","",IF(N73="失注","―",IF(AND(AK73&lt;&gt;"",AK73&lt;TODAY()),"対応期限超過",IF(AND(AF73="",AA73&lt;&gt;"",IF(AA73="",FALSE(),AA73&lt;TODAY())),"納品遅延",IF(AND(AK73&lt;&gt;"",AK73=TODAY()),"本日対応",IF(AND(S73="全開通",X73="",AF73=""),"ヒアリング依頼待ち",IF(AND(X73&lt;&gt;"",Y73="",Z73="",TODAY()-X73&gt;=設定!$B$6),"ヒアリング未回収",IF(AND(Y73&lt;&gt;"",Z73=""),"素材確認待ち",IF(AND(AF73="",AA73&lt;&gt;"",IF(AA73="",FALSE(),AA73-TODAY()&lt;=設定!$B$7)),"納品間近",IF(AND(AH73&lt;&gt;"",IF(AH73="",FALSE(),AH73&lt;=TODAY()),AI73=""),"解約チェック",IF(AF73&lt;&gt;"","納品済","")))))))))))</f>
        <v/>
      </c>
      <c r="AM73" s="17"/>
    </row>
    <row r="74" customFormat="false" ht="15" hidden="false" customHeight="false" outlineLevel="0" collapsed="false">
      <c r="A74" s="12" t="str">
        <f aca="false">IF(C74="","",ROW()-4)</f>
        <v/>
      </c>
      <c r="B74" s="17"/>
      <c r="C74" s="17"/>
      <c r="D74" s="17"/>
      <c r="E74" s="17"/>
      <c r="F74" s="24"/>
      <c r="G74" s="17"/>
      <c r="H74" s="17"/>
      <c r="I74" s="17"/>
      <c r="J74" s="17"/>
      <c r="K74" s="17"/>
      <c r="L74" s="22"/>
      <c r="M74" s="22"/>
      <c r="N74" s="17"/>
      <c r="O74" s="17"/>
      <c r="P74" s="17"/>
      <c r="Q74" s="18" t="str">
        <f aca="false">IF(B74="","",COUNTIFS(開通管理!$B$5:$B$604,B74,開通管理!$O$5:$O$604,"&lt;&gt;キャンセル"))</f>
        <v/>
      </c>
      <c r="R74" s="18" t="str">
        <f aca="false">IF(B74="","",COUNTIFS(開通管理!$B$5:$B$604,B74,開通管理!$O$5:$O$604,"開通済"))</f>
        <v/>
      </c>
      <c r="S74" s="19" t="str">
        <f aca="false">IF(B74="","",IF(Q74=0,"未申込",IF(R74&lt;Q74,"開通待ち（"&amp;R74&amp;"/"&amp;Q74&amp;"）","全開通")))</f>
        <v/>
      </c>
      <c r="T74" s="20" t="str">
        <f aca="false">IF(S74&lt;&gt;"全開通","",_xlfn.MAXIFS(開通管理!$Q$5:$Q$604,開通管理!$B$5:$B$604,B74))</f>
        <v/>
      </c>
      <c r="U74" s="21" t="str">
        <f aca="false">IF(B74="","",SUMIFS(開通管理!$J$5:$J$604,開通管理!$B$5:$B$604,B74,開通管理!$O$5:$O$604,"&lt;&gt;キャンセル"))</f>
        <v/>
      </c>
      <c r="V74" s="22"/>
      <c r="W74" s="12" t="str">
        <f aca="false">IF(OR(B74="",設定!$B$14=""),"",SUBSTITUTE(設定!$B$14,"__ID__",B74))</f>
        <v/>
      </c>
      <c r="X74" s="22"/>
      <c r="Y74" s="22"/>
      <c r="Z74" s="22"/>
      <c r="AA74" s="20" t="str">
        <f aca="false">IF(Z74="","",WORKDAY(Z74,設定!$B$5,設定!$F$5:$F$120))</f>
        <v/>
      </c>
      <c r="AB74" s="17"/>
      <c r="AC74" s="17"/>
      <c r="AD74" s="17"/>
      <c r="AE74" s="17"/>
      <c r="AF74" s="22"/>
      <c r="AG74" s="17"/>
      <c r="AH74" s="20" t="str">
        <f aca="false">IF(T74="","",EDATE(T74,設定!$B$8))</f>
        <v/>
      </c>
      <c r="AI74" s="17"/>
      <c r="AJ74" s="17"/>
      <c r="AK74" s="22"/>
      <c r="AL74" s="23" t="str">
        <f aca="true">IF(C74="","",IF(N74="失注","―",IF(AND(AK74&lt;&gt;"",AK74&lt;TODAY()),"対応期限超過",IF(AND(AF74="",AA74&lt;&gt;"",IF(AA74="",FALSE(),AA74&lt;TODAY())),"納品遅延",IF(AND(AK74&lt;&gt;"",AK74=TODAY()),"本日対応",IF(AND(S74="全開通",X74="",AF74=""),"ヒアリング依頼待ち",IF(AND(X74&lt;&gt;"",Y74="",Z74="",TODAY()-X74&gt;=設定!$B$6),"ヒアリング未回収",IF(AND(Y74&lt;&gt;"",Z74=""),"素材確認待ち",IF(AND(AF74="",AA74&lt;&gt;"",IF(AA74="",FALSE(),AA74-TODAY()&lt;=設定!$B$7)),"納品間近",IF(AND(AH74&lt;&gt;"",IF(AH74="",FALSE(),AH74&lt;=TODAY()),AI74=""),"解約チェック",IF(AF74&lt;&gt;"","納品済","")))))))))))</f>
        <v/>
      </c>
      <c r="AM74" s="17"/>
    </row>
    <row r="75" customFormat="false" ht="15" hidden="false" customHeight="false" outlineLevel="0" collapsed="false">
      <c r="A75" s="12" t="str">
        <f aca="false">IF(C75="","",ROW()-4)</f>
        <v/>
      </c>
      <c r="B75" s="17"/>
      <c r="C75" s="17"/>
      <c r="D75" s="17"/>
      <c r="E75" s="17"/>
      <c r="F75" s="24"/>
      <c r="G75" s="17"/>
      <c r="H75" s="17"/>
      <c r="I75" s="17"/>
      <c r="J75" s="17"/>
      <c r="K75" s="17"/>
      <c r="L75" s="22"/>
      <c r="M75" s="22"/>
      <c r="N75" s="17"/>
      <c r="O75" s="17"/>
      <c r="P75" s="17"/>
      <c r="Q75" s="18" t="str">
        <f aca="false">IF(B75="","",COUNTIFS(開通管理!$B$5:$B$604,B75,開通管理!$O$5:$O$604,"&lt;&gt;キャンセル"))</f>
        <v/>
      </c>
      <c r="R75" s="18" t="str">
        <f aca="false">IF(B75="","",COUNTIFS(開通管理!$B$5:$B$604,B75,開通管理!$O$5:$O$604,"開通済"))</f>
        <v/>
      </c>
      <c r="S75" s="19" t="str">
        <f aca="false">IF(B75="","",IF(Q75=0,"未申込",IF(R75&lt;Q75,"開通待ち（"&amp;R75&amp;"/"&amp;Q75&amp;"）","全開通")))</f>
        <v/>
      </c>
      <c r="T75" s="20" t="str">
        <f aca="false">IF(S75&lt;&gt;"全開通","",_xlfn.MAXIFS(開通管理!$Q$5:$Q$604,開通管理!$B$5:$B$604,B75))</f>
        <v/>
      </c>
      <c r="U75" s="21" t="str">
        <f aca="false">IF(B75="","",SUMIFS(開通管理!$J$5:$J$604,開通管理!$B$5:$B$604,B75,開通管理!$O$5:$O$604,"&lt;&gt;キャンセル"))</f>
        <v/>
      </c>
      <c r="V75" s="22"/>
      <c r="W75" s="12" t="str">
        <f aca="false">IF(OR(B75="",設定!$B$14=""),"",SUBSTITUTE(設定!$B$14,"__ID__",B75))</f>
        <v/>
      </c>
      <c r="X75" s="22"/>
      <c r="Y75" s="22"/>
      <c r="Z75" s="22"/>
      <c r="AA75" s="20" t="str">
        <f aca="false">IF(Z75="","",WORKDAY(Z75,設定!$B$5,設定!$F$5:$F$120))</f>
        <v/>
      </c>
      <c r="AB75" s="17"/>
      <c r="AC75" s="17"/>
      <c r="AD75" s="17"/>
      <c r="AE75" s="17"/>
      <c r="AF75" s="22"/>
      <c r="AG75" s="17"/>
      <c r="AH75" s="20" t="str">
        <f aca="false">IF(T75="","",EDATE(T75,設定!$B$8))</f>
        <v/>
      </c>
      <c r="AI75" s="17"/>
      <c r="AJ75" s="17"/>
      <c r="AK75" s="22"/>
      <c r="AL75" s="23" t="str">
        <f aca="true">IF(C75="","",IF(N75="失注","―",IF(AND(AK75&lt;&gt;"",AK75&lt;TODAY()),"対応期限超過",IF(AND(AF75="",AA75&lt;&gt;"",IF(AA75="",FALSE(),AA75&lt;TODAY())),"納品遅延",IF(AND(AK75&lt;&gt;"",AK75=TODAY()),"本日対応",IF(AND(S75="全開通",X75="",AF75=""),"ヒアリング依頼待ち",IF(AND(X75&lt;&gt;"",Y75="",Z75="",TODAY()-X75&gt;=設定!$B$6),"ヒアリング未回収",IF(AND(Y75&lt;&gt;"",Z75=""),"素材確認待ち",IF(AND(AF75="",AA75&lt;&gt;"",IF(AA75="",FALSE(),AA75-TODAY()&lt;=設定!$B$7)),"納品間近",IF(AND(AH75&lt;&gt;"",IF(AH75="",FALSE(),AH75&lt;=TODAY()),AI75=""),"解約チェック",IF(AF75&lt;&gt;"","納品済","")))))))))))</f>
        <v/>
      </c>
      <c r="AM75" s="17"/>
    </row>
    <row r="76" customFormat="false" ht="15" hidden="false" customHeight="false" outlineLevel="0" collapsed="false">
      <c r="A76" s="12" t="str">
        <f aca="false">IF(C76="","",ROW()-4)</f>
        <v/>
      </c>
      <c r="B76" s="17"/>
      <c r="C76" s="17"/>
      <c r="D76" s="17"/>
      <c r="E76" s="17"/>
      <c r="F76" s="24"/>
      <c r="G76" s="17"/>
      <c r="H76" s="17"/>
      <c r="I76" s="17"/>
      <c r="J76" s="17"/>
      <c r="K76" s="17"/>
      <c r="L76" s="22"/>
      <c r="M76" s="22"/>
      <c r="N76" s="17"/>
      <c r="O76" s="17"/>
      <c r="P76" s="17"/>
      <c r="Q76" s="18" t="str">
        <f aca="false">IF(B76="","",COUNTIFS(開通管理!$B$5:$B$604,B76,開通管理!$O$5:$O$604,"&lt;&gt;キャンセル"))</f>
        <v/>
      </c>
      <c r="R76" s="18" t="str">
        <f aca="false">IF(B76="","",COUNTIFS(開通管理!$B$5:$B$604,B76,開通管理!$O$5:$O$604,"開通済"))</f>
        <v/>
      </c>
      <c r="S76" s="19" t="str">
        <f aca="false">IF(B76="","",IF(Q76=0,"未申込",IF(R76&lt;Q76,"開通待ち（"&amp;R76&amp;"/"&amp;Q76&amp;"）","全開通")))</f>
        <v/>
      </c>
      <c r="T76" s="20" t="str">
        <f aca="false">IF(S76&lt;&gt;"全開通","",_xlfn.MAXIFS(開通管理!$Q$5:$Q$604,開通管理!$B$5:$B$604,B76))</f>
        <v/>
      </c>
      <c r="U76" s="21" t="str">
        <f aca="false">IF(B76="","",SUMIFS(開通管理!$J$5:$J$604,開通管理!$B$5:$B$604,B76,開通管理!$O$5:$O$604,"&lt;&gt;キャンセル"))</f>
        <v/>
      </c>
      <c r="V76" s="22"/>
      <c r="W76" s="12" t="str">
        <f aca="false">IF(OR(B76="",設定!$B$14=""),"",SUBSTITUTE(設定!$B$14,"__ID__",B76))</f>
        <v/>
      </c>
      <c r="X76" s="22"/>
      <c r="Y76" s="22"/>
      <c r="Z76" s="22"/>
      <c r="AA76" s="20" t="str">
        <f aca="false">IF(Z76="","",WORKDAY(Z76,設定!$B$5,設定!$F$5:$F$120))</f>
        <v/>
      </c>
      <c r="AB76" s="17"/>
      <c r="AC76" s="17"/>
      <c r="AD76" s="17"/>
      <c r="AE76" s="17"/>
      <c r="AF76" s="22"/>
      <c r="AG76" s="17"/>
      <c r="AH76" s="20" t="str">
        <f aca="false">IF(T76="","",EDATE(T76,設定!$B$8))</f>
        <v/>
      </c>
      <c r="AI76" s="17"/>
      <c r="AJ76" s="17"/>
      <c r="AK76" s="22"/>
      <c r="AL76" s="23" t="str">
        <f aca="true">IF(C76="","",IF(N76="失注","―",IF(AND(AK76&lt;&gt;"",AK76&lt;TODAY()),"対応期限超過",IF(AND(AF76="",AA76&lt;&gt;"",IF(AA76="",FALSE(),AA76&lt;TODAY())),"納品遅延",IF(AND(AK76&lt;&gt;"",AK76=TODAY()),"本日対応",IF(AND(S76="全開通",X76="",AF76=""),"ヒアリング依頼待ち",IF(AND(X76&lt;&gt;"",Y76="",Z76="",TODAY()-X76&gt;=設定!$B$6),"ヒアリング未回収",IF(AND(Y76&lt;&gt;"",Z76=""),"素材確認待ち",IF(AND(AF76="",AA76&lt;&gt;"",IF(AA76="",FALSE(),AA76-TODAY()&lt;=設定!$B$7)),"納品間近",IF(AND(AH76&lt;&gt;"",IF(AH76="",FALSE(),AH76&lt;=TODAY()),AI76=""),"解約チェック",IF(AF76&lt;&gt;"","納品済","")))))))))))</f>
        <v/>
      </c>
      <c r="AM76" s="17"/>
    </row>
    <row r="77" customFormat="false" ht="15" hidden="false" customHeight="false" outlineLevel="0" collapsed="false">
      <c r="A77" s="12" t="str">
        <f aca="false">IF(C77="","",ROW()-4)</f>
        <v/>
      </c>
      <c r="B77" s="17"/>
      <c r="C77" s="17"/>
      <c r="D77" s="17"/>
      <c r="E77" s="17"/>
      <c r="F77" s="24"/>
      <c r="G77" s="17"/>
      <c r="H77" s="17"/>
      <c r="I77" s="17"/>
      <c r="J77" s="17"/>
      <c r="K77" s="17"/>
      <c r="L77" s="22"/>
      <c r="M77" s="22"/>
      <c r="N77" s="17"/>
      <c r="O77" s="17"/>
      <c r="P77" s="17"/>
      <c r="Q77" s="18" t="str">
        <f aca="false">IF(B77="","",COUNTIFS(開通管理!$B$5:$B$604,B77,開通管理!$O$5:$O$604,"&lt;&gt;キャンセル"))</f>
        <v/>
      </c>
      <c r="R77" s="18" t="str">
        <f aca="false">IF(B77="","",COUNTIFS(開通管理!$B$5:$B$604,B77,開通管理!$O$5:$O$604,"開通済"))</f>
        <v/>
      </c>
      <c r="S77" s="19" t="str">
        <f aca="false">IF(B77="","",IF(Q77=0,"未申込",IF(R77&lt;Q77,"開通待ち（"&amp;R77&amp;"/"&amp;Q77&amp;"）","全開通")))</f>
        <v/>
      </c>
      <c r="T77" s="20" t="str">
        <f aca="false">IF(S77&lt;&gt;"全開通","",_xlfn.MAXIFS(開通管理!$Q$5:$Q$604,開通管理!$B$5:$B$604,B77))</f>
        <v/>
      </c>
      <c r="U77" s="21" t="str">
        <f aca="false">IF(B77="","",SUMIFS(開通管理!$J$5:$J$604,開通管理!$B$5:$B$604,B77,開通管理!$O$5:$O$604,"&lt;&gt;キャンセル"))</f>
        <v/>
      </c>
      <c r="V77" s="22"/>
      <c r="W77" s="12" t="str">
        <f aca="false">IF(OR(B77="",設定!$B$14=""),"",SUBSTITUTE(設定!$B$14,"__ID__",B77))</f>
        <v/>
      </c>
      <c r="X77" s="22"/>
      <c r="Y77" s="22"/>
      <c r="Z77" s="22"/>
      <c r="AA77" s="20" t="str">
        <f aca="false">IF(Z77="","",WORKDAY(Z77,設定!$B$5,設定!$F$5:$F$120))</f>
        <v/>
      </c>
      <c r="AB77" s="17"/>
      <c r="AC77" s="17"/>
      <c r="AD77" s="17"/>
      <c r="AE77" s="17"/>
      <c r="AF77" s="22"/>
      <c r="AG77" s="17"/>
      <c r="AH77" s="20" t="str">
        <f aca="false">IF(T77="","",EDATE(T77,設定!$B$8))</f>
        <v/>
      </c>
      <c r="AI77" s="17"/>
      <c r="AJ77" s="17"/>
      <c r="AK77" s="22"/>
      <c r="AL77" s="23" t="str">
        <f aca="true">IF(C77="","",IF(N77="失注","―",IF(AND(AK77&lt;&gt;"",AK77&lt;TODAY()),"対応期限超過",IF(AND(AF77="",AA77&lt;&gt;"",IF(AA77="",FALSE(),AA77&lt;TODAY())),"納品遅延",IF(AND(AK77&lt;&gt;"",AK77=TODAY()),"本日対応",IF(AND(S77="全開通",X77="",AF77=""),"ヒアリング依頼待ち",IF(AND(X77&lt;&gt;"",Y77="",Z77="",TODAY()-X77&gt;=設定!$B$6),"ヒアリング未回収",IF(AND(Y77&lt;&gt;"",Z77=""),"素材確認待ち",IF(AND(AF77="",AA77&lt;&gt;"",IF(AA77="",FALSE(),AA77-TODAY()&lt;=設定!$B$7)),"納品間近",IF(AND(AH77&lt;&gt;"",IF(AH77="",FALSE(),AH77&lt;=TODAY()),AI77=""),"解約チェック",IF(AF77&lt;&gt;"","納品済","")))))))))))</f>
        <v/>
      </c>
      <c r="AM77" s="17"/>
    </row>
    <row r="78" customFormat="false" ht="15" hidden="false" customHeight="false" outlineLevel="0" collapsed="false">
      <c r="A78" s="12" t="str">
        <f aca="false">IF(C78="","",ROW()-4)</f>
        <v/>
      </c>
      <c r="B78" s="17"/>
      <c r="C78" s="17"/>
      <c r="D78" s="17"/>
      <c r="E78" s="17"/>
      <c r="F78" s="24"/>
      <c r="G78" s="17"/>
      <c r="H78" s="17"/>
      <c r="I78" s="17"/>
      <c r="J78" s="17"/>
      <c r="K78" s="17"/>
      <c r="L78" s="22"/>
      <c r="M78" s="22"/>
      <c r="N78" s="17"/>
      <c r="O78" s="17"/>
      <c r="P78" s="17"/>
      <c r="Q78" s="18" t="str">
        <f aca="false">IF(B78="","",COUNTIFS(開通管理!$B$5:$B$604,B78,開通管理!$O$5:$O$604,"&lt;&gt;キャンセル"))</f>
        <v/>
      </c>
      <c r="R78" s="18" t="str">
        <f aca="false">IF(B78="","",COUNTIFS(開通管理!$B$5:$B$604,B78,開通管理!$O$5:$O$604,"開通済"))</f>
        <v/>
      </c>
      <c r="S78" s="19" t="str">
        <f aca="false">IF(B78="","",IF(Q78=0,"未申込",IF(R78&lt;Q78,"開通待ち（"&amp;R78&amp;"/"&amp;Q78&amp;"）","全開通")))</f>
        <v/>
      </c>
      <c r="T78" s="20" t="str">
        <f aca="false">IF(S78&lt;&gt;"全開通","",_xlfn.MAXIFS(開通管理!$Q$5:$Q$604,開通管理!$B$5:$B$604,B78))</f>
        <v/>
      </c>
      <c r="U78" s="21" t="str">
        <f aca="false">IF(B78="","",SUMIFS(開通管理!$J$5:$J$604,開通管理!$B$5:$B$604,B78,開通管理!$O$5:$O$604,"&lt;&gt;キャンセル"))</f>
        <v/>
      </c>
      <c r="V78" s="22"/>
      <c r="W78" s="12" t="str">
        <f aca="false">IF(OR(B78="",設定!$B$14=""),"",SUBSTITUTE(設定!$B$14,"__ID__",B78))</f>
        <v/>
      </c>
      <c r="X78" s="22"/>
      <c r="Y78" s="22"/>
      <c r="Z78" s="22"/>
      <c r="AA78" s="20" t="str">
        <f aca="false">IF(Z78="","",WORKDAY(Z78,設定!$B$5,設定!$F$5:$F$120))</f>
        <v/>
      </c>
      <c r="AB78" s="17"/>
      <c r="AC78" s="17"/>
      <c r="AD78" s="17"/>
      <c r="AE78" s="17"/>
      <c r="AF78" s="22"/>
      <c r="AG78" s="17"/>
      <c r="AH78" s="20" t="str">
        <f aca="false">IF(T78="","",EDATE(T78,設定!$B$8))</f>
        <v/>
      </c>
      <c r="AI78" s="17"/>
      <c r="AJ78" s="17"/>
      <c r="AK78" s="22"/>
      <c r="AL78" s="23" t="str">
        <f aca="true">IF(C78="","",IF(N78="失注","―",IF(AND(AK78&lt;&gt;"",AK78&lt;TODAY()),"対応期限超過",IF(AND(AF78="",AA78&lt;&gt;"",IF(AA78="",FALSE(),AA78&lt;TODAY())),"納品遅延",IF(AND(AK78&lt;&gt;"",AK78=TODAY()),"本日対応",IF(AND(S78="全開通",X78="",AF78=""),"ヒアリング依頼待ち",IF(AND(X78&lt;&gt;"",Y78="",Z78="",TODAY()-X78&gt;=設定!$B$6),"ヒアリング未回収",IF(AND(Y78&lt;&gt;"",Z78=""),"素材確認待ち",IF(AND(AF78="",AA78&lt;&gt;"",IF(AA78="",FALSE(),AA78-TODAY()&lt;=設定!$B$7)),"納品間近",IF(AND(AH78&lt;&gt;"",IF(AH78="",FALSE(),AH78&lt;=TODAY()),AI78=""),"解約チェック",IF(AF78&lt;&gt;"","納品済","")))))))))))</f>
        <v/>
      </c>
      <c r="AM78" s="17"/>
    </row>
    <row r="79" customFormat="false" ht="15" hidden="false" customHeight="false" outlineLevel="0" collapsed="false">
      <c r="A79" s="12" t="str">
        <f aca="false">IF(C79="","",ROW()-4)</f>
        <v/>
      </c>
      <c r="B79" s="17"/>
      <c r="C79" s="17"/>
      <c r="D79" s="17"/>
      <c r="E79" s="17"/>
      <c r="F79" s="24"/>
      <c r="G79" s="17"/>
      <c r="H79" s="17"/>
      <c r="I79" s="17"/>
      <c r="J79" s="17"/>
      <c r="K79" s="17"/>
      <c r="L79" s="22"/>
      <c r="M79" s="22"/>
      <c r="N79" s="17"/>
      <c r="O79" s="17"/>
      <c r="P79" s="17"/>
      <c r="Q79" s="18" t="str">
        <f aca="false">IF(B79="","",COUNTIFS(開通管理!$B$5:$B$604,B79,開通管理!$O$5:$O$604,"&lt;&gt;キャンセル"))</f>
        <v/>
      </c>
      <c r="R79" s="18" t="str">
        <f aca="false">IF(B79="","",COUNTIFS(開通管理!$B$5:$B$604,B79,開通管理!$O$5:$O$604,"開通済"))</f>
        <v/>
      </c>
      <c r="S79" s="19" t="str">
        <f aca="false">IF(B79="","",IF(Q79=0,"未申込",IF(R79&lt;Q79,"開通待ち（"&amp;R79&amp;"/"&amp;Q79&amp;"）","全開通")))</f>
        <v/>
      </c>
      <c r="T79" s="20" t="str">
        <f aca="false">IF(S79&lt;&gt;"全開通","",_xlfn.MAXIFS(開通管理!$Q$5:$Q$604,開通管理!$B$5:$B$604,B79))</f>
        <v/>
      </c>
      <c r="U79" s="21" t="str">
        <f aca="false">IF(B79="","",SUMIFS(開通管理!$J$5:$J$604,開通管理!$B$5:$B$604,B79,開通管理!$O$5:$O$604,"&lt;&gt;キャンセル"))</f>
        <v/>
      </c>
      <c r="V79" s="22"/>
      <c r="W79" s="12" t="str">
        <f aca="false">IF(OR(B79="",設定!$B$14=""),"",SUBSTITUTE(設定!$B$14,"__ID__",B79))</f>
        <v/>
      </c>
      <c r="X79" s="22"/>
      <c r="Y79" s="22"/>
      <c r="Z79" s="22"/>
      <c r="AA79" s="20" t="str">
        <f aca="false">IF(Z79="","",WORKDAY(Z79,設定!$B$5,設定!$F$5:$F$120))</f>
        <v/>
      </c>
      <c r="AB79" s="17"/>
      <c r="AC79" s="17"/>
      <c r="AD79" s="17"/>
      <c r="AE79" s="17"/>
      <c r="AF79" s="22"/>
      <c r="AG79" s="17"/>
      <c r="AH79" s="20" t="str">
        <f aca="false">IF(T79="","",EDATE(T79,設定!$B$8))</f>
        <v/>
      </c>
      <c r="AI79" s="17"/>
      <c r="AJ79" s="17"/>
      <c r="AK79" s="22"/>
      <c r="AL79" s="23" t="str">
        <f aca="true">IF(C79="","",IF(N79="失注","―",IF(AND(AK79&lt;&gt;"",AK79&lt;TODAY()),"対応期限超過",IF(AND(AF79="",AA79&lt;&gt;"",IF(AA79="",FALSE(),AA79&lt;TODAY())),"納品遅延",IF(AND(AK79&lt;&gt;"",AK79=TODAY()),"本日対応",IF(AND(S79="全開通",X79="",AF79=""),"ヒアリング依頼待ち",IF(AND(X79&lt;&gt;"",Y79="",Z79="",TODAY()-X79&gt;=設定!$B$6),"ヒアリング未回収",IF(AND(Y79&lt;&gt;"",Z79=""),"素材確認待ち",IF(AND(AF79="",AA79&lt;&gt;"",IF(AA79="",FALSE(),AA79-TODAY()&lt;=設定!$B$7)),"納品間近",IF(AND(AH79&lt;&gt;"",IF(AH79="",FALSE(),AH79&lt;=TODAY()),AI79=""),"解約チェック",IF(AF79&lt;&gt;"","納品済","")))))))))))</f>
        <v/>
      </c>
      <c r="AM79" s="17"/>
    </row>
    <row r="80" customFormat="false" ht="15" hidden="false" customHeight="false" outlineLevel="0" collapsed="false">
      <c r="A80" s="12" t="str">
        <f aca="false">IF(C80="","",ROW()-4)</f>
        <v/>
      </c>
      <c r="B80" s="17"/>
      <c r="C80" s="17"/>
      <c r="D80" s="17"/>
      <c r="E80" s="17"/>
      <c r="F80" s="24"/>
      <c r="G80" s="17"/>
      <c r="H80" s="17"/>
      <c r="I80" s="17"/>
      <c r="J80" s="17"/>
      <c r="K80" s="17"/>
      <c r="L80" s="22"/>
      <c r="M80" s="22"/>
      <c r="N80" s="17"/>
      <c r="O80" s="17"/>
      <c r="P80" s="17"/>
      <c r="Q80" s="18" t="str">
        <f aca="false">IF(B80="","",COUNTIFS(開通管理!$B$5:$B$604,B80,開通管理!$O$5:$O$604,"&lt;&gt;キャンセル"))</f>
        <v/>
      </c>
      <c r="R80" s="18" t="str">
        <f aca="false">IF(B80="","",COUNTIFS(開通管理!$B$5:$B$604,B80,開通管理!$O$5:$O$604,"開通済"))</f>
        <v/>
      </c>
      <c r="S80" s="19" t="str">
        <f aca="false">IF(B80="","",IF(Q80=0,"未申込",IF(R80&lt;Q80,"開通待ち（"&amp;R80&amp;"/"&amp;Q80&amp;"）","全開通")))</f>
        <v/>
      </c>
      <c r="T80" s="20" t="str">
        <f aca="false">IF(S80&lt;&gt;"全開通","",_xlfn.MAXIFS(開通管理!$Q$5:$Q$604,開通管理!$B$5:$B$604,B80))</f>
        <v/>
      </c>
      <c r="U80" s="21" t="str">
        <f aca="false">IF(B80="","",SUMIFS(開通管理!$J$5:$J$604,開通管理!$B$5:$B$604,B80,開通管理!$O$5:$O$604,"&lt;&gt;キャンセル"))</f>
        <v/>
      </c>
      <c r="V80" s="22"/>
      <c r="W80" s="12" t="str">
        <f aca="false">IF(OR(B80="",設定!$B$14=""),"",SUBSTITUTE(設定!$B$14,"__ID__",B80))</f>
        <v/>
      </c>
      <c r="X80" s="22"/>
      <c r="Y80" s="22"/>
      <c r="Z80" s="22"/>
      <c r="AA80" s="20" t="str">
        <f aca="false">IF(Z80="","",WORKDAY(Z80,設定!$B$5,設定!$F$5:$F$120))</f>
        <v/>
      </c>
      <c r="AB80" s="17"/>
      <c r="AC80" s="17"/>
      <c r="AD80" s="17"/>
      <c r="AE80" s="17"/>
      <c r="AF80" s="22"/>
      <c r="AG80" s="17"/>
      <c r="AH80" s="20" t="str">
        <f aca="false">IF(T80="","",EDATE(T80,設定!$B$8))</f>
        <v/>
      </c>
      <c r="AI80" s="17"/>
      <c r="AJ80" s="17"/>
      <c r="AK80" s="22"/>
      <c r="AL80" s="23" t="str">
        <f aca="true">IF(C80="","",IF(N80="失注","―",IF(AND(AK80&lt;&gt;"",AK80&lt;TODAY()),"対応期限超過",IF(AND(AF80="",AA80&lt;&gt;"",IF(AA80="",FALSE(),AA80&lt;TODAY())),"納品遅延",IF(AND(AK80&lt;&gt;"",AK80=TODAY()),"本日対応",IF(AND(S80="全開通",X80="",AF80=""),"ヒアリング依頼待ち",IF(AND(X80&lt;&gt;"",Y80="",Z80="",TODAY()-X80&gt;=設定!$B$6),"ヒアリング未回収",IF(AND(Y80&lt;&gt;"",Z80=""),"素材確認待ち",IF(AND(AF80="",AA80&lt;&gt;"",IF(AA80="",FALSE(),AA80-TODAY()&lt;=設定!$B$7)),"納品間近",IF(AND(AH80&lt;&gt;"",IF(AH80="",FALSE(),AH80&lt;=TODAY()),AI80=""),"解約チェック",IF(AF80&lt;&gt;"","納品済","")))))))))))</f>
        <v/>
      </c>
      <c r="AM80" s="17"/>
    </row>
    <row r="81" customFormat="false" ht="15" hidden="false" customHeight="false" outlineLevel="0" collapsed="false">
      <c r="A81" s="12" t="str">
        <f aca="false">IF(C81="","",ROW()-4)</f>
        <v/>
      </c>
      <c r="B81" s="17"/>
      <c r="C81" s="17"/>
      <c r="D81" s="17"/>
      <c r="E81" s="17"/>
      <c r="F81" s="24"/>
      <c r="G81" s="17"/>
      <c r="H81" s="17"/>
      <c r="I81" s="17"/>
      <c r="J81" s="17"/>
      <c r="K81" s="17"/>
      <c r="L81" s="22"/>
      <c r="M81" s="22"/>
      <c r="N81" s="17"/>
      <c r="O81" s="17"/>
      <c r="P81" s="17"/>
      <c r="Q81" s="18" t="str">
        <f aca="false">IF(B81="","",COUNTIFS(開通管理!$B$5:$B$604,B81,開通管理!$O$5:$O$604,"&lt;&gt;キャンセル"))</f>
        <v/>
      </c>
      <c r="R81" s="18" t="str">
        <f aca="false">IF(B81="","",COUNTIFS(開通管理!$B$5:$B$604,B81,開通管理!$O$5:$O$604,"開通済"))</f>
        <v/>
      </c>
      <c r="S81" s="19" t="str">
        <f aca="false">IF(B81="","",IF(Q81=0,"未申込",IF(R81&lt;Q81,"開通待ち（"&amp;R81&amp;"/"&amp;Q81&amp;"）","全開通")))</f>
        <v/>
      </c>
      <c r="T81" s="20" t="str">
        <f aca="false">IF(S81&lt;&gt;"全開通","",_xlfn.MAXIFS(開通管理!$Q$5:$Q$604,開通管理!$B$5:$B$604,B81))</f>
        <v/>
      </c>
      <c r="U81" s="21" t="str">
        <f aca="false">IF(B81="","",SUMIFS(開通管理!$J$5:$J$604,開通管理!$B$5:$B$604,B81,開通管理!$O$5:$O$604,"&lt;&gt;キャンセル"))</f>
        <v/>
      </c>
      <c r="V81" s="22"/>
      <c r="W81" s="12" t="str">
        <f aca="false">IF(OR(B81="",設定!$B$14=""),"",SUBSTITUTE(設定!$B$14,"__ID__",B81))</f>
        <v/>
      </c>
      <c r="X81" s="22"/>
      <c r="Y81" s="22"/>
      <c r="Z81" s="22"/>
      <c r="AA81" s="20" t="str">
        <f aca="false">IF(Z81="","",WORKDAY(Z81,設定!$B$5,設定!$F$5:$F$120))</f>
        <v/>
      </c>
      <c r="AB81" s="17"/>
      <c r="AC81" s="17"/>
      <c r="AD81" s="17"/>
      <c r="AE81" s="17"/>
      <c r="AF81" s="22"/>
      <c r="AG81" s="17"/>
      <c r="AH81" s="20" t="str">
        <f aca="false">IF(T81="","",EDATE(T81,設定!$B$8))</f>
        <v/>
      </c>
      <c r="AI81" s="17"/>
      <c r="AJ81" s="17"/>
      <c r="AK81" s="22"/>
      <c r="AL81" s="23" t="str">
        <f aca="true">IF(C81="","",IF(N81="失注","―",IF(AND(AK81&lt;&gt;"",AK81&lt;TODAY()),"対応期限超過",IF(AND(AF81="",AA81&lt;&gt;"",IF(AA81="",FALSE(),AA81&lt;TODAY())),"納品遅延",IF(AND(AK81&lt;&gt;"",AK81=TODAY()),"本日対応",IF(AND(S81="全開通",X81="",AF81=""),"ヒアリング依頼待ち",IF(AND(X81&lt;&gt;"",Y81="",Z81="",TODAY()-X81&gt;=設定!$B$6),"ヒアリング未回収",IF(AND(Y81&lt;&gt;"",Z81=""),"素材確認待ち",IF(AND(AF81="",AA81&lt;&gt;"",IF(AA81="",FALSE(),AA81-TODAY()&lt;=設定!$B$7)),"納品間近",IF(AND(AH81&lt;&gt;"",IF(AH81="",FALSE(),AH81&lt;=TODAY()),AI81=""),"解約チェック",IF(AF81&lt;&gt;"","納品済","")))))))))))</f>
        <v/>
      </c>
      <c r="AM81" s="17"/>
    </row>
    <row r="82" customFormat="false" ht="15" hidden="false" customHeight="false" outlineLevel="0" collapsed="false">
      <c r="A82" s="12" t="str">
        <f aca="false">IF(C82="","",ROW()-4)</f>
        <v/>
      </c>
      <c r="B82" s="17"/>
      <c r="C82" s="17"/>
      <c r="D82" s="17"/>
      <c r="E82" s="17"/>
      <c r="F82" s="24"/>
      <c r="G82" s="17"/>
      <c r="H82" s="17"/>
      <c r="I82" s="17"/>
      <c r="J82" s="17"/>
      <c r="K82" s="17"/>
      <c r="L82" s="22"/>
      <c r="M82" s="22"/>
      <c r="N82" s="17"/>
      <c r="O82" s="17"/>
      <c r="P82" s="17"/>
      <c r="Q82" s="18" t="str">
        <f aca="false">IF(B82="","",COUNTIFS(開通管理!$B$5:$B$604,B82,開通管理!$O$5:$O$604,"&lt;&gt;キャンセル"))</f>
        <v/>
      </c>
      <c r="R82" s="18" t="str">
        <f aca="false">IF(B82="","",COUNTIFS(開通管理!$B$5:$B$604,B82,開通管理!$O$5:$O$604,"開通済"))</f>
        <v/>
      </c>
      <c r="S82" s="19" t="str">
        <f aca="false">IF(B82="","",IF(Q82=0,"未申込",IF(R82&lt;Q82,"開通待ち（"&amp;R82&amp;"/"&amp;Q82&amp;"）","全開通")))</f>
        <v/>
      </c>
      <c r="T82" s="20" t="str">
        <f aca="false">IF(S82&lt;&gt;"全開通","",_xlfn.MAXIFS(開通管理!$Q$5:$Q$604,開通管理!$B$5:$B$604,B82))</f>
        <v/>
      </c>
      <c r="U82" s="21" t="str">
        <f aca="false">IF(B82="","",SUMIFS(開通管理!$J$5:$J$604,開通管理!$B$5:$B$604,B82,開通管理!$O$5:$O$604,"&lt;&gt;キャンセル"))</f>
        <v/>
      </c>
      <c r="V82" s="22"/>
      <c r="W82" s="12" t="str">
        <f aca="false">IF(OR(B82="",設定!$B$14=""),"",SUBSTITUTE(設定!$B$14,"__ID__",B82))</f>
        <v/>
      </c>
      <c r="X82" s="22"/>
      <c r="Y82" s="22"/>
      <c r="Z82" s="22"/>
      <c r="AA82" s="20" t="str">
        <f aca="false">IF(Z82="","",WORKDAY(Z82,設定!$B$5,設定!$F$5:$F$120))</f>
        <v/>
      </c>
      <c r="AB82" s="17"/>
      <c r="AC82" s="17"/>
      <c r="AD82" s="17"/>
      <c r="AE82" s="17"/>
      <c r="AF82" s="22"/>
      <c r="AG82" s="17"/>
      <c r="AH82" s="20" t="str">
        <f aca="false">IF(T82="","",EDATE(T82,設定!$B$8))</f>
        <v/>
      </c>
      <c r="AI82" s="17"/>
      <c r="AJ82" s="17"/>
      <c r="AK82" s="22"/>
      <c r="AL82" s="23" t="str">
        <f aca="true">IF(C82="","",IF(N82="失注","―",IF(AND(AK82&lt;&gt;"",AK82&lt;TODAY()),"対応期限超過",IF(AND(AF82="",AA82&lt;&gt;"",IF(AA82="",FALSE(),AA82&lt;TODAY())),"納品遅延",IF(AND(AK82&lt;&gt;"",AK82=TODAY()),"本日対応",IF(AND(S82="全開通",X82="",AF82=""),"ヒアリング依頼待ち",IF(AND(X82&lt;&gt;"",Y82="",Z82="",TODAY()-X82&gt;=設定!$B$6),"ヒアリング未回収",IF(AND(Y82&lt;&gt;"",Z82=""),"素材確認待ち",IF(AND(AF82="",AA82&lt;&gt;"",IF(AA82="",FALSE(),AA82-TODAY()&lt;=設定!$B$7)),"納品間近",IF(AND(AH82&lt;&gt;"",IF(AH82="",FALSE(),AH82&lt;=TODAY()),AI82=""),"解約チェック",IF(AF82&lt;&gt;"","納品済","")))))))))))</f>
        <v/>
      </c>
      <c r="AM82" s="17"/>
    </row>
    <row r="83" customFormat="false" ht="15" hidden="false" customHeight="false" outlineLevel="0" collapsed="false">
      <c r="A83" s="12" t="str">
        <f aca="false">IF(C83="","",ROW()-4)</f>
        <v/>
      </c>
      <c r="B83" s="17"/>
      <c r="C83" s="17"/>
      <c r="D83" s="17"/>
      <c r="E83" s="17"/>
      <c r="F83" s="24"/>
      <c r="G83" s="17"/>
      <c r="H83" s="17"/>
      <c r="I83" s="17"/>
      <c r="J83" s="17"/>
      <c r="K83" s="17"/>
      <c r="L83" s="22"/>
      <c r="M83" s="22"/>
      <c r="N83" s="17"/>
      <c r="O83" s="17"/>
      <c r="P83" s="17"/>
      <c r="Q83" s="18" t="str">
        <f aca="false">IF(B83="","",COUNTIFS(開通管理!$B$5:$B$604,B83,開通管理!$O$5:$O$604,"&lt;&gt;キャンセル"))</f>
        <v/>
      </c>
      <c r="R83" s="18" t="str">
        <f aca="false">IF(B83="","",COUNTIFS(開通管理!$B$5:$B$604,B83,開通管理!$O$5:$O$604,"開通済"))</f>
        <v/>
      </c>
      <c r="S83" s="19" t="str">
        <f aca="false">IF(B83="","",IF(Q83=0,"未申込",IF(R83&lt;Q83,"開通待ち（"&amp;R83&amp;"/"&amp;Q83&amp;"）","全開通")))</f>
        <v/>
      </c>
      <c r="T83" s="20" t="str">
        <f aca="false">IF(S83&lt;&gt;"全開通","",_xlfn.MAXIFS(開通管理!$Q$5:$Q$604,開通管理!$B$5:$B$604,B83))</f>
        <v/>
      </c>
      <c r="U83" s="21" t="str">
        <f aca="false">IF(B83="","",SUMIFS(開通管理!$J$5:$J$604,開通管理!$B$5:$B$604,B83,開通管理!$O$5:$O$604,"&lt;&gt;キャンセル"))</f>
        <v/>
      </c>
      <c r="V83" s="22"/>
      <c r="W83" s="12" t="str">
        <f aca="false">IF(OR(B83="",設定!$B$14=""),"",SUBSTITUTE(設定!$B$14,"__ID__",B83))</f>
        <v/>
      </c>
      <c r="X83" s="22"/>
      <c r="Y83" s="22"/>
      <c r="Z83" s="22"/>
      <c r="AA83" s="20" t="str">
        <f aca="false">IF(Z83="","",WORKDAY(Z83,設定!$B$5,設定!$F$5:$F$120))</f>
        <v/>
      </c>
      <c r="AB83" s="17"/>
      <c r="AC83" s="17"/>
      <c r="AD83" s="17"/>
      <c r="AE83" s="17"/>
      <c r="AF83" s="22"/>
      <c r="AG83" s="17"/>
      <c r="AH83" s="20" t="str">
        <f aca="false">IF(T83="","",EDATE(T83,設定!$B$8))</f>
        <v/>
      </c>
      <c r="AI83" s="17"/>
      <c r="AJ83" s="17"/>
      <c r="AK83" s="22"/>
      <c r="AL83" s="23" t="str">
        <f aca="true">IF(C83="","",IF(N83="失注","―",IF(AND(AK83&lt;&gt;"",AK83&lt;TODAY()),"対応期限超過",IF(AND(AF83="",AA83&lt;&gt;"",IF(AA83="",FALSE(),AA83&lt;TODAY())),"納品遅延",IF(AND(AK83&lt;&gt;"",AK83=TODAY()),"本日対応",IF(AND(S83="全開通",X83="",AF83=""),"ヒアリング依頼待ち",IF(AND(X83&lt;&gt;"",Y83="",Z83="",TODAY()-X83&gt;=設定!$B$6),"ヒアリング未回収",IF(AND(Y83&lt;&gt;"",Z83=""),"素材確認待ち",IF(AND(AF83="",AA83&lt;&gt;"",IF(AA83="",FALSE(),AA83-TODAY()&lt;=設定!$B$7)),"納品間近",IF(AND(AH83&lt;&gt;"",IF(AH83="",FALSE(),AH83&lt;=TODAY()),AI83=""),"解約チェック",IF(AF83&lt;&gt;"","納品済","")))))))))))</f>
        <v/>
      </c>
      <c r="AM83" s="17"/>
    </row>
    <row r="84" customFormat="false" ht="15" hidden="false" customHeight="false" outlineLevel="0" collapsed="false">
      <c r="A84" s="12" t="str">
        <f aca="false">IF(C84="","",ROW()-4)</f>
        <v/>
      </c>
      <c r="B84" s="17"/>
      <c r="C84" s="17"/>
      <c r="D84" s="17"/>
      <c r="E84" s="17"/>
      <c r="F84" s="24"/>
      <c r="G84" s="17"/>
      <c r="H84" s="17"/>
      <c r="I84" s="17"/>
      <c r="J84" s="17"/>
      <c r="K84" s="17"/>
      <c r="L84" s="22"/>
      <c r="M84" s="22"/>
      <c r="N84" s="17"/>
      <c r="O84" s="17"/>
      <c r="P84" s="17"/>
      <c r="Q84" s="18" t="str">
        <f aca="false">IF(B84="","",COUNTIFS(開通管理!$B$5:$B$604,B84,開通管理!$O$5:$O$604,"&lt;&gt;キャンセル"))</f>
        <v/>
      </c>
      <c r="R84" s="18" t="str">
        <f aca="false">IF(B84="","",COUNTIFS(開通管理!$B$5:$B$604,B84,開通管理!$O$5:$O$604,"開通済"))</f>
        <v/>
      </c>
      <c r="S84" s="19" t="str">
        <f aca="false">IF(B84="","",IF(Q84=0,"未申込",IF(R84&lt;Q84,"開通待ち（"&amp;R84&amp;"/"&amp;Q84&amp;"）","全開通")))</f>
        <v/>
      </c>
      <c r="T84" s="20" t="str">
        <f aca="false">IF(S84&lt;&gt;"全開通","",_xlfn.MAXIFS(開通管理!$Q$5:$Q$604,開通管理!$B$5:$B$604,B84))</f>
        <v/>
      </c>
      <c r="U84" s="21" t="str">
        <f aca="false">IF(B84="","",SUMIFS(開通管理!$J$5:$J$604,開通管理!$B$5:$B$604,B84,開通管理!$O$5:$O$604,"&lt;&gt;キャンセル"))</f>
        <v/>
      </c>
      <c r="V84" s="22"/>
      <c r="W84" s="12" t="str">
        <f aca="false">IF(OR(B84="",設定!$B$14=""),"",SUBSTITUTE(設定!$B$14,"__ID__",B84))</f>
        <v/>
      </c>
      <c r="X84" s="22"/>
      <c r="Y84" s="22"/>
      <c r="Z84" s="22"/>
      <c r="AA84" s="20" t="str">
        <f aca="false">IF(Z84="","",WORKDAY(Z84,設定!$B$5,設定!$F$5:$F$120))</f>
        <v/>
      </c>
      <c r="AB84" s="17"/>
      <c r="AC84" s="17"/>
      <c r="AD84" s="17"/>
      <c r="AE84" s="17"/>
      <c r="AF84" s="22"/>
      <c r="AG84" s="17"/>
      <c r="AH84" s="20" t="str">
        <f aca="false">IF(T84="","",EDATE(T84,設定!$B$8))</f>
        <v/>
      </c>
      <c r="AI84" s="17"/>
      <c r="AJ84" s="17"/>
      <c r="AK84" s="22"/>
      <c r="AL84" s="23" t="str">
        <f aca="true">IF(C84="","",IF(N84="失注","―",IF(AND(AK84&lt;&gt;"",AK84&lt;TODAY()),"対応期限超過",IF(AND(AF84="",AA84&lt;&gt;"",IF(AA84="",FALSE(),AA84&lt;TODAY())),"納品遅延",IF(AND(AK84&lt;&gt;"",AK84=TODAY()),"本日対応",IF(AND(S84="全開通",X84="",AF84=""),"ヒアリング依頼待ち",IF(AND(X84&lt;&gt;"",Y84="",Z84="",TODAY()-X84&gt;=設定!$B$6),"ヒアリング未回収",IF(AND(Y84&lt;&gt;"",Z84=""),"素材確認待ち",IF(AND(AF84="",AA84&lt;&gt;"",IF(AA84="",FALSE(),AA84-TODAY()&lt;=設定!$B$7)),"納品間近",IF(AND(AH84&lt;&gt;"",IF(AH84="",FALSE(),AH84&lt;=TODAY()),AI84=""),"解約チェック",IF(AF84&lt;&gt;"","納品済","")))))))))))</f>
        <v/>
      </c>
      <c r="AM84" s="17"/>
    </row>
    <row r="85" customFormat="false" ht="15" hidden="false" customHeight="false" outlineLevel="0" collapsed="false">
      <c r="A85" s="12" t="str">
        <f aca="false">IF(C85="","",ROW()-4)</f>
        <v/>
      </c>
      <c r="B85" s="17"/>
      <c r="C85" s="17"/>
      <c r="D85" s="17"/>
      <c r="E85" s="17"/>
      <c r="F85" s="24"/>
      <c r="G85" s="17"/>
      <c r="H85" s="17"/>
      <c r="I85" s="17"/>
      <c r="J85" s="17"/>
      <c r="K85" s="17"/>
      <c r="L85" s="22"/>
      <c r="M85" s="22"/>
      <c r="N85" s="17"/>
      <c r="O85" s="17"/>
      <c r="P85" s="17"/>
      <c r="Q85" s="18" t="str">
        <f aca="false">IF(B85="","",COUNTIFS(開通管理!$B$5:$B$604,B85,開通管理!$O$5:$O$604,"&lt;&gt;キャンセル"))</f>
        <v/>
      </c>
      <c r="R85" s="18" t="str">
        <f aca="false">IF(B85="","",COUNTIFS(開通管理!$B$5:$B$604,B85,開通管理!$O$5:$O$604,"開通済"))</f>
        <v/>
      </c>
      <c r="S85" s="19" t="str">
        <f aca="false">IF(B85="","",IF(Q85=0,"未申込",IF(R85&lt;Q85,"開通待ち（"&amp;R85&amp;"/"&amp;Q85&amp;"）","全開通")))</f>
        <v/>
      </c>
      <c r="T85" s="20" t="str">
        <f aca="false">IF(S85&lt;&gt;"全開通","",_xlfn.MAXIFS(開通管理!$Q$5:$Q$604,開通管理!$B$5:$B$604,B85))</f>
        <v/>
      </c>
      <c r="U85" s="21" t="str">
        <f aca="false">IF(B85="","",SUMIFS(開通管理!$J$5:$J$604,開通管理!$B$5:$B$604,B85,開通管理!$O$5:$O$604,"&lt;&gt;キャンセル"))</f>
        <v/>
      </c>
      <c r="V85" s="22"/>
      <c r="W85" s="12" t="str">
        <f aca="false">IF(OR(B85="",設定!$B$14=""),"",SUBSTITUTE(設定!$B$14,"__ID__",B85))</f>
        <v/>
      </c>
      <c r="X85" s="22"/>
      <c r="Y85" s="22"/>
      <c r="Z85" s="22"/>
      <c r="AA85" s="20" t="str">
        <f aca="false">IF(Z85="","",WORKDAY(Z85,設定!$B$5,設定!$F$5:$F$120))</f>
        <v/>
      </c>
      <c r="AB85" s="17"/>
      <c r="AC85" s="17"/>
      <c r="AD85" s="17"/>
      <c r="AE85" s="17"/>
      <c r="AF85" s="22"/>
      <c r="AG85" s="17"/>
      <c r="AH85" s="20" t="str">
        <f aca="false">IF(T85="","",EDATE(T85,設定!$B$8))</f>
        <v/>
      </c>
      <c r="AI85" s="17"/>
      <c r="AJ85" s="17"/>
      <c r="AK85" s="22"/>
      <c r="AL85" s="23" t="str">
        <f aca="true">IF(C85="","",IF(N85="失注","―",IF(AND(AK85&lt;&gt;"",AK85&lt;TODAY()),"対応期限超過",IF(AND(AF85="",AA85&lt;&gt;"",IF(AA85="",FALSE(),AA85&lt;TODAY())),"納品遅延",IF(AND(AK85&lt;&gt;"",AK85=TODAY()),"本日対応",IF(AND(S85="全開通",X85="",AF85=""),"ヒアリング依頼待ち",IF(AND(X85&lt;&gt;"",Y85="",Z85="",TODAY()-X85&gt;=設定!$B$6),"ヒアリング未回収",IF(AND(Y85&lt;&gt;"",Z85=""),"素材確認待ち",IF(AND(AF85="",AA85&lt;&gt;"",IF(AA85="",FALSE(),AA85-TODAY()&lt;=設定!$B$7)),"納品間近",IF(AND(AH85&lt;&gt;"",IF(AH85="",FALSE(),AH85&lt;=TODAY()),AI85=""),"解約チェック",IF(AF85&lt;&gt;"","納品済","")))))))))))</f>
        <v/>
      </c>
      <c r="AM85" s="17"/>
    </row>
    <row r="86" customFormat="false" ht="15" hidden="false" customHeight="false" outlineLevel="0" collapsed="false">
      <c r="A86" s="12" t="str">
        <f aca="false">IF(C86="","",ROW()-4)</f>
        <v/>
      </c>
      <c r="B86" s="17"/>
      <c r="C86" s="17"/>
      <c r="D86" s="17"/>
      <c r="E86" s="17"/>
      <c r="F86" s="24"/>
      <c r="G86" s="17"/>
      <c r="H86" s="17"/>
      <c r="I86" s="17"/>
      <c r="J86" s="17"/>
      <c r="K86" s="17"/>
      <c r="L86" s="22"/>
      <c r="M86" s="22"/>
      <c r="N86" s="17"/>
      <c r="O86" s="17"/>
      <c r="P86" s="17"/>
      <c r="Q86" s="18" t="str">
        <f aca="false">IF(B86="","",COUNTIFS(開通管理!$B$5:$B$604,B86,開通管理!$O$5:$O$604,"&lt;&gt;キャンセル"))</f>
        <v/>
      </c>
      <c r="R86" s="18" t="str">
        <f aca="false">IF(B86="","",COUNTIFS(開通管理!$B$5:$B$604,B86,開通管理!$O$5:$O$604,"開通済"))</f>
        <v/>
      </c>
      <c r="S86" s="19" t="str">
        <f aca="false">IF(B86="","",IF(Q86=0,"未申込",IF(R86&lt;Q86,"開通待ち（"&amp;R86&amp;"/"&amp;Q86&amp;"）","全開通")))</f>
        <v/>
      </c>
      <c r="T86" s="20" t="str">
        <f aca="false">IF(S86&lt;&gt;"全開通","",_xlfn.MAXIFS(開通管理!$Q$5:$Q$604,開通管理!$B$5:$B$604,B86))</f>
        <v/>
      </c>
      <c r="U86" s="21" t="str">
        <f aca="false">IF(B86="","",SUMIFS(開通管理!$J$5:$J$604,開通管理!$B$5:$B$604,B86,開通管理!$O$5:$O$604,"&lt;&gt;キャンセル"))</f>
        <v/>
      </c>
      <c r="V86" s="22"/>
      <c r="W86" s="12" t="str">
        <f aca="false">IF(OR(B86="",設定!$B$14=""),"",SUBSTITUTE(設定!$B$14,"__ID__",B86))</f>
        <v/>
      </c>
      <c r="X86" s="22"/>
      <c r="Y86" s="22"/>
      <c r="Z86" s="22"/>
      <c r="AA86" s="20" t="str">
        <f aca="false">IF(Z86="","",WORKDAY(Z86,設定!$B$5,設定!$F$5:$F$120))</f>
        <v/>
      </c>
      <c r="AB86" s="17"/>
      <c r="AC86" s="17"/>
      <c r="AD86" s="17"/>
      <c r="AE86" s="17"/>
      <c r="AF86" s="22"/>
      <c r="AG86" s="17"/>
      <c r="AH86" s="20" t="str">
        <f aca="false">IF(T86="","",EDATE(T86,設定!$B$8))</f>
        <v/>
      </c>
      <c r="AI86" s="17"/>
      <c r="AJ86" s="17"/>
      <c r="AK86" s="22"/>
      <c r="AL86" s="23" t="str">
        <f aca="true">IF(C86="","",IF(N86="失注","―",IF(AND(AK86&lt;&gt;"",AK86&lt;TODAY()),"対応期限超過",IF(AND(AF86="",AA86&lt;&gt;"",IF(AA86="",FALSE(),AA86&lt;TODAY())),"納品遅延",IF(AND(AK86&lt;&gt;"",AK86=TODAY()),"本日対応",IF(AND(S86="全開通",X86="",AF86=""),"ヒアリング依頼待ち",IF(AND(X86&lt;&gt;"",Y86="",Z86="",TODAY()-X86&gt;=設定!$B$6),"ヒアリング未回収",IF(AND(Y86&lt;&gt;"",Z86=""),"素材確認待ち",IF(AND(AF86="",AA86&lt;&gt;"",IF(AA86="",FALSE(),AA86-TODAY()&lt;=設定!$B$7)),"納品間近",IF(AND(AH86&lt;&gt;"",IF(AH86="",FALSE(),AH86&lt;=TODAY()),AI86=""),"解約チェック",IF(AF86&lt;&gt;"","納品済","")))))))))))</f>
        <v/>
      </c>
      <c r="AM86" s="17"/>
    </row>
    <row r="87" customFormat="false" ht="15" hidden="false" customHeight="false" outlineLevel="0" collapsed="false">
      <c r="A87" s="12" t="str">
        <f aca="false">IF(C87="","",ROW()-4)</f>
        <v/>
      </c>
      <c r="B87" s="17"/>
      <c r="C87" s="17"/>
      <c r="D87" s="17"/>
      <c r="E87" s="17"/>
      <c r="F87" s="24"/>
      <c r="G87" s="17"/>
      <c r="H87" s="17"/>
      <c r="I87" s="17"/>
      <c r="J87" s="17"/>
      <c r="K87" s="17"/>
      <c r="L87" s="22"/>
      <c r="M87" s="22"/>
      <c r="N87" s="17"/>
      <c r="O87" s="17"/>
      <c r="P87" s="17"/>
      <c r="Q87" s="18" t="str">
        <f aca="false">IF(B87="","",COUNTIFS(開通管理!$B$5:$B$604,B87,開通管理!$O$5:$O$604,"&lt;&gt;キャンセル"))</f>
        <v/>
      </c>
      <c r="R87" s="18" t="str">
        <f aca="false">IF(B87="","",COUNTIFS(開通管理!$B$5:$B$604,B87,開通管理!$O$5:$O$604,"開通済"))</f>
        <v/>
      </c>
      <c r="S87" s="19" t="str">
        <f aca="false">IF(B87="","",IF(Q87=0,"未申込",IF(R87&lt;Q87,"開通待ち（"&amp;R87&amp;"/"&amp;Q87&amp;"）","全開通")))</f>
        <v/>
      </c>
      <c r="T87" s="20" t="str">
        <f aca="false">IF(S87&lt;&gt;"全開通","",_xlfn.MAXIFS(開通管理!$Q$5:$Q$604,開通管理!$B$5:$B$604,B87))</f>
        <v/>
      </c>
      <c r="U87" s="21" t="str">
        <f aca="false">IF(B87="","",SUMIFS(開通管理!$J$5:$J$604,開通管理!$B$5:$B$604,B87,開通管理!$O$5:$O$604,"&lt;&gt;キャンセル"))</f>
        <v/>
      </c>
      <c r="V87" s="22"/>
      <c r="W87" s="12" t="str">
        <f aca="false">IF(OR(B87="",設定!$B$14=""),"",SUBSTITUTE(設定!$B$14,"__ID__",B87))</f>
        <v/>
      </c>
      <c r="X87" s="22"/>
      <c r="Y87" s="22"/>
      <c r="Z87" s="22"/>
      <c r="AA87" s="20" t="str">
        <f aca="false">IF(Z87="","",WORKDAY(Z87,設定!$B$5,設定!$F$5:$F$120))</f>
        <v/>
      </c>
      <c r="AB87" s="17"/>
      <c r="AC87" s="17"/>
      <c r="AD87" s="17"/>
      <c r="AE87" s="17"/>
      <c r="AF87" s="22"/>
      <c r="AG87" s="17"/>
      <c r="AH87" s="20" t="str">
        <f aca="false">IF(T87="","",EDATE(T87,設定!$B$8))</f>
        <v/>
      </c>
      <c r="AI87" s="17"/>
      <c r="AJ87" s="17"/>
      <c r="AK87" s="22"/>
      <c r="AL87" s="23" t="str">
        <f aca="true">IF(C87="","",IF(N87="失注","―",IF(AND(AK87&lt;&gt;"",AK87&lt;TODAY()),"対応期限超過",IF(AND(AF87="",AA87&lt;&gt;"",IF(AA87="",FALSE(),AA87&lt;TODAY())),"納品遅延",IF(AND(AK87&lt;&gt;"",AK87=TODAY()),"本日対応",IF(AND(S87="全開通",X87="",AF87=""),"ヒアリング依頼待ち",IF(AND(X87&lt;&gt;"",Y87="",Z87="",TODAY()-X87&gt;=設定!$B$6),"ヒアリング未回収",IF(AND(Y87&lt;&gt;"",Z87=""),"素材確認待ち",IF(AND(AF87="",AA87&lt;&gt;"",IF(AA87="",FALSE(),AA87-TODAY()&lt;=設定!$B$7)),"納品間近",IF(AND(AH87&lt;&gt;"",IF(AH87="",FALSE(),AH87&lt;=TODAY()),AI87=""),"解約チェック",IF(AF87&lt;&gt;"","納品済","")))))))))))</f>
        <v/>
      </c>
      <c r="AM87" s="17"/>
    </row>
    <row r="88" customFormat="false" ht="15" hidden="false" customHeight="false" outlineLevel="0" collapsed="false">
      <c r="A88" s="12" t="str">
        <f aca="false">IF(C88="","",ROW()-4)</f>
        <v/>
      </c>
      <c r="B88" s="17"/>
      <c r="C88" s="17"/>
      <c r="D88" s="17"/>
      <c r="E88" s="17"/>
      <c r="F88" s="24"/>
      <c r="G88" s="17"/>
      <c r="H88" s="17"/>
      <c r="I88" s="17"/>
      <c r="J88" s="17"/>
      <c r="K88" s="17"/>
      <c r="L88" s="22"/>
      <c r="M88" s="22"/>
      <c r="N88" s="17"/>
      <c r="O88" s="17"/>
      <c r="P88" s="17"/>
      <c r="Q88" s="18" t="str">
        <f aca="false">IF(B88="","",COUNTIFS(開通管理!$B$5:$B$604,B88,開通管理!$O$5:$O$604,"&lt;&gt;キャンセル"))</f>
        <v/>
      </c>
      <c r="R88" s="18" t="str">
        <f aca="false">IF(B88="","",COUNTIFS(開通管理!$B$5:$B$604,B88,開通管理!$O$5:$O$604,"開通済"))</f>
        <v/>
      </c>
      <c r="S88" s="19" t="str">
        <f aca="false">IF(B88="","",IF(Q88=0,"未申込",IF(R88&lt;Q88,"開通待ち（"&amp;R88&amp;"/"&amp;Q88&amp;"）","全開通")))</f>
        <v/>
      </c>
      <c r="T88" s="20" t="str">
        <f aca="false">IF(S88&lt;&gt;"全開通","",_xlfn.MAXIFS(開通管理!$Q$5:$Q$604,開通管理!$B$5:$B$604,B88))</f>
        <v/>
      </c>
      <c r="U88" s="21" t="str">
        <f aca="false">IF(B88="","",SUMIFS(開通管理!$J$5:$J$604,開通管理!$B$5:$B$604,B88,開通管理!$O$5:$O$604,"&lt;&gt;キャンセル"))</f>
        <v/>
      </c>
      <c r="V88" s="22"/>
      <c r="W88" s="12" t="str">
        <f aca="false">IF(OR(B88="",設定!$B$14=""),"",SUBSTITUTE(設定!$B$14,"__ID__",B88))</f>
        <v/>
      </c>
      <c r="X88" s="22"/>
      <c r="Y88" s="22"/>
      <c r="Z88" s="22"/>
      <c r="AA88" s="20" t="str">
        <f aca="false">IF(Z88="","",WORKDAY(Z88,設定!$B$5,設定!$F$5:$F$120))</f>
        <v/>
      </c>
      <c r="AB88" s="17"/>
      <c r="AC88" s="17"/>
      <c r="AD88" s="17"/>
      <c r="AE88" s="17"/>
      <c r="AF88" s="22"/>
      <c r="AG88" s="17"/>
      <c r="AH88" s="20" t="str">
        <f aca="false">IF(T88="","",EDATE(T88,設定!$B$8))</f>
        <v/>
      </c>
      <c r="AI88" s="17"/>
      <c r="AJ88" s="17"/>
      <c r="AK88" s="22"/>
      <c r="AL88" s="23" t="str">
        <f aca="true">IF(C88="","",IF(N88="失注","―",IF(AND(AK88&lt;&gt;"",AK88&lt;TODAY()),"対応期限超過",IF(AND(AF88="",AA88&lt;&gt;"",IF(AA88="",FALSE(),AA88&lt;TODAY())),"納品遅延",IF(AND(AK88&lt;&gt;"",AK88=TODAY()),"本日対応",IF(AND(S88="全開通",X88="",AF88=""),"ヒアリング依頼待ち",IF(AND(X88&lt;&gt;"",Y88="",Z88="",TODAY()-X88&gt;=設定!$B$6),"ヒアリング未回収",IF(AND(Y88&lt;&gt;"",Z88=""),"素材確認待ち",IF(AND(AF88="",AA88&lt;&gt;"",IF(AA88="",FALSE(),AA88-TODAY()&lt;=設定!$B$7)),"納品間近",IF(AND(AH88&lt;&gt;"",IF(AH88="",FALSE(),AH88&lt;=TODAY()),AI88=""),"解約チェック",IF(AF88&lt;&gt;"","納品済","")))))))))))</f>
        <v/>
      </c>
      <c r="AM88" s="17"/>
    </row>
    <row r="89" customFormat="false" ht="15" hidden="false" customHeight="false" outlineLevel="0" collapsed="false">
      <c r="A89" s="12" t="str">
        <f aca="false">IF(C89="","",ROW()-4)</f>
        <v/>
      </c>
      <c r="B89" s="17"/>
      <c r="C89" s="17"/>
      <c r="D89" s="17"/>
      <c r="E89" s="17"/>
      <c r="F89" s="24"/>
      <c r="G89" s="17"/>
      <c r="H89" s="17"/>
      <c r="I89" s="17"/>
      <c r="J89" s="17"/>
      <c r="K89" s="17"/>
      <c r="L89" s="22"/>
      <c r="M89" s="22"/>
      <c r="N89" s="17"/>
      <c r="O89" s="17"/>
      <c r="P89" s="17"/>
      <c r="Q89" s="18" t="str">
        <f aca="false">IF(B89="","",COUNTIFS(開通管理!$B$5:$B$604,B89,開通管理!$O$5:$O$604,"&lt;&gt;キャンセル"))</f>
        <v/>
      </c>
      <c r="R89" s="18" t="str">
        <f aca="false">IF(B89="","",COUNTIFS(開通管理!$B$5:$B$604,B89,開通管理!$O$5:$O$604,"開通済"))</f>
        <v/>
      </c>
      <c r="S89" s="19" t="str">
        <f aca="false">IF(B89="","",IF(Q89=0,"未申込",IF(R89&lt;Q89,"開通待ち（"&amp;R89&amp;"/"&amp;Q89&amp;"）","全開通")))</f>
        <v/>
      </c>
      <c r="T89" s="20" t="str">
        <f aca="false">IF(S89&lt;&gt;"全開通","",_xlfn.MAXIFS(開通管理!$Q$5:$Q$604,開通管理!$B$5:$B$604,B89))</f>
        <v/>
      </c>
      <c r="U89" s="21" t="str">
        <f aca="false">IF(B89="","",SUMIFS(開通管理!$J$5:$J$604,開通管理!$B$5:$B$604,B89,開通管理!$O$5:$O$604,"&lt;&gt;キャンセル"))</f>
        <v/>
      </c>
      <c r="V89" s="22"/>
      <c r="W89" s="12" t="str">
        <f aca="false">IF(OR(B89="",設定!$B$14=""),"",SUBSTITUTE(設定!$B$14,"__ID__",B89))</f>
        <v/>
      </c>
      <c r="X89" s="22"/>
      <c r="Y89" s="22"/>
      <c r="Z89" s="22"/>
      <c r="AA89" s="20" t="str">
        <f aca="false">IF(Z89="","",WORKDAY(Z89,設定!$B$5,設定!$F$5:$F$120))</f>
        <v/>
      </c>
      <c r="AB89" s="17"/>
      <c r="AC89" s="17"/>
      <c r="AD89" s="17"/>
      <c r="AE89" s="17"/>
      <c r="AF89" s="22"/>
      <c r="AG89" s="17"/>
      <c r="AH89" s="20" t="str">
        <f aca="false">IF(T89="","",EDATE(T89,設定!$B$8))</f>
        <v/>
      </c>
      <c r="AI89" s="17"/>
      <c r="AJ89" s="17"/>
      <c r="AK89" s="22"/>
      <c r="AL89" s="23" t="str">
        <f aca="true">IF(C89="","",IF(N89="失注","―",IF(AND(AK89&lt;&gt;"",AK89&lt;TODAY()),"対応期限超過",IF(AND(AF89="",AA89&lt;&gt;"",IF(AA89="",FALSE(),AA89&lt;TODAY())),"納品遅延",IF(AND(AK89&lt;&gt;"",AK89=TODAY()),"本日対応",IF(AND(S89="全開通",X89="",AF89=""),"ヒアリング依頼待ち",IF(AND(X89&lt;&gt;"",Y89="",Z89="",TODAY()-X89&gt;=設定!$B$6),"ヒアリング未回収",IF(AND(Y89&lt;&gt;"",Z89=""),"素材確認待ち",IF(AND(AF89="",AA89&lt;&gt;"",IF(AA89="",FALSE(),AA89-TODAY()&lt;=設定!$B$7)),"納品間近",IF(AND(AH89&lt;&gt;"",IF(AH89="",FALSE(),AH89&lt;=TODAY()),AI89=""),"解約チェック",IF(AF89&lt;&gt;"","納品済","")))))))))))</f>
        <v/>
      </c>
      <c r="AM89" s="17"/>
    </row>
    <row r="90" customFormat="false" ht="15" hidden="false" customHeight="false" outlineLevel="0" collapsed="false">
      <c r="A90" s="12" t="str">
        <f aca="false">IF(C90="","",ROW()-4)</f>
        <v/>
      </c>
      <c r="B90" s="17"/>
      <c r="C90" s="17"/>
      <c r="D90" s="17"/>
      <c r="E90" s="17"/>
      <c r="F90" s="24"/>
      <c r="G90" s="17"/>
      <c r="H90" s="17"/>
      <c r="I90" s="17"/>
      <c r="J90" s="17"/>
      <c r="K90" s="17"/>
      <c r="L90" s="22"/>
      <c r="M90" s="22"/>
      <c r="N90" s="17"/>
      <c r="O90" s="17"/>
      <c r="P90" s="17"/>
      <c r="Q90" s="18" t="str">
        <f aca="false">IF(B90="","",COUNTIFS(開通管理!$B$5:$B$604,B90,開通管理!$O$5:$O$604,"&lt;&gt;キャンセル"))</f>
        <v/>
      </c>
      <c r="R90" s="18" t="str">
        <f aca="false">IF(B90="","",COUNTIFS(開通管理!$B$5:$B$604,B90,開通管理!$O$5:$O$604,"開通済"))</f>
        <v/>
      </c>
      <c r="S90" s="19" t="str">
        <f aca="false">IF(B90="","",IF(Q90=0,"未申込",IF(R90&lt;Q90,"開通待ち（"&amp;R90&amp;"/"&amp;Q90&amp;"）","全開通")))</f>
        <v/>
      </c>
      <c r="T90" s="20" t="str">
        <f aca="false">IF(S90&lt;&gt;"全開通","",_xlfn.MAXIFS(開通管理!$Q$5:$Q$604,開通管理!$B$5:$B$604,B90))</f>
        <v/>
      </c>
      <c r="U90" s="21" t="str">
        <f aca="false">IF(B90="","",SUMIFS(開通管理!$J$5:$J$604,開通管理!$B$5:$B$604,B90,開通管理!$O$5:$O$604,"&lt;&gt;キャンセル"))</f>
        <v/>
      </c>
      <c r="V90" s="22"/>
      <c r="W90" s="12" t="str">
        <f aca="false">IF(OR(B90="",設定!$B$14=""),"",SUBSTITUTE(設定!$B$14,"__ID__",B90))</f>
        <v/>
      </c>
      <c r="X90" s="22"/>
      <c r="Y90" s="22"/>
      <c r="Z90" s="22"/>
      <c r="AA90" s="20" t="str">
        <f aca="false">IF(Z90="","",WORKDAY(Z90,設定!$B$5,設定!$F$5:$F$120))</f>
        <v/>
      </c>
      <c r="AB90" s="17"/>
      <c r="AC90" s="17"/>
      <c r="AD90" s="17"/>
      <c r="AE90" s="17"/>
      <c r="AF90" s="22"/>
      <c r="AG90" s="17"/>
      <c r="AH90" s="20" t="str">
        <f aca="false">IF(T90="","",EDATE(T90,設定!$B$8))</f>
        <v/>
      </c>
      <c r="AI90" s="17"/>
      <c r="AJ90" s="17"/>
      <c r="AK90" s="22"/>
      <c r="AL90" s="23" t="str">
        <f aca="true">IF(C90="","",IF(N90="失注","―",IF(AND(AK90&lt;&gt;"",AK90&lt;TODAY()),"対応期限超過",IF(AND(AF90="",AA90&lt;&gt;"",IF(AA90="",FALSE(),AA90&lt;TODAY())),"納品遅延",IF(AND(AK90&lt;&gt;"",AK90=TODAY()),"本日対応",IF(AND(S90="全開通",X90="",AF90=""),"ヒアリング依頼待ち",IF(AND(X90&lt;&gt;"",Y90="",Z90="",TODAY()-X90&gt;=設定!$B$6),"ヒアリング未回収",IF(AND(Y90&lt;&gt;"",Z90=""),"素材確認待ち",IF(AND(AF90="",AA90&lt;&gt;"",IF(AA90="",FALSE(),AA90-TODAY()&lt;=設定!$B$7)),"納品間近",IF(AND(AH90&lt;&gt;"",IF(AH90="",FALSE(),AH90&lt;=TODAY()),AI90=""),"解約チェック",IF(AF90&lt;&gt;"","納品済","")))))))))))</f>
        <v/>
      </c>
      <c r="AM90" s="17"/>
    </row>
    <row r="91" customFormat="false" ht="15" hidden="false" customHeight="false" outlineLevel="0" collapsed="false">
      <c r="A91" s="12" t="str">
        <f aca="false">IF(C91="","",ROW()-4)</f>
        <v/>
      </c>
      <c r="B91" s="17"/>
      <c r="C91" s="17"/>
      <c r="D91" s="17"/>
      <c r="E91" s="17"/>
      <c r="F91" s="24"/>
      <c r="G91" s="17"/>
      <c r="H91" s="17"/>
      <c r="I91" s="17"/>
      <c r="J91" s="17"/>
      <c r="K91" s="17"/>
      <c r="L91" s="22"/>
      <c r="M91" s="22"/>
      <c r="N91" s="17"/>
      <c r="O91" s="17"/>
      <c r="P91" s="17"/>
      <c r="Q91" s="18" t="str">
        <f aca="false">IF(B91="","",COUNTIFS(開通管理!$B$5:$B$604,B91,開通管理!$O$5:$O$604,"&lt;&gt;キャンセル"))</f>
        <v/>
      </c>
      <c r="R91" s="18" t="str">
        <f aca="false">IF(B91="","",COUNTIFS(開通管理!$B$5:$B$604,B91,開通管理!$O$5:$O$604,"開通済"))</f>
        <v/>
      </c>
      <c r="S91" s="19" t="str">
        <f aca="false">IF(B91="","",IF(Q91=0,"未申込",IF(R91&lt;Q91,"開通待ち（"&amp;R91&amp;"/"&amp;Q91&amp;"）","全開通")))</f>
        <v/>
      </c>
      <c r="T91" s="20" t="str">
        <f aca="false">IF(S91&lt;&gt;"全開通","",_xlfn.MAXIFS(開通管理!$Q$5:$Q$604,開通管理!$B$5:$B$604,B91))</f>
        <v/>
      </c>
      <c r="U91" s="21" t="str">
        <f aca="false">IF(B91="","",SUMIFS(開通管理!$J$5:$J$604,開通管理!$B$5:$B$604,B91,開通管理!$O$5:$O$604,"&lt;&gt;キャンセル"))</f>
        <v/>
      </c>
      <c r="V91" s="22"/>
      <c r="W91" s="12" t="str">
        <f aca="false">IF(OR(B91="",設定!$B$14=""),"",SUBSTITUTE(設定!$B$14,"__ID__",B91))</f>
        <v/>
      </c>
      <c r="X91" s="22"/>
      <c r="Y91" s="22"/>
      <c r="Z91" s="22"/>
      <c r="AA91" s="20" t="str">
        <f aca="false">IF(Z91="","",WORKDAY(Z91,設定!$B$5,設定!$F$5:$F$120))</f>
        <v/>
      </c>
      <c r="AB91" s="17"/>
      <c r="AC91" s="17"/>
      <c r="AD91" s="17"/>
      <c r="AE91" s="17"/>
      <c r="AF91" s="22"/>
      <c r="AG91" s="17"/>
      <c r="AH91" s="20" t="str">
        <f aca="false">IF(T91="","",EDATE(T91,設定!$B$8))</f>
        <v/>
      </c>
      <c r="AI91" s="17"/>
      <c r="AJ91" s="17"/>
      <c r="AK91" s="22"/>
      <c r="AL91" s="23" t="str">
        <f aca="true">IF(C91="","",IF(N91="失注","―",IF(AND(AK91&lt;&gt;"",AK91&lt;TODAY()),"対応期限超過",IF(AND(AF91="",AA91&lt;&gt;"",IF(AA91="",FALSE(),AA91&lt;TODAY())),"納品遅延",IF(AND(AK91&lt;&gt;"",AK91=TODAY()),"本日対応",IF(AND(S91="全開通",X91="",AF91=""),"ヒアリング依頼待ち",IF(AND(X91&lt;&gt;"",Y91="",Z91="",TODAY()-X91&gt;=設定!$B$6),"ヒアリング未回収",IF(AND(Y91&lt;&gt;"",Z91=""),"素材確認待ち",IF(AND(AF91="",AA91&lt;&gt;"",IF(AA91="",FALSE(),AA91-TODAY()&lt;=設定!$B$7)),"納品間近",IF(AND(AH91&lt;&gt;"",IF(AH91="",FALSE(),AH91&lt;=TODAY()),AI91=""),"解約チェック",IF(AF91&lt;&gt;"","納品済","")))))))))))</f>
        <v/>
      </c>
      <c r="AM91" s="17"/>
    </row>
    <row r="92" customFormat="false" ht="15" hidden="false" customHeight="false" outlineLevel="0" collapsed="false">
      <c r="A92" s="12" t="str">
        <f aca="false">IF(C92="","",ROW()-4)</f>
        <v/>
      </c>
      <c r="B92" s="17"/>
      <c r="C92" s="17"/>
      <c r="D92" s="17"/>
      <c r="E92" s="17"/>
      <c r="F92" s="24"/>
      <c r="G92" s="17"/>
      <c r="H92" s="17"/>
      <c r="I92" s="17"/>
      <c r="J92" s="17"/>
      <c r="K92" s="17"/>
      <c r="L92" s="22"/>
      <c r="M92" s="22"/>
      <c r="N92" s="17"/>
      <c r="O92" s="17"/>
      <c r="P92" s="17"/>
      <c r="Q92" s="18" t="str">
        <f aca="false">IF(B92="","",COUNTIFS(開通管理!$B$5:$B$604,B92,開通管理!$O$5:$O$604,"&lt;&gt;キャンセル"))</f>
        <v/>
      </c>
      <c r="R92" s="18" t="str">
        <f aca="false">IF(B92="","",COUNTIFS(開通管理!$B$5:$B$604,B92,開通管理!$O$5:$O$604,"開通済"))</f>
        <v/>
      </c>
      <c r="S92" s="19" t="str">
        <f aca="false">IF(B92="","",IF(Q92=0,"未申込",IF(R92&lt;Q92,"開通待ち（"&amp;R92&amp;"/"&amp;Q92&amp;"）","全開通")))</f>
        <v/>
      </c>
      <c r="T92" s="20" t="str">
        <f aca="false">IF(S92&lt;&gt;"全開通","",_xlfn.MAXIFS(開通管理!$Q$5:$Q$604,開通管理!$B$5:$B$604,B92))</f>
        <v/>
      </c>
      <c r="U92" s="21" t="str">
        <f aca="false">IF(B92="","",SUMIFS(開通管理!$J$5:$J$604,開通管理!$B$5:$B$604,B92,開通管理!$O$5:$O$604,"&lt;&gt;キャンセル"))</f>
        <v/>
      </c>
      <c r="V92" s="22"/>
      <c r="W92" s="12" t="str">
        <f aca="false">IF(OR(B92="",設定!$B$14=""),"",SUBSTITUTE(設定!$B$14,"__ID__",B92))</f>
        <v/>
      </c>
      <c r="X92" s="22"/>
      <c r="Y92" s="22"/>
      <c r="Z92" s="22"/>
      <c r="AA92" s="20" t="str">
        <f aca="false">IF(Z92="","",WORKDAY(Z92,設定!$B$5,設定!$F$5:$F$120))</f>
        <v/>
      </c>
      <c r="AB92" s="17"/>
      <c r="AC92" s="17"/>
      <c r="AD92" s="17"/>
      <c r="AE92" s="17"/>
      <c r="AF92" s="22"/>
      <c r="AG92" s="17"/>
      <c r="AH92" s="20" t="str">
        <f aca="false">IF(T92="","",EDATE(T92,設定!$B$8))</f>
        <v/>
      </c>
      <c r="AI92" s="17"/>
      <c r="AJ92" s="17"/>
      <c r="AK92" s="22"/>
      <c r="AL92" s="23" t="str">
        <f aca="true">IF(C92="","",IF(N92="失注","―",IF(AND(AK92&lt;&gt;"",AK92&lt;TODAY()),"対応期限超過",IF(AND(AF92="",AA92&lt;&gt;"",IF(AA92="",FALSE(),AA92&lt;TODAY())),"納品遅延",IF(AND(AK92&lt;&gt;"",AK92=TODAY()),"本日対応",IF(AND(S92="全開通",X92="",AF92=""),"ヒアリング依頼待ち",IF(AND(X92&lt;&gt;"",Y92="",Z92="",TODAY()-X92&gt;=設定!$B$6),"ヒアリング未回収",IF(AND(Y92&lt;&gt;"",Z92=""),"素材確認待ち",IF(AND(AF92="",AA92&lt;&gt;"",IF(AA92="",FALSE(),AA92-TODAY()&lt;=設定!$B$7)),"納品間近",IF(AND(AH92&lt;&gt;"",IF(AH92="",FALSE(),AH92&lt;=TODAY()),AI92=""),"解約チェック",IF(AF92&lt;&gt;"","納品済","")))))))))))</f>
        <v/>
      </c>
      <c r="AM92" s="17"/>
    </row>
    <row r="93" customFormat="false" ht="15" hidden="false" customHeight="false" outlineLevel="0" collapsed="false">
      <c r="A93" s="12" t="str">
        <f aca="false">IF(C93="","",ROW()-4)</f>
        <v/>
      </c>
      <c r="B93" s="17"/>
      <c r="C93" s="17"/>
      <c r="D93" s="17"/>
      <c r="E93" s="17"/>
      <c r="F93" s="24"/>
      <c r="G93" s="17"/>
      <c r="H93" s="17"/>
      <c r="I93" s="17"/>
      <c r="J93" s="17"/>
      <c r="K93" s="17"/>
      <c r="L93" s="22"/>
      <c r="M93" s="22"/>
      <c r="N93" s="17"/>
      <c r="O93" s="17"/>
      <c r="P93" s="17"/>
      <c r="Q93" s="18" t="str">
        <f aca="false">IF(B93="","",COUNTIFS(開通管理!$B$5:$B$604,B93,開通管理!$O$5:$O$604,"&lt;&gt;キャンセル"))</f>
        <v/>
      </c>
      <c r="R93" s="18" t="str">
        <f aca="false">IF(B93="","",COUNTIFS(開通管理!$B$5:$B$604,B93,開通管理!$O$5:$O$604,"開通済"))</f>
        <v/>
      </c>
      <c r="S93" s="19" t="str">
        <f aca="false">IF(B93="","",IF(Q93=0,"未申込",IF(R93&lt;Q93,"開通待ち（"&amp;R93&amp;"/"&amp;Q93&amp;"）","全開通")))</f>
        <v/>
      </c>
      <c r="T93" s="20" t="str">
        <f aca="false">IF(S93&lt;&gt;"全開通","",_xlfn.MAXIFS(開通管理!$Q$5:$Q$604,開通管理!$B$5:$B$604,B93))</f>
        <v/>
      </c>
      <c r="U93" s="21" t="str">
        <f aca="false">IF(B93="","",SUMIFS(開通管理!$J$5:$J$604,開通管理!$B$5:$B$604,B93,開通管理!$O$5:$O$604,"&lt;&gt;キャンセル"))</f>
        <v/>
      </c>
      <c r="V93" s="22"/>
      <c r="W93" s="12" t="str">
        <f aca="false">IF(OR(B93="",設定!$B$14=""),"",SUBSTITUTE(設定!$B$14,"__ID__",B93))</f>
        <v/>
      </c>
      <c r="X93" s="22"/>
      <c r="Y93" s="22"/>
      <c r="Z93" s="22"/>
      <c r="AA93" s="20" t="str">
        <f aca="false">IF(Z93="","",WORKDAY(Z93,設定!$B$5,設定!$F$5:$F$120))</f>
        <v/>
      </c>
      <c r="AB93" s="17"/>
      <c r="AC93" s="17"/>
      <c r="AD93" s="17"/>
      <c r="AE93" s="17"/>
      <c r="AF93" s="22"/>
      <c r="AG93" s="17"/>
      <c r="AH93" s="20" t="str">
        <f aca="false">IF(T93="","",EDATE(T93,設定!$B$8))</f>
        <v/>
      </c>
      <c r="AI93" s="17"/>
      <c r="AJ93" s="17"/>
      <c r="AK93" s="22"/>
      <c r="AL93" s="23" t="str">
        <f aca="true">IF(C93="","",IF(N93="失注","―",IF(AND(AK93&lt;&gt;"",AK93&lt;TODAY()),"対応期限超過",IF(AND(AF93="",AA93&lt;&gt;"",IF(AA93="",FALSE(),AA93&lt;TODAY())),"納品遅延",IF(AND(AK93&lt;&gt;"",AK93=TODAY()),"本日対応",IF(AND(S93="全開通",X93="",AF93=""),"ヒアリング依頼待ち",IF(AND(X93&lt;&gt;"",Y93="",Z93="",TODAY()-X93&gt;=設定!$B$6),"ヒアリング未回収",IF(AND(Y93&lt;&gt;"",Z93=""),"素材確認待ち",IF(AND(AF93="",AA93&lt;&gt;"",IF(AA93="",FALSE(),AA93-TODAY()&lt;=設定!$B$7)),"納品間近",IF(AND(AH93&lt;&gt;"",IF(AH93="",FALSE(),AH93&lt;=TODAY()),AI93=""),"解約チェック",IF(AF93&lt;&gt;"","納品済","")))))))))))</f>
        <v/>
      </c>
      <c r="AM93" s="17"/>
    </row>
    <row r="94" customFormat="false" ht="15" hidden="false" customHeight="false" outlineLevel="0" collapsed="false">
      <c r="A94" s="12" t="str">
        <f aca="false">IF(C94="","",ROW()-4)</f>
        <v/>
      </c>
      <c r="B94" s="17"/>
      <c r="C94" s="17"/>
      <c r="D94" s="17"/>
      <c r="E94" s="17"/>
      <c r="F94" s="24"/>
      <c r="G94" s="17"/>
      <c r="H94" s="17"/>
      <c r="I94" s="17"/>
      <c r="J94" s="17"/>
      <c r="K94" s="17"/>
      <c r="L94" s="22"/>
      <c r="M94" s="22"/>
      <c r="N94" s="17"/>
      <c r="O94" s="17"/>
      <c r="P94" s="17"/>
      <c r="Q94" s="18" t="str">
        <f aca="false">IF(B94="","",COUNTIFS(開通管理!$B$5:$B$604,B94,開通管理!$O$5:$O$604,"&lt;&gt;キャンセル"))</f>
        <v/>
      </c>
      <c r="R94" s="18" t="str">
        <f aca="false">IF(B94="","",COUNTIFS(開通管理!$B$5:$B$604,B94,開通管理!$O$5:$O$604,"開通済"))</f>
        <v/>
      </c>
      <c r="S94" s="19" t="str">
        <f aca="false">IF(B94="","",IF(Q94=0,"未申込",IF(R94&lt;Q94,"開通待ち（"&amp;R94&amp;"/"&amp;Q94&amp;"）","全開通")))</f>
        <v/>
      </c>
      <c r="T94" s="20" t="str">
        <f aca="false">IF(S94&lt;&gt;"全開通","",_xlfn.MAXIFS(開通管理!$Q$5:$Q$604,開通管理!$B$5:$B$604,B94))</f>
        <v/>
      </c>
      <c r="U94" s="21" t="str">
        <f aca="false">IF(B94="","",SUMIFS(開通管理!$J$5:$J$604,開通管理!$B$5:$B$604,B94,開通管理!$O$5:$O$604,"&lt;&gt;キャンセル"))</f>
        <v/>
      </c>
      <c r="V94" s="22"/>
      <c r="W94" s="12" t="str">
        <f aca="false">IF(OR(B94="",設定!$B$14=""),"",SUBSTITUTE(設定!$B$14,"__ID__",B94))</f>
        <v/>
      </c>
      <c r="X94" s="22"/>
      <c r="Y94" s="22"/>
      <c r="Z94" s="22"/>
      <c r="AA94" s="20" t="str">
        <f aca="false">IF(Z94="","",WORKDAY(Z94,設定!$B$5,設定!$F$5:$F$120))</f>
        <v/>
      </c>
      <c r="AB94" s="17"/>
      <c r="AC94" s="17"/>
      <c r="AD94" s="17"/>
      <c r="AE94" s="17"/>
      <c r="AF94" s="22"/>
      <c r="AG94" s="17"/>
      <c r="AH94" s="20" t="str">
        <f aca="false">IF(T94="","",EDATE(T94,設定!$B$8))</f>
        <v/>
      </c>
      <c r="AI94" s="17"/>
      <c r="AJ94" s="17"/>
      <c r="AK94" s="22"/>
      <c r="AL94" s="23" t="str">
        <f aca="true">IF(C94="","",IF(N94="失注","―",IF(AND(AK94&lt;&gt;"",AK94&lt;TODAY()),"対応期限超過",IF(AND(AF94="",AA94&lt;&gt;"",IF(AA94="",FALSE(),AA94&lt;TODAY())),"納品遅延",IF(AND(AK94&lt;&gt;"",AK94=TODAY()),"本日対応",IF(AND(S94="全開通",X94="",AF94=""),"ヒアリング依頼待ち",IF(AND(X94&lt;&gt;"",Y94="",Z94="",TODAY()-X94&gt;=設定!$B$6),"ヒアリング未回収",IF(AND(Y94&lt;&gt;"",Z94=""),"素材確認待ち",IF(AND(AF94="",AA94&lt;&gt;"",IF(AA94="",FALSE(),AA94-TODAY()&lt;=設定!$B$7)),"納品間近",IF(AND(AH94&lt;&gt;"",IF(AH94="",FALSE(),AH94&lt;=TODAY()),AI94=""),"解約チェック",IF(AF94&lt;&gt;"","納品済","")))))))))))</f>
        <v/>
      </c>
      <c r="AM94" s="17"/>
    </row>
    <row r="95" customFormat="false" ht="15" hidden="false" customHeight="false" outlineLevel="0" collapsed="false">
      <c r="A95" s="12" t="str">
        <f aca="false">IF(C95="","",ROW()-4)</f>
        <v/>
      </c>
      <c r="B95" s="17"/>
      <c r="C95" s="17"/>
      <c r="D95" s="17"/>
      <c r="E95" s="17"/>
      <c r="F95" s="24"/>
      <c r="G95" s="17"/>
      <c r="H95" s="17"/>
      <c r="I95" s="17"/>
      <c r="J95" s="17"/>
      <c r="K95" s="17"/>
      <c r="L95" s="22"/>
      <c r="M95" s="22"/>
      <c r="N95" s="17"/>
      <c r="O95" s="17"/>
      <c r="P95" s="17"/>
      <c r="Q95" s="18" t="str">
        <f aca="false">IF(B95="","",COUNTIFS(開通管理!$B$5:$B$604,B95,開通管理!$O$5:$O$604,"&lt;&gt;キャンセル"))</f>
        <v/>
      </c>
      <c r="R95" s="18" t="str">
        <f aca="false">IF(B95="","",COUNTIFS(開通管理!$B$5:$B$604,B95,開通管理!$O$5:$O$604,"開通済"))</f>
        <v/>
      </c>
      <c r="S95" s="19" t="str">
        <f aca="false">IF(B95="","",IF(Q95=0,"未申込",IF(R95&lt;Q95,"開通待ち（"&amp;R95&amp;"/"&amp;Q95&amp;"）","全開通")))</f>
        <v/>
      </c>
      <c r="T95" s="20" t="str">
        <f aca="false">IF(S95&lt;&gt;"全開通","",_xlfn.MAXIFS(開通管理!$Q$5:$Q$604,開通管理!$B$5:$B$604,B95))</f>
        <v/>
      </c>
      <c r="U95" s="21" t="str">
        <f aca="false">IF(B95="","",SUMIFS(開通管理!$J$5:$J$604,開通管理!$B$5:$B$604,B95,開通管理!$O$5:$O$604,"&lt;&gt;キャンセル"))</f>
        <v/>
      </c>
      <c r="V95" s="22"/>
      <c r="W95" s="12" t="str">
        <f aca="false">IF(OR(B95="",設定!$B$14=""),"",SUBSTITUTE(設定!$B$14,"__ID__",B95))</f>
        <v/>
      </c>
      <c r="X95" s="22"/>
      <c r="Y95" s="22"/>
      <c r="Z95" s="22"/>
      <c r="AA95" s="20" t="str">
        <f aca="false">IF(Z95="","",WORKDAY(Z95,設定!$B$5,設定!$F$5:$F$120))</f>
        <v/>
      </c>
      <c r="AB95" s="17"/>
      <c r="AC95" s="17"/>
      <c r="AD95" s="17"/>
      <c r="AE95" s="17"/>
      <c r="AF95" s="22"/>
      <c r="AG95" s="17"/>
      <c r="AH95" s="20" t="str">
        <f aca="false">IF(T95="","",EDATE(T95,設定!$B$8))</f>
        <v/>
      </c>
      <c r="AI95" s="17"/>
      <c r="AJ95" s="17"/>
      <c r="AK95" s="22"/>
      <c r="AL95" s="23" t="str">
        <f aca="true">IF(C95="","",IF(N95="失注","―",IF(AND(AK95&lt;&gt;"",AK95&lt;TODAY()),"対応期限超過",IF(AND(AF95="",AA95&lt;&gt;"",IF(AA95="",FALSE(),AA95&lt;TODAY())),"納品遅延",IF(AND(AK95&lt;&gt;"",AK95=TODAY()),"本日対応",IF(AND(S95="全開通",X95="",AF95=""),"ヒアリング依頼待ち",IF(AND(X95&lt;&gt;"",Y95="",Z95="",TODAY()-X95&gt;=設定!$B$6),"ヒアリング未回収",IF(AND(Y95&lt;&gt;"",Z95=""),"素材確認待ち",IF(AND(AF95="",AA95&lt;&gt;"",IF(AA95="",FALSE(),AA95-TODAY()&lt;=設定!$B$7)),"納品間近",IF(AND(AH95&lt;&gt;"",IF(AH95="",FALSE(),AH95&lt;=TODAY()),AI95=""),"解約チェック",IF(AF95&lt;&gt;"","納品済","")))))))))))</f>
        <v/>
      </c>
      <c r="AM95" s="17"/>
    </row>
    <row r="96" customFormat="false" ht="15" hidden="false" customHeight="false" outlineLevel="0" collapsed="false">
      <c r="A96" s="12" t="str">
        <f aca="false">IF(C96="","",ROW()-4)</f>
        <v/>
      </c>
      <c r="B96" s="17"/>
      <c r="C96" s="17"/>
      <c r="D96" s="17"/>
      <c r="E96" s="17"/>
      <c r="F96" s="24"/>
      <c r="G96" s="17"/>
      <c r="H96" s="17"/>
      <c r="I96" s="17"/>
      <c r="J96" s="17"/>
      <c r="K96" s="17"/>
      <c r="L96" s="22"/>
      <c r="M96" s="22"/>
      <c r="N96" s="17"/>
      <c r="O96" s="17"/>
      <c r="P96" s="17"/>
      <c r="Q96" s="18" t="str">
        <f aca="false">IF(B96="","",COUNTIFS(開通管理!$B$5:$B$604,B96,開通管理!$O$5:$O$604,"&lt;&gt;キャンセル"))</f>
        <v/>
      </c>
      <c r="R96" s="18" t="str">
        <f aca="false">IF(B96="","",COUNTIFS(開通管理!$B$5:$B$604,B96,開通管理!$O$5:$O$604,"開通済"))</f>
        <v/>
      </c>
      <c r="S96" s="19" t="str">
        <f aca="false">IF(B96="","",IF(Q96=0,"未申込",IF(R96&lt;Q96,"開通待ち（"&amp;R96&amp;"/"&amp;Q96&amp;"）","全開通")))</f>
        <v/>
      </c>
      <c r="T96" s="20" t="str">
        <f aca="false">IF(S96&lt;&gt;"全開通","",_xlfn.MAXIFS(開通管理!$Q$5:$Q$604,開通管理!$B$5:$B$604,B96))</f>
        <v/>
      </c>
      <c r="U96" s="21" t="str">
        <f aca="false">IF(B96="","",SUMIFS(開通管理!$J$5:$J$604,開通管理!$B$5:$B$604,B96,開通管理!$O$5:$O$604,"&lt;&gt;キャンセル"))</f>
        <v/>
      </c>
      <c r="V96" s="22"/>
      <c r="W96" s="12" t="str">
        <f aca="false">IF(OR(B96="",設定!$B$14=""),"",SUBSTITUTE(設定!$B$14,"__ID__",B96))</f>
        <v/>
      </c>
      <c r="X96" s="22"/>
      <c r="Y96" s="22"/>
      <c r="Z96" s="22"/>
      <c r="AA96" s="20" t="str">
        <f aca="false">IF(Z96="","",WORKDAY(Z96,設定!$B$5,設定!$F$5:$F$120))</f>
        <v/>
      </c>
      <c r="AB96" s="17"/>
      <c r="AC96" s="17"/>
      <c r="AD96" s="17"/>
      <c r="AE96" s="17"/>
      <c r="AF96" s="22"/>
      <c r="AG96" s="17"/>
      <c r="AH96" s="20" t="str">
        <f aca="false">IF(T96="","",EDATE(T96,設定!$B$8))</f>
        <v/>
      </c>
      <c r="AI96" s="17"/>
      <c r="AJ96" s="17"/>
      <c r="AK96" s="22"/>
      <c r="AL96" s="23" t="str">
        <f aca="true">IF(C96="","",IF(N96="失注","―",IF(AND(AK96&lt;&gt;"",AK96&lt;TODAY()),"対応期限超過",IF(AND(AF96="",AA96&lt;&gt;"",IF(AA96="",FALSE(),AA96&lt;TODAY())),"納品遅延",IF(AND(AK96&lt;&gt;"",AK96=TODAY()),"本日対応",IF(AND(S96="全開通",X96="",AF96=""),"ヒアリング依頼待ち",IF(AND(X96&lt;&gt;"",Y96="",Z96="",TODAY()-X96&gt;=設定!$B$6),"ヒアリング未回収",IF(AND(Y96&lt;&gt;"",Z96=""),"素材確認待ち",IF(AND(AF96="",AA96&lt;&gt;"",IF(AA96="",FALSE(),AA96-TODAY()&lt;=設定!$B$7)),"納品間近",IF(AND(AH96&lt;&gt;"",IF(AH96="",FALSE(),AH96&lt;=TODAY()),AI96=""),"解約チェック",IF(AF96&lt;&gt;"","納品済","")))))))))))</f>
        <v/>
      </c>
      <c r="AM96" s="17"/>
    </row>
    <row r="97" customFormat="false" ht="15" hidden="false" customHeight="false" outlineLevel="0" collapsed="false">
      <c r="A97" s="12" t="str">
        <f aca="false">IF(C97="","",ROW()-4)</f>
        <v/>
      </c>
      <c r="B97" s="17"/>
      <c r="C97" s="17"/>
      <c r="D97" s="17"/>
      <c r="E97" s="17"/>
      <c r="F97" s="24"/>
      <c r="G97" s="17"/>
      <c r="H97" s="17"/>
      <c r="I97" s="17"/>
      <c r="J97" s="17"/>
      <c r="K97" s="17"/>
      <c r="L97" s="22"/>
      <c r="M97" s="22"/>
      <c r="N97" s="17"/>
      <c r="O97" s="17"/>
      <c r="P97" s="17"/>
      <c r="Q97" s="18" t="str">
        <f aca="false">IF(B97="","",COUNTIFS(開通管理!$B$5:$B$604,B97,開通管理!$O$5:$O$604,"&lt;&gt;キャンセル"))</f>
        <v/>
      </c>
      <c r="R97" s="18" t="str">
        <f aca="false">IF(B97="","",COUNTIFS(開通管理!$B$5:$B$604,B97,開通管理!$O$5:$O$604,"開通済"))</f>
        <v/>
      </c>
      <c r="S97" s="19" t="str">
        <f aca="false">IF(B97="","",IF(Q97=0,"未申込",IF(R97&lt;Q97,"開通待ち（"&amp;R97&amp;"/"&amp;Q97&amp;"）","全開通")))</f>
        <v/>
      </c>
      <c r="T97" s="20" t="str">
        <f aca="false">IF(S97&lt;&gt;"全開通","",_xlfn.MAXIFS(開通管理!$Q$5:$Q$604,開通管理!$B$5:$B$604,B97))</f>
        <v/>
      </c>
      <c r="U97" s="21" t="str">
        <f aca="false">IF(B97="","",SUMIFS(開通管理!$J$5:$J$604,開通管理!$B$5:$B$604,B97,開通管理!$O$5:$O$604,"&lt;&gt;キャンセル"))</f>
        <v/>
      </c>
      <c r="V97" s="22"/>
      <c r="W97" s="12" t="str">
        <f aca="false">IF(OR(B97="",設定!$B$14=""),"",SUBSTITUTE(設定!$B$14,"__ID__",B97))</f>
        <v/>
      </c>
      <c r="X97" s="22"/>
      <c r="Y97" s="22"/>
      <c r="Z97" s="22"/>
      <c r="AA97" s="20" t="str">
        <f aca="false">IF(Z97="","",WORKDAY(Z97,設定!$B$5,設定!$F$5:$F$120))</f>
        <v/>
      </c>
      <c r="AB97" s="17"/>
      <c r="AC97" s="17"/>
      <c r="AD97" s="17"/>
      <c r="AE97" s="17"/>
      <c r="AF97" s="22"/>
      <c r="AG97" s="17"/>
      <c r="AH97" s="20" t="str">
        <f aca="false">IF(T97="","",EDATE(T97,設定!$B$8))</f>
        <v/>
      </c>
      <c r="AI97" s="17"/>
      <c r="AJ97" s="17"/>
      <c r="AK97" s="22"/>
      <c r="AL97" s="23" t="str">
        <f aca="true">IF(C97="","",IF(N97="失注","―",IF(AND(AK97&lt;&gt;"",AK97&lt;TODAY()),"対応期限超過",IF(AND(AF97="",AA97&lt;&gt;"",IF(AA97="",FALSE(),AA97&lt;TODAY())),"納品遅延",IF(AND(AK97&lt;&gt;"",AK97=TODAY()),"本日対応",IF(AND(S97="全開通",X97="",AF97=""),"ヒアリング依頼待ち",IF(AND(X97&lt;&gt;"",Y97="",Z97="",TODAY()-X97&gt;=設定!$B$6),"ヒアリング未回収",IF(AND(Y97&lt;&gt;"",Z97=""),"素材確認待ち",IF(AND(AF97="",AA97&lt;&gt;"",IF(AA97="",FALSE(),AA97-TODAY()&lt;=設定!$B$7)),"納品間近",IF(AND(AH97&lt;&gt;"",IF(AH97="",FALSE(),AH97&lt;=TODAY()),AI97=""),"解約チェック",IF(AF97&lt;&gt;"","納品済","")))))))))))</f>
        <v/>
      </c>
      <c r="AM97" s="17"/>
    </row>
    <row r="98" customFormat="false" ht="15" hidden="false" customHeight="false" outlineLevel="0" collapsed="false">
      <c r="A98" s="12" t="str">
        <f aca="false">IF(C98="","",ROW()-4)</f>
        <v/>
      </c>
      <c r="B98" s="17"/>
      <c r="C98" s="17"/>
      <c r="D98" s="17"/>
      <c r="E98" s="17"/>
      <c r="F98" s="24"/>
      <c r="G98" s="17"/>
      <c r="H98" s="17"/>
      <c r="I98" s="17"/>
      <c r="J98" s="17"/>
      <c r="K98" s="17"/>
      <c r="L98" s="22"/>
      <c r="M98" s="22"/>
      <c r="N98" s="17"/>
      <c r="O98" s="17"/>
      <c r="P98" s="17"/>
      <c r="Q98" s="18" t="str">
        <f aca="false">IF(B98="","",COUNTIFS(開通管理!$B$5:$B$604,B98,開通管理!$O$5:$O$604,"&lt;&gt;キャンセル"))</f>
        <v/>
      </c>
      <c r="R98" s="18" t="str">
        <f aca="false">IF(B98="","",COUNTIFS(開通管理!$B$5:$B$604,B98,開通管理!$O$5:$O$604,"開通済"))</f>
        <v/>
      </c>
      <c r="S98" s="19" t="str">
        <f aca="false">IF(B98="","",IF(Q98=0,"未申込",IF(R98&lt;Q98,"開通待ち（"&amp;R98&amp;"/"&amp;Q98&amp;"）","全開通")))</f>
        <v/>
      </c>
      <c r="T98" s="20" t="str">
        <f aca="false">IF(S98&lt;&gt;"全開通","",_xlfn.MAXIFS(開通管理!$Q$5:$Q$604,開通管理!$B$5:$B$604,B98))</f>
        <v/>
      </c>
      <c r="U98" s="21" t="str">
        <f aca="false">IF(B98="","",SUMIFS(開通管理!$J$5:$J$604,開通管理!$B$5:$B$604,B98,開通管理!$O$5:$O$604,"&lt;&gt;キャンセル"))</f>
        <v/>
      </c>
      <c r="V98" s="22"/>
      <c r="W98" s="12" t="str">
        <f aca="false">IF(OR(B98="",設定!$B$14=""),"",SUBSTITUTE(設定!$B$14,"__ID__",B98))</f>
        <v/>
      </c>
      <c r="X98" s="22"/>
      <c r="Y98" s="22"/>
      <c r="Z98" s="22"/>
      <c r="AA98" s="20" t="str">
        <f aca="false">IF(Z98="","",WORKDAY(Z98,設定!$B$5,設定!$F$5:$F$120))</f>
        <v/>
      </c>
      <c r="AB98" s="17"/>
      <c r="AC98" s="17"/>
      <c r="AD98" s="17"/>
      <c r="AE98" s="17"/>
      <c r="AF98" s="22"/>
      <c r="AG98" s="17"/>
      <c r="AH98" s="20" t="str">
        <f aca="false">IF(T98="","",EDATE(T98,設定!$B$8))</f>
        <v/>
      </c>
      <c r="AI98" s="17"/>
      <c r="AJ98" s="17"/>
      <c r="AK98" s="22"/>
      <c r="AL98" s="23" t="str">
        <f aca="true">IF(C98="","",IF(N98="失注","―",IF(AND(AK98&lt;&gt;"",AK98&lt;TODAY()),"対応期限超過",IF(AND(AF98="",AA98&lt;&gt;"",IF(AA98="",FALSE(),AA98&lt;TODAY())),"納品遅延",IF(AND(AK98&lt;&gt;"",AK98=TODAY()),"本日対応",IF(AND(S98="全開通",X98="",AF98=""),"ヒアリング依頼待ち",IF(AND(X98&lt;&gt;"",Y98="",Z98="",TODAY()-X98&gt;=設定!$B$6),"ヒアリング未回収",IF(AND(Y98&lt;&gt;"",Z98=""),"素材確認待ち",IF(AND(AF98="",AA98&lt;&gt;"",IF(AA98="",FALSE(),AA98-TODAY()&lt;=設定!$B$7)),"納品間近",IF(AND(AH98&lt;&gt;"",IF(AH98="",FALSE(),AH98&lt;=TODAY()),AI98=""),"解約チェック",IF(AF98&lt;&gt;"","納品済","")))))))))))</f>
        <v/>
      </c>
      <c r="AM98" s="17"/>
    </row>
    <row r="99" customFormat="false" ht="15" hidden="false" customHeight="false" outlineLevel="0" collapsed="false">
      <c r="A99" s="12" t="str">
        <f aca="false">IF(C99="","",ROW()-4)</f>
        <v/>
      </c>
      <c r="B99" s="17"/>
      <c r="C99" s="17"/>
      <c r="D99" s="17"/>
      <c r="E99" s="17"/>
      <c r="F99" s="24"/>
      <c r="G99" s="17"/>
      <c r="H99" s="17"/>
      <c r="I99" s="17"/>
      <c r="J99" s="17"/>
      <c r="K99" s="17"/>
      <c r="L99" s="22"/>
      <c r="M99" s="22"/>
      <c r="N99" s="17"/>
      <c r="O99" s="17"/>
      <c r="P99" s="17"/>
      <c r="Q99" s="18" t="str">
        <f aca="false">IF(B99="","",COUNTIFS(開通管理!$B$5:$B$604,B99,開通管理!$O$5:$O$604,"&lt;&gt;キャンセル"))</f>
        <v/>
      </c>
      <c r="R99" s="18" t="str">
        <f aca="false">IF(B99="","",COUNTIFS(開通管理!$B$5:$B$604,B99,開通管理!$O$5:$O$604,"開通済"))</f>
        <v/>
      </c>
      <c r="S99" s="19" t="str">
        <f aca="false">IF(B99="","",IF(Q99=0,"未申込",IF(R99&lt;Q99,"開通待ち（"&amp;R99&amp;"/"&amp;Q99&amp;"）","全開通")))</f>
        <v/>
      </c>
      <c r="T99" s="20" t="str">
        <f aca="false">IF(S99&lt;&gt;"全開通","",_xlfn.MAXIFS(開通管理!$Q$5:$Q$604,開通管理!$B$5:$B$604,B99))</f>
        <v/>
      </c>
      <c r="U99" s="21" t="str">
        <f aca="false">IF(B99="","",SUMIFS(開通管理!$J$5:$J$604,開通管理!$B$5:$B$604,B99,開通管理!$O$5:$O$604,"&lt;&gt;キャンセル"))</f>
        <v/>
      </c>
      <c r="V99" s="22"/>
      <c r="W99" s="12" t="str">
        <f aca="false">IF(OR(B99="",設定!$B$14=""),"",SUBSTITUTE(設定!$B$14,"__ID__",B99))</f>
        <v/>
      </c>
      <c r="X99" s="22"/>
      <c r="Y99" s="22"/>
      <c r="Z99" s="22"/>
      <c r="AA99" s="20" t="str">
        <f aca="false">IF(Z99="","",WORKDAY(Z99,設定!$B$5,設定!$F$5:$F$120))</f>
        <v/>
      </c>
      <c r="AB99" s="17"/>
      <c r="AC99" s="17"/>
      <c r="AD99" s="17"/>
      <c r="AE99" s="17"/>
      <c r="AF99" s="22"/>
      <c r="AG99" s="17"/>
      <c r="AH99" s="20" t="str">
        <f aca="false">IF(T99="","",EDATE(T99,設定!$B$8))</f>
        <v/>
      </c>
      <c r="AI99" s="17"/>
      <c r="AJ99" s="17"/>
      <c r="AK99" s="22"/>
      <c r="AL99" s="23" t="str">
        <f aca="true">IF(C99="","",IF(N99="失注","―",IF(AND(AK99&lt;&gt;"",AK99&lt;TODAY()),"対応期限超過",IF(AND(AF99="",AA99&lt;&gt;"",IF(AA99="",FALSE(),AA99&lt;TODAY())),"納品遅延",IF(AND(AK99&lt;&gt;"",AK99=TODAY()),"本日対応",IF(AND(S99="全開通",X99="",AF99=""),"ヒアリング依頼待ち",IF(AND(X99&lt;&gt;"",Y99="",Z99="",TODAY()-X99&gt;=設定!$B$6),"ヒアリング未回収",IF(AND(Y99&lt;&gt;"",Z99=""),"素材確認待ち",IF(AND(AF99="",AA99&lt;&gt;"",IF(AA99="",FALSE(),AA99-TODAY()&lt;=設定!$B$7)),"納品間近",IF(AND(AH99&lt;&gt;"",IF(AH99="",FALSE(),AH99&lt;=TODAY()),AI99=""),"解約チェック",IF(AF99&lt;&gt;"","納品済","")))))))))))</f>
        <v/>
      </c>
      <c r="AM99" s="17"/>
    </row>
    <row r="100" customFormat="false" ht="15" hidden="false" customHeight="false" outlineLevel="0" collapsed="false">
      <c r="A100" s="12" t="str">
        <f aca="false">IF(C100="","",ROW()-4)</f>
        <v/>
      </c>
      <c r="B100" s="17"/>
      <c r="C100" s="17"/>
      <c r="D100" s="17"/>
      <c r="E100" s="17"/>
      <c r="F100" s="24"/>
      <c r="G100" s="17"/>
      <c r="H100" s="17"/>
      <c r="I100" s="17"/>
      <c r="J100" s="17"/>
      <c r="K100" s="17"/>
      <c r="L100" s="22"/>
      <c r="M100" s="22"/>
      <c r="N100" s="17"/>
      <c r="O100" s="17"/>
      <c r="P100" s="17"/>
      <c r="Q100" s="18" t="str">
        <f aca="false">IF(B100="","",COUNTIFS(開通管理!$B$5:$B$604,B100,開通管理!$O$5:$O$604,"&lt;&gt;キャンセル"))</f>
        <v/>
      </c>
      <c r="R100" s="18" t="str">
        <f aca="false">IF(B100="","",COUNTIFS(開通管理!$B$5:$B$604,B100,開通管理!$O$5:$O$604,"開通済"))</f>
        <v/>
      </c>
      <c r="S100" s="19" t="str">
        <f aca="false">IF(B100="","",IF(Q100=0,"未申込",IF(R100&lt;Q100,"開通待ち（"&amp;R100&amp;"/"&amp;Q100&amp;"）","全開通")))</f>
        <v/>
      </c>
      <c r="T100" s="20" t="str">
        <f aca="false">IF(S100&lt;&gt;"全開通","",_xlfn.MAXIFS(開通管理!$Q$5:$Q$604,開通管理!$B$5:$B$604,B100))</f>
        <v/>
      </c>
      <c r="U100" s="21" t="str">
        <f aca="false">IF(B100="","",SUMIFS(開通管理!$J$5:$J$604,開通管理!$B$5:$B$604,B100,開通管理!$O$5:$O$604,"&lt;&gt;キャンセル"))</f>
        <v/>
      </c>
      <c r="V100" s="22"/>
      <c r="W100" s="12" t="str">
        <f aca="false">IF(OR(B100="",設定!$B$14=""),"",SUBSTITUTE(設定!$B$14,"__ID__",B100))</f>
        <v/>
      </c>
      <c r="X100" s="22"/>
      <c r="Y100" s="22"/>
      <c r="Z100" s="22"/>
      <c r="AA100" s="20" t="str">
        <f aca="false">IF(Z100="","",WORKDAY(Z100,設定!$B$5,設定!$F$5:$F$120))</f>
        <v/>
      </c>
      <c r="AB100" s="17"/>
      <c r="AC100" s="17"/>
      <c r="AD100" s="17"/>
      <c r="AE100" s="17"/>
      <c r="AF100" s="22"/>
      <c r="AG100" s="17"/>
      <c r="AH100" s="20" t="str">
        <f aca="false">IF(T100="","",EDATE(T100,設定!$B$8))</f>
        <v/>
      </c>
      <c r="AI100" s="17"/>
      <c r="AJ100" s="17"/>
      <c r="AK100" s="22"/>
      <c r="AL100" s="23" t="str">
        <f aca="true">IF(C100="","",IF(N100="失注","―",IF(AND(AK100&lt;&gt;"",AK100&lt;TODAY()),"対応期限超過",IF(AND(AF100="",AA100&lt;&gt;"",IF(AA100="",FALSE(),AA100&lt;TODAY())),"納品遅延",IF(AND(AK100&lt;&gt;"",AK100=TODAY()),"本日対応",IF(AND(S100="全開通",X100="",AF100=""),"ヒアリング依頼待ち",IF(AND(X100&lt;&gt;"",Y100="",Z100="",TODAY()-X100&gt;=設定!$B$6),"ヒアリング未回収",IF(AND(Y100&lt;&gt;"",Z100=""),"素材確認待ち",IF(AND(AF100="",AA100&lt;&gt;"",IF(AA100="",FALSE(),AA100-TODAY()&lt;=設定!$B$7)),"納品間近",IF(AND(AH100&lt;&gt;"",IF(AH100="",FALSE(),AH100&lt;=TODAY()),AI100=""),"解約チェック",IF(AF100&lt;&gt;"","納品済","")))))))))))</f>
        <v/>
      </c>
      <c r="AM100" s="17"/>
    </row>
    <row r="101" customFormat="false" ht="15" hidden="false" customHeight="false" outlineLevel="0" collapsed="false">
      <c r="A101" s="12" t="str">
        <f aca="false">IF(C101="","",ROW()-4)</f>
        <v/>
      </c>
      <c r="B101" s="17"/>
      <c r="C101" s="17"/>
      <c r="D101" s="17"/>
      <c r="E101" s="17"/>
      <c r="F101" s="24"/>
      <c r="G101" s="17"/>
      <c r="H101" s="17"/>
      <c r="I101" s="17"/>
      <c r="J101" s="17"/>
      <c r="K101" s="17"/>
      <c r="L101" s="22"/>
      <c r="M101" s="22"/>
      <c r="N101" s="17"/>
      <c r="O101" s="17"/>
      <c r="P101" s="17"/>
      <c r="Q101" s="18" t="str">
        <f aca="false">IF(B101="","",COUNTIFS(開通管理!$B$5:$B$604,B101,開通管理!$O$5:$O$604,"&lt;&gt;キャンセル"))</f>
        <v/>
      </c>
      <c r="R101" s="18" t="str">
        <f aca="false">IF(B101="","",COUNTIFS(開通管理!$B$5:$B$604,B101,開通管理!$O$5:$O$604,"開通済"))</f>
        <v/>
      </c>
      <c r="S101" s="19" t="str">
        <f aca="false">IF(B101="","",IF(Q101=0,"未申込",IF(R101&lt;Q101,"開通待ち（"&amp;R101&amp;"/"&amp;Q101&amp;"）","全開通")))</f>
        <v/>
      </c>
      <c r="T101" s="20" t="str">
        <f aca="false">IF(S101&lt;&gt;"全開通","",_xlfn.MAXIFS(開通管理!$Q$5:$Q$604,開通管理!$B$5:$B$604,B101))</f>
        <v/>
      </c>
      <c r="U101" s="21" t="str">
        <f aca="false">IF(B101="","",SUMIFS(開通管理!$J$5:$J$604,開通管理!$B$5:$B$604,B101,開通管理!$O$5:$O$604,"&lt;&gt;キャンセル"))</f>
        <v/>
      </c>
      <c r="V101" s="22"/>
      <c r="W101" s="12" t="str">
        <f aca="false">IF(OR(B101="",設定!$B$14=""),"",SUBSTITUTE(設定!$B$14,"__ID__",B101))</f>
        <v/>
      </c>
      <c r="X101" s="22"/>
      <c r="Y101" s="22"/>
      <c r="Z101" s="22"/>
      <c r="AA101" s="20" t="str">
        <f aca="false">IF(Z101="","",WORKDAY(Z101,設定!$B$5,設定!$F$5:$F$120))</f>
        <v/>
      </c>
      <c r="AB101" s="17"/>
      <c r="AC101" s="17"/>
      <c r="AD101" s="17"/>
      <c r="AE101" s="17"/>
      <c r="AF101" s="22"/>
      <c r="AG101" s="17"/>
      <c r="AH101" s="20" t="str">
        <f aca="false">IF(T101="","",EDATE(T101,設定!$B$8))</f>
        <v/>
      </c>
      <c r="AI101" s="17"/>
      <c r="AJ101" s="17"/>
      <c r="AK101" s="22"/>
      <c r="AL101" s="23" t="str">
        <f aca="true">IF(C101="","",IF(N101="失注","―",IF(AND(AK101&lt;&gt;"",AK101&lt;TODAY()),"対応期限超過",IF(AND(AF101="",AA101&lt;&gt;"",IF(AA101="",FALSE(),AA101&lt;TODAY())),"納品遅延",IF(AND(AK101&lt;&gt;"",AK101=TODAY()),"本日対応",IF(AND(S101="全開通",X101="",AF101=""),"ヒアリング依頼待ち",IF(AND(X101&lt;&gt;"",Y101="",Z101="",TODAY()-X101&gt;=設定!$B$6),"ヒアリング未回収",IF(AND(Y101&lt;&gt;"",Z101=""),"素材確認待ち",IF(AND(AF101="",AA101&lt;&gt;"",IF(AA101="",FALSE(),AA101-TODAY()&lt;=設定!$B$7)),"納品間近",IF(AND(AH101&lt;&gt;"",IF(AH101="",FALSE(),AH101&lt;=TODAY()),AI101=""),"解約チェック",IF(AF101&lt;&gt;"","納品済","")))))))))))</f>
        <v/>
      </c>
      <c r="AM101" s="17"/>
    </row>
    <row r="102" customFormat="false" ht="15" hidden="false" customHeight="false" outlineLevel="0" collapsed="false">
      <c r="A102" s="12" t="str">
        <f aca="false">IF(C102="","",ROW()-4)</f>
        <v/>
      </c>
      <c r="B102" s="17"/>
      <c r="C102" s="17"/>
      <c r="D102" s="17"/>
      <c r="E102" s="17"/>
      <c r="F102" s="24"/>
      <c r="G102" s="17"/>
      <c r="H102" s="17"/>
      <c r="I102" s="17"/>
      <c r="J102" s="17"/>
      <c r="K102" s="17"/>
      <c r="L102" s="22"/>
      <c r="M102" s="22"/>
      <c r="N102" s="17"/>
      <c r="O102" s="17"/>
      <c r="P102" s="17"/>
      <c r="Q102" s="18" t="str">
        <f aca="false">IF(B102="","",COUNTIFS(開通管理!$B$5:$B$604,B102,開通管理!$O$5:$O$604,"&lt;&gt;キャンセル"))</f>
        <v/>
      </c>
      <c r="R102" s="18" t="str">
        <f aca="false">IF(B102="","",COUNTIFS(開通管理!$B$5:$B$604,B102,開通管理!$O$5:$O$604,"開通済"))</f>
        <v/>
      </c>
      <c r="S102" s="19" t="str">
        <f aca="false">IF(B102="","",IF(Q102=0,"未申込",IF(R102&lt;Q102,"開通待ち（"&amp;R102&amp;"/"&amp;Q102&amp;"）","全開通")))</f>
        <v/>
      </c>
      <c r="T102" s="20" t="str">
        <f aca="false">IF(S102&lt;&gt;"全開通","",_xlfn.MAXIFS(開通管理!$Q$5:$Q$604,開通管理!$B$5:$B$604,B102))</f>
        <v/>
      </c>
      <c r="U102" s="21" t="str">
        <f aca="false">IF(B102="","",SUMIFS(開通管理!$J$5:$J$604,開通管理!$B$5:$B$604,B102,開通管理!$O$5:$O$604,"&lt;&gt;キャンセル"))</f>
        <v/>
      </c>
      <c r="V102" s="22"/>
      <c r="W102" s="12" t="str">
        <f aca="false">IF(OR(B102="",設定!$B$14=""),"",SUBSTITUTE(設定!$B$14,"__ID__",B102))</f>
        <v/>
      </c>
      <c r="X102" s="22"/>
      <c r="Y102" s="22"/>
      <c r="Z102" s="22"/>
      <c r="AA102" s="20" t="str">
        <f aca="false">IF(Z102="","",WORKDAY(Z102,設定!$B$5,設定!$F$5:$F$120))</f>
        <v/>
      </c>
      <c r="AB102" s="17"/>
      <c r="AC102" s="17"/>
      <c r="AD102" s="17"/>
      <c r="AE102" s="17"/>
      <c r="AF102" s="22"/>
      <c r="AG102" s="17"/>
      <c r="AH102" s="20" t="str">
        <f aca="false">IF(T102="","",EDATE(T102,設定!$B$8))</f>
        <v/>
      </c>
      <c r="AI102" s="17"/>
      <c r="AJ102" s="17"/>
      <c r="AK102" s="22"/>
      <c r="AL102" s="23" t="str">
        <f aca="true">IF(C102="","",IF(N102="失注","―",IF(AND(AK102&lt;&gt;"",AK102&lt;TODAY()),"対応期限超過",IF(AND(AF102="",AA102&lt;&gt;"",IF(AA102="",FALSE(),AA102&lt;TODAY())),"納品遅延",IF(AND(AK102&lt;&gt;"",AK102=TODAY()),"本日対応",IF(AND(S102="全開通",X102="",AF102=""),"ヒアリング依頼待ち",IF(AND(X102&lt;&gt;"",Y102="",Z102="",TODAY()-X102&gt;=設定!$B$6),"ヒアリング未回収",IF(AND(Y102&lt;&gt;"",Z102=""),"素材確認待ち",IF(AND(AF102="",AA102&lt;&gt;"",IF(AA102="",FALSE(),AA102-TODAY()&lt;=設定!$B$7)),"納品間近",IF(AND(AH102&lt;&gt;"",IF(AH102="",FALSE(),AH102&lt;=TODAY()),AI102=""),"解約チェック",IF(AF102&lt;&gt;"","納品済","")))))))))))</f>
        <v/>
      </c>
      <c r="AM102" s="17"/>
    </row>
    <row r="103" customFormat="false" ht="15" hidden="false" customHeight="false" outlineLevel="0" collapsed="false">
      <c r="A103" s="12" t="str">
        <f aca="false">IF(C103="","",ROW()-4)</f>
        <v/>
      </c>
      <c r="B103" s="17"/>
      <c r="C103" s="17"/>
      <c r="D103" s="17"/>
      <c r="E103" s="17"/>
      <c r="F103" s="24"/>
      <c r="G103" s="17"/>
      <c r="H103" s="17"/>
      <c r="I103" s="17"/>
      <c r="J103" s="17"/>
      <c r="K103" s="17"/>
      <c r="L103" s="22"/>
      <c r="M103" s="22"/>
      <c r="N103" s="17"/>
      <c r="O103" s="17"/>
      <c r="P103" s="17"/>
      <c r="Q103" s="18" t="str">
        <f aca="false">IF(B103="","",COUNTIFS(開通管理!$B$5:$B$604,B103,開通管理!$O$5:$O$604,"&lt;&gt;キャンセル"))</f>
        <v/>
      </c>
      <c r="R103" s="18" t="str">
        <f aca="false">IF(B103="","",COUNTIFS(開通管理!$B$5:$B$604,B103,開通管理!$O$5:$O$604,"開通済"))</f>
        <v/>
      </c>
      <c r="S103" s="19" t="str">
        <f aca="false">IF(B103="","",IF(Q103=0,"未申込",IF(R103&lt;Q103,"開通待ち（"&amp;R103&amp;"/"&amp;Q103&amp;"）","全開通")))</f>
        <v/>
      </c>
      <c r="T103" s="20" t="str">
        <f aca="false">IF(S103&lt;&gt;"全開通","",_xlfn.MAXIFS(開通管理!$Q$5:$Q$604,開通管理!$B$5:$B$604,B103))</f>
        <v/>
      </c>
      <c r="U103" s="21" t="str">
        <f aca="false">IF(B103="","",SUMIFS(開通管理!$J$5:$J$604,開通管理!$B$5:$B$604,B103,開通管理!$O$5:$O$604,"&lt;&gt;キャンセル"))</f>
        <v/>
      </c>
      <c r="V103" s="22"/>
      <c r="W103" s="12" t="str">
        <f aca="false">IF(OR(B103="",設定!$B$14=""),"",SUBSTITUTE(設定!$B$14,"__ID__",B103))</f>
        <v/>
      </c>
      <c r="X103" s="22"/>
      <c r="Y103" s="22"/>
      <c r="Z103" s="22"/>
      <c r="AA103" s="20" t="str">
        <f aca="false">IF(Z103="","",WORKDAY(Z103,設定!$B$5,設定!$F$5:$F$120))</f>
        <v/>
      </c>
      <c r="AB103" s="17"/>
      <c r="AC103" s="17"/>
      <c r="AD103" s="17"/>
      <c r="AE103" s="17"/>
      <c r="AF103" s="22"/>
      <c r="AG103" s="17"/>
      <c r="AH103" s="20" t="str">
        <f aca="false">IF(T103="","",EDATE(T103,設定!$B$8))</f>
        <v/>
      </c>
      <c r="AI103" s="17"/>
      <c r="AJ103" s="17"/>
      <c r="AK103" s="22"/>
      <c r="AL103" s="23" t="str">
        <f aca="true">IF(C103="","",IF(N103="失注","―",IF(AND(AK103&lt;&gt;"",AK103&lt;TODAY()),"対応期限超過",IF(AND(AF103="",AA103&lt;&gt;"",IF(AA103="",FALSE(),AA103&lt;TODAY())),"納品遅延",IF(AND(AK103&lt;&gt;"",AK103=TODAY()),"本日対応",IF(AND(S103="全開通",X103="",AF103=""),"ヒアリング依頼待ち",IF(AND(X103&lt;&gt;"",Y103="",Z103="",TODAY()-X103&gt;=設定!$B$6),"ヒアリング未回収",IF(AND(Y103&lt;&gt;"",Z103=""),"素材確認待ち",IF(AND(AF103="",AA103&lt;&gt;"",IF(AA103="",FALSE(),AA103-TODAY()&lt;=設定!$B$7)),"納品間近",IF(AND(AH103&lt;&gt;"",IF(AH103="",FALSE(),AH103&lt;=TODAY()),AI103=""),"解約チェック",IF(AF103&lt;&gt;"","納品済","")))))))))))</f>
        <v/>
      </c>
      <c r="AM103" s="17"/>
    </row>
    <row r="104" customFormat="false" ht="15" hidden="false" customHeight="false" outlineLevel="0" collapsed="false">
      <c r="A104" s="12" t="str">
        <f aca="false">IF(C104="","",ROW()-4)</f>
        <v/>
      </c>
      <c r="B104" s="17"/>
      <c r="C104" s="17"/>
      <c r="D104" s="17"/>
      <c r="E104" s="17"/>
      <c r="F104" s="24"/>
      <c r="G104" s="17"/>
      <c r="H104" s="17"/>
      <c r="I104" s="17"/>
      <c r="J104" s="17"/>
      <c r="K104" s="17"/>
      <c r="L104" s="22"/>
      <c r="M104" s="22"/>
      <c r="N104" s="17"/>
      <c r="O104" s="17"/>
      <c r="P104" s="17"/>
      <c r="Q104" s="18" t="str">
        <f aca="false">IF(B104="","",COUNTIFS(開通管理!$B$5:$B$604,B104,開通管理!$O$5:$O$604,"&lt;&gt;キャンセル"))</f>
        <v/>
      </c>
      <c r="R104" s="18" t="str">
        <f aca="false">IF(B104="","",COUNTIFS(開通管理!$B$5:$B$604,B104,開通管理!$O$5:$O$604,"開通済"))</f>
        <v/>
      </c>
      <c r="S104" s="19" t="str">
        <f aca="false">IF(B104="","",IF(Q104=0,"未申込",IF(R104&lt;Q104,"開通待ち（"&amp;R104&amp;"/"&amp;Q104&amp;"）","全開通")))</f>
        <v/>
      </c>
      <c r="T104" s="20" t="str">
        <f aca="false">IF(S104&lt;&gt;"全開通","",_xlfn.MAXIFS(開通管理!$Q$5:$Q$604,開通管理!$B$5:$B$604,B104))</f>
        <v/>
      </c>
      <c r="U104" s="21" t="str">
        <f aca="false">IF(B104="","",SUMIFS(開通管理!$J$5:$J$604,開通管理!$B$5:$B$604,B104,開通管理!$O$5:$O$604,"&lt;&gt;キャンセル"))</f>
        <v/>
      </c>
      <c r="V104" s="22"/>
      <c r="W104" s="12" t="str">
        <f aca="false">IF(OR(B104="",設定!$B$14=""),"",SUBSTITUTE(設定!$B$14,"__ID__",B104))</f>
        <v/>
      </c>
      <c r="X104" s="22"/>
      <c r="Y104" s="22"/>
      <c r="Z104" s="22"/>
      <c r="AA104" s="20" t="str">
        <f aca="false">IF(Z104="","",WORKDAY(Z104,設定!$B$5,設定!$F$5:$F$120))</f>
        <v/>
      </c>
      <c r="AB104" s="17"/>
      <c r="AC104" s="17"/>
      <c r="AD104" s="17"/>
      <c r="AE104" s="17"/>
      <c r="AF104" s="22"/>
      <c r="AG104" s="17"/>
      <c r="AH104" s="20" t="str">
        <f aca="false">IF(T104="","",EDATE(T104,設定!$B$8))</f>
        <v/>
      </c>
      <c r="AI104" s="17"/>
      <c r="AJ104" s="17"/>
      <c r="AK104" s="22"/>
      <c r="AL104" s="23" t="str">
        <f aca="true">IF(C104="","",IF(N104="失注","―",IF(AND(AK104&lt;&gt;"",AK104&lt;TODAY()),"対応期限超過",IF(AND(AF104="",AA104&lt;&gt;"",IF(AA104="",FALSE(),AA104&lt;TODAY())),"納品遅延",IF(AND(AK104&lt;&gt;"",AK104=TODAY()),"本日対応",IF(AND(S104="全開通",X104="",AF104=""),"ヒアリング依頼待ち",IF(AND(X104&lt;&gt;"",Y104="",Z104="",TODAY()-X104&gt;=設定!$B$6),"ヒアリング未回収",IF(AND(Y104&lt;&gt;"",Z104=""),"素材確認待ち",IF(AND(AF104="",AA104&lt;&gt;"",IF(AA104="",FALSE(),AA104-TODAY()&lt;=設定!$B$7)),"納品間近",IF(AND(AH104&lt;&gt;"",IF(AH104="",FALSE(),AH104&lt;=TODAY()),AI104=""),"解約チェック",IF(AF104&lt;&gt;"","納品済","")))))))))))</f>
        <v/>
      </c>
      <c r="AM104" s="17"/>
    </row>
    <row r="105" customFormat="false" ht="15" hidden="false" customHeight="false" outlineLevel="0" collapsed="false">
      <c r="A105" s="12" t="str">
        <f aca="false">IF(C105="","",ROW()-4)</f>
        <v/>
      </c>
      <c r="B105" s="17"/>
      <c r="C105" s="17"/>
      <c r="D105" s="17"/>
      <c r="E105" s="17"/>
      <c r="F105" s="24"/>
      <c r="G105" s="17"/>
      <c r="H105" s="17"/>
      <c r="I105" s="17"/>
      <c r="J105" s="17"/>
      <c r="K105" s="17"/>
      <c r="L105" s="22"/>
      <c r="M105" s="22"/>
      <c r="N105" s="17"/>
      <c r="O105" s="17"/>
      <c r="P105" s="17"/>
      <c r="Q105" s="18" t="str">
        <f aca="false">IF(B105="","",COUNTIFS(開通管理!$B$5:$B$604,B105,開通管理!$O$5:$O$604,"&lt;&gt;キャンセル"))</f>
        <v/>
      </c>
      <c r="R105" s="18" t="str">
        <f aca="false">IF(B105="","",COUNTIFS(開通管理!$B$5:$B$604,B105,開通管理!$O$5:$O$604,"開通済"))</f>
        <v/>
      </c>
      <c r="S105" s="19" t="str">
        <f aca="false">IF(B105="","",IF(Q105=0,"未申込",IF(R105&lt;Q105,"開通待ち（"&amp;R105&amp;"/"&amp;Q105&amp;"）","全開通")))</f>
        <v/>
      </c>
      <c r="T105" s="20" t="str">
        <f aca="false">IF(S105&lt;&gt;"全開通","",_xlfn.MAXIFS(開通管理!$Q$5:$Q$604,開通管理!$B$5:$B$604,B105))</f>
        <v/>
      </c>
      <c r="U105" s="21" t="str">
        <f aca="false">IF(B105="","",SUMIFS(開通管理!$J$5:$J$604,開通管理!$B$5:$B$604,B105,開通管理!$O$5:$O$604,"&lt;&gt;キャンセル"))</f>
        <v/>
      </c>
      <c r="V105" s="22"/>
      <c r="W105" s="12" t="str">
        <f aca="false">IF(OR(B105="",設定!$B$14=""),"",SUBSTITUTE(設定!$B$14,"__ID__",B105))</f>
        <v/>
      </c>
      <c r="X105" s="22"/>
      <c r="Y105" s="22"/>
      <c r="Z105" s="22"/>
      <c r="AA105" s="20" t="str">
        <f aca="false">IF(Z105="","",WORKDAY(Z105,設定!$B$5,設定!$F$5:$F$120))</f>
        <v/>
      </c>
      <c r="AB105" s="17"/>
      <c r="AC105" s="17"/>
      <c r="AD105" s="17"/>
      <c r="AE105" s="17"/>
      <c r="AF105" s="22"/>
      <c r="AG105" s="17"/>
      <c r="AH105" s="20" t="str">
        <f aca="false">IF(T105="","",EDATE(T105,設定!$B$8))</f>
        <v/>
      </c>
      <c r="AI105" s="17"/>
      <c r="AJ105" s="17"/>
      <c r="AK105" s="22"/>
      <c r="AL105" s="23" t="str">
        <f aca="true">IF(C105="","",IF(N105="失注","―",IF(AND(AK105&lt;&gt;"",AK105&lt;TODAY()),"対応期限超過",IF(AND(AF105="",AA105&lt;&gt;"",IF(AA105="",FALSE(),AA105&lt;TODAY())),"納品遅延",IF(AND(AK105&lt;&gt;"",AK105=TODAY()),"本日対応",IF(AND(S105="全開通",X105="",AF105=""),"ヒアリング依頼待ち",IF(AND(X105&lt;&gt;"",Y105="",Z105="",TODAY()-X105&gt;=設定!$B$6),"ヒアリング未回収",IF(AND(Y105&lt;&gt;"",Z105=""),"素材確認待ち",IF(AND(AF105="",AA105&lt;&gt;"",IF(AA105="",FALSE(),AA105-TODAY()&lt;=設定!$B$7)),"納品間近",IF(AND(AH105&lt;&gt;"",IF(AH105="",FALSE(),AH105&lt;=TODAY()),AI105=""),"解約チェック",IF(AF105&lt;&gt;"","納品済","")))))))))))</f>
        <v/>
      </c>
      <c r="AM105" s="17"/>
    </row>
    <row r="106" customFormat="false" ht="15" hidden="false" customHeight="false" outlineLevel="0" collapsed="false">
      <c r="A106" s="12" t="str">
        <f aca="false">IF(C106="","",ROW()-4)</f>
        <v/>
      </c>
      <c r="B106" s="17"/>
      <c r="C106" s="17"/>
      <c r="D106" s="17"/>
      <c r="E106" s="17"/>
      <c r="F106" s="24"/>
      <c r="G106" s="17"/>
      <c r="H106" s="17"/>
      <c r="I106" s="17"/>
      <c r="J106" s="17"/>
      <c r="K106" s="17"/>
      <c r="L106" s="22"/>
      <c r="M106" s="22"/>
      <c r="N106" s="17"/>
      <c r="O106" s="17"/>
      <c r="P106" s="17"/>
      <c r="Q106" s="18" t="str">
        <f aca="false">IF(B106="","",COUNTIFS(開通管理!$B$5:$B$604,B106,開通管理!$O$5:$O$604,"&lt;&gt;キャンセル"))</f>
        <v/>
      </c>
      <c r="R106" s="18" t="str">
        <f aca="false">IF(B106="","",COUNTIFS(開通管理!$B$5:$B$604,B106,開通管理!$O$5:$O$604,"開通済"))</f>
        <v/>
      </c>
      <c r="S106" s="19" t="str">
        <f aca="false">IF(B106="","",IF(Q106=0,"未申込",IF(R106&lt;Q106,"開通待ち（"&amp;R106&amp;"/"&amp;Q106&amp;"）","全開通")))</f>
        <v/>
      </c>
      <c r="T106" s="20" t="str">
        <f aca="false">IF(S106&lt;&gt;"全開通","",_xlfn.MAXIFS(開通管理!$Q$5:$Q$604,開通管理!$B$5:$B$604,B106))</f>
        <v/>
      </c>
      <c r="U106" s="21" t="str">
        <f aca="false">IF(B106="","",SUMIFS(開通管理!$J$5:$J$604,開通管理!$B$5:$B$604,B106,開通管理!$O$5:$O$604,"&lt;&gt;キャンセル"))</f>
        <v/>
      </c>
      <c r="V106" s="22"/>
      <c r="W106" s="12" t="str">
        <f aca="false">IF(OR(B106="",設定!$B$14=""),"",SUBSTITUTE(設定!$B$14,"__ID__",B106))</f>
        <v/>
      </c>
      <c r="X106" s="22"/>
      <c r="Y106" s="22"/>
      <c r="Z106" s="22"/>
      <c r="AA106" s="20" t="str">
        <f aca="false">IF(Z106="","",WORKDAY(Z106,設定!$B$5,設定!$F$5:$F$120))</f>
        <v/>
      </c>
      <c r="AB106" s="17"/>
      <c r="AC106" s="17"/>
      <c r="AD106" s="17"/>
      <c r="AE106" s="17"/>
      <c r="AF106" s="22"/>
      <c r="AG106" s="17"/>
      <c r="AH106" s="20" t="str">
        <f aca="false">IF(T106="","",EDATE(T106,設定!$B$8))</f>
        <v/>
      </c>
      <c r="AI106" s="17"/>
      <c r="AJ106" s="17"/>
      <c r="AK106" s="22"/>
      <c r="AL106" s="23" t="str">
        <f aca="true">IF(C106="","",IF(N106="失注","―",IF(AND(AK106&lt;&gt;"",AK106&lt;TODAY()),"対応期限超過",IF(AND(AF106="",AA106&lt;&gt;"",IF(AA106="",FALSE(),AA106&lt;TODAY())),"納品遅延",IF(AND(AK106&lt;&gt;"",AK106=TODAY()),"本日対応",IF(AND(S106="全開通",X106="",AF106=""),"ヒアリング依頼待ち",IF(AND(X106&lt;&gt;"",Y106="",Z106="",TODAY()-X106&gt;=設定!$B$6),"ヒアリング未回収",IF(AND(Y106&lt;&gt;"",Z106=""),"素材確認待ち",IF(AND(AF106="",AA106&lt;&gt;"",IF(AA106="",FALSE(),AA106-TODAY()&lt;=設定!$B$7)),"納品間近",IF(AND(AH106&lt;&gt;"",IF(AH106="",FALSE(),AH106&lt;=TODAY()),AI106=""),"解約チェック",IF(AF106&lt;&gt;"","納品済","")))))))))))</f>
        <v/>
      </c>
      <c r="AM106" s="17"/>
    </row>
    <row r="107" customFormat="false" ht="15" hidden="false" customHeight="false" outlineLevel="0" collapsed="false">
      <c r="A107" s="12" t="str">
        <f aca="false">IF(C107="","",ROW()-4)</f>
        <v/>
      </c>
      <c r="B107" s="17"/>
      <c r="C107" s="17"/>
      <c r="D107" s="17"/>
      <c r="E107" s="17"/>
      <c r="F107" s="24"/>
      <c r="G107" s="17"/>
      <c r="H107" s="17"/>
      <c r="I107" s="17"/>
      <c r="J107" s="17"/>
      <c r="K107" s="17"/>
      <c r="L107" s="22"/>
      <c r="M107" s="22"/>
      <c r="N107" s="17"/>
      <c r="O107" s="17"/>
      <c r="P107" s="17"/>
      <c r="Q107" s="18" t="str">
        <f aca="false">IF(B107="","",COUNTIFS(開通管理!$B$5:$B$604,B107,開通管理!$O$5:$O$604,"&lt;&gt;キャンセル"))</f>
        <v/>
      </c>
      <c r="R107" s="18" t="str">
        <f aca="false">IF(B107="","",COUNTIFS(開通管理!$B$5:$B$604,B107,開通管理!$O$5:$O$604,"開通済"))</f>
        <v/>
      </c>
      <c r="S107" s="19" t="str">
        <f aca="false">IF(B107="","",IF(Q107=0,"未申込",IF(R107&lt;Q107,"開通待ち（"&amp;R107&amp;"/"&amp;Q107&amp;"）","全開通")))</f>
        <v/>
      </c>
      <c r="T107" s="20" t="str">
        <f aca="false">IF(S107&lt;&gt;"全開通","",_xlfn.MAXIFS(開通管理!$Q$5:$Q$604,開通管理!$B$5:$B$604,B107))</f>
        <v/>
      </c>
      <c r="U107" s="21" t="str">
        <f aca="false">IF(B107="","",SUMIFS(開通管理!$J$5:$J$604,開通管理!$B$5:$B$604,B107,開通管理!$O$5:$O$604,"&lt;&gt;キャンセル"))</f>
        <v/>
      </c>
      <c r="V107" s="22"/>
      <c r="W107" s="12" t="str">
        <f aca="false">IF(OR(B107="",設定!$B$14=""),"",SUBSTITUTE(設定!$B$14,"__ID__",B107))</f>
        <v/>
      </c>
      <c r="X107" s="22"/>
      <c r="Y107" s="22"/>
      <c r="Z107" s="22"/>
      <c r="AA107" s="20" t="str">
        <f aca="false">IF(Z107="","",WORKDAY(Z107,設定!$B$5,設定!$F$5:$F$120))</f>
        <v/>
      </c>
      <c r="AB107" s="17"/>
      <c r="AC107" s="17"/>
      <c r="AD107" s="17"/>
      <c r="AE107" s="17"/>
      <c r="AF107" s="22"/>
      <c r="AG107" s="17"/>
      <c r="AH107" s="20" t="str">
        <f aca="false">IF(T107="","",EDATE(T107,設定!$B$8))</f>
        <v/>
      </c>
      <c r="AI107" s="17"/>
      <c r="AJ107" s="17"/>
      <c r="AK107" s="22"/>
      <c r="AL107" s="23" t="str">
        <f aca="true">IF(C107="","",IF(N107="失注","―",IF(AND(AK107&lt;&gt;"",AK107&lt;TODAY()),"対応期限超過",IF(AND(AF107="",AA107&lt;&gt;"",IF(AA107="",FALSE(),AA107&lt;TODAY())),"納品遅延",IF(AND(AK107&lt;&gt;"",AK107=TODAY()),"本日対応",IF(AND(S107="全開通",X107="",AF107=""),"ヒアリング依頼待ち",IF(AND(X107&lt;&gt;"",Y107="",Z107="",TODAY()-X107&gt;=設定!$B$6),"ヒアリング未回収",IF(AND(Y107&lt;&gt;"",Z107=""),"素材確認待ち",IF(AND(AF107="",AA107&lt;&gt;"",IF(AA107="",FALSE(),AA107-TODAY()&lt;=設定!$B$7)),"納品間近",IF(AND(AH107&lt;&gt;"",IF(AH107="",FALSE(),AH107&lt;=TODAY()),AI107=""),"解約チェック",IF(AF107&lt;&gt;"","納品済","")))))))))))</f>
        <v/>
      </c>
      <c r="AM107" s="17"/>
    </row>
    <row r="108" customFormat="false" ht="15" hidden="false" customHeight="false" outlineLevel="0" collapsed="false">
      <c r="A108" s="12" t="str">
        <f aca="false">IF(C108="","",ROW()-4)</f>
        <v/>
      </c>
      <c r="B108" s="17"/>
      <c r="C108" s="17"/>
      <c r="D108" s="17"/>
      <c r="E108" s="17"/>
      <c r="F108" s="24"/>
      <c r="G108" s="17"/>
      <c r="H108" s="17"/>
      <c r="I108" s="17"/>
      <c r="J108" s="17"/>
      <c r="K108" s="17"/>
      <c r="L108" s="22"/>
      <c r="M108" s="22"/>
      <c r="N108" s="17"/>
      <c r="O108" s="17"/>
      <c r="P108" s="17"/>
      <c r="Q108" s="18" t="str">
        <f aca="false">IF(B108="","",COUNTIFS(開通管理!$B$5:$B$604,B108,開通管理!$O$5:$O$604,"&lt;&gt;キャンセル"))</f>
        <v/>
      </c>
      <c r="R108" s="18" t="str">
        <f aca="false">IF(B108="","",COUNTIFS(開通管理!$B$5:$B$604,B108,開通管理!$O$5:$O$604,"開通済"))</f>
        <v/>
      </c>
      <c r="S108" s="19" t="str">
        <f aca="false">IF(B108="","",IF(Q108=0,"未申込",IF(R108&lt;Q108,"開通待ち（"&amp;R108&amp;"/"&amp;Q108&amp;"）","全開通")))</f>
        <v/>
      </c>
      <c r="T108" s="20" t="str">
        <f aca="false">IF(S108&lt;&gt;"全開通","",_xlfn.MAXIFS(開通管理!$Q$5:$Q$604,開通管理!$B$5:$B$604,B108))</f>
        <v/>
      </c>
      <c r="U108" s="21" t="str">
        <f aca="false">IF(B108="","",SUMIFS(開通管理!$J$5:$J$604,開通管理!$B$5:$B$604,B108,開通管理!$O$5:$O$604,"&lt;&gt;キャンセル"))</f>
        <v/>
      </c>
      <c r="V108" s="22"/>
      <c r="W108" s="12" t="str">
        <f aca="false">IF(OR(B108="",設定!$B$14=""),"",SUBSTITUTE(設定!$B$14,"__ID__",B108))</f>
        <v/>
      </c>
      <c r="X108" s="22"/>
      <c r="Y108" s="22"/>
      <c r="Z108" s="22"/>
      <c r="AA108" s="20" t="str">
        <f aca="false">IF(Z108="","",WORKDAY(Z108,設定!$B$5,設定!$F$5:$F$120))</f>
        <v/>
      </c>
      <c r="AB108" s="17"/>
      <c r="AC108" s="17"/>
      <c r="AD108" s="17"/>
      <c r="AE108" s="17"/>
      <c r="AF108" s="22"/>
      <c r="AG108" s="17"/>
      <c r="AH108" s="20" t="str">
        <f aca="false">IF(T108="","",EDATE(T108,設定!$B$8))</f>
        <v/>
      </c>
      <c r="AI108" s="17"/>
      <c r="AJ108" s="17"/>
      <c r="AK108" s="22"/>
      <c r="AL108" s="23" t="str">
        <f aca="true">IF(C108="","",IF(N108="失注","―",IF(AND(AK108&lt;&gt;"",AK108&lt;TODAY()),"対応期限超過",IF(AND(AF108="",AA108&lt;&gt;"",IF(AA108="",FALSE(),AA108&lt;TODAY())),"納品遅延",IF(AND(AK108&lt;&gt;"",AK108=TODAY()),"本日対応",IF(AND(S108="全開通",X108="",AF108=""),"ヒアリング依頼待ち",IF(AND(X108&lt;&gt;"",Y108="",Z108="",TODAY()-X108&gt;=設定!$B$6),"ヒアリング未回収",IF(AND(Y108&lt;&gt;"",Z108=""),"素材確認待ち",IF(AND(AF108="",AA108&lt;&gt;"",IF(AA108="",FALSE(),AA108-TODAY()&lt;=設定!$B$7)),"納品間近",IF(AND(AH108&lt;&gt;"",IF(AH108="",FALSE(),AH108&lt;=TODAY()),AI108=""),"解約チェック",IF(AF108&lt;&gt;"","納品済","")))))))))))</f>
        <v/>
      </c>
      <c r="AM108" s="17"/>
    </row>
    <row r="109" customFormat="false" ht="15" hidden="false" customHeight="false" outlineLevel="0" collapsed="false">
      <c r="A109" s="12" t="str">
        <f aca="false">IF(C109="","",ROW()-4)</f>
        <v/>
      </c>
      <c r="B109" s="17"/>
      <c r="C109" s="17"/>
      <c r="D109" s="17"/>
      <c r="E109" s="17"/>
      <c r="F109" s="24"/>
      <c r="G109" s="17"/>
      <c r="H109" s="17"/>
      <c r="I109" s="17"/>
      <c r="J109" s="17"/>
      <c r="K109" s="17"/>
      <c r="L109" s="22"/>
      <c r="M109" s="22"/>
      <c r="N109" s="17"/>
      <c r="O109" s="17"/>
      <c r="P109" s="17"/>
      <c r="Q109" s="18" t="str">
        <f aca="false">IF(B109="","",COUNTIFS(開通管理!$B$5:$B$604,B109,開通管理!$O$5:$O$604,"&lt;&gt;キャンセル"))</f>
        <v/>
      </c>
      <c r="R109" s="18" t="str">
        <f aca="false">IF(B109="","",COUNTIFS(開通管理!$B$5:$B$604,B109,開通管理!$O$5:$O$604,"開通済"))</f>
        <v/>
      </c>
      <c r="S109" s="19" t="str">
        <f aca="false">IF(B109="","",IF(Q109=0,"未申込",IF(R109&lt;Q109,"開通待ち（"&amp;R109&amp;"/"&amp;Q109&amp;"）","全開通")))</f>
        <v/>
      </c>
      <c r="T109" s="20" t="str">
        <f aca="false">IF(S109&lt;&gt;"全開通","",_xlfn.MAXIFS(開通管理!$Q$5:$Q$604,開通管理!$B$5:$B$604,B109))</f>
        <v/>
      </c>
      <c r="U109" s="21" t="str">
        <f aca="false">IF(B109="","",SUMIFS(開通管理!$J$5:$J$604,開通管理!$B$5:$B$604,B109,開通管理!$O$5:$O$604,"&lt;&gt;キャンセル"))</f>
        <v/>
      </c>
      <c r="V109" s="22"/>
      <c r="W109" s="12" t="str">
        <f aca="false">IF(OR(B109="",設定!$B$14=""),"",SUBSTITUTE(設定!$B$14,"__ID__",B109))</f>
        <v/>
      </c>
      <c r="X109" s="22"/>
      <c r="Y109" s="22"/>
      <c r="Z109" s="22"/>
      <c r="AA109" s="20" t="str">
        <f aca="false">IF(Z109="","",WORKDAY(Z109,設定!$B$5,設定!$F$5:$F$120))</f>
        <v/>
      </c>
      <c r="AB109" s="17"/>
      <c r="AC109" s="17"/>
      <c r="AD109" s="17"/>
      <c r="AE109" s="17"/>
      <c r="AF109" s="22"/>
      <c r="AG109" s="17"/>
      <c r="AH109" s="20" t="str">
        <f aca="false">IF(T109="","",EDATE(T109,設定!$B$8))</f>
        <v/>
      </c>
      <c r="AI109" s="17"/>
      <c r="AJ109" s="17"/>
      <c r="AK109" s="22"/>
      <c r="AL109" s="23" t="str">
        <f aca="true">IF(C109="","",IF(N109="失注","―",IF(AND(AK109&lt;&gt;"",AK109&lt;TODAY()),"対応期限超過",IF(AND(AF109="",AA109&lt;&gt;"",IF(AA109="",FALSE(),AA109&lt;TODAY())),"納品遅延",IF(AND(AK109&lt;&gt;"",AK109=TODAY()),"本日対応",IF(AND(S109="全開通",X109="",AF109=""),"ヒアリング依頼待ち",IF(AND(X109&lt;&gt;"",Y109="",Z109="",TODAY()-X109&gt;=設定!$B$6),"ヒアリング未回収",IF(AND(Y109&lt;&gt;"",Z109=""),"素材確認待ち",IF(AND(AF109="",AA109&lt;&gt;"",IF(AA109="",FALSE(),AA109-TODAY()&lt;=設定!$B$7)),"納品間近",IF(AND(AH109&lt;&gt;"",IF(AH109="",FALSE(),AH109&lt;=TODAY()),AI109=""),"解約チェック",IF(AF109&lt;&gt;"","納品済","")))))))))))</f>
        <v/>
      </c>
      <c r="AM109" s="17"/>
    </row>
    <row r="110" customFormat="false" ht="15" hidden="false" customHeight="false" outlineLevel="0" collapsed="false">
      <c r="A110" s="12" t="str">
        <f aca="false">IF(C110="","",ROW()-4)</f>
        <v/>
      </c>
      <c r="B110" s="17"/>
      <c r="C110" s="17"/>
      <c r="D110" s="17"/>
      <c r="E110" s="17"/>
      <c r="F110" s="24"/>
      <c r="G110" s="17"/>
      <c r="H110" s="17"/>
      <c r="I110" s="17"/>
      <c r="J110" s="17"/>
      <c r="K110" s="17"/>
      <c r="L110" s="22"/>
      <c r="M110" s="22"/>
      <c r="N110" s="17"/>
      <c r="O110" s="17"/>
      <c r="P110" s="17"/>
      <c r="Q110" s="18" t="str">
        <f aca="false">IF(B110="","",COUNTIFS(開通管理!$B$5:$B$604,B110,開通管理!$O$5:$O$604,"&lt;&gt;キャンセル"))</f>
        <v/>
      </c>
      <c r="R110" s="18" t="str">
        <f aca="false">IF(B110="","",COUNTIFS(開通管理!$B$5:$B$604,B110,開通管理!$O$5:$O$604,"開通済"))</f>
        <v/>
      </c>
      <c r="S110" s="19" t="str">
        <f aca="false">IF(B110="","",IF(Q110=0,"未申込",IF(R110&lt;Q110,"開通待ち（"&amp;R110&amp;"/"&amp;Q110&amp;"）","全開通")))</f>
        <v/>
      </c>
      <c r="T110" s="20" t="str">
        <f aca="false">IF(S110&lt;&gt;"全開通","",_xlfn.MAXIFS(開通管理!$Q$5:$Q$604,開通管理!$B$5:$B$604,B110))</f>
        <v/>
      </c>
      <c r="U110" s="21" t="str">
        <f aca="false">IF(B110="","",SUMIFS(開通管理!$J$5:$J$604,開通管理!$B$5:$B$604,B110,開通管理!$O$5:$O$604,"&lt;&gt;キャンセル"))</f>
        <v/>
      </c>
      <c r="V110" s="22"/>
      <c r="W110" s="12" t="str">
        <f aca="false">IF(OR(B110="",設定!$B$14=""),"",SUBSTITUTE(設定!$B$14,"__ID__",B110))</f>
        <v/>
      </c>
      <c r="X110" s="22"/>
      <c r="Y110" s="22"/>
      <c r="Z110" s="22"/>
      <c r="AA110" s="20" t="str">
        <f aca="false">IF(Z110="","",WORKDAY(Z110,設定!$B$5,設定!$F$5:$F$120))</f>
        <v/>
      </c>
      <c r="AB110" s="17"/>
      <c r="AC110" s="17"/>
      <c r="AD110" s="17"/>
      <c r="AE110" s="17"/>
      <c r="AF110" s="22"/>
      <c r="AG110" s="17"/>
      <c r="AH110" s="20" t="str">
        <f aca="false">IF(T110="","",EDATE(T110,設定!$B$8))</f>
        <v/>
      </c>
      <c r="AI110" s="17"/>
      <c r="AJ110" s="17"/>
      <c r="AK110" s="22"/>
      <c r="AL110" s="23" t="str">
        <f aca="true">IF(C110="","",IF(N110="失注","―",IF(AND(AK110&lt;&gt;"",AK110&lt;TODAY()),"対応期限超過",IF(AND(AF110="",AA110&lt;&gt;"",IF(AA110="",FALSE(),AA110&lt;TODAY())),"納品遅延",IF(AND(AK110&lt;&gt;"",AK110=TODAY()),"本日対応",IF(AND(S110="全開通",X110="",AF110=""),"ヒアリング依頼待ち",IF(AND(X110&lt;&gt;"",Y110="",Z110="",TODAY()-X110&gt;=設定!$B$6),"ヒアリング未回収",IF(AND(Y110&lt;&gt;"",Z110=""),"素材確認待ち",IF(AND(AF110="",AA110&lt;&gt;"",IF(AA110="",FALSE(),AA110-TODAY()&lt;=設定!$B$7)),"納品間近",IF(AND(AH110&lt;&gt;"",IF(AH110="",FALSE(),AH110&lt;=TODAY()),AI110=""),"解約チェック",IF(AF110&lt;&gt;"","納品済","")))))))))))</f>
        <v/>
      </c>
      <c r="AM110" s="17"/>
    </row>
    <row r="111" customFormat="false" ht="15" hidden="false" customHeight="false" outlineLevel="0" collapsed="false">
      <c r="A111" s="12" t="str">
        <f aca="false">IF(C111="","",ROW()-4)</f>
        <v/>
      </c>
      <c r="B111" s="17"/>
      <c r="C111" s="17"/>
      <c r="D111" s="17"/>
      <c r="E111" s="17"/>
      <c r="F111" s="24"/>
      <c r="G111" s="17"/>
      <c r="H111" s="17"/>
      <c r="I111" s="17"/>
      <c r="J111" s="17"/>
      <c r="K111" s="17"/>
      <c r="L111" s="22"/>
      <c r="M111" s="22"/>
      <c r="N111" s="17"/>
      <c r="O111" s="17"/>
      <c r="P111" s="17"/>
      <c r="Q111" s="18" t="str">
        <f aca="false">IF(B111="","",COUNTIFS(開通管理!$B$5:$B$604,B111,開通管理!$O$5:$O$604,"&lt;&gt;キャンセル"))</f>
        <v/>
      </c>
      <c r="R111" s="18" t="str">
        <f aca="false">IF(B111="","",COUNTIFS(開通管理!$B$5:$B$604,B111,開通管理!$O$5:$O$604,"開通済"))</f>
        <v/>
      </c>
      <c r="S111" s="19" t="str">
        <f aca="false">IF(B111="","",IF(Q111=0,"未申込",IF(R111&lt;Q111,"開通待ち（"&amp;R111&amp;"/"&amp;Q111&amp;"）","全開通")))</f>
        <v/>
      </c>
      <c r="T111" s="20" t="str">
        <f aca="false">IF(S111&lt;&gt;"全開通","",_xlfn.MAXIFS(開通管理!$Q$5:$Q$604,開通管理!$B$5:$B$604,B111))</f>
        <v/>
      </c>
      <c r="U111" s="21" t="str">
        <f aca="false">IF(B111="","",SUMIFS(開通管理!$J$5:$J$604,開通管理!$B$5:$B$604,B111,開通管理!$O$5:$O$604,"&lt;&gt;キャンセル"))</f>
        <v/>
      </c>
      <c r="V111" s="22"/>
      <c r="W111" s="12" t="str">
        <f aca="false">IF(OR(B111="",設定!$B$14=""),"",SUBSTITUTE(設定!$B$14,"__ID__",B111))</f>
        <v/>
      </c>
      <c r="X111" s="22"/>
      <c r="Y111" s="22"/>
      <c r="Z111" s="22"/>
      <c r="AA111" s="20" t="str">
        <f aca="false">IF(Z111="","",WORKDAY(Z111,設定!$B$5,設定!$F$5:$F$120))</f>
        <v/>
      </c>
      <c r="AB111" s="17"/>
      <c r="AC111" s="17"/>
      <c r="AD111" s="17"/>
      <c r="AE111" s="17"/>
      <c r="AF111" s="22"/>
      <c r="AG111" s="17"/>
      <c r="AH111" s="20" t="str">
        <f aca="false">IF(T111="","",EDATE(T111,設定!$B$8))</f>
        <v/>
      </c>
      <c r="AI111" s="17"/>
      <c r="AJ111" s="17"/>
      <c r="AK111" s="22"/>
      <c r="AL111" s="23" t="str">
        <f aca="true">IF(C111="","",IF(N111="失注","―",IF(AND(AK111&lt;&gt;"",AK111&lt;TODAY()),"対応期限超過",IF(AND(AF111="",AA111&lt;&gt;"",IF(AA111="",FALSE(),AA111&lt;TODAY())),"納品遅延",IF(AND(AK111&lt;&gt;"",AK111=TODAY()),"本日対応",IF(AND(S111="全開通",X111="",AF111=""),"ヒアリング依頼待ち",IF(AND(X111&lt;&gt;"",Y111="",Z111="",TODAY()-X111&gt;=設定!$B$6),"ヒアリング未回収",IF(AND(Y111&lt;&gt;"",Z111=""),"素材確認待ち",IF(AND(AF111="",AA111&lt;&gt;"",IF(AA111="",FALSE(),AA111-TODAY()&lt;=設定!$B$7)),"納品間近",IF(AND(AH111&lt;&gt;"",IF(AH111="",FALSE(),AH111&lt;=TODAY()),AI111=""),"解約チェック",IF(AF111&lt;&gt;"","納品済","")))))))))))</f>
        <v/>
      </c>
      <c r="AM111" s="17"/>
    </row>
    <row r="112" customFormat="false" ht="15" hidden="false" customHeight="false" outlineLevel="0" collapsed="false">
      <c r="A112" s="12" t="str">
        <f aca="false">IF(C112="","",ROW()-4)</f>
        <v/>
      </c>
      <c r="B112" s="17"/>
      <c r="C112" s="17"/>
      <c r="D112" s="17"/>
      <c r="E112" s="17"/>
      <c r="F112" s="24"/>
      <c r="G112" s="17"/>
      <c r="H112" s="17"/>
      <c r="I112" s="17"/>
      <c r="J112" s="17"/>
      <c r="K112" s="17"/>
      <c r="L112" s="22"/>
      <c r="M112" s="22"/>
      <c r="N112" s="17"/>
      <c r="O112" s="17"/>
      <c r="P112" s="17"/>
      <c r="Q112" s="18" t="str">
        <f aca="false">IF(B112="","",COUNTIFS(開通管理!$B$5:$B$604,B112,開通管理!$O$5:$O$604,"&lt;&gt;キャンセル"))</f>
        <v/>
      </c>
      <c r="R112" s="18" t="str">
        <f aca="false">IF(B112="","",COUNTIFS(開通管理!$B$5:$B$604,B112,開通管理!$O$5:$O$604,"開通済"))</f>
        <v/>
      </c>
      <c r="S112" s="19" t="str">
        <f aca="false">IF(B112="","",IF(Q112=0,"未申込",IF(R112&lt;Q112,"開通待ち（"&amp;R112&amp;"/"&amp;Q112&amp;"）","全開通")))</f>
        <v/>
      </c>
      <c r="T112" s="20" t="str">
        <f aca="false">IF(S112&lt;&gt;"全開通","",_xlfn.MAXIFS(開通管理!$Q$5:$Q$604,開通管理!$B$5:$B$604,B112))</f>
        <v/>
      </c>
      <c r="U112" s="21" t="str">
        <f aca="false">IF(B112="","",SUMIFS(開通管理!$J$5:$J$604,開通管理!$B$5:$B$604,B112,開通管理!$O$5:$O$604,"&lt;&gt;キャンセル"))</f>
        <v/>
      </c>
      <c r="V112" s="22"/>
      <c r="W112" s="12" t="str">
        <f aca="false">IF(OR(B112="",設定!$B$14=""),"",SUBSTITUTE(設定!$B$14,"__ID__",B112))</f>
        <v/>
      </c>
      <c r="X112" s="22"/>
      <c r="Y112" s="22"/>
      <c r="Z112" s="22"/>
      <c r="AA112" s="20" t="str">
        <f aca="false">IF(Z112="","",WORKDAY(Z112,設定!$B$5,設定!$F$5:$F$120))</f>
        <v/>
      </c>
      <c r="AB112" s="17"/>
      <c r="AC112" s="17"/>
      <c r="AD112" s="17"/>
      <c r="AE112" s="17"/>
      <c r="AF112" s="22"/>
      <c r="AG112" s="17"/>
      <c r="AH112" s="20" t="str">
        <f aca="false">IF(T112="","",EDATE(T112,設定!$B$8))</f>
        <v/>
      </c>
      <c r="AI112" s="17"/>
      <c r="AJ112" s="17"/>
      <c r="AK112" s="22"/>
      <c r="AL112" s="23" t="str">
        <f aca="true">IF(C112="","",IF(N112="失注","―",IF(AND(AK112&lt;&gt;"",AK112&lt;TODAY()),"対応期限超過",IF(AND(AF112="",AA112&lt;&gt;"",IF(AA112="",FALSE(),AA112&lt;TODAY())),"納品遅延",IF(AND(AK112&lt;&gt;"",AK112=TODAY()),"本日対応",IF(AND(S112="全開通",X112="",AF112=""),"ヒアリング依頼待ち",IF(AND(X112&lt;&gt;"",Y112="",Z112="",TODAY()-X112&gt;=設定!$B$6),"ヒアリング未回収",IF(AND(Y112&lt;&gt;"",Z112=""),"素材確認待ち",IF(AND(AF112="",AA112&lt;&gt;"",IF(AA112="",FALSE(),AA112-TODAY()&lt;=設定!$B$7)),"納品間近",IF(AND(AH112&lt;&gt;"",IF(AH112="",FALSE(),AH112&lt;=TODAY()),AI112=""),"解約チェック",IF(AF112&lt;&gt;"","納品済","")))))))))))</f>
        <v/>
      </c>
      <c r="AM112" s="17"/>
    </row>
    <row r="113" customFormat="false" ht="15" hidden="false" customHeight="false" outlineLevel="0" collapsed="false">
      <c r="A113" s="12" t="str">
        <f aca="false">IF(C113="","",ROW()-4)</f>
        <v/>
      </c>
      <c r="B113" s="17"/>
      <c r="C113" s="17"/>
      <c r="D113" s="17"/>
      <c r="E113" s="17"/>
      <c r="F113" s="24"/>
      <c r="G113" s="17"/>
      <c r="H113" s="17"/>
      <c r="I113" s="17"/>
      <c r="J113" s="17"/>
      <c r="K113" s="17"/>
      <c r="L113" s="22"/>
      <c r="M113" s="22"/>
      <c r="N113" s="17"/>
      <c r="O113" s="17"/>
      <c r="P113" s="17"/>
      <c r="Q113" s="18" t="str">
        <f aca="false">IF(B113="","",COUNTIFS(開通管理!$B$5:$B$604,B113,開通管理!$O$5:$O$604,"&lt;&gt;キャンセル"))</f>
        <v/>
      </c>
      <c r="R113" s="18" t="str">
        <f aca="false">IF(B113="","",COUNTIFS(開通管理!$B$5:$B$604,B113,開通管理!$O$5:$O$604,"開通済"))</f>
        <v/>
      </c>
      <c r="S113" s="19" t="str">
        <f aca="false">IF(B113="","",IF(Q113=0,"未申込",IF(R113&lt;Q113,"開通待ち（"&amp;R113&amp;"/"&amp;Q113&amp;"）","全開通")))</f>
        <v/>
      </c>
      <c r="T113" s="20" t="str">
        <f aca="false">IF(S113&lt;&gt;"全開通","",_xlfn.MAXIFS(開通管理!$Q$5:$Q$604,開通管理!$B$5:$B$604,B113))</f>
        <v/>
      </c>
      <c r="U113" s="21" t="str">
        <f aca="false">IF(B113="","",SUMIFS(開通管理!$J$5:$J$604,開通管理!$B$5:$B$604,B113,開通管理!$O$5:$O$604,"&lt;&gt;キャンセル"))</f>
        <v/>
      </c>
      <c r="V113" s="22"/>
      <c r="W113" s="12" t="str">
        <f aca="false">IF(OR(B113="",設定!$B$14=""),"",SUBSTITUTE(設定!$B$14,"__ID__",B113))</f>
        <v/>
      </c>
      <c r="X113" s="22"/>
      <c r="Y113" s="22"/>
      <c r="Z113" s="22"/>
      <c r="AA113" s="20" t="str">
        <f aca="false">IF(Z113="","",WORKDAY(Z113,設定!$B$5,設定!$F$5:$F$120))</f>
        <v/>
      </c>
      <c r="AB113" s="17"/>
      <c r="AC113" s="17"/>
      <c r="AD113" s="17"/>
      <c r="AE113" s="17"/>
      <c r="AF113" s="22"/>
      <c r="AG113" s="17"/>
      <c r="AH113" s="20" t="str">
        <f aca="false">IF(T113="","",EDATE(T113,設定!$B$8))</f>
        <v/>
      </c>
      <c r="AI113" s="17"/>
      <c r="AJ113" s="17"/>
      <c r="AK113" s="22"/>
      <c r="AL113" s="23" t="str">
        <f aca="true">IF(C113="","",IF(N113="失注","―",IF(AND(AK113&lt;&gt;"",AK113&lt;TODAY()),"対応期限超過",IF(AND(AF113="",AA113&lt;&gt;"",IF(AA113="",FALSE(),AA113&lt;TODAY())),"納品遅延",IF(AND(AK113&lt;&gt;"",AK113=TODAY()),"本日対応",IF(AND(S113="全開通",X113="",AF113=""),"ヒアリング依頼待ち",IF(AND(X113&lt;&gt;"",Y113="",Z113="",TODAY()-X113&gt;=設定!$B$6),"ヒアリング未回収",IF(AND(Y113&lt;&gt;"",Z113=""),"素材確認待ち",IF(AND(AF113="",AA113&lt;&gt;"",IF(AA113="",FALSE(),AA113-TODAY()&lt;=設定!$B$7)),"納品間近",IF(AND(AH113&lt;&gt;"",IF(AH113="",FALSE(),AH113&lt;=TODAY()),AI113=""),"解約チェック",IF(AF113&lt;&gt;"","納品済","")))))))))))</f>
        <v/>
      </c>
      <c r="AM113" s="17"/>
    </row>
    <row r="114" customFormat="false" ht="15" hidden="false" customHeight="false" outlineLevel="0" collapsed="false">
      <c r="A114" s="12" t="str">
        <f aca="false">IF(C114="","",ROW()-4)</f>
        <v/>
      </c>
      <c r="B114" s="17"/>
      <c r="C114" s="17"/>
      <c r="D114" s="17"/>
      <c r="E114" s="17"/>
      <c r="F114" s="24"/>
      <c r="G114" s="17"/>
      <c r="H114" s="17"/>
      <c r="I114" s="17"/>
      <c r="J114" s="17"/>
      <c r="K114" s="17"/>
      <c r="L114" s="22"/>
      <c r="M114" s="22"/>
      <c r="N114" s="17"/>
      <c r="O114" s="17"/>
      <c r="P114" s="17"/>
      <c r="Q114" s="18" t="str">
        <f aca="false">IF(B114="","",COUNTIFS(開通管理!$B$5:$B$604,B114,開通管理!$O$5:$O$604,"&lt;&gt;キャンセル"))</f>
        <v/>
      </c>
      <c r="R114" s="18" t="str">
        <f aca="false">IF(B114="","",COUNTIFS(開通管理!$B$5:$B$604,B114,開通管理!$O$5:$O$604,"開通済"))</f>
        <v/>
      </c>
      <c r="S114" s="19" t="str">
        <f aca="false">IF(B114="","",IF(Q114=0,"未申込",IF(R114&lt;Q114,"開通待ち（"&amp;R114&amp;"/"&amp;Q114&amp;"）","全開通")))</f>
        <v/>
      </c>
      <c r="T114" s="20" t="str">
        <f aca="false">IF(S114&lt;&gt;"全開通","",_xlfn.MAXIFS(開通管理!$Q$5:$Q$604,開通管理!$B$5:$B$604,B114))</f>
        <v/>
      </c>
      <c r="U114" s="21" t="str">
        <f aca="false">IF(B114="","",SUMIFS(開通管理!$J$5:$J$604,開通管理!$B$5:$B$604,B114,開通管理!$O$5:$O$604,"&lt;&gt;キャンセル"))</f>
        <v/>
      </c>
      <c r="V114" s="22"/>
      <c r="W114" s="12" t="str">
        <f aca="false">IF(OR(B114="",設定!$B$14=""),"",SUBSTITUTE(設定!$B$14,"__ID__",B114))</f>
        <v/>
      </c>
      <c r="X114" s="22"/>
      <c r="Y114" s="22"/>
      <c r="Z114" s="22"/>
      <c r="AA114" s="20" t="str">
        <f aca="false">IF(Z114="","",WORKDAY(Z114,設定!$B$5,設定!$F$5:$F$120))</f>
        <v/>
      </c>
      <c r="AB114" s="17"/>
      <c r="AC114" s="17"/>
      <c r="AD114" s="17"/>
      <c r="AE114" s="17"/>
      <c r="AF114" s="22"/>
      <c r="AG114" s="17"/>
      <c r="AH114" s="20" t="str">
        <f aca="false">IF(T114="","",EDATE(T114,設定!$B$8))</f>
        <v/>
      </c>
      <c r="AI114" s="17"/>
      <c r="AJ114" s="17"/>
      <c r="AK114" s="22"/>
      <c r="AL114" s="23" t="str">
        <f aca="true">IF(C114="","",IF(N114="失注","―",IF(AND(AK114&lt;&gt;"",AK114&lt;TODAY()),"対応期限超過",IF(AND(AF114="",AA114&lt;&gt;"",IF(AA114="",FALSE(),AA114&lt;TODAY())),"納品遅延",IF(AND(AK114&lt;&gt;"",AK114=TODAY()),"本日対応",IF(AND(S114="全開通",X114="",AF114=""),"ヒアリング依頼待ち",IF(AND(X114&lt;&gt;"",Y114="",Z114="",TODAY()-X114&gt;=設定!$B$6),"ヒアリング未回収",IF(AND(Y114&lt;&gt;"",Z114=""),"素材確認待ち",IF(AND(AF114="",AA114&lt;&gt;"",IF(AA114="",FALSE(),AA114-TODAY()&lt;=設定!$B$7)),"納品間近",IF(AND(AH114&lt;&gt;"",IF(AH114="",FALSE(),AH114&lt;=TODAY()),AI114=""),"解約チェック",IF(AF114&lt;&gt;"","納品済","")))))))))))</f>
        <v/>
      </c>
      <c r="AM114" s="17"/>
    </row>
    <row r="115" customFormat="false" ht="15" hidden="false" customHeight="false" outlineLevel="0" collapsed="false">
      <c r="A115" s="12" t="str">
        <f aca="false">IF(C115="","",ROW()-4)</f>
        <v/>
      </c>
      <c r="B115" s="17"/>
      <c r="C115" s="17"/>
      <c r="D115" s="17"/>
      <c r="E115" s="17"/>
      <c r="F115" s="24"/>
      <c r="G115" s="17"/>
      <c r="H115" s="17"/>
      <c r="I115" s="17"/>
      <c r="J115" s="17"/>
      <c r="K115" s="17"/>
      <c r="L115" s="22"/>
      <c r="M115" s="22"/>
      <c r="N115" s="17"/>
      <c r="O115" s="17"/>
      <c r="P115" s="17"/>
      <c r="Q115" s="18" t="str">
        <f aca="false">IF(B115="","",COUNTIFS(開通管理!$B$5:$B$604,B115,開通管理!$O$5:$O$604,"&lt;&gt;キャンセル"))</f>
        <v/>
      </c>
      <c r="R115" s="18" t="str">
        <f aca="false">IF(B115="","",COUNTIFS(開通管理!$B$5:$B$604,B115,開通管理!$O$5:$O$604,"開通済"))</f>
        <v/>
      </c>
      <c r="S115" s="19" t="str">
        <f aca="false">IF(B115="","",IF(Q115=0,"未申込",IF(R115&lt;Q115,"開通待ち（"&amp;R115&amp;"/"&amp;Q115&amp;"）","全開通")))</f>
        <v/>
      </c>
      <c r="T115" s="20" t="str">
        <f aca="false">IF(S115&lt;&gt;"全開通","",_xlfn.MAXIFS(開通管理!$Q$5:$Q$604,開通管理!$B$5:$B$604,B115))</f>
        <v/>
      </c>
      <c r="U115" s="21" t="str">
        <f aca="false">IF(B115="","",SUMIFS(開通管理!$J$5:$J$604,開通管理!$B$5:$B$604,B115,開通管理!$O$5:$O$604,"&lt;&gt;キャンセル"))</f>
        <v/>
      </c>
      <c r="V115" s="22"/>
      <c r="W115" s="12" t="str">
        <f aca="false">IF(OR(B115="",設定!$B$14=""),"",SUBSTITUTE(設定!$B$14,"__ID__",B115))</f>
        <v/>
      </c>
      <c r="X115" s="22"/>
      <c r="Y115" s="22"/>
      <c r="Z115" s="22"/>
      <c r="AA115" s="20" t="str">
        <f aca="false">IF(Z115="","",WORKDAY(Z115,設定!$B$5,設定!$F$5:$F$120))</f>
        <v/>
      </c>
      <c r="AB115" s="17"/>
      <c r="AC115" s="17"/>
      <c r="AD115" s="17"/>
      <c r="AE115" s="17"/>
      <c r="AF115" s="22"/>
      <c r="AG115" s="17"/>
      <c r="AH115" s="20" t="str">
        <f aca="false">IF(T115="","",EDATE(T115,設定!$B$8))</f>
        <v/>
      </c>
      <c r="AI115" s="17"/>
      <c r="AJ115" s="17"/>
      <c r="AK115" s="22"/>
      <c r="AL115" s="23" t="str">
        <f aca="true">IF(C115="","",IF(N115="失注","―",IF(AND(AK115&lt;&gt;"",AK115&lt;TODAY()),"対応期限超過",IF(AND(AF115="",AA115&lt;&gt;"",IF(AA115="",FALSE(),AA115&lt;TODAY())),"納品遅延",IF(AND(AK115&lt;&gt;"",AK115=TODAY()),"本日対応",IF(AND(S115="全開通",X115="",AF115=""),"ヒアリング依頼待ち",IF(AND(X115&lt;&gt;"",Y115="",Z115="",TODAY()-X115&gt;=設定!$B$6),"ヒアリング未回収",IF(AND(Y115&lt;&gt;"",Z115=""),"素材確認待ち",IF(AND(AF115="",AA115&lt;&gt;"",IF(AA115="",FALSE(),AA115-TODAY()&lt;=設定!$B$7)),"納品間近",IF(AND(AH115&lt;&gt;"",IF(AH115="",FALSE(),AH115&lt;=TODAY()),AI115=""),"解約チェック",IF(AF115&lt;&gt;"","納品済","")))))))))))</f>
        <v/>
      </c>
      <c r="AM115" s="17"/>
    </row>
    <row r="116" customFormat="false" ht="15" hidden="false" customHeight="false" outlineLevel="0" collapsed="false">
      <c r="A116" s="12" t="str">
        <f aca="false">IF(C116="","",ROW()-4)</f>
        <v/>
      </c>
      <c r="B116" s="17"/>
      <c r="C116" s="17"/>
      <c r="D116" s="17"/>
      <c r="E116" s="17"/>
      <c r="F116" s="24"/>
      <c r="G116" s="17"/>
      <c r="H116" s="17"/>
      <c r="I116" s="17"/>
      <c r="J116" s="17"/>
      <c r="K116" s="17"/>
      <c r="L116" s="22"/>
      <c r="M116" s="22"/>
      <c r="N116" s="17"/>
      <c r="O116" s="17"/>
      <c r="P116" s="17"/>
      <c r="Q116" s="18" t="str">
        <f aca="false">IF(B116="","",COUNTIFS(開通管理!$B$5:$B$604,B116,開通管理!$O$5:$O$604,"&lt;&gt;キャンセル"))</f>
        <v/>
      </c>
      <c r="R116" s="18" t="str">
        <f aca="false">IF(B116="","",COUNTIFS(開通管理!$B$5:$B$604,B116,開通管理!$O$5:$O$604,"開通済"))</f>
        <v/>
      </c>
      <c r="S116" s="19" t="str">
        <f aca="false">IF(B116="","",IF(Q116=0,"未申込",IF(R116&lt;Q116,"開通待ち（"&amp;R116&amp;"/"&amp;Q116&amp;"）","全開通")))</f>
        <v/>
      </c>
      <c r="T116" s="20" t="str">
        <f aca="false">IF(S116&lt;&gt;"全開通","",_xlfn.MAXIFS(開通管理!$Q$5:$Q$604,開通管理!$B$5:$B$604,B116))</f>
        <v/>
      </c>
      <c r="U116" s="21" t="str">
        <f aca="false">IF(B116="","",SUMIFS(開通管理!$J$5:$J$604,開通管理!$B$5:$B$604,B116,開通管理!$O$5:$O$604,"&lt;&gt;キャンセル"))</f>
        <v/>
      </c>
      <c r="V116" s="22"/>
      <c r="W116" s="12" t="str">
        <f aca="false">IF(OR(B116="",設定!$B$14=""),"",SUBSTITUTE(設定!$B$14,"__ID__",B116))</f>
        <v/>
      </c>
      <c r="X116" s="22"/>
      <c r="Y116" s="22"/>
      <c r="Z116" s="22"/>
      <c r="AA116" s="20" t="str">
        <f aca="false">IF(Z116="","",WORKDAY(Z116,設定!$B$5,設定!$F$5:$F$120))</f>
        <v/>
      </c>
      <c r="AB116" s="17"/>
      <c r="AC116" s="17"/>
      <c r="AD116" s="17"/>
      <c r="AE116" s="17"/>
      <c r="AF116" s="22"/>
      <c r="AG116" s="17"/>
      <c r="AH116" s="20" t="str">
        <f aca="false">IF(T116="","",EDATE(T116,設定!$B$8))</f>
        <v/>
      </c>
      <c r="AI116" s="17"/>
      <c r="AJ116" s="17"/>
      <c r="AK116" s="22"/>
      <c r="AL116" s="23" t="str">
        <f aca="true">IF(C116="","",IF(N116="失注","―",IF(AND(AK116&lt;&gt;"",AK116&lt;TODAY()),"対応期限超過",IF(AND(AF116="",AA116&lt;&gt;"",IF(AA116="",FALSE(),AA116&lt;TODAY())),"納品遅延",IF(AND(AK116&lt;&gt;"",AK116=TODAY()),"本日対応",IF(AND(S116="全開通",X116="",AF116=""),"ヒアリング依頼待ち",IF(AND(X116&lt;&gt;"",Y116="",Z116="",TODAY()-X116&gt;=設定!$B$6),"ヒアリング未回収",IF(AND(Y116&lt;&gt;"",Z116=""),"素材確認待ち",IF(AND(AF116="",AA116&lt;&gt;"",IF(AA116="",FALSE(),AA116-TODAY()&lt;=設定!$B$7)),"納品間近",IF(AND(AH116&lt;&gt;"",IF(AH116="",FALSE(),AH116&lt;=TODAY()),AI116=""),"解約チェック",IF(AF116&lt;&gt;"","納品済","")))))))))))</f>
        <v/>
      </c>
      <c r="AM116" s="17"/>
    </row>
    <row r="117" customFormat="false" ht="15" hidden="false" customHeight="false" outlineLevel="0" collapsed="false">
      <c r="A117" s="12" t="str">
        <f aca="false">IF(C117="","",ROW()-4)</f>
        <v/>
      </c>
      <c r="B117" s="17"/>
      <c r="C117" s="17"/>
      <c r="D117" s="17"/>
      <c r="E117" s="17"/>
      <c r="F117" s="24"/>
      <c r="G117" s="17"/>
      <c r="H117" s="17"/>
      <c r="I117" s="17"/>
      <c r="J117" s="17"/>
      <c r="K117" s="17"/>
      <c r="L117" s="22"/>
      <c r="M117" s="22"/>
      <c r="N117" s="17"/>
      <c r="O117" s="17"/>
      <c r="P117" s="17"/>
      <c r="Q117" s="18" t="str">
        <f aca="false">IF(B117="","",COUNTIFS(開通管理!$B$5:$B$604,B117,開通管理!$O$5:$O$604,"&lt;&gt;キャンセル"))</f>
        <v/>
      </c>
      <c r="R117" s="18" t="str">
        <f aca="false">IF(B117="","",COUNTIFS(開通管理!$B$5:$B$604,B117,開通管理!$O$5:$O$604,"開通済"))</f>
        <v/>
      </c>
      <c r="S117" s="19" t="str">
        <f aca="false">IF(B117="","",IF(Q117=0,"未申込",IF(R117&lt;Q117,"開通待ち（"&amp;R117&amp;"/"&amp;Q117&amp;"）","全開通")))</f>
        <v/>
      </c>
      <c r="T117" s="20" t="str">
        <f aca="false">IF(S117&lt;&gt;"全開通","",_xlfn.MAXIFS(開通管理!$Q$5:$Q$604,開通管理!$B$5:$B$604,B117))</f>
        <v/>
      </c>
      <c r="U117" s="21" t="str">
        <f aca="false">IF(B117="","",SUMIFS(開通管理!$J$5:$J$604,開通管理!$B$5:$B$604,B117,開通管理!$O$5:$O$604,"&lt;&gt;キャンセル"))</f>
        <v/>
      </c>
      <c r="V117" s="22"/>
      <c r="W117" s="12" t="str">
        <f aca="false">IF(OR(B117="",設定!$B$14=""),"",SUBSTITUTE(設定!$B$14,"__ID__",B117))</f>
        <v/>
      </c>
      <c r="X117" s="22"/>
      <c r="Y117" s="22"/>
      <c r="Z117" s="22"/>
      <c r="AA117" s="20" t="str">
        <f aca="false">IF(Z117="","",WORKDAY(Z117,設定!$B$5,設定!$F$5:$F$120))</f>
        <v/>
      </c>
      <c r="AB117" s="17"/>
      <c r="AC117" s="17"/>
      <c r="AD117" s="17"/>
      <c r="AE117" s="17"/>
      <c r="AF117" s="22"/>
      <c r="AG117" s="17"/>
      <c r="AH117" s="20" t="str">
        <f aca="false">IF(T117="","",EDATE(T117,設定!$B$8))</f>
        <v/>
      </c>
      <c r="AI117" s="17"/>
      <c r="AJ117" s="17"/>
      <c r="AK117" s="22"/>
      <c r="AL117" s="23" t="str">
        <f aca="true">IF(C117="","",IF(N117="失注","―",IF(AND(AK117&lt;&gt;"",AK117&lt;TODAY()),"対応期限超過",IF(AND(AF117="",AA117&lt;&gt;"",IF(AA117="",FALSE(),AA117&lt;TODAY())),"納品遅延",IF(AND(AK117&lt;&gt;"",AK117=TODAY()),"本日対応",IF(AND(S117="全開通",X117="",AF117=""),"ヒアリング依頼待ち",IF(AND(X117&lt;&gt;"",Y117="",Z117="",TODAY()-X117&gt;=設定!$B$6),"ヒアリング未回収",IF(AND(Y117&lt;&gt;"",Z117=""),"素材確認待ち",IF(AND(AF117="",AA117&lt;&gt;"",IF(AA117="",FALSE(),AA117-TODAY()&lt;=設定!$B$7)),"納品間近",IF(AND(AH117&lt;&gt;"",IF(AH117="",FALSE(),AH117&lt;=TODAY()),AI117=""),"解約チェック",IF(AF117&lt;&gt;"","納品済","")))))))))))</f>
        <v/>
      </c>
      <c r="AM117" s="17"/>
    </row>
    <row r="118" customFormat="false" ht="15" hidden="false" customHeight="false" outlineLevel="0" collapsed="false">
      <c r="A118" s="12" t="str">
        <f aca="false">IF(C118="","",ROW()-4)</f>
        <v/>
      </c>
      <c r="B118" s="17"/>
      <c r="C118" s="17"/>
      <c r="D118" s="17"/>
      <c r="E118" s="17"/>
      <c r="F118" s="24"/>
      <c r="G118" s="17"/>
      <c r="H118" s="17"/>
      <c r="I118" s="17"/>
      <c r="J118" s="17"/>
      <c r="K118" s="17"/>
      <c r="L118" s="22"/>
      <c r="M118" s="22"/>
      <c r="N118" s="17"/>
      <c r="O118" s="17"/>
      <c r="P118" s="17"/>
      <c r="Q118" s="18" t="str">
        <f aca="false">IF(B118="","",COUNTIFS(開通管理!$B$5:$B$604,B118,開通管理!$O$5:$O$604,"&lt;&gt;キャンセル"))</f>
        <v/>
      </c>
      <c r="R118" s="18" t="str">
        <f aca="false">IF(B118="","",COUNTIFS(開通管理!$B$5:$B$604,B118,開通管理!$O$5:$O$604,"開通済"))</f>
        <v/>
      </c>
      <c r="S118" s="19" t="str">
        <f aca="false">IF(B118="","",IF(Q118=0,"未申込",IF(R118&lt;Q118,"開通待ち（"&amp;R118&amp;"/"&amp;Q118&amp;"）","全開通")))</f>
        <v/>
      </c>
      <c r="T118" s="20" t="str">
        <f aca="false">IF(S118&lt;&gt;"全開通","",_xlfn.MAXIFS(開通管理!$Q$5:$Q$604,開通管理!$B$5:$B$604,B118))</f>
        <v/>
      </c>
      <c r="U118" s="21" t="str">
        <f aca="false">IF(B118="","",SUMIFS(開通管理!$J$5:$J$604,開通管理!$B$5:$B$604,B118,開通管理!$O$5:$O$604,"&lt;&gt;キャンセル"))</f>
        <v/>
      </c>
      <c r="V118" s="22"/>
      <c r="W118" s="12" t="str">
        <f aca="false">IF(OR(B118="",設定!$B$14=""),"",SUBSTITUTE(設定!$B$14,"__ID__",B118))</f>
        <v/>
      </c>
      <c r="X118" s="22"/>
      <c r="Y118" s="22"/>
      <c r="Z118" s="22"/>
      <c r="AA118" s="20" t="str">
        <f aca="false">IF(Z118="","",WORKDAY(Z118,設定!$B$5,設定!$F$5:$F$120))</f>
        <v/>
      </c>
      <c r="AB118" s="17"/>
      <c r="AC118" s="17"/>
      <c r="AD118" s="17"/>
      <c r="AE118" s="17"/>
      <c r="AF118" s="22"/>
      <c r="AG118" s="17"/>
      <c r="AH118" s="20" t="str">
        <f aca="false">IF(T118="","",EDATE(T118,設定!$B$8))</f>
        <v/>
      </c>
      <c r="AI118" s="17"/>
      <c r="AJ118" s="17"/>
      <c r="AK118" s="22"/>
      <c r="AL118" s="23" t="str">
        <f aca="true">IF(C118="","",IF(N118="失注","―",IF(AND(AK118&lt;&gt;"",AK118&lt;TODAY()),"対応期限超過",IF(AND(AF118="",AA118&lt;&gt;"",IF(AA118="",FALSE(),AA118&lt;TODAY())),"納品遅延",IF(AND(AK118&lt;&gt;"",AK118=TODAY()),"本日対応",IF(AND(S118="全開通",X118="",AF118=""),"ヒアリング依頼待ち",IF(AND(X118&lt;&gt;"",Y118="",Z118="",TODAY()-X118&gt;=設定!$B$6),"ヒアリング未回収",IF(AND(Y118&lt;&gt;"",Z118=""),"素材確認待ち",IF(AND(AF118="",AA118&lt;&gt;"",IF(AA118="",FALSE(),AA118-TODAY()&lt;=設定!$B$7)),"納品間近",IF(AND(AH118&lt;&gt;"",IF(AH118="",FALSE(),AH118&lt;=TODAY()),AI118=""),"解約チェック",IF(AF118&lt;&gt;"","納品済","")))))))))))</f>
        <v/>
      </c>
      <c r="AM118" s="17"/>
    </row>
    <row r="119" customFormat="false" ht="15" hidden="false" customHeight="false" outlineLevel="0" collapsed="false">
      <c r="A119" s="12" t="str">
        <f aca="false">IF(C119="","",ROW()-4)</f>
        <v/>
      </c>
      <c r="B119" s="17"/>
      <c r="C119" s="17"/>
      <c r="D119" s="17"/>
      <c r="E119" s="17"/>
      <c r="F119" s="24"/>
      <c r="G119" s="17"/>
      <c r="H119" s="17"/>
      <c r="I119" s="17"/>
      <c r="J119" s="17"/>
      <c r="K119" s="17"/>
      <c r="L119" s="22"/>
      <c r="M119" s="22"/>
      <c r="N119" s="17"/>
      <c r="O119" s="17"/>
      <c r="P119" s="17"/>
      <c r="Q119" s="18" t="str">
        <f aca="false">IF(B119="","",COUNTIFS(開通管理!$B$5:$B$604,B119,開通管理!$O$5:$O$604,"&lt;&gt;キャンセル"))</f>
        <v/>
      </c>
      <c r="R119" s="18" t="str">
        <f aca="false">IF(B119="","",COUNTIFS(開通管理!$B$5:$B$604,B119,開通管理!$O$5:$O$604,"開通済"))</f>
        <v/>
      </c>
      <c r="S119" s="19" t="str">
        <f aca="false">IF(B119="","",IF(Q119=0,"未申込",IF(R119&lt;Q119,"開通待ち（"&amp;R119&amp;"/"&amp;Q119&amp;"）","全開通")))</f>
        <v/>
      </c>
      <c r="T119" s="20" t="str">
        <f aca="false">IF(S119&lt;&gt;"全開通","",_xlfn.MAXIFS(開通管理!$Q$5:$Q$604,開通管理!$B$5:$B$604,B119))</f>
        <v/>
      </c>
      <c r="U119" s="21" t="str">
        <f aca="false">IF(B119="","",SUMIFS(開通管理!$J$5:$J$604,開通管理!$B$5:$B$604,B119,開通管理!$O$5:$O$604,"&lt;&gt;キャンセル"))</f>
        <v/>
      </c>
      <c r="V119" s="22"/>
      <c r="W119" s="12" t="str">
        <f aca="false">IF(OR(B119="",設定!$B$14=""),"",SUBSTITUTE(設定!$B$14,"__ID__",B119))</f>
        <v/>
      </c>
      <c r="X119" s="22"/>
      <c r="Y119" s="22"/>
      <c r="Z119" s="22"/>
      <c r="AA119" s="20" t="str">
        <f aca="false">IF(Z119="","",WORKDAY(Z119,設定!$B$5,設定!$F$5:$F$120))</f>
        <v/>
      </c>
      <c r="AB119" s="17"/>
      <c r="AC119" s="17"/>
      <c r="AD119" s="17"/>
      <c r="AE119" s="17"/>
      <c r="AF119" s="22"/>
      <c r="AG119" s="17"/>
      <c r="AH119" s="20" t="str">
        <f aca="false">IF(T119="","",EDATE(T119,設定!$B$8))</f>
        <v/>
      </c>
      <c r="AI119" s="17"/>
      <c r="AJ119" s="17"/>
      <c r="AK119" s="22"/>
      <c r="AL119" s="23" t="str">
        <f aca="true">IF(C119="","",IF(N119="失注","―",IF(AND(AK119&lt;&gt;"",AK119&lt;TODAY()),"対応期限超過",IF(AND(AF119="",AA119&lt;&gt;"",IF(AA119="",FALSE(),AA119&lt;TODAY())),"納品遅延",IF(AND(AK119&lt;&gt;"",AK119=TODAY()),"本日対応",IF(AND(S119="全開通",X119="",AF119=""),"ヒアリング依頼待ち",IF(AND(X119&lt;&gt;"",Y119="",Z119="",TODAY()-X119&gt;=設定!$B$6),"ヒアリング未回収",IF(AND(Y119&lt;&gt;"",Z119=""),"素材確認待ち",IF(AND(AF119="",AA119&lt;&gt;"",IF(AA119="",FALSE(),AA119-TODAY()&lt;=設定!$B$7)),"納品間近",IF(AND(AH119&lt;&gt;"",IF(AH119="",FALSE(),AH119&lt;=TODAY()),AI119=""),"解約チェック",IF(AF119&lt;&gt;"","納品済","")))))))))))</f>
        <v/>
      </c>
      <c r="AM119" s="17"/>
    </row>
    <row r="120" customFormat="false" ht="15" hidden="false" customHeight="false" outlineLevel="0" collapsed="false">
      <c r="A120" s="12" t="str">
        <f aca="false">IF(C120="","",ROW()-4)</f>
        <v/>
      </c>
      <c r="B120" s="17"/>
      <c r="C120" s="17"/>
      <c r="D120" s="17"/>
      <c r="E120" s="17"/>
      <c r="F120" s="24"/>
      <c r="G120" s="17"/>
      <c r="H120" s="17"/>
      <c r="I120" s="17"/>
      <c r="J120" s="17"/>
      <c r="K120" s="17"/>
      <c r="L120" s="22"/>
      <c r="M120" s="22"/>
      <c r="N120" s="17"/>
      <c r="O120" s="17"/>
      <c r="P120" s="17"/>
      <c r="Q120" s="18" t="str">
        <f aca="false">IF(B120="","",COUNTIFS(開通管理!$B$5:$B$604,B120,開通管理!$O$5:$O$604,"&lt;&gt;キャンセル"))</f>
        <v/>
      </c>
      <c r="R120" s="18" t="str">
        <f aca="false">IF(B120="","",COUNTIFS(開通管理!$B$5:$B$604,B120,開通管理!$O$5:$O$604,"開通済"))</f>
        <v/>
      </c>
      <c r="S120" s="19" t="str">
        <f aca="false">IF(B120="","",IF(Q120=0,"未申込",IF(R120&lt;Q120,"開通待ち（"&amp;R120&amp;"/"&amp;Q120&amp;"）","全開通")))</f>
        <v/>
      </c>
      <c r="T120" s="20" t="str">
        <f aca="false">IF(S120&lt;&gt;"全開通","",_xlfn.MAXIFS(開通管理!$Q$5:$Q$604,開通管理!$B$5:$B$604,B120))</f>
        <v/>
      </c>
      <c r="U120" s="21" t="str">
        <f aca="false">IF(B120="","",SUMIFS(開通管理!$J$5:$J$604,開通管理!$B$5:$B$604,B120,開通管理!$O$5:$O$604,"&lt;&gt;キャンセル"))</f>
        <v/>
      </c>
      <c r="V120" s="22"/>
      <c r="W120" s="12" t="str">
        <f aca="false">IF(OR(B120="",設定!$B$14=""),"",SUBSTITUTE(設定!$B$14,"__ID__",B120))</f>
        <v/>
      </c>
      <c r="X120" s="22"/>
      <c r="Y120" s="22"/>
      <c r="Z120" s="22"/>
      <c r="AA120" s="20" t="str">
        <f aca="false">IF(Z120="","",WORKDAY(Z120,設定!$B$5,設定!$F$5:$F$120))</f>
        <v/>
      </c>
      <c r="AB120" s="17"/>
      <c r="AC120" s="17"/>
      <c r="AD120" s="17"/>
      <c r="AE120" s="17"/>
      <c r="AF120" s="22"/>
      <c r="AG120" s="17"/>
      <c r="AH120" s="20" t="str">
        <f aca="false">IF(T120="","",EDATE(T120,設定!$B$8))</f>
        <v/>
      </c>
      <c r="AI120" s="17"/>
      <c r="AJ120" s="17"/>
      <c r="AK120" s="22"/>
      <c r="AL120" s="23" t="str">
        <f aca="true">IF(C120="","",IF(N120="失注","―",IF(AND(AK120&lt;&gt;"",AK120&lt;TODAY()),"対応期限超過",IF(AND(AF120="",AA120&lt;&gt;"",IF(AA120="",FALSE(),AA120&lt;TODAY())),"納品遅延",IF(AND(AK120&lt;&gt;"",AK120=TODAY()),"本日対応",IF(AND(S120="全開通",X120="",AF120=""),"ヒアリング依頼待ち",IF(AND(X120&lt;&gt;"",Y120="",Z120="",TODAY()-X120&gt;=設定!$B$6),"ヒアリング未回収",IF(AND(Y120&lt;&gt;"",Z120=""),"素材確認待ち",IF(AND(AF120="",AA120&lt;&gt;"",IF(AA120="",FALSE(),AA120-TODAY()&lt;=設定!$B$7)),"納品間近",IF(AND(AH120&lt;&gt;"",IF(AH120="",FALSE(),AH120&lt;=TODAY()),AI120=""),"解約チェック",IF(AF120&lt;&gt;"","納品済","")))))))))))</f>
        <v/>
      </c>
      <c r="AM120" s="17"/>
    </row>
    <row r="121" customFormat="false" ht="15" hidden="false" customHeight="false" outlineLevel="0" collapsed="false">
      <c r="A121" s="12" t="str">
        <f aca="false">IF(C121="","",ROW()-4)</f>
        <v/>
      </c>
      <c r="B121" s="17"/>
      <c r="C121" s="17"/>
      <c r="D121" s="17"/>
      <c r="E121" s="17"/>
      <c r="F121" s="24"/>
      <c r="G121" s="17"/>
      <c r="H121" s="17"/>
      <c r="I121" s="17"/>
      <c r="J121" s="17"/>
      <c r="K121" s="17"/>
      <c r="L121" s="22"/>
      <c r="M121" s="22"/>
      <c r="N121" s="17"/>
      <c r="O121" s="17"/>
      <c r="P121" s="17"/>
      <c r="Q121" s="18" t="str">
        <f aca="false">IF(B121="","",COUNTIFS(開通管理!$B$5:$B$604,B121,開通管理!$O$5:$O$604,"&lt;&gt;キャンセル"))</f>
        <v/>
      </c>
      <c r="R121" s="18" t="str">
        <f aca="false">IF(B121="","",COUNTIFS(開通管理!$B$5:$B$604,B121,開通管理!$O$5:$O$604,"開通済"))</f>
        <v/>
      </c>
      <c r="S121" s="19" t="str">
        <f aca="false">IF(B121="","",IF(Q121=0,"未申込",IF(R121&lt;Q121,"開通待ち（"&amp;R121&amp;"/"&amp;Q121&amp;"）","全開通")))</f>
        <v/>
      </c>
      <c r="T121" s="20" t="str">
        <f aca="false">IF(S121&lt;&gt;"全開通","",_xlfn.MAXIFS(開通管理!$Q$5:$Q$604,開通管理!$B$5:$B$604,B121))</f>
        <v/>
      </c>
      <c r="U121" s="21" t="str">
        <f aca="false">IF(B121="","",SUMIFS(開通管理!$J$5:$J$604,開通管理!$B$5:$B$604,B121,開通管理!$O$5:$O$604,"&lt;&gt;キャンセル"))</f>
        <v/>
      </c>
      <c r="V121" s="22"/>
      <c r="W121" s="12" t="str">
        <f aca="false">IF(OR(B121="",設定!$B$14=""),"",SUBSTITUTE(設定!$B$14,"__ID__",B121))</f>
        <v/>
      </c>
      <c r="X121" s="22"/>
      <c r="Y121" s="22"/>
      <c r="Z121" s="22"/>
      <c r="AA121" s="20" t="str">
        <f aca="false">IF(Z121="","",WORKDAY(Z121,設定!$B$5,設定!$F$5:$F$120))</f>
        <v/>
      </c>
      <c r="AB121" s="17"/>
      <c r="AC121" s="17"/>
      <c r="AD121" s="17"/>
      <c r="AE121" s="17"/>
      <c r="AF121" s="22"/>
      <c r="AG121" s="17"/>
      <c r="AH121" s="20" t="str">
        <f aca="false">IF(T121="","",EDATE(T121,設定!$B$8))</f>
        <v/>
      </c>
      <c r="AI121" s="17"/>
      <c r="AJ121" s="17"/>
      <c r="AK121" s="22"/>
      <c r="AL121" s="23" t="str">
        <f aca="true">IF(C121="","",IF(N121="失注","―",IF(AND(AK121&lt;&gt;"",AK121&lt;TODAY()),"対応期限超過",IF(AND(AF121="",AA121&lt;&gt;"",IF(AA121="",FALSE(),AA121&lt;TODAY())),"納品遅延",IF(AND(AK121&lt;&gt;"",AK121=TODAY()),"本日対応",IF(AND(S121="全開通",X121="",AF121=""),"ヒアリング依頼待ち",IF(AND(X121&lt;&gt;"",Y121="",Z121="",TODAY()-X121&gt;=設定!$B$6),"ヒアリング未回収",IF(AND(Y121&lt;&gt;"",Z121=""),"素材確認待ち",IF(AND(AF121="",AA121&lt;&gt;"",IF(AA121="",FALSE(),AA121-TODAY()&lt;=設定!$B$7)),"納品間近",IF(AND(AH121&lt;&gt;"",IF(AH121="",FALSE(),AH121&lt;=TODAY()),AI121=""),"解約チェック",IF(AF121&lt;&gt;"","納品済","")))))))))))</f>
        <v/>
      </c>
      <c r="AM121" s="17"/>
    </row>
    <row r="122" customFormat="false" ht="15" hidden="false" customHeight="false" outlineLevel="0" collapsed="false">
      <c r="A122" s="12" t="str">
        <f aca="false">IF(C122="","",ROW()-4)</f>
        <v/>
      </c>
      <c r="B122" s="17"/>
      <c r="C122" s="17"/>
      <c r="D122" s="17"/>
      <c r="E122" s="17"/>
      <c r="F122" s="24"/>
      <c r="G122" s="17"/>
      <c r="H122" s="17"/>
      <c r="I122" s="17"/>
      <c r="J122" s="17"/>
      <c r="K122" s="17"/>
      <c r="L122" s="22"/>
      <c r="M122" s="22"/>
      <c r="N122" s="17"/>
      <c r="O122" s="17"/>
      <c r="P122" s="17"/>
      <c r="Q122" s="18" t="str">
        <f aca="false">IF(B122="","",COUNTIFS(開通管理!$B$5:$B$604,B122,開通管理!$O$5:$O$604,"&lt;&gt;キャンセル"))</f>
        <v/>
      </c>
      <c r="R122" s="18" t="str">
        <f aca="false">IF(B122="","",COUNTIFS(開通管理!$B$5:$B$604,B122,開通管理!$O$5:$O$604,"開通済"))</f>
        <v/>
      </c>
      <c r="S122" s="19" t="str">
        <f aca="false">IF(B122="","",IF(Q122=0,"未申込",IF(R122&lt;Q122,"開通待ち（"&amp;R122&amp;"/"&amp;Q122&amp;"）","全開通")))</f>
        <v/>
      </c>
      <c r="T122" s="20" t="str">
        <f aca="false">IF(S122&lt;&gt;"全開通","",_xlfn.MAXIFS(開通管理!$Q$5:$Q$604,開通管理!$B$5:$B$604,B122))</f>
        <v/>
      </c>
      <c r="U122" s="21" t="str">
        <f aca="false">IF(B122="","",SUMIFS(開通管理!$J$5:$J$604,開通管理!$B$5:$B$604,B122,開通管理!$O$5:$O$604,"&lt;&gt;キャンセル"))</f>
        <v/>
      </c>
      <c r="V122" s="22"/>
      <c r="W122" s="12" t="str">
        <f aca="false">IF(OR(B122="",設定!$B$14=""),"",SUBSTITUTE(設定!$B$14,"__ID__",B122))</f>
        <v/>
      </c>
      <c r="X122" s="22"/>
      <c r="Y122" s="22"/>
      <c r="Z122" s="22"/>
      <c r="AA122" s="20" t="str">
        <f aca="false">IF(Z122="","",WORKDAY(Z122,設定!$B$5,設定!$F$5:$F$120))</f>
        <v/>
      </c>
      <c r="AB122" s="17"/>
      <c r="AC122" s="17"/>
      <c r="AD122" s="17"/>
      <c r="AE122" s="17"/>
      <c r="AF122" s="22"/>
      <c r="AG122" s="17"/>
      <c r="AH122" s="20" t="str">
        <f aca="false">IF(T122="","",EDATE(T122,設定!$B$8))</f>
        <v/>
      </c>
      <c r="AI122" s="17"/>
      <c r="AJ122" s="17"/>
      <c r="AK122" s="22"/>
      <c r="AL122" s="23" t="str">
        <f aca="true">IF(C122="","",IF(N122="失注","―",IF(AND(AK122&lt;&gt;"",AK122&lt;TODAY()),"対応期限超過",IF(AND(AF122="",AA122&lt;&gt;"",IF(AA122="",FALSE(),AA122&lt;TODAY())),"納品遅延",IF(AND(AK122&lt;&gt;"",AK122=TODAY()),"本日対応",IF(AND(S122="全開通",X122="",AF122=""),"ヒアリング依頼待ち",IF(AND(X122&lt;&gt;"",Y122="",Z122="",TODAY()-X122&gt;=設定!$B$6),"ヒアリング未回収",IF(AND(Y122&lt;&gt;"",Z122=""),"素材確認待ち",IF(AND(AF122="",AA122&lt;&gt;"",IF(AA122="",FALSE(),AA122-TODAY()&lt;=設定!$B$7)),"納品間近",IF(AND(AH122&lt;&gt;"",IF(AH122="",FALSE(),AH122&lt;=TODAY()),AI122=""),"解約チェック",IF(AF122&lt;&gt;"","納品済","")))))))))))</f>
        <v/>
      </c>
      <c r="AM122" s="17"/>
    </row>
    <row r="123" customFormat="false" ht="15" hidden="false" customHeight="false" outlineLevel="0" collapsed="false">
      <c r="A123" s="12" t="str">
        <f aca="false">IF(C123="","",ROW()-4)</f>
        <v/>
      </c>
      <c r="B123" s="17"/>
      <c r="C123" s="17"/>
      <c r="D123" s="17"/>
      <c r="E123" s="17"/>
      <c r="F123" s="24"/>
      <c r="G123" s="17"/>
      <c r="H123" s="17"/>
      <c r="I123" s="17"/>
      <c r="J123" s="17"/>
      <c r="K123" s="17"/>
      <c r="L123" s="22"/>
      <c r="M123" s="22"/>
      <c r="N123" s="17"/>
      <c r="O123" s="17"/>
      <c r="P123" s="17"/>
      <c r="Q123" s="18" t="str">
        <f aca="false">IF(B123="","",COUNTIFS(開通管理!$B$5:$B$604,B123,開通管理!$O$5:$O$604,"&lt;&gt;キャンセル"))</f>
        <v/>
      </c>
      <c r="R123" s="18" t="str">
        <f aca="false">IF(B123="","",COUNTIFS(開通管理!$B$5:$B$604,B123,開通管理!$O$5:$O$604,"開通済"))</f>
        <v/>
      </c>
      <c r="S123" s="19" t="str">
        <f aca="false">IF(B123="","",IF(Q123=0,"未申込",IF(R123&lt;Q123,"開通待ち（"&amp;R123&amp;"/"&amp;Q123&amp;"）","全開通")))</f>
        <v/>
      </c>
      <c r="T123" s="20" t="str">
        <f aca="false">IF(S123&lt;&gt;"全開通","",_xlfn.MAXIFS(開通管理!$Q$5:$Q$604,開通管理!$B$5:$B$604,B123))</f>
        <v/>
      </c>
      <c r="U123" s="21" t="str">
        <f aca="false">IF(B123="","",SUMIFS(開通管理!$J$5:$J$604,開通管理!$B$5:$B$604,B123,開通管理!$O$5:$O$604,"&lt;&gt;キャンセル"))</f>
        <v/>
      </c>
      <c r="V123" s="22"/>
      <c r="W123" s="12" t="str">
        <f aca="false">IF(OR(B123="",設定!$B$14=""),"",SUBSTITUTE(設定!$B$14,"__ID__",B123))</f>
        <v/>
      </c>
      <c r="X123" s="22"/>
      <c r="Y123" s="22"/>
      <c r="Z123" s="22"/>
      <c r="AA123" s="20" t="str">
        <f aca="false">IF(Z123="","",WORKDAY(Z123,設定!$B$5,設定!$F$5:$F$120))</f>
        <v/>
      </c>
      <c r="AB123" s="17"/>
      <c r="AC123" s="17"/>
      <c r="AD123" s="17"/>
      <c r="AE123" s="17"/>
      <c r="AF123" s="22"/>
      <c r="AG123" s="17"/>
      <c r="AH123" s="20" t="str">
        <f aca="false">IF(T123="","",EDATE(T123,設定!$B$8))</f>
        <v/>
      </c>
      <c r="AI123" s="17"/>
      <c r="AJ123" s="17"/>
      <c r="AK123" s="22"/>
      <c r="AL123" s="23" t="str">
        <f aca="true">IF(C123="","",IF(N123="失注","―",IF(AND(AK123&lt;&gt;"",AK123&lt;TODAY()),"対応期限超過",IF(AND(AF123="",AA123&lt;&gt;"",IF(AA123="",FALSE(),AA123&lt;TODAY())),"納品遅延",IF(AND(AK123&lt;&gt;"",AK123=TODAY()),"本日対応",IF(AND(S123="全開通",X123="",AF123=""),"ヒアリング依頼待ち",IF(AND(X123&lt;&gt;"",Y123="",Z123="",TODAY()-X123&gt;=設定!$B$6),"ヒアリング未回収",IF(AND(Y123&lt;&gt;"",Z123=""),"素材確認待ち",IF(AND(AF123="",AA123&lt;&gt;"",IF(AA123="",FALSE(),AA123-TODAY()&lt;=設定!$B$7)),"納品間近",IF(AND(AH123&lt;&gt;"",IF(AH123="",FALSE(),AH123&lt;=TODAY()),AI123=""),"解約チェック",IF(AF123&lt;&gt;"","納品済","")))))))))))</f>
        <v/>
      </c>
      <c r="AM123" s="17"/>
    </row>
    <row r="124" customFormat="false" ht="15" hidden="false" customHeight="false" outlineLevel="0" collapsed="false">
      <c r="A124" s="12" t="str">
        <f aca="false">IF(C124="","",ROW()-4)</f>
        <v/>
      </c>
      <c r="B124" s="17"/>
      <c r="C124" s="17"/>
      <c r="D124" s="17"/>
      <c r="E124" s="17"/>
      <c r="F124" s="24"/>
      <c r="G124" s="17"/>
      <c r="H124" s="17"/>
      <c r="I124" s="17"/>
      <c r="J124" s="17"/>
      <c r="K124" s="17"/>
      <c r="L124" s="22"/>
      <c r="M124" s="22"/>
      <c r="N124" s="17"/>
      <c r="O124" s="17"/>
      <c r="P124" s="17"/>
      <c r="Q124" s="18" t="str">
        <f aca="false">IF(B124="","",COUNTIFS(開通管理!$B$5:$B$604,B124,開通管理!$O$5:$O$604,"&lt;&gt;キャンセル"))</f>
        <v/>
      </c>
      <c r="R124" s="18" t="str">
        <f aca="false">IF(B124="","",COUNTIFS(開通管理!$B$5:$B$604,B124,開通管理!$O$5:$O$604,"開通済"))</f>
        <v/>
      </c>
      <c r="S124" s="19" t="str">
        <f aca="false">IF(B124="","",IF(Q124=0,"未申込",IF(R124&lt;Q124,"開通待ち（"&amp;R124&amp;"/"&amp;Q124&amp;"）","全開通")))</f>
        <v/>
      </c>
      <c r="T124" s="20" t="str">
        <f aca="false">IF(S124&lt;&gt;"全開通","",_xlfn.MAXIFS(開通管理!$Q$5:$Q$604,開通管理!$B$5:$B$604,B124))</f>
        <v/>
      </c>
      <c r="U124" s="21" t="str">
        <f aca="false">IF(B124="","",SUMIFS(開通管理!$J$5:$J$604,開通管理!$B$5:$B$604,B124,開通管理!$O$5:$O$604,"&lt;&gt;キャンセル"))</f>
        <v/>
      </c>
      <c r="V124" s="22"/>
      <c r="W124" s="12" t="str">
        <f aca="false">IF(OR(B124="",設定!$B$14=""),"",SUBSTITUTE(設定!$B$14,"__ID__",B124))</f>
        <v/>
      </c>
      <c r="X124" s="22"/>
      <c r="Y124" s="22"/>
      <c r="Z124" s="22"/>
      <c r="AA124" s="20" t="str">
        <f aca="false">IF(Z124="","",WORKDAY(Z124,設定!$B$5,設定!$F$5:$F$120))</f>
        <v/>
      </c>
      <c r="AB124" s="17"/>
      <c r="AC124" s="17"/>
      <c r="AD124" s="17"/>
      <c r="AE124" s="17"/>
      <c r="AF124" s="22"/>
      <c r="AG124" s="17"/>
      <c r="AH124" s="20" t="str">
        <f aca="false">IF(T124="","",EDATE(T124,設定!$B$8))</f>
        <v/>
      </c>
      <c r="AI124" s="17"/>
      <c r="AJ124" s="17"/>
      <c r="AK124" s="22"/>
      <c r="AL124" s="23" t="str">
        <f aca="true">IF(C124="","",IF(N124="失注","―",IF(AND(AK124&lt;&gt;"",AK124&lt;TODAY()),"対応期限超過",IF(AND(AF124="",AA124&lt;&gt;"",IF(AA124="",FALSE(),AA124&lt;TODAY())),"納品遅延",IF(AND(AK124&lt;&gt;"",AK124=TODAY()),"本日対応",IF(AND(S124="全開通",X124="",AF124=""),"ヒアリング依頼待ち",IF(AND(X124&lt;&gt;"",Y124="",Z124="",TODAY()-X124&gt;=設定!$B$6),"ヒアリング未回収",IF(AND(Y124&lt;&gt;"",Z124=""),"素材確認待ち",IF(AND(AF124="",AA124&lt;&gt;"",IF(AA124="",FALSE(),AA124-TODAY()&lt;=設定!$B$7)),"納品間近",IF(AND(AH124&lt;&gt;"",IF(AH124="",FALSE(),AH124&lt;=TODAY()),AI124=""),"解約チェック",IF(AF124&lt;&gt;"","納品済","")))))))))))</f>
        <v/>
      </c>
      <c r="AM124" s="17"/>
    </row>
    <row r="125" customFormat="false" ht="15" hidden="false" customHeight="false" outlineLevel="0" collapsed="false">
      <c r="A125" s="12" t="str">
        <f aca="false">IF(C125="","",ROW()-4)</f>
        <v/>
      </c>
      <c r="B125" s="17"/>
      <c r="C125" s="17"/>
      <c r="D125" s="17"/>
      <c r="E125" s="17"/>
      <c r="F125" s="24"/>
      <c r="G125" s="17"/>
      <c r="H125" s="17"/>
      <c r="I125" s="17"/>
      <c r="J125" s="17"/>
      <c r="K125" s="17"/>
      <c r="L125" s="22"/>
      <c r="M125" s="22"/>
      <c r="N125" s="17"/>
      <c r="O125" s="17"/>
      <c r="P125" s="17"/>
      <c r="Q125" s="18" t="str">
        <f aca="false">IF(B125="","",COUNTIFS(開通管理!$B$5:$B$604,B125,開通管理!$O$5:$O$604,"&lt;&gt;キャンセル"))</f>
        <v/>
      </c>
      <c r="R125" s="18" t="str">
        <f aca="false">IF(B125="","",COUNTIFS(開通管理!$B$5:$B$604,B125,開通管理!$O$5:$O$604,"開通済"))</f>
        <v/>
      </c>
      <c r="S125" s="19" t="str">
        <f aca="false">IF(B125="","",IF(Q125=0,"未申込",IF(R125&lt;Q125,"開通待ち（"&amp;R125&amp;"/"&amp;Q125&amp;"）","全開通")))</f>
        <v/>
      </c>
      <c r="T125" s="20" t="str">
        <f aca="false">IF(S125&lt;&gt;"全開通","",_xlfn.MAXIFS(開通管理!$Q$5:$Q$604,開通管理!$B$5:$B$604,B125))</f>
        <v/>
      </c>
      <c r="U125" s="21" t="str">
        <f aca="false">IF(B125="","",SUMIFS(開通管理!$J$5:$J$604,開通管理!$B$5:$B$604,B125,開通管理!$O$5:$O$604,"&lt;&gt;キャンセル"))</f>
        <v/>
      </c>
      <c r="V125" s="22"/>
      <c r="W125" s="12" t="str">
        <f aca="false">IF(OR(B125="",設定!$B$14=""),"",SUBSTITUTE(設定!$B$14,"__ID__",B125))</f>
        <v/>
      </c>
      <c r="X125" s="22"/>
      <c r="Y125" s="22"/>
      <c r="Z125" s="22"/>
      <c r="AA125" s="20" t="str">
        <f aca="false">IF(Z125="","",WORKDAY(Z125,設定!$B$5,設定!$F$5:$F$120))</f>
        <v/>
      </c>
      <c r="AB125" s="17"/>
      <c r="AC125" s="17"/>
      <c r="AD125" s="17"/>
      <c r="AE125" s="17"/>
      <c r="AF125" s="22"/>
      <c r="AG125" s="17"/>
      <c r="AH125" s="20" t="str">
        <f aca="false">IF(T125="","",EDATE(T125,設定!$B$8))</f>
        <v/>
      </c>
      <c r="AI125" s="17"/>
      <c r="AJ125" s="17"/>
      <c r="AK125" s="22"/>
      <c r="AL125" s="23" t="str">
        <f aca="true">IF(C125="","",IF(N125="失注","―",IF(AND(AK125&lt;&gt;"",AK125&lt;TODAY()),"対応期限超過",IF(AND(AF125="",AA125&lt;&gt;"",IF(AA125="",FALSE(),AA125&lt;TODAY())),"納品遅延",IF(AND(AK125&lt;&gt;"",AK125=TODAY()),"本日対応",IF(AND(S125="全開通",X125="",AF125=""),"ヒアリング依頼待ち",IF(AND(X125&lt;&gt;"",Y125="",Z125="",TODAY()-X125&gt;=設定!$B$6),"ヒアリング未回収",IF(AND(Y125&lt;&gt;"",Z125=""),"素材確認待ち",IF(AND(AF125="",AA125&lt;&gt;"",IF(AA125="",FALSE(),AA125-TODAY()&lt;=設定!$B$7)),"納品間近",IF(AND(AH125&lt;&gt;"",IF(AH125="",FALSE(),AH125&lt;=TODAY()),AI125=""),"解約チェック",IF(AF125&lt;&gt;"","納品済","")))))))))))</f>
        <v/>
      </c>
      <c r="AM125" s="17"/>
    </row>
    <row r="126" customFormat="false" ht="15" hidden="false" customHeight="false" outlineLevel="0" collapsed="false">
      <c r="A126" s="12" t="str">
        <f aca="false">IF(C126="","",ROW()-4)</f>
        <v/>
      </c>
      <c r="B126" s="17"/>
      <c r="C126" s="17"/>
      <c r="D126" s="17"/>
      <c r="E126" s="17"/>
      <c r="F126" s="24"/>
      <c r="G126" s="17"/>
      <c r="H126" s="17"/>
      <c r="I126" s="17"/>
      <c r="J126" s="17"/>
      <c r="K126" s="17"/>
      <c r="L126" s="22"/>
      <c r="M126" s="22"/>
      <c r="N126" s="17"/>
      <c r="O126" s="17"/>
      <c r="P126" s="17"/>
      <c r="Q126" s="18" t="str">
        <f aca="false">IF(B126="","",COUNTIFS(開通管理!$B$5:$B$604,B126,開通管理!$O$5:$O$604,"&lt;&gt;キャンセル"))</f>
        <v/>
      </c>
      <c r="R126" s="18" t="str">
        <f aca="false">IF(B126="","",COUNTIFS(開通管理!$B$5:$B$604,B126,開通管理!$O$5:$O$604,"開通済"))</f>
        <v/>
      </c>
      <c r="S126" s="19" t="str">
        <f aca="false">IF(B126="","",IF(Q126=0,"未申込",IF(R126&lt;Q126,"開通待ち（"&amp;R126&amp;"/"&amp;Q126&amp;"）","全開通")))</f>
        <v/>
      </c>
      <c r="T126" s="20" t="str">
        <f aca="false">IF(S126&lt;&gt;"全開通","",_xlfn.MAXIFS(開通管理!$Q$5:$Q$604,開通管理!$B$5:$B$604,B126))</f>
        <v/>
      </c>
      <c r="U126" s="21" t="str">
        <f aca="false">IF(B126="","",SUMIFS(開通管理!$J$5:$J$604,開通管理!$B$5:$B$604,B126,開通管理!$O$5:$O$604,"&lt;&gt;キャンセル"))</f>
        <v/>
      </c>
      <c r="V126" s="22"/>
      <c r="W126" s="12" t="str">
        <f aca="false">IF(OR(B126="",設定!$B$14=""),"",SUBSTITUTE(設定!$B$14,"__ID__",B126))</f>
        <v/>
      </c>
      <c r="X126" s="22"/>
      <c r="Y126" s="22"/>
      <c r="Z126" s="22"/>
      <c r="AA126" s="20" t="str">
        <f aca="false">IF(Z126="","",WORKDAY(Z126,設定!$B$5,設定!$F$5:$F$120))</f>
        <v/>
      </c>
      <c r="AB126" s="17"/>
      <c r="AC126" s="17"/>
      <c r="AD126" s="17"/>
      <c r="AE126" s="17"/>
      <c r="AF126" s="22"/>
      <c r="AG126" s="17"/>
      <c r="AH126" s="20" t="str">
        <f aca="false">IF(T126="","",EDATE(T126,設定!$B$8))</f>
        <v/>
      </c>
      <c r="AI126" s="17"/>
      <c r="AJ126" s="17"/>
      <c r="AK126" s="22"/>
      <c r="AL126" s="23" t="str">
        <f aca="true">IF(C126="","",IF(N126="失注","―",IF(AND(AK126&lt;&gt;"",AK126&lt;TODAY()),"対応期限超過",IF(AND(AF126="",AA126&lt;&gt;"",IF(AA126="",FALSE(),AA126&lt;TODAY())),"納品遅延",IF(AND(AK126&lt;&gt;"",AK126=TODAY()),"本日対応",IF(AND(S126="全開通",X126="",AF126=""),"ヒアリング依頼待ち",IF(AND(X126&lt;&gt;"",Y126="",Z126="",TODAY()-X126&gt;=設定!$B$6),"ヒアリング未回収",IF(AND(Y126&lt;&gt;"",Z126=""),"素材確認待ち",IF(AND(AF126="",AA126&lt;&gt;"",IF(AA126="",FALSE(),AA126-TODAY()&lt;=設定!$B$7)),"納品間近",IF(AND(AH126&lt;&gt;"",IF(AH126="",FALSE(),AH126&lt;=TODAY()),AI126=""),"解約チェック",IF(AF126&lt;&gt;"","納品済","")))))))))))</f>
        <v/>
      </c>
      <c r="AM126" s="17"/>
    </row>
    <row r="127" customFormat="false" ht="15" hidden="false" customHeight="false" outlineLevel="0" collapsed="false">
      <c r="A127" s="12" t="str">
        <f aca="false">IF(C127="","",ROW()-4)</f>
        <v/>
      </c>
      <c r="B127" s="17"/>
      <c r="C127" s="17"/>
      <c r="D127" s="17"/>
      <c r="E127" s="17"/>
      <c r="F127" s="24"/>
      <c r="G127" s="17"/>
      <c r="H127" s="17"/>
      <c r="I127" s="17"/>
      <c r="J127" s="17"/>
      <c r="K127" s="17"/>
      <c r="L127" s="22"/>
      <c r="M127" s="22"/>
      <c r="N127" s="17"/>
      <c r="O127" s="17"/>
      <c r="P127" s="17"/>
      <c r="Q127" s="18" t="str">
        <f aca="false">IF(B127="","",COUNTIFS(開通管理!$B$5:$B$604,B127,開通管理!$O$5:$O$604,"&lt;&gt;キャンセル"))</f>
        <v/>
      </c>
      <c r="R127" s="18" t="str">
        <f aca="false">IF(B127="","",COUNTIFS(開通管理!$B$5:$B$604,B127,開通管理!$O$5:$O$604,"開通済"))</f>
        <v/>
      </c>
      <c r="S127" s="19" t="str">
        <f aca="false">IF(B127="","",IF(Q127=0,"未申込",IF(R127&lt;Q127,"開通待ち（"&amp;R127&amp;"/"&amp;Q127&amp;"）","全開通")))</f>
        <v/>
      </c>
      <c r="T127" s="20" t="str">
        <f aca="false">IF(S127&lt;&gt;"全開通","",_xlfn.MAXIFS(開通管理!$Q$5:$Q$604,開通管理!$B$5:$B$604,B127))</f>
        <v/>
      </c>
      <c r="U127" s="21" t="str">
        <f aca="false">IF(B127="","",SUMIFS(開通管理!$J$5:$J$604,開通管理!$B$5:$B$604,B127,開通管理!$O$5:$O$604,"&lt;&gt;キャンセル"))</f>
        <v/>
      </c>
      <c r="V127" s="22"/>
      <c r="W127" s="12" t="str">
        <f aca="false">IF(OR(B127="",設定!$B$14=""),"",SUBSTITUTE(設定!$B$14,"__ID__",B127))</f>
        <v/>
      </c>
      <c r="X127" s="22"/>
      <c r="Y127" s="22"/>
      <c r="Z127" s="22"/>
      <c r="AA127" s="20" t="str">
        <f aca="false">IF(Z127="","",WORKDAY(Z127,設定!$B$5,設定!$F$5:$F$120))</f>
        <v/>
      </c>
      <c r="AB127" s="17"/>
      <c r="AC127" s="17"/>
      <c r="AD127" s="17"/>
      <c r="AE127" s="17"/>
      <c r="AF127" s="22"/>
      <c r="AG127" s="17"/>
      <c r="AH127" s="20" t="str">
        <f aca="false">IF(T127="","",EDATE(T127,設定!$B$8))</f>
        <v/>
      </c>
      <c r="AI127" s="17"/>
      <c r="AJ127" s="17"/>
      <c r="AK127" s="22"/>
      <c r="AL127" s="23" t="str">
        <f aca="true">IF(C127="","",IF(N127="失注","―",IF(AND(AK127&lt;&gt;"",AK127&lt;TODAY()),"対応期限超過",IF(AND(AF127="",AA127&lt;&gt;"",IF(AA127="",FALSE(),AA127&lt;TODAY())),"納品遅延",IF(AND(AK127&lt;&gt;"",AK127=TODAY()),"本日対応",IF(AND(S127="全開通",X127="",AF127=""),"ヒアリング依頼待ち",IF(AND(X127&lt;&gt;"",Y127="",Z127="",TODAY()-X127&gt;=設定!$B$6),"ヒアリング未回収",IF(AND(Y127&lt;&gt;"",Z127=""),"素材確認待ち",IF(AND(AF127="",AA127&lt;&gt;"",IF(AA127="",FALSE(),AA127-TODAY()&lt;=設定!$B$7)),"納品間近",IF(AND(AH127&lt;&gt;"",IF(AH127="",FALSE(),AH127&lt;=TODAY()),AI127=""),"解約チェック",IF(AF127&lt;&gt;"","納品済","")))))))))))</f>
        <v/>
      </c>
      <c r="AM127" s="17"/>
    </row>
    <row r="128" customFormat="false" ht="15" hidden="false" customHeight="false" outlineLevel="0" collapsed="false">
      <c r="A128" s="12" t="str">
        <f aca="false">IF(C128="","",ROW()-4)</f>
        <v/>
      </c>
      <c r="B128" s="17"/>
      <c r="C128" s="17"/>
      <c r="D128" s="17"/>
      <c r="E128" s="17"/>
      <c r="F128" s="24"/>
      <c r="G128" s="17"/>
      <c r="H128" s="17"/>
      <c r="I128" s="17"/>
      <c r="J128" s="17"/>
      <c r="K128" s="17"/>
      <c r="L128" s="22"/>
      <c r="M128" s="22"/>
      <c r="N128" s="17"/>
      <c r="O128" s="17"/>
      <c r="P128" s="17"/>
      <c r="Q128" s="18" t="str">
        <f aca="false">IF(B128="","",COUNTIFS(開通管理!$B$5:$B$604,B128,開通管理!$O$5:$O$604,"&lt;&gt;キャンセル"))</f>
        <v/>
      </c>
      <c r="R128" s="18" t="str">
        <f aca="false">IF(B128="","",COUNTIFS(開通管理!$B$5:$B$604,B128,開通管理!$O$5:$O$604,"開通済"))</f>
        <v/>
      </c>
      <c r="S128" s="19" t="str">
        <f aca="false">IF(B128="","",IF(Q128=0,"未申込",IF(R128&lt;Q128,"開通待ち（"&amp;R128&amp;"/"&amp;Q128&amp;"）","全開通")))</f>
        <v/>
      </c>
      <c r="T128" s="20" t="str">
        <f aca="false">IF(S128&lt;&gt;"全開通","",_xlfn.MAXIFS(開通管理!$Q$5:$Q$604,開通管理!$B$5:$B$604,B128))</f>
        <v/>
      </c>
      <c r="U128" s="21" t="str">
        <f aca="false">IF(B128="","",SUMIFS(開通管理!$J$5:$J$604,開通管理!$B$5:$B$604,B128,開通管理!$O$5:$O$604,"&lt;&gt;キャンセル"))</f>
        <v/>
      </c>
      <c r="V128" s="22"/>
      <c r="W128" s="12" t="str">
        <f aca="false">IF(OR(B128="",設定!$B$14=""),"",SUBSTITUTE(設定!$B$14,"__ID__",B128))</f>
        <v/>
      </c>
      <c r="X128" s="22"/>
      <c r="Y128" s="22"/>
      <c r="Z128" s="22"/>
      <c r="AA128" s="20" t="str">
        <f aca="false">IF(Z128="","",WORKDAY(Z128,設定!$B$5,設定!$F$5:$F$120))</f>
        <v/>
      </c>
      <c r="AB128" s="17"/>
      <c r="AC128" s="17"/>
      <c r="AD128" s="17"/>
      <c r="AE128" s="17"/>
      <c r="AF128" s="22"/>
      <c r="AG128" s="17"/>
      <c r="AH128" s="20" t="str">
        <f aca="false">IF(T128="","",EDATE(T128,設定!$B$8))</f>
        <v/>
      </c>
      <c r="AI128" s="17"/>
      <c r="AJ128" s="17"/>
      <c r="AK128" s="22"/>
      <c r="AL128" s="23" t="str">
        <f aca="true">IF(C128="","",IF(N128="失注","―",IF(AND(AK128&lt;&gt;"",AK128&lt;TODAY()),"対応期限超過",IF(AND(AF128="",AA128&lt;&gt;"",IF(AA128="",FALSE(),AA128&lt;TODAY())),"納品遅延",IF(AND(AK128&lt;&gt;"",AK128=TODAY()),"本日対応",IF(AND(S128="全開通",X128="",AF128=""),"ヒアリング依頼待ち",IF(AND(X128&lt;&gt;"",Y128="",Z128="",TODAY()-X128&gt;=設定!$B$6),"ヒアリング未回収",IF(AND(Y128&lt;&gt;"",Z128=""),"素材確認待ち",IF(AND(AF128="",AA128&lt;&gt;"",IF(AA128="",FALSE(),AA128-TODAY()&lt;=設定!$B$7)),"納品間近",IF(AND(AH128&lt;&gt;"",IF(AH128="",FALSE(),AH128&lt;=TODAY()),AI128=""),"解約チェック",IF(AF128&lt;&gt;"","納品済","")))))))))))</f>
        <v/>
      </c>
      <c r="AM128" s="17"/>
    </row>
    <row r="129" customFormat="false" ht="15" hidden="false" customHeight="false" outlineLevel="0" collapsed="false">
      <c r="A129" s="12" t="str">
        <f aca="false">IF(C129="","",ROW()-4)</f>
        <v/>
      </c>
      <c r="B129" s="17"/>
      <c r="C129" s="17"/>
      <c r="D129" s="17"/>
      <c r="E129" s="17"/>
      <c r="F129" s="24"/>
      <c r="G129" s="17"/>
      <c r="H129" s="17"/>
      <c r="I129" s="17"/>
      <c r="J129" s="17"/>
      <c r="K129" s="17"/>
      <c r="L129" s="22"/>
      <c r="M129" s="22"/>
      <c r="N129" s="17"/>
      <c r="O129" s="17"/>
      <c r="P129" s="17"/>
      <c r="Q129" s="18" t="str">
        <f aca="false">IF(B129="","",COUNTIFS(開通管理!$B$5:$B$604,B129,開通管理!$O$5:$O$604,"&lt;&gt;キャンセル"))</f>
        <v/>
      </c>
      <c r="R129" s="18" t="str">
        <f aca="false">IF(B129="","",COUNTIFS(開通管理!$B$5:$B$604,B129,開通管理!$O$5:$O$604,"開通済"))</f>
        <v/>
      </c>
      <c r="S129" s="19" t="str">
        <f aca="false">IF(B129="","",IF(Q129=0,"未申込",IF(R129&lt;Q129,"開通待ち（"&amp;R129&amp;"/"&amp;Q129&amp;"）","全開通")))</f>
        <v/>
      </c>
      <c r="T129" s="20" t="str">
        <f aca="false">IF(S129&lt;&gt;"全開通","",_xlfn.MAXIFS(開通管理!$Q$5:$Q$604,開通管理!$B$5:$B$604,B129))</f>
        <v/>
      </c>
      <c r="U129" s="21" t="str">
        <f aca="false">IF(B129="","",SUMIFS(開通管理!$J$5:$J$604,開通管理!$B$5:$B$604,B129,開通管理!$O$5:$O$604,"&lt;&gt;キャンセル"))</f>
        <v/>
      </c>
      <c r="V129" s="22"/>
      <c r="W129" s="12" t="str">
        <f aca="false">IF(OR(B129="",設定!$B$14=""),"",SUBSTITUTE(設定!$B$14,"__ID__",B129))</f>
        <v/>
      </c>
      <c r="X129" s="22"/>
      <c r="Y129" s="22"/>
      <c r="Z129" s="22"/>
      <c r="AA129" s="20" t="str">
        <f aca="false">IF(Z129="","",WORKDAY(Z129,設定!$B$5,設定!$F$5:$F$120))</f>
        <v/>
      </c>
      <c r="AB129" s="17"/>
      <c r="AC129" s="17"/>
      <c r="AD129" s="17"/>
      <c r="AE129" s="17"/>
      <c r="AF129" s="22"/>
      <c r="AG129" s="17"/>
      <c r="AH129" s="20" t="str">
        <f aca="false">IF(T129="","",EDATE(T129,設定!$B$8))</f>
        <v/>
      </c>
      <c r="AI129" s="17"/>
      <c r="AJ129" s="17"/>
      <c r="AK129" s="22"/>
      <c r="AL129" s="23" t="str">
        <f aca="true">IF(C129="","",IF(N129="失注","―",IF(AND(AK129&lt;&gt;"",AK129&lt;TODAY()),"対応期限超過",IF(AND(AF129="",AA129&lt;&gt;"",IF(AA129="",FALSE(),AA129&lt;TODAY())),"納品遅延",IF(AND(AK129&lt;&gt;"",AK129=TODAY()),"本日対応",IF(AND(S129="全開通",X129="",AF129=""),"ヒアリング依頼待ち",IF(AND(X129&lt;&gt;"",Y129="",Z129="",TODAY()-X129&gt;=設定!$B$6),"ヒアリング未回収",IF(AND(Y129&lt;&gt;"",Z129=""),"素材確認待ち",IF(AND(AF129="",AA129&lt;&gt;"",IF(AA129="",FALSE(),AA129-TODAY()&lt;=設定!$B$7)),"納品間近",IF(AND(AH129&lt;&gt;"",IF(AH129="",FALSE(),AH129&lt;=TODAY()),AI129=""),"解約チェック",IF(AF129&lt;&gt;"","納品済","")))))))))))</f>
        <v/>
      </c>
      <c r="AM129" s="17"/>
    </row>
    <row r="130" customFormat="false" ht="15" hidden="false" customHeight="false" outlineLevel="0" collapsed="false">
      <c r="A130" s="12" t="str">
        <f aca="false">IF(C130="","",ROW()-4)</f>
        <v/>
      </c>
      <c r="B130" s="17"/>
      <c r="C130" s="17"/>
      <c r="D130" s="17"/>
      <c r="E130" s="17"/>
      <c r="F130" s="24"/>
      <c r="G130" s="17"/>
      <c r="H130" s="17"/>
      <c r="I130" s="17"/>
      <c r="J130" s="17"/>
      <c r="K130" s="17"/>
      <c r="L130" s="22"/>
      <c r="M130" s="22"/>
      <c r="N130" s="17"/>
      <c r="O130" s="17"/>
      <c r="P130" s="17"/>
      <c r="Q130" s="18" t="str">
        <f aca="false">IF(B130="","",COUNTIFS(開通管理!$B$5:$B$604,B130,開通管理!$O$5:$O$604,"&lt;&gt;キャンセル"))</f>
        <v/>
      </c>
      <c r="R130" s="18" t="str">
        <f aca="false">IF(B130="","",COUNTIFS(開通管理!$B$5:$B$604,B130,開通管理!$O$5:$O$604,"開通済"))</f>
        <v/>
      </c>
      <c r="S130" s="19" t="str">
        <f aca="false">IF(B130="","",IF(Q130=0,"未申込",IF(R130&lt;Q130,"開通待ち（"&amp;R130&amp;"/"&amp;Q130&amp;"）","全開通")))</f>
        <v/>
      </c>
      <c r="T130" s="20" t="str">
        <f aca="false">IF(S130&lt;&gt;"全開通","",_xlfn.MAXIFS(開通管理!$Q$5:$Q$604,開通管理!$B$5:$B$604,B130))</f>
        <v/>
      </c>
      <c r="U130" s="21" t="str">
        <f aca="false">IF(B130="","",SUMIFS(開通管理!$J$5:$J$604,開通管理!$B$5:$B$604,B130,開通管理!$O$5:$O$604,"&lt;&gt;キャンセル"))</f>
        <v/>
      </c>
      <c r="V130" s="22"/>
      <c r="W130" s="12" t="str">
        <f aca="false">IF(OR(B130="",設定!$B$14=""),"",SUBSTITUTE(設定!$B$14,"__ID__",B130))</f>
        <v/>
      </c>
      <c r="X130" s="22"/>
      <c r="Y130" s="22"/>
      <c r="Z130" s="22"/>
      <c r="AA130" s="20" t="str">
        <f aca="false">IF(Z130="","",WORKDAY(Z130,設定!$B$5,設定!$F$5:$F$120))</f>
        <v/>
      </c>
      <c r="AB130" s="17"/>
      <c r="AC130" s="17"/>
      <c r="AD130" s="17"/>
      <c r="AE130" s="17"/>
      <c r="AF130" s="22"/>
      <c r="AG130" s="17"/>
      <c r="AH130" s="20" t="str">
        <f aca="false">IF(T130="","",EDATE(T130,設定!$B$8))</f>
        <v/>
      </c>
      <c r="AI130" s="17"/>
      <c r="AJ130" s="17"/>
      <c r="AK130" s="22"/>
      <c r="AL130" s="23" t="str">
        <f aca="true">IF(C130="","",IF(N130="失注","―",IF(AND(AK130&lt;&gt;"",AK130&lt;TODAY()),"対応期限超過",IF(AND(AF130="",AA130&lt;&gt;"",IF(AA130="",FALSE(),AA130&lt;TODAY())),"納品遅延",IF(AND(AK130&lt;&gt;"",AK130=TODAY()),"本日対応",IF(AND(S130="全開通",X130="",AF130=""),"ヒアリング依頼待ち",IF(AND(X130&lt;&gt;"",Y130="",Z130="",TODAY()-X130&gt;=設定!$B$6),"ヒアリング未回収",IF(AND(Y130&lt;&gt;"",Z130=""),"素材確認待ち",IF(AND(AF130="",AA130&lt;&gt;"",IF(AA130="",FALSE(),AA130-TODAY()&lt;=設定!$B$7)),"納品間近",IF(AND(AH130&lt;&gt;"",IF(AH130="",FALSE(),AH130&lt;=TODAY()),AI130=""),"解約チェック",IF(AF130&lt;&gt;"","納品済","")))))))))))</f>
        <v/>
      </c>
      <c r="AM130" s="17"/>
    </row>
    <row r="131" customFormat="false" ht="15" hidden="false" customHeight="false" outlineLevel="0" collapsed="false">
      <c r="A131" s="12" t="str">
        <f aca="false">IF(C131="","",ROW()-4)</f>
        <v/>
      </c>
      <c r="B131" s="17"/>
      <c r="C131" s="17"/>
      <c r="D131" s="17"/>
      <c r="E131" s="17"/>
      <c r="F131" s="24"/>
      <c r="G131" s="17"/>
      <c r="H131" s="17"/>
      <c r="I131" s="17"/>
      <c r="J131" s="17"/>
      <c r="K131" s="17"/>
      <c r="L131" s="22"/>
      <c r="M131" s="22"/>
      <c r="N131" s="17"/>
      <c r="O131" s="17"/>
      <c r="P131" s="17"/>
      <c r="Q131" s="18" t="str">
        <f aca="false">IF(B131="","",COUNTIFS(開通管理!$B$5:$B$604,B131,開通管理!$O$5:$O$604,"&lt;&gt;キャンセル"))</f>
        <v/>
      </c>
      <c r="R131" s="18" t="str">
        <f aca="false">IF(B131="","",COUNTIFS(開通管理!$B$5:$B$604,B131,開通管理!$O$5:$O$604,"開通済"))</f>
        <v/>
      </c>
      <c r="S131" s="19" t="str">
        <f aca="false">IF(B131="","",IF(Q131=0,"未申込",IF(R131&lt;Q131,"開通待ち（"&amp;R131&amp;"/"&amp;Q131&amp;"）","全開通")))</f>
        <v/>
      </c>
      <c r="T131" s="20" t="str">
        <f aca="false">IF(S131&lt;&gt;"全開通","",_xlfn.MAXIFS(開通管理!$Q$5:$Q$604,開通管理!$B$5:$B$604,B131))</f>
        <v/>
      </c>
      <c r="U131" s="21" t="str">
        <f aca="false">IF(B131="","",SUMIFS(開通管理!$J$5:$J$604,開通管理!$B$5:$B$604,B131,開通管理!$O$5:$O$604,"&lt;&gt;キャンセル"))</f>
        <v/>
      </c>
      <c r="V131" s="22"/>
      <c r="W131" s="12" t="str">
        <f aca="false">IF(OR(B131="",設定!$B$14=""),"",SUBSTITUTE(設定!$B$14,"__ID__",B131))</f>
        <v/>
      </c>
      <c r="X131" s="22"/>
      <c r="Y131" s="22"/>
      <c r="Z131" s="22"/>
      <c r="AA131" s="20" t="str">
        <f aca="false">IF(Z131="","",WORKDAY(Z131,設定!$B$5,設定!$F$5:$F$120))</f>
        <v/>
      </c>
      <c r="AB131" s="17"/>
      <c r="AC131" s="17"/>
      <c r="AD131" s="17"/>
      <c r="AE131" s="17"/>
      <c r="AF131" s="22"/>
      <c r="AG131" s="17"/>
      <c r="AH131" s="20" t="str">
        <f aca="false">IF(T131="","",EDATE(T131,設定!$B$8))</f>
        <v/>
      </c>
      <c r="AI131" s="17"/>
      <c r="AJ131" s="17"/>
      <c r="AK131" s="22"/>
      <c r="AL131" s="23" t="str">
        <f aca="true">IF(C131="","",IF(N131="失注","―",IF(AND(AK131&lt;&gt;"",AK131&lt;TODAY()),"対応期限超過",IF(AND(AF131="",AA131&lt;&gt;"",IF(AA131="",FALSE(),AA131&lt;TODAY())),"納品遅延",IF(AND(AK131&lt;&gt;"",AK131=TODAY()),"本日対応",IF(AND(S131="全開通",X131="",AF131=""),"ヒアリング依頼待ち",IF(AND(X131&lt;&gt;"",Y131="",Z131="",TODAY()-X131&gt;=設定!$B$6),"ヒアリング未回収",IF(AND(Y131&lt;&gt;"",Z131=""),"素材確認待ち",IF(AND(AF131="",AA131&lt;&gt;"",IF(AA131="",FALSE(),AA131-TODAY()&lt;=設定!$B$7)),"納品間近",IF(AND(AH131&lt;&gt;"",IF(AH131="",FALSE(),AH131&lt;=TODAY()),AI131=""),"解約チェック",IF(AF131&lt;&gt;"","納品済","")))))))))))</f>
        <v/>
      </c>
      <c r="AM131" s="17"/>
    </row>
    <row r="132" customFormat="false" ht="15" hidden="false" customHeight="false" outlineLevel="0" collapsed="false">
      <c r="A132" s="12" t="str">
        <f aca="false">IF(C132="","",ROW()-4)</f>
        <v/>
      </c>
      <c r="B132" s="17"/>
      <c r="C132" s="17"/>
      <c r="D132" s="17"/>
      <c r="E132" s="17"/>
      <c r="F132" s="24"/>
      <c r="G132" s="17"/>
      <c r="H132" s="17"/>
      <c r="I132" s="17"/>
      <c r="J132" s="17"/>
      <c r="K132" s="17"/>
      <c r="L132" s="22"/>
      <c r="M132" s="22"/>
      <c r="N132" s="17"/>
      <c r="O132" s="17"/>
      <c r="P132" s="17"/>
      <c r="Q132" s="18" t="str">
        <f aca="false">IF(B132="","",COUNTIFS(開通管理!$B$5:$B$604,B132,開通管理!$O$5:$O$604,"&lt;&gt;キャンセル"))</f>
        <v/>
      </c>
      <c r="R132" s="18" t="str">
        <f aca="false">IF(B132="","",COUNTIFS(開通管理!$B$5:$B$604,B132,開通管理!$O$5:$O$604,"開通済"))</f>
        <v/>
      </c>
      <c r="S132" s="19" t="str">
        <f aca="false">IF(B132="","",IF(Q132=0,"未申込",IF(R132&lt;Q132,"開通待ち（"&amp;R132&amp;"/"&amp;Q132&amp;"）","全開通")))</f>
        <v/>
      </c>
      <c r="T132" s="20" t="str">
        <f aca="false">IF(S132&lt;&gt;"全開通","",_xlfn.MAXIFS(開通管理!$Q$5:$Q$604,開通管理!$B$5:$B$604,B132))</f>
        <v/>
      </c>
      <c r="U132" s="21" t="str">
        <f aca="false">IF(B132="","",SUMIFS(開通管理!$J$5:$J$604,開通管理!$B$5:$B$604,B132,開通管理!$O$5:$O$604,"&lt;&gt;キャンセル"))</f>
        <v/>
      </c>
      <c r="V132" s="22"/>
      <c r="W132" s="12" t="str">
        <f aca="false">IF(OR(B132="",設定!$B$14=""),"",SUBSTITUTE(設定!$B$14,"__ID__",B132))</f>
        <v/>
      </c>
      <c r="X132" s="22"/>
      <c r="Y132" s="22"/>
      <c r="Z132" s="22"/>
      <c r="AA132" s="20" t="str">
        <f aca="false">IF(Z132="","",WORKDAY(Z132,設定!$B$5,設定!$F$5:$F$120))</f>
        <v/>
      </c>
      <c r="AB132" s="17"/>
      <c r="AC132" s="17"/>
      <c r="AD132" s="17"/>
      <c r="AE132" s="17"/>
      <c r="AF132" s="22"/>
      <c r="AG132" s="17"/>
      <c r="AH132" s="20" t="str">
        <f aca="false">IF(T132="","",EDATE(T132,設定!$B$8))</f>
        <v/>
      </c>
      <c r="AI132" s="17"/>
      <c r="AJ132" s="17"/>
      <c r="AK132" s="22"/>
      <c r="AL132" s="23" t="str">
        <f aca="true">IF(C132="","",IF(N132="失注","―",IF(AND(AK132&lt;&gt;"",AK132&lt;TODAY()),"対応期限超過",IF(AND(AF132="",AA132&lt;&gt;"",IF(AA132="",FALSE(),AA132&lt;TODAY())),"納品遅延",IF(AND(AK132&lt;&gt;"",AK132=TODAY()),"本日対応",IF(AND(S132="全開通",X132="",AF132=""),"ヒアリング依頼待ち",IF(AND(X132&lt;&gt;"",Y132="",Z132="",TODAY()-X132&gt;=設定!$B$6),"ヒアリング未回収",IF(AND(Y132&lt;&gt;"",Z132=""),"素材確認待ち",IF(AND(AF132="",AA132&lt;&gt;"",IF(AA132="",FALSE(),AA132-TODAY()&lt;=設定!$B$7)),"納品間近",IF(AND(AH132&lt;&gt;"",IF(AH132="",FALSE(),AH132&lt;=TODAY()),AI132=""),"解約チェック",IF(AF132&lt;&gt;"","納品済","")))))))))))</f>
        <v/>
      </c>
      <c r="AM132" s="17"/>
    </row>
    <row r="133" customFormat="false" ht="15" hidden="false" customHeight="false" outlineLevel="0" collapsed="false">
      <c r="A133" s="12" t="str">
        <f aca="false">IF(C133="","",ROW()-4)</f>
        <v/>
      </c>
      <c r="B133" s="17"/>
      <c r="C133" s="17"/>
      <c r="D133" s="17"/>
      <c r="E133" s="17"/>
      <c r="F133" s="24"/>
      <c r="G133" s="17"/>
      <c r="H133" s="17"/>
      <c r="I133" s="17"/>
      <c r="J133" s="17"/>
      <c r="K133" s="17"/>
      <c r="L133" s="22"/>
      <c r="M133" s="22"/>
      <c r="N133" s="17"/>
      <c r="O133" s="17"/>
      <c r="P133" s="17"/>
      <c r="Q133" s="18" t="str">
        <f aca="false">IF(B133="","",COUNTIFS(開通管理!$B$5:$B$604,B133,開通管理!$O$5:$O$604,"&lt;&gt;キャンセル"))</f>
        <v/>
      </c>
      <c r="R133" s="18" t="str">
        <f aca="false">IF(B133="","",COUNTIFS(開通管理!$B$5:$B$604,B133,開通管理!$O$5:$O$604,"開通済"))</f>
        <v/>
      </c>
      <c r="S133" s="19" t="str">
        <f aca="false">IF(B133="","",IF(Q133=0,"未申込",IF(R133&lt;Q133,"開通待ち（"&amp;R133&amp;"/"&amp;Q133&amp;"）","全開通")))</f>
        <v/>
      </c>
      <c r="T133" s="20" t="str">
        <f aca="false">IF(S133&lt;&gt;"全開通","",_xlfn.MAXIFS(開通管理!$Q$5:$Q$604,開通管理!$B$5:$B$604,B133))</f>
        <v/>
      </c>
      <c r="U133" s="21" t="str">
        <f aca="false">IF(B133="","",SUMIFS(開通管理!$J$5:$J$604,開通管理!$B$5:$B$604,B133,開通管理!$O$5:$O$604,"&lt;&gt;キャンセル"))</f>
        <v/>
      </c>
      <c r="V133" s="22"/>
      <c r="W133" s="12" t="str">
        <f aca="false">IF(OR(B133="",設定!$B$14=""),"",SUBSTITUTE(設定!$B$14,"__ID__",B133))</f>
        <v/>
      </c>
      <c r="X133" s="22"/>
      <c r="Y133" s="22"/>
      <c r="Z133" s="22"/>
      <c r="AA133" s="20" t="str">
        <f aca="false">IF(Z133="","",WORKDAY(Z133,設定!$B$5,設定!$F$5:$F$120))</f>
        <v/>
      </c>
      <c r="AB133" s="17"/>
      <c r="AC133" s="17"/>
      <c r="AD133" s="17"/>
      <c r="AE133" s="17"/>
      <c r="AF133" s="22"/>
      <c r="AG133" s="17"/>
      <c r="AH133" s="20" t="str">
        <f aca="false">IF(T133="","",EDATE(T133,設定!$B$8))</f>
        <v/>
      </c>
      <c r="AI133" s="17"/>
      <c r="AJ133" s="17"/>
      <c r="AK133" s="22"/>
      <c r="AL133" s="23" t="str">
        <f aca="true">IF(C133="","",IF(N133="失注","―",IF(AND(AK133&lt;&gt;"",AK133&lt;TODAY()),"対応期限超過",IF(AND(AF133="",AA133&lt;&gt;"",IF(AA133="",FALSE(),AA133&lt;TODAY())),"納品遅延",IF(AND(AK133&lt;&gt;"",AK133=TODAY()),"本日対応",IF(AND(S133="全開通",X133="",AF133=""),"ヒアリング依頼待ち",IF(AND(X133&lt;&gt;"",Y133="",Z133="",TODAY()-X133&gt;=設定!$B$6),"ヒアリング未回収",IF(AND(Y133&lt;&gt;"",Z133=""),"素材確認待ち",IF(AND(AF133="",AA133&lt;&gt;"",IF(AA133="",FALSE(),AA133-TODAY()&lt;=設定!$B$7)),"納品間近",IF(AND(AH133&lt;&gt;"",IF(AH133="",FALSE(),AH133&lt;=TODAY()),AI133=""),"解約チェック",IF(AF133&lt;&gt;"","納品済","")))))))))))</f>
        <v/>
      </c>
      <c r="AM133" s="17"/>
    </row>
    <row r="134" customFormat="false" ht="15" hidden="false" customHeight="false" outlineLevel="0" collapsed="false">
      <c r="A134" s="12" t="str">
        <f aca="false">IF(C134="","",ROW()-4)</f>
        <v/>
      </c>
      <c r="B134" s="17"/>
      <c r="C134" s="17"/>
      <c r="D134" s="17"/>
      <c r="E134" s="17"/>
      <c r="F134" s="24"/>
      <c r="G134" s="17"/>
      <c r="H134" s="17"/>
      <c r="I134" s="17"/>
      <c r="J134" s="17"/>
      <c r="K134" s="17"/>
      <c r="L134" s="22"/>
      <c r="M134" s="22"/>
      <c r="N134" s="17"/>
      <c r="O134" s="17"/>
      <c r="P134" s="17"/>
      <c r="Q134" s="18" t="str">
        <f aca="false">IF(B134="","",COUNTIFS(開通管理!$B$5:$B$604,B134,開通管理!$O$5:$O$604,"&lt;&gt;キャンセル"))</f>
        <v/>
      </c>
      <c r="R134" s="18" t="str">
        <f aca="false">IF(B134="","",COUNTIFS(開通管理!$B$5:$B$604,B134,開通管理!$O$5:$O$604,"開通済"))</f>
        <v/>
      </c>
      <c r="S134" s="19" t="str">
        <f aca="false">IF(B134="","",IF(Q134=0,"未申込",IF(R134&lt;Q134,"開通待ち（"&amp;R134&amp;"/"&amp;Q134&amp;"）","全開通")))</f>
        <v/>
      </c>
      <c r="T134" s="20" t="str">
        <f aca="false">IF(S134&lt;&gt;"全開通","",_xlfn.MAXIFS(開通管理!$Q$5:$Q$604,開通管理!$B$5:$B$604,B134))</f>
        <v/>
      </c>
      <c r="U134" s="21" t="str">
        <f aca="false">IF(B134="","",SUMIFS(開通管理!$J$5:$J$604,開通管理!$B$5:$B$604,B134,開通管理!$O$5:$O$604,"&lt;&gt;キャンセル"))</f>
        <v/>
      </c>
      <c r="V134" s="22"/>
      <c r="W134" s="12" t="str">
        <f aca="false">IF(OR(B134="",設定!$B$14=""),"",SUBSTITUTE(設定!$B$14,"__ID__",B134))</f>
        <v/>
      </c>
      <c r="X134" s="22"/>
      <c r="Y134" s="22"/>
      <c r="Z134" s="22"/>
      <c r="AA134" s="20" t="str">
        <f aca="false">IF(Z134="","",WORKDAY(Z134,設定!$B$5,設定!$F$5:$F$120))</f>
        <v/>
      </c>
      <c r="AB134" s="17"/>
      <c r="AC134" s="17"/>
      <c r="AD134" s="17"/>
      <c r="AE134" s="17"/>
      <c r="AF134" s="22"/>
      <c r="AG134" s="17"/>
      <c r="AH134" s="20" t="str">
        <f aca="false">IF(T134="","",EDATE(T134,設定!$B$8))</f>
        <v/>
      </c>
      <c r="AI134" s="17"/>
      <c r="AJ134" s="17"/>
      <c r="AK134" s="22"/>
      <c r="AL134" s="23" t="str">
        <f aca="true">IF(C134="","",IF(N134="失注","―",IF(AND(AK134&lt;&gt;"",AK134&lt;TODAY()),"対応期限超過",IF(AND(AF134="",AA134&lt;&gt;"",IF(AA134="",FALSE(),AA134&lt;TODAY())),"納品遅延",IF(AND(AK134&lt;&gt;"",AK134=TODAY()),"本日対応",IF(AND(S134="全開通",X134="",AF134=""),"ヒアリング依頼待ち",IF(AND(X134&lt;&gt;"",Y134="",Z134="",TODAY()-X134&gt;=設定!$B$6),"ヒアリング未回収",IF(AND(Y134&lt;&gt;"",Z134=""),"素材確認待ち",IF(AND(AF134="",AA134&lt;&gt;"",IF(AA134="",FALSE(),AA134-TODAY()&lt;=設定!$B$7)),"納品間近",IF(AND(AH134&lt;&gt;"",IF(AH134="",FALSE(),AH134&lt;=TODAY()),AI134=""),"解約チェック",IF(AF134&lt;&gt;"","納品済","")))))))))))</f>
        <v/>
      </c>
      <c r="AM134" s="17"/>
    </row>
    <row r="135" customFormat="false" ht="15" hidden="false" customHeight="false" outlineLevel="0" collapsed="false">
      <c r="A135" s="12" t="str">
        <f aca="false">IF(C135="","",ROW()-4)</f>
        <v/>
      </c>
      <c r="B135" s="17"/>
      <c r="C135" s="17"/>
      <c r="D135" s="17"/>
      <c r="E135" s="17"/>
      <c r="F135" s="24"/>
      <c r="G135" s="17"/>
      <c r="H135" s="17"/>
      <c r="I135" s="17"/>
      <c r="J135" s="17"/>
      <c r="K135" s="17"/>
      <c r="L135" s="22"/>
      <c r="M135" s="22"/>
      <c r="N135" s="17"/>
      <c r="O135" s="17"/>
      <c r="P135" s="17"/>
      <c r="Q135" s="18" t="str">
        <f aca="false">IF(B135="","",COUNTIFS(開通管理!$B$5:$B$604,B135,開通管理!$O$5:$O$604,"&lt;&gt;キャンセル"))</f>
        <v/>
      </c>
      <c r="R135" s="18" t="str">
        <f aca="false">IF(B135="","",COUNTIFS(開通管理!$B$5:$B$604,B135,開通管理!$O$5:$O$604,"開通済"))</f>
        <v/>
      </c>
      <c r="S135" s="19" t="str">
        <f aca="false">IF(B135="","",IF(Q135=0,"未申込",IF(R135&lt;Q135,"開通待ち（"&amp;R135&amp;"/"&amp;Q135&amp;"）","全開通")))</f>
        <v/>
      </c>
      <c r="T135" s="20" t="str">
        <f aca="false">IF(S135&lt;&gt;"全開通","",_xlfn.MAXIFS(開通管理!$Q$5:$Q$604,開通管理!$B$5:$B$604,B135))</f>
        <v/>
      </c>
      <c r="U135" s="21" t="str">
        <f aca="false">IF(B135="","",SUMIFS(開通管理!$J$5:$J$604,開通管理!$B$5:$B$604,B135,開通管理!$O$5:$O$604,"&lt;&gt;キャンセル"))</f>
        <v/>
      </c>
      <c r="V135" s="22"/>
      <c r="W135" s="12" t="str">
        <f aca="false">IF(OR(B135="",設定!$B$14=""),"",SUBSTITUTE(設定!$B$14,"__ID__",B135))</f>
        <v/>
      </c>
      <c r="X135" s="22"/>
      <c r="Y135" s="22"/>
      <c r="Z135" s="22"/>
      <c r="AA135" s="20" t="str">
        <f aca="false">IF(Z135="","",WORKDAY(Z135,設定!$B$5,設定!$F$5:$F$120))</f>
        <v/>
      </c>
      <c r="AB135" s="17"/>
      <c r="AC135" s="17"/>
      <c r="AD135" s="17"/>
      <c r="AE135" s="17"/>
      <c r="AF135" s="22"/>
      <c r="AG135" s="17"/>
      <c r="AH135" s="20" t="str">
        <f aca="false">IF(T135="","",EDATE(T135,設定!$B$8))</f>
        <v/>
      </c>
      <c r="AI135" s="17"/>
      <c r="AJ135" s="17"/>
      <c r="AK135" s="22"/>
      <c r="AL135" s="23" t="str">
        <f aca="true">IF(C135="","",IF(N135="失注","―",IF(AND(AK135&lt;&gt;"",AK135&lt;TODAY()),"対応期限超過",IF(AND(AF135="",AA135&lt;&gt;"",IF(AA135="",FALSE(),AA135&lt;TODAY())),"納品遅延",IF(AND(AK135&lt;&gt;"",AK135=TODAY()),"本日対応",IF(AND(S135="全開通",X135="",AF135=""),"ヒアリング依頼待ち",IF(AND(X135&lt;&gt;"",Y135="",Z135="",TODAY()-X135&gt;=設定!$B$6),"ヒアリング未回収",IF(AND(Y135&lt;&gt;"",Z135=""),"素材確認待ち",IF(AND(AF135="",AA135&lt;&gt;"",IF(AA135="",FALSE(),AA135-TODAY()&lt;=設定!$B$7)),"納品間近",IF(AND(AH135&lt;&gt;"",IF(AH135="",FALSE(),AH135&lt;=TODAY()),AI135=""),"解約チェック",IF(AF135&lt;&gt;"","納品済","")))))))))))</f>
        <v/>
      </c>
      <c r="AM135" s="17"/>
    </row>
    <row r="136" customFormat="false" ht="15" hidden="false" customHeight="false" outlineLevel="0" collapsed="false">
      <c r="A136" s="12" t="str">
        <f aca="false">IF(C136="","",ROW()-4)</f>
        <v/>
      </c>
      <c r="B136" s="17"/>
      <c r="C136" s="17"/>
      <c r="D136" s="17"/>
      <c r="E136" s="17"/>
      <c r="F136" s="24"/>
      <c r="G136" s="17"/>
      <c r="H136" s="17"/>
      <c r="I136" s="17"/>
      <c r="J136" s="17"/>
      <c r="K136" s="17"/>
      <c r="L136" s="22"/>
      <c r="M136" s="22"/>
      <c r="N136" s="17"/>
      <c r="O136" s="17"/>
      <c r="P136" s="17"/>
      <c r="Q136" s="18" t="str">
        <f aca="false">IF(B136="","",COUNTIFS(開通管理!$B$5:$B$604,B136,開通管理!$O$5:$O$604,"&lt;&gt;キャンセル"))</f>
        <v/>
      </c>
      <c r="R136" s="18" t="str">
        <f aca="false">IF(B136="","",COUNTIFS(開通管理!$B$5:$B$604,B136,開通管理!$O$5:$O$604,"開通済"))</f>
        <v/>
      </c>
      <c r="S136" s="19" t="str">
        <f aca="false">IF(B136="","",IF(Q136=0,"未申込",IF(R136&lt;Q136,"開通待ち（"&amp;R136&amp;"/"&amp;Q136&amp;"）","全開通")))</f>
        <v/>
      </c>
      <c r="T136" s="20" t="str">
        <f aca="false">IF(S136&lt;&gt;"全開通","",_xlfn.MAXIFS(開通管理!$Q$5:$Q$604,開通管理!$B$5:$B$604,B136))</f>
        <v/>
      </c>
      <c r="U136" s="21" t="str">
        <f aca="false">IF(B136="","",SUMIFS(開通管理!$J$5:$J$604,開通管理!$B$5:$B$604,B136,開通管理!$O$5:$O$604,"&lt;&gt;キャンセル"))</f>
        <v/>
      </c>
      <c r="V136" s="22"/>
      <c r="W136" s="12" t="str">
        <f aca="false">IF(OR(B136="",設定!$B$14=""),"",SUBSTITUTE(設定!$B$14,"__ID__",B136))</f>
        <v/>
      </c>
      <c r="X136" s="22"/>
      <c r="Y136" s="22"/>
      <c r="Z136" s="22"/>
      <c r="AA136" s="20" t="str">
        <f aca="false">IF(Z136="","",WORKDAY(Z136,設定!$B$5,設定!$F$5:$F$120))</f>
        <v/>
      </c>
      <c r="AB136" s="17"/>
      <c r="AC136" s="17"/>
      <c r="AD136" s="17"/>
      <c r="AE136" s="17"/>
      <c r="AF136" s="22"/>
      <c r="AG136" s="17"/>
      <c r="AH136" s="20" t="str">
        <f aca="false">IF(T136="","",EDATE(T136,設定!$B$8))</f>
        <v/>
      </c>
      <c r="AI136" s="17"/>
      <c r="AJ136" s="17"/>
      <c r="AK136" s="22"/>
      <c r="AL136" s="23" t="str">
        <f aca="true">IF(C136="","",IF(N136="失注","―",IF(AND(AK136&lt;&gt;"",AK136&lt;TODAY()),"対応期限超過",IF(AND(AF136="",AA136&lt;&gt;"",IF(AA136="",FALSE(),AA136&lt;TODAY())),"納品遅延",IF(AND(AK136&lt;&gt;"",AK136=TODAY()),"本日対応",IF(AND(S136="全開通",X136="",AF136=""),"ヒアリング依頼待ち",IF(AND(X136&lt;&gt;"",Y136="",Z136="",TODAY()-X136&gt;=設定!$B$6),"ヒアリング未回収",IF(AND(Y136&lt;&gt;"",Z136=""),"素材確認待ち",IF(AND(AF136="",AA136&lt;&gt;"",IF(AA136="",FALSE(),AA136-TODAY()&lt;=設定!$B$7)),"納品間近",IF(AND(AH136&lt;&gt;"",IF(AH136="",FALSE(),AH136&lt;=TODAY()),AI136=""),"解約チェック",IF(AF136&lt;&gt;"","納品済","")))))))))))</f>
        <v/>
      </c>
      <c r="AM136" s="17"/>
    </row>
    <row r="137" customFormat="false" ht="15" hidden="false" customHeight="false" outlineLevel="0" collapsed="false">
      <c r="A137" s="12" t="str">
        <f aca="false">IF(C137="","",ROW()-4)</f>
        <v/>
      </c>
      <c r="B137" s="17"/>
      <c r="C137" s="17"/>
      <c r="D137" s="17"/>
      <c r="E137" s="17"/>
      <c r="F137" s="24"/>
      <c r="G137" s="17"/>
      <c r="H137" s="17"/>
      <c r="I137" s="17"/>
      <c r="J137" s="17"/>
      <c r="K137" s="17"/>
      <c r="L137" s="22"/>
      <c r="M137" s="22"/>
      <c r="N137" s="17"/>
      <c r="O137" s="17"/>
      <c r="P137" s="17"/>
      <c r="Q137" s="18" t="str">
        <f aca="false">IF(B137="","",COUNTIFS(開通管理!$B$5:$B$604,B137,開通管理!$O$5:$O$604,"&lt;&gt;キャンセル"))</f>
        <v/>
      </c>
      <c r="R137" s="18" t="str">
        <f aca="false">IF(B137="","",COUNTIFS(開通管理!$B$5:$B$604,B137,開通管理!$O$5:$O$604,"開通済"))</f>
        <v/>
      </c>
      <c r="S137" s="19" t="str">
        <f aca="false">IF(B137="","",IF(Q137=0,"未申込",IF(R137&lt;Q137,"開通待ち（"&amp;R137&amp;"/"&amp;Q137&amp;"）","全開通")))</f>
        <v/>
      </c>
      <c r="T137" s="20" t="str">
        <f aca="false">IF(S137&lt;&gt;"全開通","",_xlfn.MAXIFS(開通管理!$Q$5:$Q$604,開通管理!$B$5:$B$604,B137))</f>
        <v/>
      </c>
      <c r="U137" s="21" t="str">
        <f aca="false">IF(B137="","",SUMIFS(開通管理!$J$5:$J$604,開通管理!$B$5:$B$604,B137,開通管理!$O$5:$O$604,"&lt;&gt;キャンセル"))</f>
        <v/>
      </c>
      <c r="V137" s="22"/>
      <c r="W137" s="12" t="str">
        <f aca="false">IF(OR(B137="",設定!$B$14=""),"",SUBSTITUTE(設定!$B$14,"__ID__",B137))</f>
        <v/>
      </c>
      <c r="X137" s="22"/>
      <c r="Y137" s="22"/>
      <c r="Z137" s="22"/>
      <c r="AA137" s="20" t="str">
        <f aca="false">IF(Z137="","",WORKDAY(Z137,設定!$B$5,設定!$F$5:$F$120))</f>
        <v/>
      </c>
      <c r="AB137" s="17"/>
      <c r="AC137" s="17"/>
      <c r="AD137" s="17"/>
      <c r="AE137" s="17"/>
      <c r="AF137" s="22"/>
      <c r="AG137" s="17"/>
      <c r="AH137" s="20" t="str">
        <f aca="false">IF(T137="","",EDATE(T137,設定!$B$8))</f>
        <v/>
      </c>
      <c r="AI137" s="17"/>
      <c r="AJ137" s="17"/>
      <c r="AK137" s="22"/>
      <c r="AL137" s="23" t="str">
        <f aca="true">IF(C137="","",IF(N137="失注","―",IF(AND(AK137&lt;&gt;"",AK137&lt;TODAY()),"対応期限超過",IF(AND(AF137="",AA137&lt;&gt;"",IF(AA137="",FALSE(),AA137&lt;TODAY())),"納品遅延",IF(AND(AK137&lt;&gt;"",AK137=TODAY()),"本日対応",IF(AND(S137="全開通",X137="",AF137=""),"ヒアリング依頼待ち",IF(AND(X137&lt;&gt;"",Y137="",Z137="",TODAY()-X137&gt;=設定!$B$6),"ヒアリング未回収",IF(AND(Y137&lt;&gt;"",Z137=""),"素材確認待ち",IF(AND(AF137="",AA137&lt;&gt;"",IF(AA137="",FALSE(),AA137-TODAY()&lt;=設定!$B$7)),"納品間近",IF(AND(AH137&lt;&gt;"",IF(AH137="",FALSE(),AH137&lt;=TODAY()),AI137=""),"解約チェック",IF(AF137&lt;&gt;"","納品済","")))))))))))</f>
        <v/>
      </c>
      <c r="AM137" s="17"/>
    </row>
    <row r="138" customFormat="false" ht="15" hidden="false" customHeight="false" outlineLevel="0" collapsed="false">
      <c r="A138" s="12" t="str">
        <f aca="false">IF(C138="","",ROW()-4)</f>
        <v/>
      </c>
      <c r="B138" s="17"/>
      <c r="C138" s="17"/>
      <c r="D138" s="17"/>
      <c r="E138" s="17"/>
      <c r="F138" s="24"/>
      <c r="G138" s="17"/>
      <c r="H138" s="17"/>
      <c r="I138" s="17"/>
      <c r="J138" s="17"/>
      <c r="K138" s="17"/>
      <c r="L138" s="22"/>
      <c r="M138" s="22"/>
      <c r="N138" s="17"/>
      <c r="O138" s="17"/>
      <c r="P138" s="17"/>
      <c r="Q138" s="18" t="str">
        <f aca="false">IF(B138="","",COUNTIFS(開通管理!$B$5:$B$604,B138,開通管理!$O$5:$O$604,"&lt;&gt;キャンセル"))</f>
        <v/>
      </c>
      <c r="R138" s="18" t="str">
        <f aca="false">IF(B138="","",COUNTIFS(開通管理!$B$5:$B$604,B138,開通管理!$O$5:$O$604,"開通済"))</f>
        <v/>
      </c>
      <c r="S138" s="19" t="str">
        <f aca="false">IF(B138="","",IF(Q138=0,"未申込",IF(R138&lt;Q138,"開通待ち（"&amp;R138&amp;"/"&amp;Q138&amp;"）","全開通")))</f>
        <v/>
      </c>
      <c r="T138" s="20" t="str">
        <f aca="false">IF(S138&lt;&gt;"全開通","",_xlfn.MAXIFS(開通管理!$Q$5:$Q$604,開通管理!$B$5:$B$604,B138))</f>
        <v/>
      </c>
      <c r="U138" s="21" t="str">
        <f aca="false">IF(B138="","",SUMIFS(開通管理!$J$5:$J$604,開通管理!$B$5:$B$604,B138,開通管理!$O$5:$O$604,"&lt;&gt;キャンセル"))</f>
        <v/>
      </c>
      <c r="V138" s="22"/>
      <c r="W138" s="12" t="str">
        <f aca="false">IF(OR(B138="",設定!$B$14=""),"",SUBSTITUTE(設定!$B$14,"__ID__",B138))</f>
        <v/>
      </c>
      <c r="X138" s="22"/>
      <c r="Y138" s="22"/>
      <c r="Z138" s="22"/>
      <c r="AA138" s="20" t="str">
        <f aca="false">IF(Z138="","",WORKDAY(Z138,設定!$B$5,設定!$F$5:$F$120))</f>
        <v/>
      </c>
      <c r="AB138" s="17"/>
      <c r="AC138" s="17"/>
      <c r="AD138" s="17"/>
      <c r="AE138" s="17"/>
      <c r="AF138" s="22"/>
      <c r="AG138" s="17"/>
      <c r="AH138" s="20" t="str">
        <f aca="false">IF(T138="","",EDATE(T138,設定!$B$8))</f>
        <v/>
      </c>
      <c r="AI138" s="17"/>
      <c r="AJ138" s="17"/>
      <c r="AK138" s="22"/>
      <c r="AL138" s="23" t="str">
        <f aca="true">IF(C138="","",IF(N138="失注","―",IF(AND(AK138&lt;&gt;"",AK138&lt;TODAY()),"対応期限超過",IF(AND(AF138="",AA138&lt;&gt;"",IF(AA138="",FALSE(),AA138&lt;TODAY())),"納品遅延",IF(AND(AK138&lt;&gt;"",AK138=TODAY()),"本日対応",IF(AND(S138="全開通",X138="",AF138=""),"ヒアリング依頼待ち",IF(AND(X138&lt;&gt;"",Y138="",Z138="",TODAY()-X138&gt;=設定!$B$6),"ヒアリング未回収",IF(AND(Y138&lt;&gt;"",Z138=""),"素材確認待ち",IF(AND(AF138="",AA138&lt;&gt;"",IF(AA138="",FALSE(),AA138-TODAY()&lt;=設定!$B$7)),"納品間近",IF(AND(AH138&lt;&gt;"",IF(AH138="",FALSE(),AH138&lt;=TODAY()),AI138=""),"解約チェック",IF(AF138&lt;&gt;"","納品済","")))))))))))</f>
        <v/>
      </c>
      <c r="AM138" s="17"/>
    </row>
    <row r="139" customFormat="false" ht="15" hidden="false" customHeight="false" outlineLevel="0" collapsed="false">
      <c r="A139" s="12" t="str">
        <f aca="false">IF(C139="","",ROW()-4)</f>
        <v/>
      </c>
      <c r="B139" s="17"/>
      <c r="C139" s="17"/>
      <c r="D139" s="17"/>
      <c r="E139" s="17"/>
      <c r="F139" s="24"/>
      <c r="G139" s="17"/>
      <c r="H139" s="17"/>
      <c r="I139" s="17"/>
      <c r="J139" s="17"/>
      <c r="K139" s="17"/>
      <c r="L139" s="22"/>
      <c r="M139" s="22"/>
      <c r="N139" s="17"/>
      <c r="O139" s="17"/>
      <c r="P139" s="17"/>
      <c r="Q139" s="18" t="str">
        <f aca="false">IF(B139="","",COUNTIFS(開通管理!$B$5:$B$604,B139,開通管理!$O$5:$O$604,"&lt;&gt;キャンセル"))</f>
        <v/>
      </c>
      <c r="R139" s="18" t="str">
        <f aca="false">IF(B139="","",COUNTIFS(開通管理!$B$5:$B$604,B139,開通管理!$O$5:$O$604,"開通済"))</f>
        <v/>
      </c>
      <c r="S139" s="19" t="str">
        <f aca="false">IF(B139="","",IF(Q139=0,"未申込",IF(R139&lt;Q139,"開通待ち（"&amp;R139&amp;"/"&amp;Q139&amp;"）","全開通")))</f>
        <v/>
      </c>
      <c r="T139" s="20" t="str">
        <f aca="false">IF(S139&lt;&gt;"全開通","",_xlfn.MAXIFS(開通管理!$Q$5:$Q$604,開通管理!$B$5:$B$604,B139))</f>
        <v/>
      </c>
      <c r="U139" s="21" t="str">
        <f aca="false">IF(B139="","",SUMIFS(開通管理!$J$5:$J$604,開通管理!$B$5:$B$604,B139,開通管理!$O$5:$O$604,"&lt;&gt;キャンセル"))</f>
        <v/>
      </c>
      <c r="V139" s="22"/>
      <c r="W139" s="12" t="str">
        <f aca="false">IF(OR(B139="",設定!$B$14=""),"",SUBSTITUTE(設定!$B$14,"__ID__",B139))</f>
        <v/>
      </c>
      <c r="X139" s="22"/>
      <c r="Y139" s="22"/>
      <c r="Z139" s="22"/>
      <c r="AA139" s="20" t="str">
        <f aca="false">IF(Z139="","",WORKDAY(Z139,設定!$B$5,設定!$F$5:$F$120))</f>
        <v/>
      </c>
      <c r="AB139" s="17"/>
      <c r="AC139" s="17"/>
      <c r="AD139" s="17"/>
      <c r="AE139" s="17"/>
      <c r="AF139" s="22"/>
      <c r="AG139" s="17"/>
      <c r="AH139" s="20" t="str">
        <f aca="false">IF(T139="","",EDATE(T139,設定!$B$8))</f>
        <v/>
      </c>
      <c r="AI139" s="17"/>
      <c r="AJ139" s="17"/>
      <c r="AK139" s="22"/>
      <c r="AL139" s="23" t="str">
        <f aca="true">IF(C139="","",IF(N139="失注","―",IF(AND(AK139&lt;&gt;"",AK139&lt;TODAY()),"対応期限超過",IF(AND(AF139="",AA139&lt;&gt;"",IF(AA139="",FALSE(),AA139&lt;TODAY())),"納品遅延",IF(AND(AK139&lt;&gt;"",AK139=TODAY()),"本日対応",IF(AND(S139="全開通",X139="",AF139=""),"ヒアリング依頼待ち",IF(AND(X139&lt;&gt;"",Y139="",Z139="",TODAY()-X139&gt;=設定!$B$6),"ヒアリング未回収",IF(AND(Y139&lt;&gt;"",Z139=""),"素材確認待ち",IF(AND(AF139="",AA139&lt;&gt;"",IF(AA139="",FALSE(),AA139-TODAY()&lt;=設定!$B$7)),"納品間近",IF(AND(AH139&lt;&gt;"",IF(AH139="",FALSE(),AH139&lt;=TODAY()),AI139=""),"解約チェック",IF(AF139&lt;&gt;"","納品済","")))))))))))</f>
        <v/>
      </c>
      <c r="AM139" s="17"/>
    </row>
    <row r="140" customFormat="false" ht="15" hidden="false" customHeight="false" outlineLevel="0" collapsed="false">
      <c r="A140" s="12" t="str">
        <f aca="false">IF(C140="","",ROW()-4)</f>
        <v/>
      </c>
      <c r="B140" s="17"/>
      <c r="C140" s="17"/>
      <c r="D140" s="17"/>
      <c r="E140" s="17"/>
      <c r="F140" s="24"/>
      <c r="G140" s="17"/>
      <c r="H140" s="17"/>
      <c r="I140" s="17"/>
      <c r="J140" s="17"/>
      <c r="K140" s="17"/>
      <c r="L140" s="22"/>
      <c r="M140" s="22"/>
      <c r="N140" s="17"/>
      <c r="O140" s="17"/>
      <c r="P140" s="17"/>
      <c r="Q140" s="18" t="str">
        <f aca="false">IF(B140="","",COUNTIFS(開通管理!$B$5:$B$604,B140,開通管理!$O$5:$O$604,"&lt;&gt;キャンセル"))</f>
        <v/>
      </c>
      <c r="R140" s="18" t="str">
        <f aca="false">IF(B140="","",COUNTIFS(開通管理!$B$5:$B$604,B140,開通管理!$O$5:$O$604,"開通済"))</f>
        <v/>
      </c>
      <c r="S140" s="19" t="str">
        <f aca="false">IF(B140="","",IF(Q140=0,"未申込",IF(R140&lt;Q140,"開通待ち（"&amp;R140&amp;"/"&amp;Q140&amp;"）","全開通")))</f>
        <v/>
      </c>
      <c r="T140" s="20" t="str">
        <f aca="false">IF(S140&lt;&gt;"全開通","",_xlfn.MAXIFS(開通管理!$Q$5:$Q$604,開通管理!$B$5:$B$604,B140))</f>
        <v/>
      </c>
      <c r="U140" s="21" t="str">
        <f aca="false">IF(B140="","",SUMIFS(開通管理!$J$5:$J$604,開通管理!$B$5:$B$604,B140,開通管理!$O$5:$O$604,"&lt;&gt;キャンセル"))</f>
        <v/>
      </c>
      <c r="V140" s="22"/>
      <c r="W140" s="12" t="str">
        <f aca="false">IF(OR(B140="",設定!$B$14=""),"",SUBSTITUTE(設定!$B$14,"__ID__",B140))</f>
        <v/>
      </c>
      <c r="X140" s="22"/>
      <c r="Y140" s="22"/>
      <c r="Z140" s="22"/>
      <c r="AA140" s="20" t="str">
        <f aca="false">IF(Z140="","",WORKDAY(Z140,設定!$B$5,設定!$F$5:$F$120))</f>
        <v/>
      </c>
      <c r="AB140" s="17"/>
      <c r="AC140" s="17"/>
      <c r="AD140" s="17"/>
      <c r="AE140" s="17"/>
      <c r="AF140" s="22"/>
      <c r="AG140" s="17"/>
      <c r="AH140" s="20" t="str">
        <f aca="false">IF(T140="","",EDATE(T140,設定!$B$8))</f>
        <v/>
      </c>
      <c r="AI140" s="17"/>
      <c r="AJ140" s="17"/>
      <c r="AK140" s="22"/>
      <c r="AL140" s="23" t="str">
        <f aca="true">IF(C140="","",IF(N140="失注","―",IF(AND(AK140&lt;&gt;"",AK140&lt;TODAY()),"対応期限超過",IF(AND(AF140="",AA140&lt;&gt;"",IF(AA140="",FALSE(),AA140&lt;TODAY())),"納品遅延",IF(AND(AK140&lt;&gt;"",AK140=TODAY()),"本日対応",IF(AND(S140="全開通",X140="",AF140=""),"ヒアリング依頼待ち",IF(AND(X140&lt;&gt;"",Y140="",Z140="",TODAY()-X140&gt;=設定!$B$6),"ヒアリング未回収",IF(AND(Y140&lt;&gt;"",Z140=""),"素材確認待ち",IF(AND(AF140="",AA140&lt;&gt;"",IF(AA140="",FALSE(),AA140-TODAY()&lt;=設定!$B$7)),"納品間近",IF(AND(AH140&lt;&gt;"",IF(AH140="",FALSE(),AH140&lt;=TODAY()),AI140=""),"解約チェック",IF(AF140&lt;&gt;"","納品済","")))))))))))</f>
        <v/>
      </c>
      <c r="AM140" s="17"/>
    </row>
    <row r="141" customFormat="false" ht="15" hidden="false" customHeight="false" outlineLevel="0" collapsed="false">
      <c r="A141" s="12" t="str">
        <f aca="false">IF(C141="","",ROW()-4)</f>
        <v/>
      </c>
      <c r="B141" s="17"/>
      <c r="C141" s="17"/>
      <c r="D141" s="17"/>
      <c r="E141" s="17"/>
      <c r="F141" s="24"/>
      <c r="G141" s="17"/>
      <c r="H141" s="17"/>
      <c r="I141" s="17"/>
      <c r="J141" s="17"/>
      <c r="K141" s="17"/>
      <c r="L141" s="22"/>
      <c r="M141" s="22"/>
      <c r="N141" s="17"/>
      <c r="O141" s="17"/>
      <c r="P141" s="17"/>
      <c r="Q141" s="18" t="str">
        <f aca="false">IF(B141="","",COUNTIFS(開通管理!$B$5:$B$604,B141,開通管理!$O$5:$O$604,"&lt;&gt;キャンセル"))</f>
        <v/>
      </c>
      <c r="R141" s="18" t="str">
        <f aca="false">IF(B141="","",COUNTIFS(開通管理!$B$5:$B$604,B141,開通管理!$O$5:$O$604,"開通済"))</f>
        <v/>
      </c>
      <c r="S141" s="19" t="str">
        <f aca="false">IF(B141="","",IF(Q141=0,"未申込",IF(R141&lt;Q141,"開通待ち（"&amp;R141&amp;"/"&amp;Q141&amp;"）","全開通")))</f>
        <v/>
      </c>
      <c r="T141" s="20" t="str">
        <f aca="false">IF(S141&lt;&gt;"全開通","",_xlfn.MAXIFS(開通管理!$Q$5:$Q$604,開通管理!$B$5:$B$604,B141))</f>
        <v/>
      </c>
      <c r="U141" s="21" t="str">
        <f aca="false">IF(B141="","",SUMIFS(開通管理!$J$5:$J$604,開通管理!$B$5:$B$604,B141,開通管理!$O$5:$O$604,"&lt;&gt;キャンセル"))</f>
        <v/>
      </c>
      <c r="V141" s="22"/>
      <c r="W141" s="12" t="str">
        <f aca="false">IF(OR(B141="",設定!$B$14=""),"",SUBSTITUTE(設定!$B$14,"__ID__",B141))</f>
        <v/>
      </c>
      <c r="X141" s="22"/>
      <c r="Y141" s="22"/>
      <c r="Z141" s="22"/>
      <c r="AA141" s="20" t="str">
        <f aca="false">IF(Z141="","",WORKDAY(Z141,設定!$B$5,設定!$F$5:$F$120))</f>
        <v/>
      </c>
      <c r="AB141" s="17"/>
      <c r="AC141" s="17"/>
      <c r="AD141" s="17"/>
      <c r="AE141" s="17"/>
      <c r="AF141" s="22"/>
      <c r="AG141" s="17"/>
      <c r="AH141" s="20" t="str">
        <f aca="false">IF(T141="","",EDATE(T141,設定!$B$8))</f>
        <v/>
      </c>
      <c r="AI141" s="17"/>
      <c r="AJ141" s="17"/>
      <c r="AK141" s="22"/>
      <c r="AL141" s="23" t="str">
        <f aca="true">IF(C141="","",IF(N141="失注","―",IF(AND(AK141&lt;&gt;"",AK141&lt;TODAY()),"対応期限超過",IF(AND(AF141="",AA141&lt;&gt;"",IF(AA141="",FALSE(),AA141&lt;TODAY())),"納品遅延",IF(AND(AK141&lt;&gt;"",AK141=TODAY()),"本日対応",IF(AND(S141="全開通",X141="",AF141=""),"ヒアリング依頼待ち",IF(AND(X141&lt;&gt;"",Y141="",Z141="",TODAY()-X141&gt;=設定!$B$6),"ヒアリング未回収",IF(AND(Y141&lt;&gt;"",Z141=""),"素材確認待ち",IF(AND(AF141="",AA141&lt;&gt;"",IF(AA141="",FALSE(),AA141-TODAY()&lt;=設定!$B$7)),"納品間近",IF(AND(AH141&lt;&gt;"",IF(AH141="",FALSE(),AH141&lt;=TODAY()),AI141=""),"解約チェック",IF(AF141&lt;&gt;"","納品済","")))))))))))</f>
        <v/>
      </c>
      <c r="AM141" s="17"/>
    </row>
    <row r="142" customFormat="false" ht="15" hidden="false" customHeight="false" outlineLevel="0" collapsed="false">
      <c r="A142" s="12" t="str">
        <f aca="false">IF(C142="","",ROW()-4)</f>
        <v/>
      </c>
      <c r="B142" s="17"/>
      <c r="C142" s="17"/>
      <c r="D142" s="17"/>
      <c r="E142" s="17"/>
      <c r="F142" s="24"/>
      <c r="G142" s="17"/>
      <c r="H142" s="17"/>
      <c r="I142" s="17"/>
      <c r="J142" s="17"/>
      <c r="K142" s="17"/>
      <c r="L142" s="22"/>
      <c r="M142" s="22"/>
      <c r="N142" s="17"/>
      <c r="O142" s="17"/>
      <c r="P142" s="17"/>
      <c r="Q142" s="18" t="str">
        <f aca="false">IF(B142="","",COUNTIFS(開通管理!$B$5:$B$604,B142,開通管理!$O$5:$O$604,"&lt;&gt;キャンセル"))</f>
        <v/>
      </c>
      <c r="R142" s="18" t="str">
        <f aca="false">IF(B142="","",COUNTIFS(開通管理!$B$5:$B$604,B142,開通管理!$O$5:$O$604,"開通済"))</f>
        <v/>
      </c>
      <c r="S142" s="19" t="str">
        <f aca="false">IF(B142="","",IF(Q142=0,"未申込",IF(R142&lt;Q142,"開通待ち（"&amp;R142&amp;"/"&amp;Q142&amp;"）","全開通")))</f>
        <v/>
      </c>
      <c r="T142" s="20" t="str">
        <f aca="false">IF(S142&lt;&gt;"全開通","",_xlfn.MAXIFS(開通管理!$Q$5:$Q$604,開通管理!$B$5:$B$604,B142))</f>
        <v/>
      </c>
      <c r="U142" s="21" t="str">
        <f aca="false">IF(B142="","",SUMIFS(開通管理!$J$5:$J$604,開通管理!$B$5:$B$604,B142,開通管理!$O$5:$O$604,"&lt;&gt;キャンセル"))</f>
        <v/>
      </c>
      <c r="V142" s="22"/>
      <c r="W142" s="12" t="str">
        <f aca="false">IF(OR(B142="",設定!$B$14=""),"",SUBSTITUTE(設定!$B$14,"__ID__",B142))</f>
        <v/>
      </c>
      <c r="X142" s="22"/>
      <c r="Y142" s="22"/>
      <c r="Z142" s="22"/>
      <c r="AA142" s="20" t="str">
        <f aca="false">IF(Z142="","",WORKDAY(Z142,設定!$B$5,設定!$F$5:$F$120))</f>
        <v/>
      </c>
      <c r="AB142" s="17"/>
      <c r="AC142" s="17"/>
      <c r="AD142" s="17"/>
      <c r="AE142" s="17"/>
      <c r="AF142" s="22"/>
      <c r="AG142" s="17"/>
      <c r="AH142" s="20" t="str">
        <f aca="false">IF(T142="","",EDATE(T142,設定!$B$8))</f>
        <v/>
      </c>
      <c r="AI142" s="17"/>
      <c r="AJ142" s="17"/>
      <c r="AK142" s="22"/>
      <c r="AL142" s="23" t="str">
        <f aca="true">IF(C142="","",IF(N142="失注","―",IF(AND(AK142&lt;&gt;"",AK142&lt;TODAY()),"対応期限超過",IF(AND(AF142="",AA142&lt;&gt;"",IF(AA142="",FALSE(),AA142&lt;TODAY())),"納品遅延",IF(AND(AK142&lt;&gt;"",AK142=TODAY()),"本日対応",IF(AND(S142="全開通",X142="",AF142=""),"ヒアリング依頼待ち",IF(AND(X142&lt;&gt;"",Y142="",Z142="",TODAY()-X142&gt;=設定!$B$6),"ヒアリング未回収",IF(AND(Y142&lt;&gt;"",Z142=""),"素材確認待ち",IF(AND(AF142="",AA142&lt;&gt;"",IF(AA142="",FALSE(),AA142-TODAY()&lt;=設定!$B$7)),"納品間近",IF(AND(AH142&lt;&gt;"",IF(AH142="",FALSE(),AH142&lt;=TODAY()),AI142=""),"解約チェック",IF(AF142&lt;&gt;"","納品済","")))))))))))</f>
        <v/>
      </c>
      <c r="AM142" s="17"/>
    </row>
    <row r="143" customFormat="false" ht="15" hidden="false" customHeight="false" outlineLevel="0" collapsed="false">
      <c r="A143" s="12" t="str">
        <f aca="false">IF(C143="","",ROW()-4)</f>
        <v/>
      </c>
      <c r="B143" s="17"/>
      <c r="C143" s="17"/>
      <c r="D143" s="17"/>
      <c r="E143" s="17"/>
      <c r="F143" s="24"/>
      <c r="G143" s="17"/>
      <c r="H143" s="17"/>
      <c r="I143" s="17"/>
      <c r="J143" s="17"/>
      <c r="K143" s="17"/>
      <c r="L143" s="22"/>
      <c r="M143" s="22"/>
      <c r="N143" s="17"/>
      <c r="O143" s="17"/>
      <c r="P143" s="17"/>
      <c r="Q143" s="18" t="str">
        <f aca="false">IF(B143="","",COUNTIFS(開通管理!$B$5:$B$604,B143,開通管理!$O$5:$O$604,"&lt;&gt;キャンセル"))</f>
        <v/>
      </c>
      <c r="R143" s="18" t="str">
        <f aca="false">IF(B143="","",COUNTIFS(開通管理!$B$5:$B$604,B143,開通管理!$O$5:$O$604,"開通済"))</f>
        <v/>
      </c>
      <c r="S143" s="19" t="str">
        <f aca="false">IF(B143="","",IF(Q143=0,"未申込",IF(R143&lt;Q143,"開通待ち（"&amp;R143&amp;"/"&amp;Q143&amp;"）","全開通")))</f>
        <v/>
      </c>
      <c r="T143" s="20" t="str">
        <f aca="false">IF(S143&lt;&gt;"全開通","",_xlfn.MAXIFS(開通管理!$Q$5:$Q$604,開通管理!$B$5:$B$604,B143))</f>
        <v/>
      </c>
      <c r="U143" s="21" t="str">
        <f aca="false">IF(B143="","",SUMIFS(開通管理!$J$5:$J$604,開通管理!$B$5:$B$604,B143,開通管理!$O$5:$O$604,"&lt;&gt;キャンセル"))</f>
        <v/>
      </c>
      <c r="V143" s="22"/>
      <c r="W143" s="12" t="str">
        <f aca="false">IF(OR(B143="",設定!$B$14=""),"",SUBSTITUTE(設定!$B$14,"__ID__",B143))</f>
        <v/>
      </c>
      <c r="X143" s="22"/>
      <c r="Y143" s="22"/>
      <c r="Z143" s="22"/>
      <c r="AA143" s="20" t="str">
        <f aca="false">IF(Z143="","",WORKDAY(Z143,設定!$B$5,設定!$F$5:$F$120))</f>
        <v/>
      </c>
      <c r="AB143" s="17"/>
      <c r="AC143" s="17"/>
      <c r="AD143" s="17"/>
      <c r="AE143" s="17"/>
      <c r="AF143" s="22"/>
      <c r="AG143" s="17"/>
      <c r="AH143" s="20" t="str">
        <f aca="false">IF(T143="","",EDATE(T143,設定!$B$8))</f>
        <v/>
      </c>
      <c r="AI143" s="17"/>
      <c r="AJ143" s="17"/>
      <c r="AK143" s="22"/>
      <c r="AL143" s="23" t="str">
        <f aca="true">IF(C143="","",IF(N143="失注","―",IF(AND(AK143&lt;&gt;"",AK143&lt;TODAY()),"対応期限超過",IF(AND(AF143="",AA143&lt;&gt;"",IF(AA143="",FALSE(),AA143&lt;TODAY())),"納品遅延",IF(AND(AK143&lt;&gt;"",AK143=TODAY()),"本日対応",IF(AND(S143="全開通",X143="",AF143=""),"ヒアリング依頼待ち",IF(AND(X143&lt;&gt;"",Y143="",Z143="",TODAY()-X143&gt;=設定!$B$6),"ヒアリング未回収",IF(AND(Y143&lt;&gt;"",Z143=""),"素材確認待ち",IF(AND(AF143="",AA143&lt;&gt;"",IF(AA143="",FALSE(),AA143-TODAY()&lt;=設定!$B$7)),"納品間近",IF(AND(AH143&lt;&gt;"",IF(AH143="",FALSE(),AH143&lt;=TODAY()),AI143=""),"解約チェック",IF(AF143&lt;&gt;"","納品済","")))))))))))</f>
        <v/>
      </c>
      <c r="AM143" s="17"/>
    </row>
    <row r="144" customFormat="false" ht="15" hidden="false" customHeight="false" outlineLevel="0" collapsed="false">
      <c r="A144" s="12" t="str">
        <f aca="false">IF(C144="","",ROW()-4)</f>
        <v/>
      </c>
      <c r="B144" s="17"/>
      <c r="C144" s="17"/>
      <c r="D144" s="17"/>
      <c r="E144" s="17"/>
      <c r="F144" s="24"/>
      <c r="G144" s="17"/>
      <c r="H144" s="17"/>
      <c r="I144" s="17"/>
      <c r="J144" s="17"/>
      <c r="K144" s="17"/>
      <c r="L144" s="22"/>
      <c r="M144" s="22"/>
      <c r="N144" s="17"/>
      <c r="O144" s="17"/>
      <c r="P144" s="17"/>
      <c r="Q144" s="18" t="str">
        <f aca="false">IF(B144="","",COUNTIFS(開通管理!$B$5:$B$604,B144,開通管理!$O$5:$O$604,"&lt;&gt;キャンセル"))</f>
        <v/>
      </c>
      <c r="R144" s="18" t="str">
        <f aca="false">IF(B144="","",COUNTIFS(開通管理!$B$5:$B$604,B144,開通管理!$O$5:$O$604,"開通済"))</f>
        <v/>
      </c>
      <c r="S144" s="19" t="str">
        <f aca="false">IF(B144="","",IF(Q144=0,"未申込",IF(R144&lt;Q144,"開通待ち（"&amp;R144&amp;"/"&amp;Q144&amp;"）","全開通")))</f>
        <v/>
      </c>
      <c r="T144" s="20" t="str">
        <f aca="false">IF(S144&lt;&gt;"全開通","",_xlfn.MAXIFS(開通管理!$Q$5:$Q$604,開通管理!$B$5:$B$604,B144))</f>
        <v/>
      </c>
      <c r="U144" s="21" t="str">
        <f aca="false">IF(B144="","",SUMIFS(開通管理!$J$5:$J$604,開通管理!$B$5:$B$604,B144,開通管理!$O$5:$O$604,"&lt;&gt;キャンセル"))</f>
        <v/>
      </c>
      <c r="V144" s="22"/>
      <c r="W144" s="12" t="str">
        <f aca="false">IF(OR(B144="",設定!$B$14=""),"",SUBSTITUTE(設定!$B$14,"__ID__",B144))</f>
        <v/>
      </c>
      <c r="X144" s="22"/>
      <c r="Y144" s="22"/>
      <c r="Z144" s="22"/>
      <c r="AA144" s="20" t="str">
        <f aca="false">IF(Z144="","",WORKDAY(Z144,設定!$B$5,設定!$F$5:$F$120))</f>
        <v/>
      </c>
      <c r="AB144" s="17"/>
      <c r="AC144" s="17"/>
      <c r="AD144" s="17"/>
      <c r="AE144" s="17"/>
      <c r="AF144" s="22"/>
      <c r="AG144" s="17"/>
      <c r="AH144" s="20" t="str">
        <f aca="false">IF(T144="","",EDATE(T144,設定!$B$8))</f>
        <v/>
      </c>
      <c r="AI144" s="17"/>
      <c r="AJ144" s="17"/>
      <c r="AK144" s="22"/>
      <c r="AL144" s="23" t="str">
        <f aca="true">IF(C144="","",IF(N144="失注","―",IF(AND(AK144&lt;&gt;"",AK144&lt;TODAY()),"対応期限超過",IF(AND(AF144="",AA144&lt;&gt;"",IF(AA144="",FALSE(),AA144&lt;TODAY())),"納品遅延",IF(AND(AK144&lt;&gt;"",AK144=TODAY()),"本日対応",IF(AND(S144="全開通",X144="",AF144=""),"ヒアリング依頼待ち",IF(AND(X144&lt;&gt;"",Y144="",Z144="",TODAY()-X144&gt;=設定!$B$6),"ヒアリング未回収",IF(AND(Y144&lt;&gt;"",Z144=""),"素材確認待ち",IF(AND(AF144="",AA144&lt;&gt;"",IF(AA144="",FALSE(),AA144-TODAY()&lt;=設定!$B$7)),"納品間近",IF(AND(AH144&lt;&gt;"",IF(AH144="",FALSE(),AH144&lt;=TODAY()),AI144=""),"解約チェック",IF(AF144&lt;&gt;"","納品済","")))))))))))</f>
        <v/>
      </c>
      <c r="AM144" s="17"/>
    </row>
    <row r="145" customFormat="false" ht="15" hidden="false" customHeight="false" outlineLevel="0" collapsed="false">
      <c r="A145" s="12" t="str">
        <f aca="false">IF(C145="","",ROW()-4)</f>
        <v/>
      </c>
      <c r="B145" s="17"/>
      <c r="C145" s="17"/>
      <c r="D145" s="17"/>
      <c r="E145" s="17"/>
      <c r="F145" s="24"/>
      <c r="G145" s="17"/>
      <c r="H145" s="17"/>
      <c r="I145" s="17"/>
      <c r="J145" s="17"/>
      <c r="K145" s="17"/>
      <c r="L145" s="22"/>
      <c r="M145" s="22"/>
      <c r="N145" s="17"/>
      <c r="O145" s="17"/>
      <c r="P145" s="17"/>
      <c r="Q145" s="18" t="str">
        <f aca="false">IF(B145="","",COUNTIFS(開通管理!$B$5:$B$604,B145,開通管理!$O$5:$O$604,"&lt;&gt;キャンセル"))</f>
        <v/>
      </c>
      <c r="R145" s="18" t="str">
        <f aca="false">IF(B145="","",COUNTIFS(開通管理!$B$5:$B$604,B145,開通管理!$O$5:$O$604,"開通済"))</f>
        <v/>
      </c>
      <c r="S145" s="19" t="str">
        <f aca="false">IF(B145="","",IF(Q145=0,"未申込",IF(R145&lt;Q145,"開通待ち（"&amp;R145&amp;"/"&amp;Q145&amp;"）","全開通")))</f>
        <v/>
      </c>
      <c r="T145" s="20" t="str">
        <f aca="false">IF(S145&lt;&gt;"全開通","",_xlfn.MAXIFS(開通管理!$Q$5:$Q$604,開通管理!$B$5:$B$604,B145))</f>
        <v/>
      </c>
      <c r="U145" s="21" t="str">
        <f aca="false">IF(B145="","",SUMIFS(開通管理!$J$5:$J$604,開通管理!$B$5:$B$604,B145,開通管理!$O$5:$O$604,"&lt;&gt;キャンセル"))</f>
        <v/>
      </c>
      <c r="V145" s="22"/>
      <c r="W145" s="12" t="str">
        <f aca="false">IF(OR(B145="",設定!$B$14=""),"",SUBSTITUTE(設定!$B$14,"__ID__",B145))</f>
        <v/>
      </c>
      <c r="X145" s="22"/>
      <c r="Y145" s="22"/>
      <c r="Z145" s="22"/>
      <c r="AA145" s="20" t="str">
        <f aca="false">IF(Z145="","",WORKDAY(Z145,設定!$B$5,設定!$F$5:$F$120))</f>
        <v/>
      </c>
      <c r="AB145" s="17"/>
      <c r="AC145" s="17"/>
      <c r="AD145" s="17"/>
      <c r="AE145" s="17"/>
      <c r="AF145" s="22"/>
      <c r="AG145" s="17"/>
      <c r="AH145" s="20" t="str">
        <f aca="false">IF(T145="","",EDATE(T145,設定!$B$8))</f>
        <v/>
      </c>
      <c r="AI145" s="17"/>
      <c r="AJ145" s="17"/>
      <c r="AK145" s="22"/>
      <c r="AL145" s="23" t="str">
        <f aca="true">IF(C145="","",IF(N145="失注","―",IF(AND(AK145&lt;&gt;"",AK145&lt;TODAY()),"対応期限超過",IF(AND(AF145="",AA145&lt;&gt;"",IF(AA145="",FALSE(),AA145&lt;TODAY())),"納品遅延",IF(AND(AK145&lt;&gt;"",AK145=TODAY()),"本日対応",IF(AND(S145="全開通",X145="",AF145=""),"ヒアリング依頼待ち",IF(AND(X145&lt;&gt;"",Y145="",Z145="",TODAY()-X145&gt;=設定!$B$6),"ヒアリング未回収",IF(AND(Y145&lt;&gt;"",Z145=""),"素材確認待ち",IF(AND(AF145="",AA145&lt;&gt;"",IF(AA145="",FALSE(),AA145-TODAY()&lt;=設定!$B$7)),"納品間近",IF(AND(AH145&lt;&gt;"",IF(AH145="",FALSE(),AH145&lt;=TODAY()),AI145=""),"解約チェック",IF(AF145&lt;&gt;"","納品済","")))))))))))</f>
        <v/>
      </c>
      <c r="AM145" s="17"/>
    </row>
    <row r="146" customFormat="false" ht="15" hidden="false" customHeight="false" outlineLevel="0" collapsed="false">
      <c r="A146" s="12" t="str">
        <f aca="false">IF(C146="","",ROW()-4)</f>
        <v/>
      </c>
      <c r="B146" s="17"/>
      <c r="C146" s="17"/>
      <c r="D146" s="17"/>
      <c r="E146" s="17"/>
      <c r="F146" s="24"/>
      <c r="G146" s="17"/>
      <c r="H146" s="17"/>
      <c r="I146" s="17"/>
      <c r="J146" s="17"/>
      <c r="K146" s="17"/>
      <c r="L146" s="22"/>
      <c r="M146" s="22"/>
      <c r="N146" s="17"/>
      <c r="O146" s="17"/>
      <c r="P146" s="17"/>
      <c r="Q146" s="18" t="str">
        <f aca="false">IF(B146="","",COUNTIFS(開通管理!$B$5:$B$604,B146,開通管理!$O$5:$O$604,"&lt;&gt;キャンセル"))</f>
        <v/>
      </c>
      <c r="R146" s="18" t="str">
        <f aca="false">IF(B146="","",COUNTIFS(開通管理!$B$5:$B$604,B146,開通管理!$O$5:$O$604,"開通済"))</f>
        <v/>
      </c>
      <c r="S146" s="19" t="str">
        <f aca="false">IF(B146="","",IF(Q146=0,"未申込",IF(R146&lt;Q146,"開通待ち（"&amp;R146&amp;"/"&amp;Q146&amp;"）","全開通")))</f>
        <v/>
      </c>
      <c r="T146" s="20" t="str">
        <f aca="false">IF(S146&lt;&gt;"全開通","",_xlfn.MAXIFS(開通管理!$Q$5:$Q$604,開通管理!$B$5:$B$604,B146))</f>
        <v/>
      </c>
      <c r="U146" s="21" t="str">
        <f aca="false">IF(B146="","",SUMIFS(開通管理!$J$5:$J$604,開通管理!$B$5:$B$604,B146,開通管理!$O$5:$O$604,"&lt;&gt;キャンセル"))</f>
        <v/>
      </c>
      <c r="V146" s="22"/>
      <c r="W146" s="12" t="str">
        <f aca="false">IF(OR(B146="",設定!$B$14=""),"",SUBSTITUTE(設定!$B$14,"__ID__",B146))</f>
        <v/>
      </c>
      <c r="X146" s="22"/>
      <c r="Y146" s="22"/>
      <c r="Z146" s="22"/>
      <c r="AA146" s="20" t="str">
        <f aca="false">IF(Z146="","",WORKDAY(Z146,設定!$B$5,設定!$F$5:$F$120))</f>
        <v/>
      </c>
      <c r="AB146" s="17"/>
      <c r="AC146" s="17"/>
      <c r="AD146" s="17"/>
      <c r="AE146" s="17"/>
      <c r="AF146" s="22"/>
      <c r="AG146" s="17"/>
      <c r="AH146" s="20" t="str">
        <f aca="false">IF(T146="","",EDATE(T146,設定!$B$8))</f>
        <v/>
      </c>
      <c r="AI146" s="17"/>
      <c r="AJ146" s="17"/>
      <c r="AK146" s="22"/>
      <c r="AL146" s="23" t="str">
        <f aca="true">IF(C146="","",IF(N146="失注","―",IF(AND(AK146&lt;&gt;"",AK146&lt;TODAY()),"対応期限超過",IF(AND(AF146="",AA146&lt;&gt;"",IF(AA146="",FALSE(),AA146&lt;TODAY())),"納品遅延",IF(AND(AK146&lt;&gt;"",AK146=TODAY()),"本日対応",IF(AND(S146="全開通",X146="",AF146=""),"ヒアリング依頼待ち",IF(AND(X146&lt;&gt;"",Y146="",Z146="",TODAY()-X146&gt;=設定!$B$6),"ヒアリング未回収",IF(AND(Y146&lt;&gt;"",Z146=""),"素材確認待ち",IF(AND(AF146="",AA146&lt;&gt;"",IF(AA146="",FALSE(),AA146-TODAY()&lt;=設定!$B$7)),"納品間近",IF(AND(AH146&lt;&gt;"",IF(AH146="",FALSE(),AH146&lt;=TODAY()),AI146=""),"解約チェック",IF(AF146&lt;&gt;"","納品済","")))))))))))</f>
        <v/>
      </c>
      <c r="AM146" s="17"/>
    </row>
    <row r="147" customFormat="false" ht="15" hidden="false" customHeight="false" outlineLevel="0" collapsed="false">
      <c r="A147" s="12" t="str">
        <f aca="false">IF(C147="","",ROW()-4)</f>
        <v/>
      </c>
      <c r="B147" s="17"/>
      <c r="C147" s="17"/>
      <c r="D147" s="17"/>
      <c r="E147" s="17"/>
      <c r="F147" s="24"/>
      <c r="G147" s="17"/>
      <c r="H147" s="17"/>
      <c r="I147" s="17"/>
      <c r="J147" s="17"/>
      <c r="K147" s="17"/>
      <c r="L147" s="22"/>
      <c r="M147" s="22"/>
      <c r="N147" s="17"/>
      <c r="O147" s="17"/>
      <c r="P147" s="17"/>
      <c r="Q147" s="18" t="str">
        <f aca="false">IF(B147="","",COUNTIFS(開通管理!$B$5:$B$604,B147,開通管理!$O$5:$O$604,"&lt;&gt;キャンセル"))</f>
        <v/>
      </c>
      <c r="R147" s="18" t="str">
        <f aca="false">IF(B147="","",COUNTIFS(開通管理!$B$5:$B$604,B147,開通管理!$O$5:$O$604,"開通済"))</f>
        <v/>
      </c>
      <c r="S147" s="19" t="str">
        <f aca="false">IF(B147="","",IF(Q147=0,"未申込",IF(R147&lt;Q147,"開通待ち（"&amp;R147&amp;"/"&amp;Q147&amp;"）","全開通")))</f>
        <v/>
      </c>
      <c r="T147" s="20" t="str">
        <f aca="false">IF(S147&lt;&gt;"全開通","",_xlfn.MAXIFS(開通管理!$Q$5:$Q$604,開通管理!$B$5:$B$604,B147))</f>
        <v/>
      </c>
      <c r="U147" s="21" t="str">
        <f aca="false">IF(B147="","",SUMIFS(開通管理!$J$5:$J$604,開通管理!$B$5:$B$604,B147,開通管理!$O$5:$O$604,"&lt;&gt;キャンセル"))</f>
        <v/>
      </c>
      <c r="V147" s="22"/>
      <c r="W147" s="12" t="str">
        <f aca="false">IF(OR(B147="",設定!$B$14=""),"",SUBSTITUTE(設定!$B$14,"__ID__",B147))</f>
        <v/>
      </c>
      <c r="X147" s="22"/>
      <c r="Y147" s="22"/>
      <c r="Z147" s="22"/>
      <c r="AA147" s="20" t="str">
        <f aca="false">IF(Z147="","",WORKDAY(Z147,設定!$B$5,設定!$F$5:$F$120))</f>
        <v/>
      </c>
      <c r="AB147" s="17"/>
      <c r="AC147" s="17"/>
      <c r="AD147" s="17"/>
      <c r="AE147" s="17"/>
      <c r="AF147" s="22"/>
      <c r="AG147" s="17"/>
      <c r="AH147" s="20" t="str">
        <f aca="false">IF(T147="","",EDATE(T147,設定!$B$8))</f>
        <v/>
      </c>
      <c r="AI147" s="17"/>
      <c r="AJ147" s="17"/>
      <c r="AK147" s="22"/>
      <c r="AL147" s="23" t="str">
        <f aca="true">IF(C147="","",IF(N147="失注","―",IF(AND(AK147&lt;&gt;"",AK147&lt;TODAY()),"対応期限超過",IF(AND(AF147="",AA147&lt;&gt;"",IF(AA147="",FALSE(),AA147&lt;TODAY())),"納品遅延",IF(AND(AK147&lt;&gt;"",AK147=TODAY()),"本日対応",IF(AND(S147="全開通",X147="",AF147=""),"ヒアリング依頼待ち",IF(AND(X147&lt;&gt;"",Y147="",Z147="",TODAY()-X147&gt;=設定!$B$6),"ヒアリング未回収",IF(AND(Y147&lt;&gt;"",Z147=""),"素材確認待ち",IF(AND(AF147="",AA147&lt;&gt;"",IF(AA147="",FALSE(),AA147-TODAY()&lt;=設定!$B$7)),"納品間近",IF(AND(AH147&lt;&gt;"",IF(AH147="",FALSE(),AH147&lt;=TODAY()),AI147=""),"解約チェック",IF(AF147&lt;&gt;"","納品済","")))))))))))</f>
        <v/>
      </c>
      <c r="AM147" s="17"/>
    </row>
    <row r="148" customFormat="false" ht="15" hidden="false" customHeight="false" outlineLevel="0" collapsed="false">
      <c r="A148" s="12" t="str">
        <f aca="false">IF(C148="","",ROW()-4)</f>
        <v/>
      </c>
      <c r="B148" s="17"/>
      <c r="C148" s="17"/>
      <c r="D148" s="17"/>
      <c r="E148" s="17"/>
      <c r="F148" s="24"/>
      <c r="G148" s="17"/>
      <c r="H148" s="17"/>
      <c r="I148" s="17"/>
      <c r="J148" s="17"/>
      <c r="K148" s="17"/>
      <c r="L148" s="22"/>
      <c r="M148" s="22"/>
      <c r="N148" s="17"/>
      <c r="O148" s="17"/>
      <c r="P148" s="17"/>
      <c r="Q148" s="18" t="str">
        <f aca="false">IF(B148="","",COUNTIFS(開通管理!$B$5:$B$604,B148,開通管理!$O$5:$O$604,"&lt;&gt;キャンセル"))</f>
        <v/>
      </c>
      <c r="R148" s="18" t="str">
        <f aca="false">IF(B148="","",COUNTIFS(開通管理!$B$5:$B$604,B148,開通管理!$O$5:$O$604,"開通済"))</f>
        <v/>
      </c>
      <c r="S148" s="19" t="str">
        <f aca="false">IF(B148="","",IF(Q148=0,"未申込",IF(R148&lt;Q148,"開通待ち（"&amp;R148&amp;"/"&amp;Q148&amp;"）","全開通")))</f>
        <v/>
      </c>
      <c r="T148" s="20" t="str">
        <f aca="false">IF(S148&lt;&gt;"全開通","",_xlfn.MAXIFS(開通管理!$Q$5:$Q$604,開通管理!$B$5:$B$604,B148))</f>
        <v/>
      </c>
      <c r="U148" s="21" t="str">
        <f aca="false">IF(B148="","",SUMIFS(開通管理!$J$5:$J$604,開通管理!$B$5:$B$604,B148,開通管理!$O$5:$O$604,"&lt;&gt;キャンセル"))</f>
        <v/>
      </c>
      <c r="V148" s="22"/>
      <c r="W148" s="12" t="str">
        <f aca="false">IF(OR(B148="",設定!$B$14=""),"",SUBSTITUTE(設定!$B$14,"__ID__",B148))</f>
        <v/>
      </c>
      <c r="X148" s="22"/>
      <c r="Y148" s="22"/>
      <c r="Z148" s="22"/>
      <c r="AA148" s="20" t="str">
        <f aca="false">IF(Z148="","",WORKDAY(Z148,設定!$B$5,設定!$F$5:$F$120))</f>
        <v/>
      </c>
      <c r="AB148" s="17"/>
      <c r="AC148" s="17"/>
      <c r="AD148" s="17"/>
      <c r="AE148" s="17"/>
      <c r="AF148" s="22"/>
      <c r="AG148" s="17"/>
      <c r="AH148" s="20" t="str">
        <f aca="false">IF(T148="","",EDATE(T148,設定!$B$8))</f>
        <v/>
      </c>
      <c r="AI148" s="17"/>
      <c r="AJ148" s="17"/>
      <c r="AK148" s="22"/>
      <c r="AL148" s="23" t="str">
        <f aca="true">IF(C148="","",IF(N148="失注","―",IF(AND(AK148&lt;&gt;"",AK148&lt;TODAY()),"対応期限超過",IF(AND(AF148="",AA148&lt;&gt;"",IF(AA148="",FALSE(),AA148&lt;TODAY())),"納品遅延",IF(AND(AK148&lt;&gt;"",AK148=TODAY()),"本日対応",IF(AND(S148="全開通",X148="",AF148=""),"ヒアリング依頼待ち",IF(AND(X148&lt;&gt;"",Y148="",Z148="",TODAY()-X148&gt;=設定!$B$6),"ヒアリング未回収",IF(AND(Y148&lt;&gt;"",Z148=""),"素材確認待ち",IF(AND(AF148="",AA148&lt;&gt;"",IF(AA148="",FALSE(),AA148-TODAY()&lt;=設定!$B$7)),"納品間近",IF(AND(AH148&lt;&gt;"",IF(AH148="",FALSE(),AH148&lt;=TODAY()),AI148=""),"解約チェック",IF(AF148&lt;&gt;"","納品済","")))))))))))</f>
        <v/>
      </c>
      <c r="AM148" s="17"/>
    </row>
    <row r="149" customFormat="false" ht="15" hidden="false" customHeight="false" outlineLevel="0" collapsed="false">
      <c r="A149" s="12" t="str">
        <f aca="false">IF(C149="","",ROW()-4)</f>
        <v/>
      </c>
      <c r="B149" s="17"/>
      <c r="C149" s="17"/>
      <c r="D149" s="17"/>
      <c r="E149" s="17"/>
      <c r="F149" s="24"/>
      <c r="G149" s="17"/>
      <c r="H149" s="17"/>
      <c r="I149" s="17"/>
      <c r="J149" s="17"/>
      <c r="K149" s="17"/>
      <c r="L149" s="22"/>
      <c r="M149" s="22"/>
      <c r="N149" s="17"/>
      <c r="O149" s="17"/>
      <c r="P149" s="17"/>
      <c r="Q149" s="18" t="str">
        <f aca="false">IF(B149="","",COUNTIFS(開通管理!$B$5:$B$604,B149,開通管理!$O$5:$O$604,"&lt;&gt;キャンセル"))</f>
        <v/>
      </c>
      <c r="R149" s="18" t="str">
        <f aca="false">IF(B149="","",COUNTIFS(開通管理!$B$5:$B$604,B149,開通管理!$O$5:$O$604,"開通済"))</f>
        <v/>
      </c>
      <c r="S149" s="19" t="str">
        <f aca="false">IF(B149="","",IF(Q149=0,"未申込",IF(R149&lt;Q149,"開通待ち（"&amp;R149&amp;"/"&amp;Q149&amp;"）","全開通")))</f>
        <v/>
      </c>
      <c r="T149" s="20" t="str">
        <f aca="false">IF(S149&lt;&gt;"全開通","",_xlfn.MAXIFS(開通管理!$Q$5:$Q$604,開通管理!$B$5:$B$604,B149))</f>
        <v/>
      </c>
      <c r="U149" s="21" t="str">
        <f aca="false">IF(B149="","",SUMIFS(開通管理!$J$5:$J$604,開通管理!$B$5:$B$604,B149,開通管理!$O$5:$O$604,"&lt;&gt;キャンセル"))</f>
        <v/>
      </c>
      <c r="V149" s="22"/>
      <c r="W149" s="12" t="str">
        <f aca="false">IF(OR(B149="",設定!$B$14=""),"",SUBSTITUTE(設定!$B$14,"__ID__",B149))</f>
        <v/>
      </c>
      <c r="X149" s="22"/>
      <c r="Y149" s="22"/>
      <c r="Z149" s="22"/>
      <c r="AA149" s="20" t="str">
        <f aca="false">IF(Z149="","",WORKDAY(Z149,設定!$B$5,設定!$F$5:$F$120))</f>
        <v/>
      </c>
      <c r="AB149" s="17"/>
      <c r="AC149" s="17"/>
      <c r="AD149" s="17"/>
      <c r="AE149" s="17"/>
      <c r="AF149" s="22"/>
      <c r="AG149" s="17"/>
      <c r="AH149" s="20" t="str">
        <f aca="false">IF(T149="","",EDATE(T149,設定!$B$8))</f>
        <v/>
      </c>
      <c r="AI149" s="17"/>
      <c r="AJ149" s="17"/>
      <c r="AK149" s="22"/>
      <c r="AL149" s="23" t="str">
        <f aca="true">IF(C149="","",IF(N149="失注","―",IF(AND(AK149&lt;&gt;"",AK149&lt;TODAY()),"対応期限超過",IF(AND(AF149="",AA149&lt;&gt;"",IF(AA149="",FALSE(),AA149&lt;TODAY())),"納品遅延",IF(AND(AK149&lt;&gt;"",AK149=TODAY()),"本日対応",IF(AND(S149="全開通",X149="",AF149=""),"ヒアリング依頼待ち",IF(AND(X149&lt;&gt;"",Y149="",Z149="",TODAY()-X149&gt;=設定!$B$6),"ヒアリング未回収",IF(AND(Y149&lt;&gt;"",Z149=""),"素材確認待ち",IF(AND(AF149="",AA149&lt;&gt;"",IF(AA149="",FALSE(),AA149-TODAY()&lt;=設定!$B$7)),"納品間近",IF(AND(AH149&lt;&gt;"",IF(AH149="",FALSE(),AH149&lt;=TODAY()),AI149=""),"解約チェック",IF(AF149&lt;&gt;"","納品済","")))))))))))</f>
        <v/>
      </c>
      <c r="AM149" s="17"/>
    </row>
    <row r="150" customFormat="false" ht="15" hidden="false" customHeight="false" outlineLevel="0" collapsed="false">
      <c r="A150" s="12" t="str">
        <f aca="false">IF(C150="","",ROW()-4)</f>
        <v/>
      </c>
      <c r="B150" s="17"/>
      <c r="C150" s="17"/>
      <c r="D150" s="17"/>
      <c r="E150" s="17"/>
      <c r="F150" s="24"/>
      <c r="G150" s="17"/>
      <c r="H150" s="17"/>
      <c r="I150" s="17"/>
      <c r="J150" s="17"/>
      <c r="K150" s="17"/>
      <c r="L150" s="22"/>
      <c r="M150" s="22"/>
      <c r="N150" s="17"/>
      <c r="O150" s="17"/>
      <c r="P150" s="17"/>
      <c r="Q150" s="18" t="str">
        <f aca="false">IF(B150="","",COUNTIFS(開通管理!$B$5:$B$604,B150,開通管理!$O$5:$O$604,"&lt;&gt;キャンセル"))</f>
        <v/>
      </c>
      <c r="R150" s="18" t="str">
        <f aca="false">IF(B150="","",COUNTIFS(開通管理!$B$5:$B$604,B150,開通管理!$O$5:$O$604,"開通済"))</f>
        <v/>
      </c>
      <c r="S150" s="19" t="str">
        <f aca="false">IF(B150="","",IF(Q150=0,"未申込",IF(R150&lt;Q150,"開通待ち（"&amp;R150&amp;"/"&amp;Q150&amp;"）","全開通")))</f>
        <v/>
      </c>
      <c r="T150" s="20" t="str">
        <f aca="false">IF(S150&lt;&gt;"全開通","",_xlfn.MAXIFS(開通管理!$Q$5:$Q$604,開通管理!$B$5:$B$604,B150))</f>
        <v/>
      </c>
      <c r="U150" s="21" t="str">
        <f aca="false">IF(B150="","",SUMIFS(開通管理!$J$5:$J$604,開通管理!$B$5:$B$604,B150,開通管理!$O$5:$O$604,"&lt;&gt;キャンセル"))</f>
        <v/>
      </c>
      <c r="V150" s="22"/>
      <c r="W150" s="12" t="str">
        <f aca="false">IF(OR(B150="",設定!$B$14=""),"",SUBSTITUTE(設定!$B$14,"__ID__",B150))</f>
        <v/>
      </c>
      <c r="X150" s="22"/>
      <c r="Y150" s="22"/>
      <c r="Z150" s="22"/>
      <c r="AA150" s="20" t="str">
        <f aca="false">IF(Z150="","",WORKDAY(Z150,設定!$B$5,設定!$F$5:$F$120))</f>
        <v/>
      </c>
      <c r="AB150" s="17"/>
      <c r="AC150" s="17"/>
      <c r="AD150" s="17"/>
      <c r="AE150" s="17"/>
      <c r="AF150" s="22"/>
      <c r="AG150" s="17"/>
      <c r="AH150" s="20" t="str">
        <f aca="false">IF(T150="","",EDATE(T150,設定!$B$8))</f>
        <v/>
      </c>
      <c r="AI150" s="17"/>
      <c r="AJ150" s="17"/>
      <c r="AK150" s="22"/>
      <c r="AL150" s="23" t="str">
        <f aca="true">IF(C150="","",IF(N150="失注","―",IF(AND(AK150&lt;&gt;"",AK150&lt;TODAY()),"対応期限超過",IF(AND(AF150="",AA150&lt;&gt;"",IF(AA150="",FALSE(),AA150&lt;TODAY())),"納品遅延",IF(AND(AK150&lt;&gt;"",AK150=TODAY()),"本日対応",IF(AND(S150="全開通",X150="",AF150=""),"ヒアリング依頼待ち",IF(AND(X150&lt;&gt;"",Y150="",Z150="",TODAY()-X150&gt;=設定!$B$6),"ヒアリング未回収",IF(AND(Y150&lt;&gt;"",Z150=""),"素材確認待ち",IF(AND(AF150="",AA150&lt;&gt;"",IF(AA150="",FALSE(),AA150-TODAY()&lt;=設定!$B$7)),"納品間近",IF(AND(AH150&lt;&gt;"",IF(AH150="",FALSE(),AH150&lt;=TODAY()),AI150=""),"解約チェック",IF(AF150&lt;&gt;"","納品済","")))))))))))</f>
        <v/>
      </c>
      <c r="AM150" s="17"/>
    </row>
    <row r="151" customFormat="false" ht="15" hidden="false" customHeight="false" outlineLevel="0" collapsed="false">
      <c r="A151" s="12" t="str">
        <f aca="false">IF(C151="","",ROW()-4)</f>
        <v/>
      </c>
      <c r="B151" s="17"/>
      <c r="C151" s="17"/>
      <c r="D151" s="17"/>
      <c r="E151" s="17"/>
      <c r="F151" s="24"/>
      <c r="G151" s="17"/>
      <c r="H151" s="17"/>
      <c r="I151" s="17"/>
      <c r="J151" s="17"/>
      <c r="K151" s="17"/>
      <c r="L151" s="22"/>
      <c r="M151" s="22"/>
      <c r="N151" s="17"/>
      <c r="O151" s="17"/>
      <c r="P151" s="17"/>
      <c r="Q151" s="18" t="str">
        <f aca="false">IF(B151="","",COUNTIFS(開通管理!$B$5:$B$604,B151,開通管理!$O$5:$O$604,"&lt;&gt;キャンセル"))</f>
        <v/>
      </c>
      <c r="R151" s="18" t="str">
        <f aca="false">IF(B151="","",COUNTIFS(開通管理!$B$5:$B$604,B151,開通管理!$O$5:$O$604,"開通済"))</f>
        <v/>
      </c>
      <c r="S151" s="19" t="str">
        <f aca="false">IF(B151="","",IF(Q151=0,"未申込",IF(R151&lt;Q151,"開通待ち（"&amp;R151&amp;"/"&amp;Q151&amp;"）","全開通")))</f>
        <v/>
      </c>
      <c r="T151" s="20" t="str">
        <f aca="false">IF(S151&lt;&gt;"全開通","",_xlfn.MAXIFS(開通管理!$Q$5:$Q$604,開通管理!$B$5:$B$604,B151))</f>
        <v/>
      </c>
      <c r="U151" s="21" t="str">
        <f aca="false">IF(B151="","",SUMIFS(開通管理!$J$5:$J$604,開通管理!$B$5:$B$604,B151,開通管理!$O$5:$O$604,"&lt;&gt;キャンセル"))</f>
        <v/>
      </c>
      <c r="V151" s="22"/>
      <c r="W151" s="12" t="str">
        <f aca="false">IF(OR(B151="",設定!$B$14=""),"",SUBSTITUTE(設定!$B$14,"__ID__",B151))</f>
        <v/>
      </c>
      <c r="X151" s="22"/>
      <c r="Y151" s="22"/>
      <c r="Z151" s="22"/>
      <c r="AA151" s="20" t="str">
        <f aca="false">IF(Z151="","",WORKDAY(Z151,設定!$B$5,設定!$F$5:$F$120))</f>
        <v/>
      </c>
      <c r="AB151" s="17"/>
      <c r="AC151" s="17"/>
      <c r="AD151" s="17"/>
      <c r="AE151" s="17"/>
      <c r="AF151" s="22"/>
      <c r="AG151" s="17"/>
      <c r="AH151" s="20" t="str">
        <f aca="false">IF(T151="","",EDATE(T151,設定!$B$8))</f>
        <v/>
      </c>
      <c r="AI151" s="17"/>
      <c r="AJ151" s="17"/>
      <c r="AK151" s="22"/>
      <c r="AL151" s="23" t="str">
        <f aca="true">IF(C151="","",IF(N151="失注","―",IF(AND(AK151&lt;&gt;"",AK151&lt;TODAY()),"対応期限超過",IF(AND(AF151="",AA151&lt;&gt;"",IF(AA151="",FALSE(),AA151&lt;TODAY())),"納品遅延",IF(AND(AK151&lt;&gt;"",AK151=TODAY()),"本日対応",IF(AND(S151="全開通",X151="",AF151=""),"ヒアリング依頼待ち",IF(AND(X151&lt;&gt;"",Y151="",Z151="",TODAY()-X151&gt;=設定!$B$6),"ヒアリング未回収",IF(AND(Y151&lt;&gt;"",Z151=""),"素材確認待ち",IF(AND(AF151="",AA151&lt;&gt;"",IF(AA151="",FALSE(),AA151-TODAY()&lt;=設定!$B$7)),"納品間近",IF(AND(AH151&lt;&gt;"",IF(AH151="",FALSE(),AH151&lt;=TODAY()),AI151=""),"解約チェック",IF(AF151&lt;&gt;"","納品済","")))))))))))</f>
        <v/>
      </c>
      <c r="AM151" s="17"/>
    </row>
    <row r="152" customFormat="false" ht="15" hidden="false" customHeight="false" outlineLevel="0" collapsed="false">
      <c r="A152" s="12" t="str">
        <f aca="false">IF(C152="","",ROW()-4)</f>
        <v/>
      </c>
      <c r="B152" s="17"/>
      <c r="C152" s="17"/>
      <c r="D152" s="17"/>
      <c r="E152" s="17"/>
      <c r="F152" s="24"/>
      <c r="G152" s="17"/>
      <c r="H152" s="17"/>
      <c r="I152" s="17"/>
      <c r="J152" s="17"/>
      <c r="K152" s="17"/>
      <c r="L152" s="22"/>
      <c r="M152" s="22"/>
      <c r="N152" s="17"/>
      <c r="O152" s="17"/>
      <c r="P152" s="17"/>
      <c r="Q152" s="18" t="str">
        <f aca="false">IF(B152="","",COUNTIFS(開通管理!$B$5:$B$604,B152,開通管理!$O$5:$O$604,"&lt;&gt;キャンセル"))</f>
        <v/>
      </c>
      <c r="R152" s="18" t="str">
        <f aca="false">IF(B152="","",COUNTIFS(開通管理!$B$5:$B$604,B152,開通管理!$O$5:$O$604,"開通済"))</f>
        <v/>
      </c>
      <c r="S152" s="19" t="str">
        <f aca="false">IF(B152="","",IF(Q152=0,"未申込",IF(R152&lt;Q152,"開通待ち（"&amp;R152&amp;"/"&amp;Q152&amp;"）","全開通")))</f>
        <v/>
      </c>
      <c r="T152" s="20" t="str">
        <f aca="false">IF(S152&lt;&gt;"全開通","",_xlfn.MAXIFS(開通管理!$Q$5:$Q$604,開通管理!$B$5:$B$604,B152))</f>
        <v/>
      </c>
      <c r="U152" s="21" t="str">
        <f aca="false">IF(B152="","",SUMIFS(開通管理!$J$5:$J$604,開通管理!$B$5:$B$604,B152,開通管理!$O$5:$O$604,"&lt;&gt;キャンセル"))</f>
        <v/>
      </c>
      <c r="V152" s="22"/>
      <c r="W152" s="12" t="str">
        <f aca="false">IF(OR(B152="",設定!$B$14=""),"",SUBSTITUTE(設定!$B$14,"__ID__",B152))</f>
        <v/>
      </c>
      <c r="X152" s="22"/>
      <c r="Y152" s="22"/>
      <c r="Z152" s="22"/>
      <c r="AA152" s="20" t="str">
        <f aca="false">IF(Z152="","",WORKDAY(Z152,設定!$B$5,設定!$F$5:$F$120))</f>
        <v/>
      </c>
      <c r="AB152" s="17"/>
      <c r="AC152" s="17"/>
      <c r="AD152" s="17"/>
      <c r="AE152" s="17"/>
      <c r="AF152" s="22"/>
      <c r="AG152" s="17"/>
      <c r="AH152" s="20" t="str">
        <f aca="false">IF(T152="","",EDATE(T152,設定!$B$8))</f>
        <v/>
      </c>
      <c r="AI152" s="17"/>
      <c r="AJ152" s="17"/>
      <c r="AK152" s="22"/>
      <c r="AL152" s="23" t="str">
        <f aca="true">IF(C152="","",IF(N152="失注","―",IF(AND(AK152&lt;&gt;"",AK152&lt;TODAY()),"対応期限超過",IF(AND(AF152="",AA152&lt;&gt;"",IF(AA152="",FALSE(),AA152&lt;TODAY())),"納品遅延",IF(AND(AK152&lt;&gt;"",AK152=TODAY()),"本日対応",IF(AND(S152="全開通",X152="",AF152=""),"ヒアリング依頼待ち",IF(AND(X152&lt;&gt;"",Y152="",Z152="",TODAY()-X152&gt;=設定!$B$6),"ヒアリング未回収",IF(AND(Y152&lt;&gt;"",Z152=""),"素材確認待ち",IF(AND(AF152="",AA152&lt;&gt;"",IF(AA152="",FALSE(),AA152-TODAY()&lt;=設定!$B$7)),"納品間近",IF(AND(AH152&lt;&gt;"",IF(AH152="",FALSE(),AH152&lt;=TODAY()),AI152=""),"解約チェック",IF(AF152&lt;&gt;"","納品済","")))))))))))</f>
        <v/>
      </c>
      <c r="AM152" s="17"/>
    </row>
    <row r="153" customFormat="false" ht="15" hidden="false" customHeight="false" outlineLevel="0" collapsed="false">
      <c r="A153" s="12" t="str">
        <f aca="false">IF(C153="","",ROW()-4)</f>
        <v/>
      </c>
      <c r="B153" s="17"/>
      <c r="C153" s="17"/>
      <c r="D153" s="17"/>
      <c r="E153" s="17"/>
      <c r="F153" s="24"/>
      <c r="G153" s="17"/>
      <c r="H153" s="17"/>
      <c r="I153" s="17"/>
      <c r="J153" s="17"/>
      <c r="K153" s="17"/>
      <c r="L153" s="22"/>
      <c r="M153" s="22"/>
      <c r="N153" s="17"/>
      <c r="O153" s="17"/>
      <c r="P153" s="17"/>
      <c r="Q153" s="18" t="str">
        <f aca="false">IF(B153="","",COUNTIFS(開通管理!$B$5:$B$604,B153,開通管理!$O$5:$O$604,"&lt;&gt;キャンセル"))</f>
        <v/>
      </c>
      <c r="R153" s="18" t="str">
        <f aca="false">IF(B153="","",COUNTIFS(開通管理!$B$5:$B$604,B153,開通管理!$O$5:$O$604,"開通済"))</f>
        <v/>
      </c>
      <c r="S153" s="19" t="str">
        <f aca="false">IF(B153="","",IF(Q153=0,"未申込",IF(R153&lt;Q153,"開通待ち（"&amp;R153&amp;"/"&amp;Q153&amp;"）","全開通")))</f>
        <v/>
      </c>
      <c r="T153" s="20" t="str">
        <f aca="false">IF(S153&lt;&gt;"全開通","",_xlfn.MAXIFS(開通管理!$Q$5:$Q$604,開通管理!$B$5:$B$604,B153))</f>
        <v/>
      </c>
      <c r="U153" s="21" t="str">
        <f aca="false">IF(B153="","",SUMIFS(開通管理!$J$5:$J$604,開通管理!$B$5:$B$604,B153,開通管理!$O$5:$O$604,"&lt;&gt;キャンセル"))</f>
        <v/>
      </c>
      <c r="V153" s="22"/>
      <c r="W153" s="12" t="str">
        <f aca="false">IF(OR(B153="",設定!$B$14=""),"",SUBSTITUTE(設定!$B$14,"__ID__",B153))</f>
        <v/>
      </c>
      <c r="X153" s="22"/>
      <c r="Y153" s="22"/>
      <c r="Z153" s="22"/>
      <c r="AA153" s="20" t="str">
        <f aca="false">IF(Z153="","",WORKDAY(Z153,設定!$B$5,設定!$F$5:$F$120))</f>
        <v/>
      </c>
      <c r="AB153" s="17"/>
      <c r="AC153" s="17"/>
      <c r="AD153" s="17"/>
      <c r="AE153" s="17"/>
      <c r="AF153" s="22"/>
      <c r="AG153" s="17"/>
      <c r="AH153" s="20" t="str">
        <f aca="false">IF(T153="","",EDATE(T153,設定!$B$8))</f>
        <v/>
      </c>
      <c r="AI153" s="17"/>
      <c r="AJ153" s="17"/>
      <c r="AK153" s="22"/>
      <c r="AL153" s="23" t="str">
        <f aca="true">IF(C153="","",IF(N153="失注","―",IF(AND(AK153&lt;&gt;"",AK153&lt;TODAY()),"対応期限超過",IF(AND(AF153="",AA153&lt;&gt;"",IF(AA153="",FALSE(),AA153&lt;TODAY())),"納品遅延",IF(AND(AK153&lt;&gt;"",AK153=TODAY()),"本日対応",IF(AND(S153="全開通",X153="",AF153=""),"ヒアリング依頼待ち",IF(AND(X153&lt;&gt;"",Y153="",Z153="",TODAY()-X153&gt;=設定!$B$6),"ヒアリング未回収",IF(AND(Y153&lt;&gt;"",Z153=""),"素材確認待ち",IF(AND(AF153="",AA153&lt;&gt;"",IF(AA153="",FALSE(),AA153-TODAY()&lt;=設定!$B$7)),"納品間近",IF(AND(AH153&lt;&gt;"",IF(AH153="",FALSE(),AH153&lt;=TODAY()),AI153=""),"解約チェック",IF(AF153&lt;&gt;"","納品済","")))))))))))</f>
        <v/>
      </c>
      <c r="AM153" s="17"/>
    </row>
    <row r="154" customFormat="false" ht="15" hidden="false" customHeight="false" outlineLevel="0" collapsed="false">
      <c r="A154" s="12" t="str">
        <f aca="false">IF(C154="","",ROW()-4)</f>
        <v/>
      </c>
      <c r="B154" s="17"/>
      <c r="C154" s="17"/>
      <c r="D154" s="17"/>
      <c r="E154" s="17"/>
      <c r="F154" s="24"/>
      <c r="G154" s="17"/>
      <c r="H154" s="17"/>
      <c r="I154" s="17"/>
      <c r="J154" s="17"/>
      <c r="K154" s="17"/>
      <c r="L154" s="22"/>
      <c r="M154" s="22"/>
      <c r="N154" s="17"/>
      <c r="O154" s="17"/>
      <c r="P154" s="17"/>
      <c r="Q154" s="18" t="str">
        <f aca="false">IF(B154="","",COUNTIFS(開通管理!$B$5:$B$604,B154,開通管理!$O$5:$O$604,"&lt;&gt;キャンセル"))</f>
        <v/>
      </c>
      <c r="R154" s="18" t="str">
        <f aca="false">IF(B154="","",COUNTIFS(開通管理!$B$5:$B$604,B154,開通管理!$O$5:$O$604,"開通済"))</f>
        <v/>
      </c>
      <c r="S154" s="19" t="str">
        <f aca="false">IF(B154="","",IF(Q154=0,"未申込",IF(R154&lt;Q154,"開通待ち（"&amp;R154&amp;"/"&amp;Q154&amp;"）","全開通")))</f>
        <v/>
      </c>
      <c r="T154" s="20" t="str">
        <f aca="false">IF(S154&lt;&gt;"全開通","",_xlfn.MAXIFS(開通管理!$Q$5:$Q$604,開通管理!$B$5:$B$604,B154))</f>
        <v/>
      </c>
      <c r="U154" s="21" t="str">
        <f aca="false">IF(B154="","",SUMIFS(開通管理!$J$5:$J$604,開通管理!$B$5:$B$604,B154,開通管理!$O$5:$O$604,"&lt;&gt;キャンセル"))</f>
        <v/>
      </c>
      <c r="V154" s="22"/>
      <c r="W154" s="12" t="str">
        <f aca="false">IF(OR(B154="",設定!$B$14=""),"",SUBSTITUTE(設定!$B$14,"__ID__",B154))</f>
        <v/>
      </c>
      <c r="X154" s="22"/>
      <c r="Y154" s="22"/>
      <c r="Z154" s="22"/>
      <c r="AA154" s="20" t="str">
        <f aca="false">IF(Z154="","",WORKDAY(Z154,設定!$B$5,設定!$F$5:$F$120))</f>
        <v/>
      </c>
      <c r="AB154" s="17"/>
      <c r="AC154" s="17"/>
      <c r="AD154" s="17"/>
      <c r="AE154" s="17"/>
      <c r="AF154" s="22"/>
      <c r="AG154" s="17"/>
      <c r="AH154" s="20" t="str">
        <f aca="false">IF(T154="","",EDATE(T154,設定!$B$8))</f>
        <v/>
      </c>
      <c r="AI154" s="17"/>
      <c r="AJ154" s="17"/>
      <c r="AK154" s="22"/>
      <c r="AL154" s="23" t="str">
        <f aca="true">IF(C154="","",IF(N154="失注","―",IF(AND(AK154&lt;&gt;"",AK154&lt;TODAY()),"対応期限超過",IF(AND(AF154="",AA154&lt;&gt;"",IF(AA154="",FALSE(),AA154&lt;TODAY())),"納品遅延",IF(AND(AK154&lt;&gt;"",AK154=TODAY()),"本日対応",IF(AND(S154="全開通",X154="",AF154=""),"ヒアリング依頼待ち",IF(AND(X154&lt;&gt;"",Y154="",Z154="",TODAY()-X154&gt;=設定!$B$6),"ヒアリング未回収",IF(AND(Y154&lt;&gt;"",Z154=""),"素材確認待ち",IF(AND(AF154="",AA154&lt;&gt;"",IF(AA154="",FALSE(),AA154-TODAY()&lt;=設定!$B$7)),"納品間近",IF(AND(AH154&lt;&gt;"",IF(AH154="",FALSE(),AH154&lt;=TODAY()),AI154=""),"解約チェック",IF(AF154&lt;&gt;"","納品済","")))))))))))</f>
        <v/>
      </c>
      <c r="AM154" s="17"/>
    </row>
    <row r="155" customFormat="false" ht="15" hidden="false" customHeight="false" outlineLevel="0" collapsed="false">
      <c r="A155" s="12" t="str">
        <f aca="false">IF(C155="","",ROW()-4)</f>
        <v/>
      </c>
      <c r="B155" s="17"/>
      <c r="C155" s="17"/>
      <c r="D155" s="17"/>
      <c r="E155" s="17"/>
      <c r="F155" s="24"/>
      <c r="G155" s="17"/>
      <c r="H155" s="17"/>
      <c r="I155" s="17"/>
      <c r="J155" s="17"/>
      <c r="K155" s="17"/>
      <c r="L155" s="22"/>
      <c r="M155" s="22"/>
      <c r="N155" s="17"/>
      <c r="O155" s="17"/>
      <c r="P155" s="17"/>
      <c r="Q155" s="18" t="str">
        <f aca="false">IF(B155="","",COUNTIFS(開通管理!$B$5:$B$604,B155,開通管理!$O$5:$O$604,"&lt;&gt;キャンセル"))</f>
        <v/>
      </c>
      <c r="R155" s="18" t="str">
        <f aca="false">IF(B155="","",COUNTIFS(開通管理!$B$5:$B$604,B155,開通管理!$O$5:$O$604,"開通済"))</f>
        <v/>
      </c>
      <c r="S155" s="19" t="str">
        <f aca="false">IF(B155="","",IF(Q155=0,"未申込",IF(R155&lt;Q155,"開通待ち（"&amp;R155&amp;"/"&amp;Q155&amp;"）","全開通")))</f>
        <v/>
      </c>
      <c r="T155" s="20" t="str">
        <f aca="false">IF(S155&lt;&gt;"全開通","",_xlfn.MAXIFS(開通管理!$Q$5:$Q$604,開通管理!$B$5:$B$604,B155))</f>
        <v/>
      </c>
      <c r="U155" s="21" t="str">
        <f aca="false">IF(B155="","",SUMIFS(開通管理!$J$5:$J$604,開通管理!$B$5:$B$604,B155,開通管理!$O$5:$O$604,"&lt;&gt;キャンセル"))</f>
        <v/>
      </c>
      <c r="V155" s="22"/>
      <c r="W155" s="12" t="str">
        <f aca="false">IF(OR(B155="",設定!$B$14=""),"",SUBSTITUTE(設定!$B$14,"__ID__",B155))</f>
        <v/>
      </c>
      <c r="X155" s="22"/>
      <c r="Y155" s="22"/>
      <c r="Z155" s="22"/>
      <c r="AA155" s="20" t="str">
        <f aca="false">IF(Z155="","",WORKDAY(Z155,設定!$B$5,設定!$F$5:$F$120))</f>
        <v/>
      </c>
      <c r="AB155" s="17"/>
      <c r="AC155" s="17"/>
      <c r="AD155" s="17"/>
      <c r="AE155" s="17"/>
      <c r="AF155" s="22"/>
      <c r="AG155" s="17"/>
      <c r="AH155" s="20" t="str">
        <f aca="false">IF(T155="","",EDATE(T155,設定!$B$8))</f>
        <v/>
      </c>
      <c r="AI155" s="17"/>
      <c r="AJ155" s="17"/>
      <c r="AK155" s="22"/>
      <c r="AL155" s="23" t="str">
        <f aca="true">IF(C155="","",IF(N155="失注","―",IF(AND(AK155&lt;&gt;"",AK155&lt;TODAY()),"対応期限超過",IF(AND(AF155="",AA155&lt;&gt;"",IF(AA155="",FALSE(),AA155&lt;TODAY())),"納品遅延",IF(AND(AK155&lt;&gt;"",AK155=TODAY()),"本日対応",IF(AND(S155="全開通",X155="",AF155=""),"ヒアリング依頼待ち",IF(AND(X155&lt;&gt;"",Y155="",Z155="",TODAY()-X155&gt;=設定!$B$6),"ヒアリング未回収",IF(AND(Y155&lt;&gt;"",Z155=""),"素材確認待ち",IF(AND(AF155="",AA155&lt;&gt;"",IF(AA155="",FALSE(),AA155-TODAY()&lt;=設定!$B$7)),"納品間近",IF(AND(AH155&lt;&gt;"",IF(AH155="",FALSE(),AH155&lt;=TODAY()),AI155=""),"解約チェック",IF(AF155&lt;&gt;"","納品済","")))))))))))</f>
        <v/>
      </c>
      <c r="AM155" s="17"/>
    </row>
    <row r="156" customFormat="false" ht="15" hidden="false" customHeight="false" outlineLevel="0" collapsed="false">
      <c r="A156" s="12" t="str">
        <f aca="false">IF(C156="","",ROW()-4)</f>
        <v/>
      </c>
      <c r="B156" s="17"/>
      <c r="C156" s="17"/>
      <c r="D156" s="17"/>
      <c r="E156" s="17"/>
      <c r="F156" s="24"/>
      <c r="G156" s="17"/>
      <c r="H156" s="17"/>
      <c r="I156" s="17"/>
      <c r="J156" s="17"/>
      <c r="K156" s="17"/>
      <c r="L156" s="22"/>
      <c r="M156" s="22"/>
      <c r="N156" s="17"/>
      <c r="O156" s="17"/>
      <c r="P156" s="17"/>
      <c r="Q156" s="18" t="str">
        <f aca="false">IF(B156="","",COUNTIFS(開通管理!$B$5:$B$604,B156,開通管理!$O$5:$O$604,"&lt;&gt;キャンセル"))</f>
        <v/>
      </c>
      <c r="R156" s="18" t="str">
        <f aca="false">IF(B156="","",COUNTIFS(開通管理!$B$5:$B$604,B156,開通管理!$O$5:$O$604,"開通済"))</f>
        <v/>
      </c>
      <c r="S156" s="19" t="str">
        <f aca="false">IF(B156="","",IF(Q156=0,"未申込",IF(R156&lt;Q156,"開通待ち（"&amp;R156&amp;"/"&amp;Q156&amp;"）","全開通")))</f>
        <v/>
      </c>
      <c r="T156" s="20" t="str">
        <f aca="false">IF(S156&lt;&gt;"全開通","",_xlfn.MAXIFS(開通管理!$Q$5:$Q$604,開通管理!$B$5:$B$604,B156))</f>
        <v/>
      </c>
      <c r="U156" s="21" t="str">
        <f aca="false">IF(B156="","",SUMIFS(開通管理!$J$5:$J$604,開通管理!$B$5:$B$604,B156,開通管理!$O$5:$O$604,"&lt;&gt;キャンセル"))</f>
        <v/>
      </c>
      <c r="V156" s="22"/>
      <c r="W156" s="12" t="str">
        <f aca="false">IF(OR(B156="",設定!$B$14=""),"",SUBSTITUTE(設定!$B$14,"__ID__",B156))</f>
        <v/>
      </c>
      <c r="X156" s="22"/>
      <c r="Y156" s="22"/>
      <c r="Z156" s="22"/>
      <c r="AA156" s="20" t="str">
        <f aca="false">IF(Z156="","",WORKDAY(Z156,設定!$B$5,設定!$F$5:$F$120))</f>
        <v/>
      </c>
      <c r="AB156" s="17"/>
      <c r="AC156" s="17"/>
      <c r="AD156" s="17"/>
      <c r="AE156" s="17"/>
      <c r="AF156" s="22"/>
      <c r="AG156" s="17"/>
      <c r="AH156" s="20" t="str">
        <f aca="false">IF(T156="","",EDATE(T156,設定!$B$8))</f>
        <v/>
      </c>
      <c r="AI156" s="17"/>
      <c r="AJ156" s="17"/>
      <c r="AK156" s="22"/>
      <c r="AL156" s="23" t="str">
        <f aca="true">IF(C156="","",IF(N156="失注","―",IF(AND(AK156&lt;&gt;"",AK156&lt;TODAY()),"対応期限超過",IF(AND(AF156="",AA156&lt;&gt;"",IF(AA156="",FALSE(),AA156&lt;TODAY())),"納品遅延",IF(AND(AK156&lt;&gt;"",AK156=TODAY()),"本日対応",IF(AND(S156="全開通",X156="",AF156=""),"ヒアリング依頼待ち",IF(AND(X156&lt;&gt;"",Y156="",Z156="",TODAY()-X156&gt;=設定!$B$6),"ヒアリング未回収",IF(AND(Y156&lt;&gt;"",Z156=""),"素材確認待ち",IF(AND(AF156="",AA156&lt;&gt;"",IF(AA156="",FALSE(),AA156-TODAY()&lt;=設定!$B$7)),"納品間近",IF(AND(AH156&lt;&gt;"",IF(AH156="",FALSE(),AH156&lt;=TODAY()),AI156=""),"解約チェック",IF(AF156&lt;&gt;"","納品済","")))))))))))</f>
        <v/>
      </c>
      <c r="AM156" s="17"/>
    </row>
    <row r="157" customFormat="false" ht="15" hidden="false" customHeight="false" outlineLevel="0" collapsed="false">
      <c r="A157" s="12" t="str">
        <f aca="false">IF(C157="","",ROW()-4)</f>
        <v/>
      </c>
      <c r="B157" s="17"/>
      <c r="C157" s="17"/>
      <c r="D157" s="17"/>
      <c r="E157" s="17"/>
      <c r="F157" s="24"/>
      <c r="G157" s="17"/>
      <c r="H157" s="17"/>
      <c r="I157" s="17"/>
      <c r="J157" s="17"/>
      <c r="K157" s="17"/>
      <c r="L157" s="22"/>
      <c r="M157" s="22"/>
      <c r="N157" s="17"/>
      <c r="O157" s="17"/>
      <c r="P157" s="17"/>
      <c r="Q157" s="18" t="str">
        <f aca="false">IF(B157="","",COUNTIFS(開通管理!$B$5:$B$604,B157,開通管理!$O$5:$O$604,"&lt;&gt;キャンセル"))</f>
        <v/>
      </c>
      <c r="R157" s="18" t="str">
        <f aca="false">IF(B157="","",COUNTIFS(開通管理!$B$5:$B$604,B157,開通管理!$O$5:$O$604,"開通済"))</f>
        <v/>
      </c>
      <c r="S157" s="19" t="str">
        <f aca="false">IF(B157="","",IF(Q157=0,"未申込",IF(R157&lt;Q157,"開通待ち（"&amp;R157&amp;"/"&amp;Q157&amp;"）","全開通")))</f>
        <v/>
      </c>
      <c r="T157" s="20" t="str">
        <f aca="false">IF(S157&lt;&gt;"全開通","",_xlfn.MAXIFS(開通管理!$Q$5:$Q$604,開通管理!$B$5:$B$604,B157))</f>
        <v/>
      </c>
      <c r="U157" s="21" t="str">
        <f aca="false">IF(B157="","",SUMIFS(開通管理!$J$5:$J$604,開通管理!$B$5:$B$604,B157,開通管理!$O$5:$O$604,"&lt;&gt;キャンセル"))</f>
        <v/>
      </c>
      <c r="V157" s="22"/>
      <c r="W157" s="12" t="str">
        <f aca="false">IF(OR(B157="",設定!$B$14=""),"",SUBSTITUTE(設定!$B$14,"__ID__",B157))</f>
        <v/>
      </c>
      <c r="X157" s="22"/>
      <c r="Y157" s="22"/>
      <c r="Z157" s="22"/>
      <c r="AA157" s="20" t="str">
        <f aca="false">IF(Z157="","",WORKDAY(Z157,設定!$B$5,設定!$F$5:$F$120))</f>
        <v/>
      </c>
      <c r="AB157" s="17"/>
      <c r="AC157" s="17"/>
      <c r="AD157" s="17"/>
      <c r="AE157" s="17"/>
      <c r="AF157" s="22"/>
      <c r="AG157" s="17"/>
      <c r="AH157" s="20" t="str">
        <f aca="false">IF(T157="","",EDATE(T157,設定!$B$8))</f>
        <v/>
      </c>
      <c r="AI157" s="17"/>
      <c r="AJ157" s="17"/>
      <c r="AK157" s="22"/>
      <c r="AL157" s="23" t="str">
        <f aca="true">IF(C157="","",IF(N157="失注","―",IF(AND(AK157&lt;&gt;"",AK157&lt;TODAY()),"対応期限超過",IF(AND(AF157="",AA157&lt;&gt;"",IF(AA157="",FALSE(),AA157&lt;TODAY())),"納品遅延",IF(AND(AK157&lt;&gt;"",AK157=TODAY()),"本日対応",IF(AND(S157="全開通",X157="",AF157=""),"ヒアリング依頼待ち",IF(AND(X157&lt;&gt;"",Y157="",Z157="",TODAY()-X157&gt;=設定!$B$6),"ヒアリング未回収",IF(AND(Y157&lt;&gt;"",Z157=""),"素材確認待ち",IF(AND(AF157="",AA157&lt;&gt;"",IF(AA157="",FALSE(),AA157-TODAY()&lt;=設定!$B$7)),"納品間近",IF(AND(AH157&lt;&gt;"",IF(AH157="",FALSE(),AH157&lt;=TODAY()),AI157=""),"解約チェック",IF(AF157&lt;&gt;"","納品済","")))))))))))</f>
        <v/>
      </c>
      <c r="AM157" s="17"/>
    </row>
    <row r="158" customFormat="false" ht="15" hidden="false" customHeight="false" outlineLevel="0" collapsed="false">
      <c r="A158" s="12" t="str">
        <f aca="false">IF(C158="","",ROW()-4)</f>
        <v/>
      </c>
      <c r="B158" s="17"/>
      <c r="C158" s="17"/>
      <c r="D158" s="17"/>
      <c r="E158" s="17"/>
      <c r="F158" s="24"/>
      <c r="G158" s="17"/>
      <c r="H158" s="17"/>
      <c r="I158" s="17"/>
      <c r="J158" s="17"/>
      <c r="K158" s="17"/>
      <c r="L158" s="22"/>
      <c r="M158" s="22"/>
      <c r="N158" s="17"/>
      <c r="O158" s="17"/>
      <c r="P158" s="17"/>
      <c r="Q158" s="18" t="str">
        <f aca="false">IF(B158="","",COUNTIFS(開通管理!$B$5:$B$604,B158,開通管理!$O$5:$O$604,"&lt;&gt;キャンセル"))</f>
        <v/>
      </c>
      <c r="R158" s="18" t="str">
        <f aca="false">IF(B158="","",COUNTIFS(開通管理!$B$5:$B$604,B158,開通管理!$O$5:$O$604,"開通済"))</f>
        <v/>
      </c>
      <c r="S158" s="19" t="str">
        <f aca="false">IF(B158="","",IF(Q158=0,"未申込",IF(R158&lt;Q158,"開通待ち（"&amp;R158&amp;"/"&amp;Q158&amp;"）","全開通")))</f>
        <v/>
      </c>
      <c r="T158" s="20" t="str">
        <f aca="false">IF(S158&lt;&gt;"全開通","",_xlfn.MAXIFS(開通管理!$Q$5:$Q$604,開通管理!$B$5:$B$604,B158))</f>
        <v/>
      </c>
      <c r="U158" s="21" t="str">
        <f aca="false">IF(B158="","",SUMIFS(開通管理!$J$5:$J$604,開通管理!$B$5:$B$604,B158,開通管理!$O$5:$O$604,"&lt;&gt;キャンセル"))</f>
        <v/>
      </c>
      <c r="V158" s="22"/>
      <c r="W158" s="12" t="str">
        <f aca="false">IF(OR(B158="",設定!$B$14=""),"",SUBSTITUTE(設定!$B$14,"__ID__",B158))</f>
        <v/>
      </c>
      <c r="X158" s="22"/>
      <c r="Y158" s="22"/>
      <c r="Z158" s="22"/>
      <c r="AA158" s="20" t="str">
        <f aca="false">IF(Z158="","",WORKDAY(Z158,設定!$B$5,設定!$F$5:$F$120))</f>
        <v/>
      </c>
      <c r="AB158" s="17"/>
      <c r="AC158" s="17"/>
      <c r="AD158" s="17"/>
      <c r="AE158" s="17"/>
      <c r="AF158" s="22"/>
      <c r="AG158" s="17"/>
      <c r="AH158" s="20" t="str">
        <f aca="false">IF(T158="","",EDATE(T158,設定!$B$8))</f>
        <v/>
      </c>
      <c r="AI158" s="17"/>
      <c r="AJ158" s="17"/>
      <c r="AK158" s="22"/>
      <c r="AL158" s="23" t="str">
        <f aca="true">IF(C158="","",IF(N158="失注","―",IF(AND(AK158&lt;&gt;"",AK158&lt;TODAY()),"対応期限超過",IF(AND(AF158="",AA158&lt;&gt;"",IF(AA158="",FALSE(),AA158&lt;TODAY())),"納品遅延",IF(AND(AK158&lt;&gt;"",AK158=TODAY()),"本日対応",IF(AND(S158="全開通",X158="",AF158=""),"ヒアリング依頼待ち",IF(AND(X158&lt;&gt;"",Y158="",Z158="",TODAY()-X158&gt;=設定!$B$6),"ヒアリング未回収",IF(AND(Y158&lt;&gt;"",Z158=""),"素材確認待ち",IF(AND(AF158="",AA158&lt;&gt;"",IF(AA158="",FALSE(),AA158-TODAY()&lt;=設定!$B$7)),"納品間近",IF(AND(AH158&lt;&gt;"",IF(AH158="",FALSE(),AH158&lt;=TODAY()),AI158=""),"解約チェック",IF(AF158&lt;&gt;"","納品済","")))))))))))</f>
        <v/>
      </c>
      <c r="AM158" s="17"/>
    </row>
    <row r="159" customFormat="false" ht="15" hidden="false" customHeight="false" outlineLevel="0" collapsed="false">
      <c r="A159" s="12" t="str">
        <f aca="false">IF(C159="","",ROW()-4)</f>
        <v/>
      </c>
      <c r="B159" s="17"/>
      <c r="C159" s="17"/>
      <c r="D159" s="17"/>
      <c r="E159" s="17"/>
      <c r="F159" s="24"/>
      <c r="G159" s="17"/>
      <c r="H159" s="17"/>
      <c r="I159" s="17"/>
      <c r="J159" s="17"/>
      <c r="K159" s="17"/>
      <c r="L159" s="22"/>
      <c r="M159" s="22"/>
      <c r="N159" s="17"/>
      <c r="O159" s="17"/>
      <c r="P159" s="17"/>
      <c r="Q159" s="18" t="str">
        <f aca="false">IF(B159="","",COUNTIFS(開通管理!$B$5:$B$604,B159,開通管理!$O$5:$O$604,"&lt;&gt;キャンセル"))</f>
        <v/>
      </c>
      <c r="R159" s="18" t="str">
        <f aca="false">IF(B159="","",COUNTIFS(開通管理!$B$5:$B$604,B159,開通管理!$O$5:$O$604,"開通済"))</f>
        <v/>
      </c>
      <c r="S159" s="19" t="str">
        <f aca="false">IF(B159="","",IF(Q159=0,"未申込",IF(R159&lt;Q159,"開通待ち（"&amp;R159&amp;"/"&amp;Q159&amp;"）","全開通")))</f>
        <v/>
      </c>
      <c r="T159" s="20" t="str">
        <f aca="false">IF(S159&lt;&gt;"全開通","",_xlfn.MAXIFS(開通管理!$Q$5:$Q$604,開通管理!$B$5:$B$604,B159))</f>
        <v/>
      </c>
      <c r="U159" s="21" t="str">
        <f aca="false">IF(B159="","",SUMIFS(開通管理!$J$5:$J$604,開通管理!$B$5:$B$604,B159,開通管理!$O$5:$O$604,"&lt;&gt;キャンセル"))</f>
        <v/>
      </c>
      <c r="V159" s="22"/>
      <c r="W159" s="12" t="str">
        <f aca="false">IF(OR(B159="",設定!$B$14=""),"",SUBSTITUTE(設定!$B$14,"__ID__",B159))</f>
        <v/>
      </c>
      <c r="X159" s="22"/>
      <c r="Y159" s="22"/>
      <c r="Z159" s="22"/>
      <c r="AA159" s="20" t="str">
        <f aca="false">IF(Z159="","",WORKDAY(Z159,設定!$B$5,設定!$F$5:$F$120))</f>
        <v/>
      </c>
      <c r="AB159" s="17"/>
      <c r="AC159" s="17"/>
      <c r="AD159" s="17"/>
      <c r="AE159" s="17"/>
      <c r="AF159" s="22"/>
      <c r="AG159" s="17"/>
      <c r="AH159" s="20" t="str">
        <f aca="false">IF(T159="","",EDATE(T159,設定!$B$8))</f>
        <v/>
      </c>
      <c r="AI159" s="17"/>
      <c r="AJ159" s="17"/>
      <c r="AK159" s="22"/>
      <c r="AL159" s="23" t="str">
        <f aca="true">IF(C159="","",IF(N159="失注","―",IF(AND(AK159&lt;&gt;"",AK159&lt;TODAY()),"対応期限超過",IF(AND(AF159="",AA159&lt;&gt;"",IF(AA159="",FALSE(),AA159&lt;TODAY())),"納品遅延",IF(AND(AK159&lt;&gt;"",AK159=TODAY()),"本日対応",IF(AND(S159="全開通",X159="",AF159=""),"ヒアリング依頼待ち",IF(AND(X159&lt;&gt;"",Y159="",Z159="",TODAY()-X159&gt;=設定!$B$6),"ヒアリング未回収",IF(AND(Y159&lt;&gt;"",Z159=""),"素材確認待ち",IF(AND(AF159="",AA159&lt;&gt;"",IF(AA159="",FALSE(),AA159-TODAY()&lt;=設定!$B$7)),"納品間近",IF(AND(AH159&lt;&gt;"",IF(AH159="",FALSE(),AH159&lt;=TODAY()),AI159=""),"解約チェック",IF(AF159&lt;&gt;"","納品済","")))))))))))</f>
        <v/>
      </c>
      <c r="AM159" s="17"/>
    </row>
    <row r="160" customFormat="false" ht="15" hidden="false" customHeight="false" outlineLevel="0" collapsed="false">
      <c r="A160" s="12" t="str">
        <f aca="false">IF(C160="","",ROW()-4)</f>
        <v/>
      </c>
      <c r="B160" s="17"/>
      <c r="C160" s="17"/>
      <c r="D160" s="17"/>
      <c r="E160" s="17"/>
      <c r="F160" s="24"/>
      <c r="G160" s="17"/>
      <c r="H160" s="17"/>
      <c r="I160" s="17"/>
      <c r="J160" s="17"/>
      <c r="K160" s="17"/>
      <c r="L160" s="22"/>
      <c r="M160" s="22"/>
      <c r="N160" s="17"/>
      <c r="O160" s="17"/>
      <c r="P160" s="17"/>
      <c r="Q160" s="18" t="str">
        <f aca="false">IF(B160="","",COUNTIFS(開通管理!$B$5:$B$604,B160,開通管理!$O$5:$O$604,"&lt;&gt;キャンセル"))</f>
        <v/>
      </c>
      <c r="R160" s="18" t="str">
        <f aca="false">IF(B160="","",COUNTIFS(開通管理!$B$5:$B$604,B160,開通管理!$O$5:$O$604,"開通済"))</f>
        <v/>
      </c>
      <c r="S160" s="19" t="str">
        <f aca="false">IF(B160="","",IF(Q160=0,"未申込",IF(R160&lt;Q160,"開通待ち（"&amp;R160&amp;"/"&amp;Q160&amp;"）","全開通")))</f>
        <v/>
      </c>
      <c r="T160" s="20" t="str">
        <f aca="false">IF(S160&lt;&gt;"全開通","",_xlfn.MAXIFS(開通管理!$Q$5:$Q$604,開通管理!$B$5:$B$604,B160))</f>
        <v/>
      </c>
      <c r="U160" s="21" t="str">
        <f aca="false">IF(B160="","",SUMIFS(開通管理!$J$5:$J$604,開通管理!$B$5:$B$604,B160,開通管理!$O$5:$O$604,"&lt;&gt;キャンセル"))</f>
        <v/>
      </c>
      <c r="V160" s="22"/>
      <c r="W160" s="12" t="str">
        <f aca="false">IF(OR(B160="",設定!$B$14=""),"",SUBSTITUTE(設定!$B$14,"__ID__",B160))</f>
        <v/>
      </c>
      <c r="X160" s="22"/>
      <c r="Y160" s="22"/>
      <c r="Z160" s="22"/>
      <c r="AA160" s="20" t="str">
        <f aca="false">IF(Z160="","",WORKDAY(Z160,設定!$B$5,設定!$F$5:$F$120))</f>
        <v/>
      </c>
      <c r="AB160" s="17"/>
      <c r="AC160" s="17"/>
      <c r="AD160" s="17"/>
      <c r="AE160" s="17"/>
      <c r="AF160" s="22"/>
      <c r="AG160" s="17"/>
      <c r="AH160" s="20" t="str">
        <f aca="false">IF(T160="","",EDATE(T160,設定!$B$8))</f>
        <v/>
      </c>
      <c r="AI160" s="17"/>
      <c r="AJ160" s="17"/>
      <c r="AK160" s="22"/>
      <c r="AL160" s="23" t="str">
        <f aca="true">IF(C160="","",IF(N160="失注","―",IF(AND(AK160&lt;&gt;"",AK160&lt;TODAY()),"対応期限超過",IF(AND(AF160="",AA160&lt;&gt;"",IF(AA160="",FALSE(),AA160&lt;TODAY())),"納品遅延",IF(AND(AK160&lt;&gt;"",AK160=TODAY()),"本日対応",IF(AND(S160="全開通",X160="",AF160=""),"ヒアリング依頼待ち",IF(AND(X160&lt;&gt;"",Y160="",Z160="",TODAY()-X160&gt;=設定!$B$6),"ヒアリング未回収",IF(AND(Y160&lt;&gt;"",Z160=""),"素材確認待ち",IF(AND(AF160="",AA160&lt;&gt;"",IF(AA160="",FALSE(),AA160-TODAY()&lt;=設定!$B$7)),"納品間近",IF(AND(AH160&lt;&gt;"",IF(AH160="",FALSE(),AH160&lt;=TODAY()),AI160=""),"解約チェック",IF(AF160&lt;&gt;"","納品済","")))))))))))</f>
        <v/>
      </c>
      <c r="AM160" s="17"/>
    </row>
    <row r="161" customFormat="false" ht="15" hidden="false" customHeight="false" outlineLevel="0" collapsed="false">
      <c r="A161" s="12" t="str">
        <f aca="false">IF(C161="","",ROW()-4)</f>
        <v/>
      </c>
      <c r="B161" s="17"/>
      <c r="C161" s="17"/>
      <c r="D161" s="17"/>
      <c r="E161" s="17"/>
      <c r="F161" s="24"/>
      <c r="G161" s="17"/>
      <c r="H161" s="17"/>
      <c r="I161" s="17"/>
      <c r="J161" s="17"/>
      <c r="K161" s="17"/>
      <c r="L161" s="22"/>
      <c r="M161" s="22"/>
      <c r="N161" s="17"/>
      <c r="O161" s="17"/>
      <c r="P161" s="17"/>
      <c r="Q161" s="18" t="str">
        <f aca="false">IF(B161="","",COUNTIFS(開通管理!$B$5:$B$604,B161,開通管理!$O$5:$O$604,"&lt;&gt;キャンセル"))</f>
        <v/>
      </c>
      <c r="R161" s="18" t="str">
        <f aca="false">IF(B161="","",COUNTIFS(開通管理!$B$5:$B$604,B161,開通管理!$O$5:$O$604,"開通済"))</f>
        <v/>
      </c>
      <c r="S161" s="19" t="str">
        <f aca="false">IF(B161="","",IF(Q161=0,"未申込",IF(R161&lt;Q161,"開通待ち（"&amp;R161&amp;"/"&amp;Q161&amp;"）","全開通")))</f>
        <v/>
      </c>
      <c r="T161" s="20" t="str">
        <f aca="false">IF(S161&lt;&gt;"全開通","",_xlfn.MAXIFS(開通管理!$Q$5:$Q$604,開通管理!$B$5:$B$604,B161))</f>
        <v/>
      </c>
      <c r="U161" s="21" t="str">
        <f aca="false">IF(B161="","",SUMIFS(開通管理!$J$5:$J$604,開通管理!$B$5:$B$604,B161,開通管理!$O$5:$O$604,"&lt;&gt;キャンセル"))</f>
        <v/>
      </c>
      <c r="V161" s="22"/>
      <c r="W161" s="12" t="str">
        <f aca="false">IF(OR(B161="",設定!$B$14=""),"",SUBSTITUTE(設定!$B$14,"__ID__",B161))</f>
        <v/>
      </c>
      <c r="X161" s="22"/>
      <c r="Y161" s="22"/>
      <c r="Z161" s="22"/>
      <c r="AA161" s="20" t="str">
        <f aca="false">IF(Z161="","",WORKDAY(Z161,設定!$B$5,設定!$F$5:$F$120))</f>
        <v/>
      </c>
      <c r="AB161" s="17"/>
      <c r="AC161" s="17"/>
      <c r="AD161" s="17"/>
      <c r="AE161" s="17"/>
      <c r="AF161" s="22"/>
      <c r="AG161" s="17"/>
      <c r="AH161" s="20" t="str">
        <f aca="false">IF(T161="","",EDATE(T161,設定!$B$8))</f>
        <v/>
      </c>
      <c r="AI161" s="17"/>
      <c r="AJ161" s="17"/>
      <c r="AK161" s="22"/>
      <c r="AL161" s="23" t="str">
        <f aca="true">IF(C161="","",IF(N161="失注","―",IF(AND(AK161&lt;&gt;"",AK161&lt;TODAY()),"対応期限超過",IF(AND(AF161="",AA161&lt;&gt;"",IF(AA161="",FALSE(),AA161&lt;TODAY())),"納品遅延",IF(AND(AK161&lt;&gt;"",AK161=TODAY()),"本日対応",IF(AND(S161="全開通",X161="",AF161=""),"ヒアリング依頼待ち",IF(AND(X161&lt;&gt;"",Y161="",Z161="",TODAY()-X161&gt;=設定!$B$6),"ヒアリング未回収",IF(AND(Y161&lt;&gt;"",Z161=""),"素材確認待ち",IF(AND(AF161="",AA161&lt;&gt;"",IF(AA161="",FALSE(),AA161-TODAY()&lt;=設定!$B$7)),"納品間近",IF(AND(AH161&lt;&gt;"",IF(AH161="",FALSE(),AH161&lt;=TODAY()),AI161=""),"解約チェック",IF(AF161&lt;&gt;"","納品済","")))))))))))</f>
        <v/>
      </c>
      <c r="AM161" s="17"/>
    </row>
    <row r="162" customFormat="false" ht="15" hidden="false" customHeight="false" outlineLevel="0" collapsed="false">
      <c r="A162" s="12" t="str">
        <f aca="false">IF(C162="","",ROW()-4)</f>
        <v/>
      </c>
      <c r="B162" s="17"/>
      <c r="C162" s="17"/>
      <c r="D162" s="17"/>
      <c r="E162" s="17"/>
      <c r="F162" s="24"/>
      <c r="G162" s="17"/>
      <c r="H162" s="17"/>
      <c r="I162" s="17"/>
      <c r="J162" s="17"/>
      <c r="K162" s="17"/>
      <c r="L162" s="22"/>
      <c r="M162" s="22"/>
      <c r="N162" s="17"/>
      <c r="O162" s="17"/>
      <c r="P162" s="17"/>
      <c r="Q162" s="18" t="str">
        <f aca="false">IF(B162="","",COUNTIFS(開通管理!$B$5:$B$604,B162,開通管理!$O$5:$O$604,"&lt;&gt;キャンセル"))</f>
        <v/>
      </c>
      <c r="R162" s="18" t="str">
        <f aca="false">IF(B162="","",COUNTIFS(開通管理!$B$5:$B$604,B162,開通管理!$O$5:$O$604,"開通済"))</f>
        <v/>
      </c>
      <c r="S162" s="19" t="str">
        <f aca="false">IF(B162="","",IF(Q162=0,"未申込",IF(R162&lt;Q162,"開通待ち（"&amp;R162&amp;"/"&amp;Q162&amp;"）","全開通")))</f>
        <v/>
      </c>
      <c r="T162" s="20" t="str">
        <f aca="false">IF(S162&lt;&gt;"全開通","",_xlfn.MAXIFS(開通管理!$Q$5:$Q$604,開通管理!$B$5:$B$604,B162))</f>
        <v/>
      </c>
      <c r="U162" s="21" t="str">
        <f aca="false">IF(B162="","",SUMIFS(開通管理!$J$5:$J$604,開通管理!$B$5:$B$604,B162,開通管理!$O$5:$O$604,"&lt;&gt;キャンセル"))</f>
        <v/>
      </c>
      <c r="V162" s="22"/>
      <c r="W162" s="12" t="str">
        <f aca="false">IF(OR(B162="",設定!$B$14=""),"",SUBSTITUTE(設定!$B$14,"__ID__",B162))</f>
        <v/>
      </c>
      <c r="X162" s="22"/>
      <c r="Y162" s="22"/>
      <c r="Z162" s="22"/>
      <c r="AA162" s="20" t="str">
        <f aca="false">IF(Z162="","",WORKDAY(Z162,設定!$B$5,設定!$F$5:$F$120))</f>
        <v/>
      </c>
      <c r="AB162" s="17"/>
      <c r="AC162" s="17"/>
      <c r="AD162" s="17"/>
      <c r="AE162" s="17"/>
      <c r="AF162" s="22"/>
      <c r="AG162" s="17"/>
      <c r="AH162" s="20" t="str">
        <f aca="false">IF(T162="","",EDATE(T162,設定!$B$8))</f>
        <v/>
      </c>
      <c r="AI162" s="17"/>
      <c r="AJ162" s="17"/>
      <c r="AK162" s="22"/>
      <c r="AL162" s="23" t="str">
        <f aca="true">IF(C162="","",IF(N162="失注","―",IF(AND(AK162&lt;&gt;"",AK162&lt;TODAY()),"対応期限超過",IF(AND(AF162="",AA162&lt;&gt;"",IF(AA162="",FALSE(),AA162&lt;TODAY())),"納品遅延",IF(AND(AK162&lt;&gt;"",AK162=TODAY()),"本日対応",IF(AND(S162="全開通",X162="",AF162=""),"ヒアリング依頼待ち",IF(AND(X162&lt;&gt;"",Y162="",Z162="",TODAY()-X162&gt;=設定!$B$6),"ヒアリング未回収",IF(AND(Y162&lt;&gt;"",Z162=""),"素材確認待ち",IF(AND(AF162="",AA162&lt;&gt;"",IF(AA162="",FALSE(),AA162-TODAY()&lt;=設定!$B$7)),"納品間近",IF(AND(AH162&lt;&gt;"",IF(AH162="",FALSE(),AH162&lt;=TODAY()),AI162=""),"解約チェック",IF(AF162&lt;&gt;"","納品済","")))))))))))</f>
        <v/>
      </c>
      <c r="AM162" s="17"/>
    </row>
    <row r="163" customFormat="false" ht="15" hidden="false" customHeight="false" outlineLevel="0" collapsed="false">
      <c r="A163" s="12" t="str">
        <f aca="false">IF(C163="","",ROW()-4)</f>
        <v/>
      </c>
      <c r="B163" s="17"/>
      <c r="C163" s="17"/>
      <c r="D163" s="17"/>
      <c r="E163" s="17"/>
      <c r="F163" s="24"/>
      <c r="G163" s="17"/>
      <c r="H163" s="17"/>
      <c r="I163" s="17"/>
      <c r="J163" s="17"/>
      <c r="K163" s="17"/>
      <c r="L163" s="22"/>
      <c r="M163" s="22"/>
      <c r="N163" s="17"/>
      <c r="O163" s="17"/>
      <c r="P163" s="17"/>
      <c r="Q163" s="18" t="str">
        <f aca="false">IF(B163="","",COUNTIFS(開通管理!$B$5:$B$604,B163,開通管理!$O$5:$O$604,"&lt;&gt;キャンセル"))</f>
        <v/>
      </c>
      <c r="R163" s="18" t="str">
        <f aca="false">IF(B163="","",COUNTIFS(開通管理!$B$5:$B$604,B163,開通管理!$O$5:$O$604,"開通済"))</f>
        <v/>
      </c>
      <c r="S163" s="19" t="str">
        <f aca="false">IF(B163="","",IF(Q163=0,"未申込",IF(R163&lt;Q163,"開通待ち（"&amp;R163&amp;"/"&amp;Q163&amp;"）","全開通")))</f>
        <v/>
      </c>
      <c r="T163" s="20" t="str">
        <f aca="false">IF(S163&lt;&gt;"全開通","",_xlfn.MAXIFS(開通管理!$Q$5:$Q$604,開通管理!$B$5:$B$604,B163))</f>
        <v/>
      </c>
      <c r="U163" s="21" t="str">
        <f aca="false">IF(B163="","",SUMIFS(開通管理!$J$5:$J$604,開通管理!$B$5:$B$604,B163,開通管理!$O$5:$O$604,"&lt;&gt;キャンセル"))</f>
        <v/>
      </c>
      <c r="V163" s="22"/>
      <c r="W163" s="12" t="str">
        <f aca="false">IF(OR(B163="",設定!$B$14=""),"",SUBSTITUTE(設定!$B$14,"__ID__",B163))</f>
        <v/>
      </c>
      <c r="X163" s="22"/>
      <c r="Y163" s="22"/>
      <c r="Z163" s="22"/>
      <c r="AA163" s="20" t="str">
        <f aca="false">IF(Z163="","",WORKDAY(Z163,設定!$B$5,設定!$F$5:$F$120))</f>
        <v/>
      </c>
      <c r="AB163" s="17"/>
      <c r="AC163" s="17"/>
      <c r="AD163" s="17"/>
      <c r="AE163" s="17"/>
      <c r="AF163" s="22"/>
      <c r="AG163" s="17"/>
      <c r="AH163" s="20" t="str">
        <f aca="false">IF(T163="","",EDATE(T163,設定!$B$8))</f>
        <v/>
      </c>
      <c r="AI163" s="17"/>
      <c r="AJ163" s="17"/>
      <c r="AK163" s="22"/>
      <c r="AL163" s="23" t="str">
        <f aca="true">IF(C163="","",IF(N163="失注","―",IF(AND(AK163&lt;&gt;"",AK163&lt;TODAY()),"対応期限超過",IF(AND(AF163="",AA163&lt;&gt;"",IF(AA163="",FALSE(),AA163&lt;TODAY())),"納品遅延",IF(AND(AK163&lt;&gt;"",AK163=TODAY()),"本日対応",IF(AND(S163="全開通",X163="",AF163=""),"ヒアリング依頼待ち",IF(AND(X163&lt;&gt;"",Y163="",Z163="",TODAY()-X163&gt;=設定!$B$6),"ヒアリング未回収",IF(AND(Y163&lt;&gt;"",Z163=""),"素材確認待ち",IF(AND(AF163="",AA163&lt;&gt;"",IF(AA163="",FALSE(),AA163-TODAY()&lt;=設定!$B$7)),"納品間近",IF(AND(AH163&lt;&gt;"",IF(AH163="",FALSE(),AH163&lt;=TODAY()),AI163=""),"解約チェック",IF(AF163&lt;&gt;"","納品済","")))))))))))</f>
        <v/>
      </c>
      <c r="AM163" s="17"/>
    </row>
    <row r="164" customFormat="false" ht="15" hidden="false" customHeight="false" outlineLevel="0" collapsed="false">
      <c r="A164" s="12" t="str">
        <f aca="false">IF(C164="","",ROW()-4)</f>
        <v/>
      </c>
      <c r="B164" s="17"/>
      <c r="C164" s="17"/>
      <c r="D164" s="17"/>
      <c r="E164" s="17"/>
      <c r="F164" s="24"/>
      <c r="G164" s="17"/>
      <c r="H164" s="17"/>
      <c r="I164" s="17"/>
      <c r="J164" s="17"/>
      <c r="K164" s="17"/>
      <c r="L164" s="22"/>
      <c r="M164" s="22"/>
      <c r="N164" s="17"/>
      <c r="O164" s="17"/>
      <c r="P164" s="17"/>
      <c r="Q164" s="18" t="str">
        <f aca="false">IF(B164="","",COUNTIFS(開通管理!$B$5:$B$604,B164,開通管理!$O$5:$O$604,"&lt;&gt;キャンセル"))</f>
        <v/>
      </c>
      <c r="R164" s="18" t="str">
        <f aca="false">IF(B164="","",COUNTIFS(開通管理!$B$5:$B$604,B164,開通管理!$O$5:$O$604,"開通済"))</f>
        <v/>
      </c>
      <c r="S164" s="19" t="str">
        <f aca="false">IF(B164="","",IF(Q164=0,"未申込",IF(R164&lt;Q164,"開通待ち（"&amp;R164&amp;"/"&amp;Q164&amp;"）","全開通")))</f>
        <v/>
      </c>
      <c r="T164" s="20" t="str">
        <f aca="false">IF(S164&lt;&gt;"全開通","",_xlfn.MAXIFS(開通管理!$Q$5:$Q$604,開通管理!$B$5:$B$604,B164))</f>
        <v/>
      </c>
      <c r="U164" s="21" t="str">
        <f aca="false">IF(B164="","",SUMIFS(開通管理!$J$5:$J$604,開通管理!$B$5:$B$604,B164,開通管理!$O$5:$O$604,"&lt;&gt;キャンセル"))</f>
        <v/>
      </c>
      <c r="V164" s="22"/>
      <c r="W164" s="12" t="str">
        <f aca="false">IF(OR(B164="",設定!$B$14=""),"",SUBSTITUTE(設定!$B$14,"__ID__",B164))</f>
        <v/>
      </c>
      <c r="X164" s="22"/>
      <c r="Y164" s="22"/>
      <c r="Z164" s="22"/>
      <c r="AA164" s="20" t="str">
        <f aca="false">IF(Z164="","",WORKDAY(Z164,設定!$B$5,設定!$F$5:$F$120))</f>
        <v/>
      </c>
      <c r="AB164" s="17"/>
      <c r="AC164" s="17"/>
      <c r="AD164" s="17"/>
      <c r="AE164" s="17"/>
      <c r="AF164" s="22"/>
      <c r="AG164" s="17"/>
      <c r="AH164" s="20" t="str">
        <f aca="false">IF(T164="","",EDATE(T164,設定!$B$8))</f>
        <v/>
      </c>
      <c r="AI164" s="17"/>
      <c r="AJ164" s="17"/>
      <c r="AK164" s="22"/>
      <c r="AL164" s="23" t="str">
        <f aca="true">IF(C164="","",IF(N164="失注","―",IF(AND(AK164&lt;&gt;"",AK164&lt;TODAY()),"対応期限超過",IF(AND(AF164="",AA164&lt;&gt;"",IF(AA164="",FALSE(),AA164&lt;TODAY())),"納品遅延",IF(AND(AK164&lt;&gt;"",AK164=TODAY()),"本日対応",IF(AND(S164="全開通",X164="",AF164=""),"ヒアリング依頼待ち",IF(AND(X164&lt;&gt;"",Y164="",Z164="",TODAY()-X164&gt;=設定!$B$6),"ヒアリング未回収",IF(AND(Y164&lt;&gt;"",Z164=""),"素材確認待ち",IF(AND(AF164="",AA164&lt;&gt;"",IF(AA164="",FALSE(),AA164-TODAY()&lt;=設定!$B$7)),"納品間近",IF(AND(AH164&lt;&gt;"",IF(AH164="",FALSE(),AH164&lt;=TODAY()),AI164=""),"解約チェック",IF(AF164&lt;&gt;"","納品済","")))))))))))</f>
        <v/>
      </c>
      <c r="AM164" s="17"/>
    </row>
    <row r="165" customFormat="false" ht="15" hidden="false" customHeight="false" outlineLevel="0" collapsed="false">
      <c r="A165" s="12" t="str">
        <f aca="false">IF(C165="","",ROW()-4)</f>
        <v/>
      </c>
      <c r="B165" s="17"/>
      <c r="C165" s="17"/>
      <c r="D165" s="17"/>
      <c r="E165" s="17"/>
      <c r="F165" s="24"/>
      <c r="G165" s="17"/>
      <c r="H165" s="17"/>
      <c r="I165" s="17"/>
      <c r="J165" s="17"/>
      <c r="K165" s="17"/>
      <c r="L165" s="22"/>
      <c r="M165" s="22"/>
      <c r="N165" s="17"/>
      <c r="O165" s="17"/>
      <c r="P165" s="17"/>
      <c r="Q165" s="18" t="str">
        <f aca="false">IF(B165="","",COUNTIFS(開通管理!$B$5:$B$604,B165,開通管理!$O$5:$O$604,"&lt;&gt;キャンセル"))</f>
        <v/>
      </c>
      <c r="R165" s="18" t="str">
        <f aca="false">IF(B165="","",COUNTIFS(開通管理!$B$5:$B$604,B165,開通管理!$O$5:$O$604,"開通済"))</f>
        <v/>
      </c>
      <c r="S165" s="19" t="str">
        <f aca="false">IF(B165="","",IF(Q165=0,"未申込",IF(R165&lt;Q165,"開通待ち（"&amp;R165&amp;"/"&amp;Q165&amp;"）","全開通")))</f>
        <v/>
      </c>
      <c r="T165" s="20" t="str">
        <f aca="false">IF(S165&lt;&gt;"全開通","",_xlfn.MAXIFS(開通管理!$Q$5:$Q$604,開通管理!$B$5:$B$604,B165))</f>
        <v/>
      </c>
      <c r="U165" s="21" t="str">
        <f aca="false">IF(B165="","",SUMIFS(開通管理!$J$5:$J$604,開通管理!$B$5:$B$604,B165,開通管理!$O$5:$O$604,"&lt;&gt;キャンセル"))</f>
        <v/>
      </c>
      <c r="V165" s="22"/>
      <c r="W165" s="12" t="str">
        <f aca="false">IF(OR(B165="",設定!$B$14=""),"",SUBSTITUTE(設定!$B$14,"__ID__",B165))</f>
        <v/>
      </c>
      <c r="X165" s="22"/>
      <c r="Y165" s="22"/>
      <c r="Z165" s="22"/>
      <c r="AA165" s="20" t="str">
        <f aca="false">IF(Z165="","",WORKDAY(Z165,設定!$B$5,設定!$F$5:$F$120))</f>
        <v/>
      </c>
      <c r="AB165" s="17"/>
      <c r="AC165" s="17"/>
      <c r="AD165" s="17"/>
      <c r="AE165" s="17"/>
      <c r="AF165" s="22"/>
      <c r="AG165" s="17"/>
      <c r="AH165" s="20" t="str">
        <f aca="false">IF(T165="","",EDATE(T165,設定!$B$8))</f>
        <v/>
      </c>
      <c r="AI165" s="17"/>
      <c r="AJ165" s="17"/>
      <c r="AK165" s="22"/>
      <c r="AL165" s="23" t="str">
        <f aca="true">IF(C165="","",IF(N165="失注","―",IF(AND(AK165&lt;&gt;"",AK165&lt;TODAY()),"対応期限超過",IF(AND(AF165="",AA165&lt;&gt;"",IF(AA165="",FALSE(),AA165&lt;TODAY())),"納品遅延",IF(AND(AK165&lt;&gt;"",AK165=TODAY()),"本日対応",IF(AND(S165="全開通",X165="",AF165=""),"ヒアリング依頼待ち",IF(AND(X165&lt;&gt;"",Y165="",Z165="",TODAY()-X165&gt;=設定!$B$6),"ヒアリング未回収",IF(AND(Y165&lt;&gt;"",Z165=""),"素材確認待ち",IF(AND(AF165="",AA165&lt;&gt;"",IF(AA165="",FALSE(),AA165-TODAY()&lt;=設定!$B$7)),"納品間近",IF(AND(AH165&lt;&gt;"",IF(AH165="",FALSE(),AH165&lt;=TODAY()),AI165=""),"解約チェック",IF(AF165&lt;&gt;"","納品済","")))))))))))</f>
        <v/>
      </c>
      <c r="AM165" s="17"/>
    </row>
    <row r="166" customFormat="false" ht="15" hidden="false" customHeight="false" outlineLevel="0" collapsed="false">
      <c r="A166" s="12" t="str">
        <f aca="false">IF(C166="","",ROW()-4)</f>
        <v/>
      </c>
      <c r="B166" s="17"/>
      <c r="C166" s="17"/>
      <c r="D166" s="17"/>
      <c r="E166" s="17"/>
      <c r="F166" s="24"/>
      <c r="G166" s="17"/>
      <c r="H166" s="17"/>
      <c r="I166" s="17"/>
      <c r="J166" s="17"/>
      <c r="K166" s="17"/>
      <c r="L166" s="22"/>
      <c r="M166" s="22"/>
      <c r="N166" s="17"/>
      <c r="O166" s="17"/>
      <c r="P166" s="17"/>
      <c r="Q166" s="18" t="str">
        <f aca="false">IF(B166="","",COUNTIFS(開通管理!$B$5:$B$604,B166,開通管理!$O$5:$O$604,"&lt;&gt;キャンセル"))</f>
        <v/>
      </c>
      <c r="R166" s="18" t="str">
        <f aca="false">IF(B166="","",COUNTIFS(開通管理!$B$5:$B$604,B166,開通管理!$O$5:$O$604,"開通済"))</f>
        <v/>
      </c>
      <c r="S166" s="19" t="str">
        <f aca="false">IF(B166="","",IF(Q166=0,"未申込",IF(R166&lt;Q166,"開通待ち（"&amp;R166&amp;"/"&amp;Q166&amp;"）","全開通")))</f>
        <v/>
      </c>
      <c r="T166" s="20" t="str">
        <f aca="false">IF(S166&lt;&gt;"全開通","",_xlfn.MAXIFS(開通管理!$Q$5:$Q$604,開通管理!$B$5:$B$604,B166))</f>
        <v/>
      </c>
      <c r="U166" s="21" t="str">
        <f aca="false">IF(B166="","",SUMIFS(開通管理!$J$5:$J$604,開通管理!$B$5:$B$604,B166,開通管理!$O$5:$O$604,"&lt;&gt;キャンセル"))</f>
        <v/>
      </c>
      <c r="V166" s="22"/>
      <c r="W166" s="12" t="str">
        <f aca="false">IF(OR(B166="",設定!$B$14=""),"",SUBSTITUTE(設定!$B$14,"__ID__",B166))</f>
        <v/>
      </c>
      <c r="X166" s="22"/>
      <c r="Y166" s="22"/>
      <c r="Z166" s="22"/>
      <c r="AA166" s="20" t="str">
        <f aca="false">IF(Z166="","",WORKDAY(Z166,設定!$B$5,設定!$F$5:$F$120))</f>
        <v/>
      </c>
      <c r="AB166" s="17"/>
      <c r="AC166" s="17"/>
      <c r="AD166" s="17"/>
      <c r="AE166" s="17"/>
      <c r="AF166" s="22"/>
      <c r="AG166" s="17"/>
      <c r="AH166" s="20" t="str">
        <f aca="false">IF(T166="","",EDATE(T166,設定!$B$8))</f>
        <v/>
      </c>
      <c r="AI166" s="17"/>
      <c r="AJ166" s="17"/>
      <c r="AK166" s="22"/>
      <c r="AL166" s="23" t="str">
        <f aca="true">IF(C166="","",IF(N166="失注","―",IF(AND(AK166&lt;&gt;"",AK166&lt;TODAY()),"対応期限超過",IF(AND(AF166="",AA166&lt;&gt;"",IF(AA166="",FALSE(),AA166&lt;TODAY())),"納品遅延",IF(AND(AK166&lt;&gt;"",AK166=TODAY()),"本日対応",IF(AND(S166="全開通",X166="",AF166=""),"ヒアリング依頼待ち",IF(AND(X166&lt;&gt;"",Y166="",Z166="",TODAY()-X166&gt;=設定!$B$6),"ヒアリング未回収",IF(AND(Y166&lt;&gt;"",Z166=""),"素材確認待ち",IF(AND(AF166="",AA166&lt;&gt;"",IF(AA166="",FALSE(),AA166-TODAY()&lt;=設定!$B$7)),"納品間近",IF(AND(AH166&lt;&gt;"",IF(AH166="",FALSE(),AH166&lt;=TODAY()),AI166=""),"解約チェック",IF(AF166&lt;&gt;"","納品済","")))))))))))</f>
        <v/>
      </c>
      <c r="AM166" s="17"/>
    </row>
    <row r="167" customFormat="false" ht="15" hidden="false" customHeight="false" outlineLevel="0" collapsed="false">
      <c r="A167" s="12" t="str">
        <f aca="false">IF(C167="","",ROW()-4)</f>
        <v/>
      </c>
      <c r="B167" s="17"/>
      <c r="C167" s="17"/>
      <c r="D167" s="17"/>
      <c r="E167" s="17"/>
      <c r="F167" s="24"/>
      <c r="G167" s="17"/>
      <c r="H167" s="17"/>
      <c r="I167" s="17"/>
      <c r="J167" s="17"/>
      <c r="K167" s="17"/>
      <c r="L167" s="22"/>
      <c r="M167" s="22"/>
      <c r="N167" s="17"/>
      <c r="O167" s="17"/>
      <c r="P167" s="17"/>
      <c r="Q167" s="18" t="str">
        <f aca="false">IF(B167="","",COUNTIFS(開通管理!$B$5:$B$604,B167,開通管理!$O$5:$O$604,"&lt;&gt;キャンセル"))</f>
        <v/>
      </c>
      <c r="R167" s="18" t="str">
        <f aca="false">IF(B167="","",COUNTIFS(開通管理!$B$5:$B$604,B167,開通管理!$O$5:$O$604,"開通済"))</f>
        <v/>
      </c>
      <c r="S167" s="19" t="str">
        <f aca="false">IF(B167="","",IF(Q167=0,"未申込",IF(R167&lt;Q167,"開通待ち（"&amp;R167&amp;"/"&amp;Q167&amp;"）","全開通")))</f>
        <v/>
      </c>
      <c r="T167" s="20" t="str">
        <f aca="false">IF(S167&lt;&gt;"全開通","",_xlfn.MAXIFS(開通管理!$Q$5:$Q$604,開通管理!$B$5:$B$604,B167))</f>
        <v/>
      </c>
      <c r="U167" s="21" t="str">
        <f aca="false">IF(B167="","",SUMIFS(開通管理!$J$5:$J$604,開通管理!$B$5:$B$604,B167,開通管理!$O$5:$O$604,"&lt;&gt;キャンセル"))</f>
        <v/>
      </c>
      <c r="V167" s="22"/>
      <c r="W167" s="12" t="str">
        <f aca="false">IF(OR(B167="",設定!$B$14=""),"",SUBSTITUTE(設定!$B$14,"__ID__",B167))</f>
        <v/>
      </c>
      <c r="X167" s="22"/>
      <c r="Y167" s="22"/>
      <c r="Z167" s="22"/>
      <c r="AA167" s="20" t="str">
        <f aca="false">IF(Z167="","",WORKDAY(Z167,設定!$B$5,設定!$F$5:$F$120))</f>
        <v/>
      </c>
      <c r="AB167" s="17"/>
      <c r="AC167" s="17"/>
      <c r="AD167" s="17"/>
      <c r="AE167" s="17"/>
      <c r="AF167" s="22"/>
      <c r="AG167" s="17"/>
      <c r="AH167" s="20" t="str">
        <f aca="false">IF(T167="","",EDATE(T167,設定!$B$8))</f>
        <v/>
      </c>
      <c r="AI167" s="17"/>
      <c r="AJ167" s="17"/>
      <c r="AK167" s="22"/>
      <c r="AL167" s="23" t="str">
        <f aca="true">IF(C167="","",IF(N167="失注","―",IF(AND(AK167&lt;&gt;"",AK167&lt;TODAY()),"対応期限超過",IF(AND(AF167="",AA167&lt;&gt;"",IF(AA167="",FALSE(),AA167&lt;TODAY())),"納品遅延",IF(AND(AK167&lt;&gt;"",AK167=TODAY()),"本日対応",IF(AND(S167="全開通",X167="",AF167=""),"ヒアリング依頼待ち",IF(AND(X167&lt;&gt;"",Y167="",Z167="",TODAY()-X167&gt;=設定!$B$6),"ヒアリング未回収",IF(AND(Y167&lt;&gt;"",Z167=""),"素材確認待ち",IF(AND(AF167="",AA167&lt;&gt;"",IF(AA167="",FALSE(),AA167-TODAY()&lt;=設定!$B$7)),"納品間近",IF(AND(AH167&lt;&gt;"",IF(AH167="",FALSE(),AH167&lt;=TODAY()),AI167=""),"解約チェック",IF(AF167&lt;&gt;"","納品済","")))))))))))</f>
        <v/>
      </c>
      <c r="AM167" s="17"/>
    </row>
    <row r="168" customFormat="false" ht="15" hidden="false" customHeight="false" outlineLevel="0" collapsed="false">
      <c r="A168" s="12" t="str">
        <f aca="false">IF(C168="","",ROW()-4)</f>
        <v/>
      </c>
      <c r="B168" s="17"/>
      <c r="C168" s="17"/>
      <c r="D168" s="17"/>
      <c r="E168" s="17"/>
      <c r="F168" s="24"/>
      <c r="G168" s="17"/>
      <c r="H168" s="17"/>
      <c r="I168" s="17"/>
      <c r="J168" s="17"/>
      <c r="K168" s="17"/>
      <c r="L168" s="22"/>
      <c r="M168" s="22"/>
      <c r="N168" s="17"/>
      <c r="O168" s="17"/>
      <c r="P168" s="17"/>
      <c r="Q168" s="18" t="str">
        <f aca="false">IF(B168="","",COUNTIFS(開通管理!$B$5:$B$604,B168,開通管理!$O$5:$O$604,"&lt;&gt;キャンセル"))</f>
        <v/>
      </c>
      <c r="R168" s="18" t="str">
        <f aca="false">IF(B168="","",COUNTIFS(開通管理!$B$5:$B$604,B168,開通管理!$O$5:$O$604,"開通済"))</f>
        <v/>
      </c>
      <c r="S168" s="19" t="str">
        <f aca="false">IF(B168="","",IF(Q168=0,"未申込",IF(R168&lt;Q168,"開通待ち（"&amp;R168&amp;"/"&amp;Q168&amp;"）","全開通")))</f>
        <v/>
      </c>
      <c r="T168" s="20" t="str">
        <f aca="false">IF(S168&lt;&gt;"全開通","",_xlfn.MAXIFS(開通管理!$Q$5:$Q$604,開通管理!$B$5:$B$604,B168))</f>
        <v/>
      </c>
      <c r="U168" s="21" t="str">
        <f aca="false">IF(B168="","",SUMIFS(開通管理!$J$5:$J$604,開通管理!$B$5:$B$604,B168,開通管理!$O$5:$O$604,"&lt;&gt;キャンセル"))</f>
        <v/>
      </c>
      <c r="V168" s="22"/>
      <c r="W168" s="12" t="str">
        <f aca="false">IF(OR(B168="",設定!$B$14=""),"",SUBSTITUTE(設定!$B$14,"__ID__",B168))</f>
        <v/>
      </c>
      <c r="X168" s="22"/>
      <c r="Y168" s="22"/>
      <c r="Z168" s="22"/>
      <c r="AA168" s="20" t="str">
        <f aca="false">IF(Z168="","",WORKDAY(Z168,設定!$B$5,設定!$F$5:$F$120))</f>
        <v/>
      </c>
      <c r="AB168" s="17"/>
      <c r="AC168" s="17"/>
      <c r="AD168" s="17"/>
      <c r="AE168" s="17"/>
      <c r="AF168" s="22"/>
      <c r="AG168" s="17"/>
      <c r="AH168" s="20" t="str">
        <f aca="false">IF(T168="","",EDATE(T168,設定!$B$8))</f>
        <v/>
      </c>
      <c r="AI168" s="17"/>
      <c r="AJ168" s="17"/>
      <c r="AK168" s="22"/>
      <c r="AL168" s="23" t="str">
        <f aca="true">IF(C168="","",IF(N168="失注","―",IF(AND(AK168&lt;&gt;"",AK168&lt;TODAY()),"対応期限超過",IF(AND(AF168="",AA168&lt;&gt;"",IF(AA168="",FALSE(),AA168&lt;TODAY())),"納品遅延",IF(AND(AK168&lt;&gt;"",AK168=TODAY()),"本日対応",IF(AND(S168="全開通",X168="",AF168=""),"ヒアリング依頼待ち",IF(AND(X168&lt;&gt;"",Y168="",Z168="",TODAY()-X168&gt;=設定!$B$6),"ヒアリング未回収",IF(AND(Y168&lt;&gt;"",Z168=""),"素材確認待ち",IF(AND(AF168="",AA168&lt;&gt;"",IF(AA168="",FALSE(),AA168-TODAY()&lt;=設定!$B$7)),"納品間近",IF(AND(AH168&lt;&gt;"",IF(AH168="",FALSE(),AH168&lt;=TODAY()),AI168=""),"解約チェック",IF(AF168&lt;&gt;"","納品済","")))))))))))</f>
        <v/>
      </c>
      <c r="AM168" s="17"/>
    </row>
    <row r="169" customFormat="false" ht="15" hidden="false" customHeight="false" outlineLevel="0" collapsed="false">
      <c r="A169" s="12" t="str">
        <f aca="false">IF(C169="","",ROW()-4)</f>
        <v/>
      </c>
      <c r="B169" s="17"/>
      <c r="C169" s="17"/>
      <c r="D169" s="17"/>
      <c r="E169" s="17"/>
      <c r="F169" s="24"/>
      <c r="G169" s="17"/>
      <c r="H169" s="17"/>
      <c r="I169" s="17"/>
      <c r="J169" s="17"/>
      <c r="K169" s="17"/>
      <c r="L169" s="22"/>
      <c r="M169" s="22"/>
      <c r="N169" s="17"/>
      <c r="O169" s="17"/>
      <c r="P169" s="17"/>
      <c r="Q169" s="18" t="str">
        <f aca="false">IF(B169="","",COUNTIFS(開通管理!$B$5:$B$604,B169,開通管理!$O$5:$O$604,"&lt;&gt;キャンセル"))</f>
        <v/>
      </c>
      <c r="R169" s="18" t="str">
        <f aca="false">IF(B169="","",COUNTIFS(開通管理!$B$5:$B$604,B169,開通管理!$O$5:$O$604,"開通済"))</f>
        <v/>
      </c>
      <c r="S169" s="19" t="str">
        <f aca="false">IF(B169="","",IF(Q169=0,"未申込",IF(R169&lt;Q169,"開通待ち（"&amp;R169&amp;"/"&amp;Q169&amp;"）","全開通")))</f>
        <v/>
      </c>
      <c r="T169" s="20" t="str">
        <f aca="false">IF(S169&lt;&gt;"全開通","",_xlfn.MAXIFS(開通管理!$Q$5:$Q$604,開通管理!$B$5:$B$604,B169))</f>
        <v/>
      </c>
      <c r="U169" s="21" t="str">
        <f aca="false">IF(B169="","",SUMIFS(開通管理!$J$5:$J$604,開通管理!$B$5:$B$604,B169,開通管理!$O$5:$O$604,"&lt;&gt;キャンセル"))</f>
        <v/>
      </c>
      <c r="V169" s="22"/>
      <c r="W169" s="12" t="str">
        <f aca="false">IF(OR(B169="",設定!$B$14=""),"",SUBSTITUTE(設定!$B$14,"__ID__",B169))</f>
        <v/>
      </c>
      <c r="X169" s="22"/>
      <c r="Y169" s="22"/>
      <c r="Z169" s="22"/>
      <c r="AA169" s="20" t="str">
        <f aca="false">IF(Z169="","",WORKDAY(Z169,設定!$B$5,設定!$F$5:$F$120))</f>
        <v/>
      </c>
      <c r="AB169" s="17"/>
      <c r="AC169" s="17"/>
      <c r="AD169" s="17"/>
      <c r="AE169" s="17"/>
      <c r="AF169" s="22"/>
      <c r="AG169" s="17"/>
      <c r="AH169" s="20" t="str">
        <f aca="false">IF(T169="","",EDATE(T169,設定!$B$8))</f>
        <v/>
      </c>
      <c r="AI169" s="17"/>
      <c r="AJ169" s="17"/>
      <c r="AK169" s="22"/>
      <c r="AL169" s="23" t="str">
        <f aca="true">IF(C169="","",IF(N169="失注","―",IF(AND(AK169&lt;&gt;"",AK169&lt;TODAY()),"対応期限超過",IF(AND(AF169="",AA169&lt;&gt;"",IF(AA169="",FALSE(),AA169&lt;TODAY())),"納品遅延",IF(AND(AK169&lt;&gt;"",AK169=TODAY()),"本日対応",IF(AND(S169="全開通",X169="",AF169=""),"ヒアリング依頼待ち",IF(AND(X169&lt;&gt;"",Y169="",Z169="",TODAY()-X169&gt;=設定!$B$6),"ヒアリング未回収",IF(AND(Y169&lt;&gt;"",Z169=""),"素材確認待ち",IF(AND(AF169="",AA169&lt;&gt;"",IF(AA169="",FALSE(),AA169-TODAY()&lt;=設定!$B$7)),"納品間近",IF(AND(AH169&lt;&gt;"",IF(AH169="",FALSE(),AH169&lt;=TODAY()),AI169=""),"解約チェック",IF(AF169&lt;&gt;"","納品済","")))))))))))</f>
        <v/>
      </c>
      <c r="AM169" s="17"/>
    </row>
    <row r="170" customFormat="false" ht="15" hidden="false" customHeight="false" outlineLevel="0" collapsed="false">
      <c r="A170" s="12" t="str">
        <f aca="false">IF(C170="","",ROW()-4)</f>
        <v/>
      </c>
      <c r="B170" s="17"/>
      <c r="C170" s="17"/>
      <c r="D170" s="17"/>
      <c r="E170" s="17"/>
      <c r="F170" s="24"/>
      <c r="G170" s="17"/>
      <c r="H170" s="17"/>
      <c r="I170" s="17"/>
      <c r="J170" s="17"/>
      <c r="K170" s="17"/>
      <c r="L170" s="22"/>
      <c r="M170" s="22"/>
      <c r="N170" s="17"/>
      <c r="O170" s="17"/>
      <c r="P170" s="17"/>
      <c r="Q170" s="18" t="str">
        <f aca="false">IF(B170="","",COUNTIFS(開通管理!$B$5:$B$604,B170,開通管理!$O$5:$O$604,"&lt;&gt;キャンセル"))</f>
        <v/>
      </c>
      <c r="R170" s="18" t="str">
        <f aca="false">IF(B170="","",COUNTIFS(開通管理!$B$5:$B$604,B170,開通管理!$O$5:$O$604,"開通済"))</f>
        <v/>
      </c>
      <c r="S170" s="19" t="str">
        <f aca="false">IF(B170="","",IF(Q170=0,"未申込",IF(R170&lt;Q170,"開通待ち（"&amp;R170&amp;"/"&amp;Q170&amp;"）","全開通")))</f>
        <v/>
      </c>
      <c r="T170" s="20" t="str">
        <f aca="false">IF(S170&lt;&gt;"全開通","",_xlfn.MAXIFS(開通管理!$Q$5:$Q$604,開通管理!$B$5:$B$604,B170))</f>
        <v/>
      </c>
      <c r="U170" s="21" t="str">
        <f aca="false">IF(B170="","",SUMIFS(開通管理!$J$5:$J$604,開通管理!$B$5:$B$604,B170,開通管理!$O$5:$O$604,"&lt;&gt;キャンセル"))</f>
        <v/>
      </c>
      <c r="V170" s="22"/>
      <c r="W170" s="12" t="str">
        <f aca="false">IF(OR(B170="",設定!$B$14=""),"",SUBSTITUTE(設定!$B$14,"__ID__",B170))</f>
        <v/>
      </c>
      <c r="X170" s="22"/>
      <c r="Y170" s="22"/>
      <c r="Z170" s="22"/>
      <c r="AA170" s="20" t="str">
        <f aca="false">IF(Z170="","",WORKDAY(Z170,設定!$B$5,設定!$F$5:$F$120))</f>
        <v/>
      </c>
      <c r="AB170" s="17"/>
      <c r="AC170" s="17"/>
      <c r="AD170" s="17"/>
      <c r="AE170" s="17"/>
      <c r="AF170" s="22"/>
      <c r="AG170" s="17"/>
      <c r="AH170" s="20" t="str">
        <f aca="false">IF(T170="","",EDATE(T170,設定!$B$8))</f>
        <v/>
      </c>
      <c r="AI170" s="17"/>
      <c r="AJ170" s="17"/>
      <c r="AK170" s="22"/>
      <c r="AL170" s="23" t="str">
        <f aca="true">IF(C170="","",IF(N170="失注","―",IF(AND(AK170&lt;&gt;"",AK170&lt;TODAY()),"対応期限超過",IF(AND(AF170="",AA170&lt;&gt;"",IF(AA170="",FALSE(),AA170&lt;TODAY())),"納品遅延",IF(AND(AK170&lt;&gt;"",AK170=TODAY()),"本日対応",IF(AND(S170="全開通",X170="",AF170=""),"ヒアリング依頼待ち",IF(AND(X170&lt;&gt;"",Y170="",Z170="",TODAY()-X170&gt;=設定!$B$6),"ヒアリング未回収",IF(AND(Y170&lt;&gt;"",Z170=""),"素材確認待ち",IF(AND(AF170="",AA170&lt;&gt;"",IF(AA170="",FALSE(),AA170-TODAY()&lt;=設定!$B$7)),"納品間近",IF(AND(AH170&lt;&gt;"",IF(AH170="",FALSE(),AH170&lt;=TODAY()),AI170=""),"解約チェック",IF(AF170&lt;&gt;"","納品済","")))))))))))</f>
        <v/>
      </c>
      <c r="AM170" s="17"/>
    </row>
    <row r="171" customFormat="false" ht="15" hidden="false" customHeight="false" outlineLevel="0" collapsed="false">
      <c r="A171" s="12" t="str">
        <f aca="false">IF(C171="","",ROW()-4)</f>
        <v/>
      </c>
      <c r="B171" s="17"/>
      <c r="C171" s="17"/>
      <c r="D171" s="17"/>
      <c r="E171" s="17"/>
      <c r="F171" s="24"/>
      <c r="G171" s="17"/>
      <c r="H171" s="17"/>
      <c r="I171" s="17"/>
      <c r="J171" s="17"/>
      <c r="K171" s="17"/>
      <c r="L171" s="22"/>
      <c r="M171" s="22"/>
      <c r="N171" s="17"/>
      <c r="O171" s="17"/>
      <c r="P171" s="17"/>
      <c r="Q171" s="18" t="str">
        <f aca="false">IF(B171="","",COUNTIFS(開通管理!$B$5:$B$604,B171,開通管理!$O$5:$O$604,"&lt;&gt;キャンセル"))</f>
        <v/>
      </c>
      <c r="R171" s="18" t="str">
        <f aca="false">IF(B171="","",COUNTIFS(開通管理!$B$5:$B$604,B171,開通管理!$O$5:$O$604,"開通済"))</f>
        <v/>
      </c>
      <c r="S171" s="19" t="str">
        <f aca="false">IF(B171="","",IF(Q171=0,"未申込",IF(R171&lt;Q171,"開通待ち（"&amp;R171&amp;"/"&amp;Q171&amp;"）","全開通")))</f>
        <v/>
      </c>
      <c r="T171" s="20" t="str">
        <f aca="false">IF(S171&lt;&gt;"全開通","",_xlfn.MAXIFS(開通管理!$Q$5:$Q$604,開通管理!$B$5:$B$604,B171))</f>
        <v/>
      </c>
      <c r="U171" s="21" t="str">
        <f aca="false">IF(B171="","",SUMIFS(開通管理!$J$5:$J$604,開通管理!$B$5:$B$604,B171,開通管理!$O$5:$O$604,"&lt;&gt;キャンセル"))</f>
        <v/>
      </c>
      <c r="V171" s="22"/>
      <c r="W171" s="12" t="str">
        <f aca="false">IF(OR(B171="",設定!$B$14=""),"",SUBSTITUTE(設定!$B$14,"__ID__",B171))</f>
        <v/>
      </c>
      <c r="X171" s="22"/>
      <c r="Y171" s="22"/>
      <c r="Z171" s="22"/>
      <c r="AA171" s="20" t="str">
        <f aca="false">IF(Z171="","",WORKDAY(Z171,設定!$B$5,設定!$F$5:$F$120))</f>
        <v/>
      </c>
      <c r="AB171" s="17"/>
      <c r="AC171" s="17"/>
      <c r="AD171" s="17"/>
      <c r="AE171" s="17"/>
      <c r="AF171" s="22"/>
      <c r="AG171" s="17"/>
      <c r="AH171" s="20" t="str">
        <f aca="false">IF(T171="","",EDATE(T171,設定!$B$8))</f>
        <v/>
      </c>
      <c r="AI171" s="17"/>
      <c r="AJ171" s="17"/>
      <c r="AK171" s="22"/>
      <c r="AL171" s="23" t="str">
        <f aca="true">IF(C171="","",IF(N171="失注","―",IF(AND(AK171&lt;&gt;"",AK171&lt;TODAY()),"対応期限超過",IF(AND(AF171="",AA171&lt;&gt;"",IF(AA171="",FALSE(),AA171&lt;TODAY())),"納品遅延",IF(AND(AK171&lt;&gt;"",AK171=TODAY()),"本日対応",IF(AND(S171="全開通",X171="",AF171=""),"ヒアリング依頼待ち",IF(AND(X171&lt;&gt;"",Y171="",Z171="",TODAY()-X171&gt;=設定!$B$6),"ヒアリング未回収",IF(AND(Y171&lt;&gt;"",Z171=""),"素材確認待ち",IF(AND(AF171="",AA171&lt;&gt;"",IF(AA171="",FALSE(),AA171-TODAY()&lt;=設定!$B$7)),"納品間近",IF(AND(AH171&lt;&gt;"",IF(AH171="",FALSE(),AH171&lt;=TODAY()),AI171=""),"解約チェック",IF(AF171&lt;&gt;"","納品済","")))))))))))</f>
        <v/>
      </c>
      <c r="AM171" s="17"/>
    </row>
    <row r="172" customFormat="false" ht="15" hidden="false" customHeight="false" outlineLevel="0" collapsed="false">
      <c r="A172" s="12" t="str">
        <f aca="false">IF(C172="","",ROW()-4)</f>
        <v/>
      </c>
      <c r="B172" s="17"/>
      <c r="C172" s="17"/>
      <c r="D172" s="17"/>
      <c r="E172" s="17"/>
      <c r="F172" s="24"/>
      <c r="G172" s="17"/>
      <c r="H172" s="17"/>
      <c r="I172" s="17"/>
      <c r="J172" s="17"/>
      <c r="K172" s="17"/>
      <c r="L172" s="22"/>
      <c r="M172" s="22"/>
      <c r="N172" s="17"/>
      <c r="O172" s="17"/>
      <c r="P172" s="17"/>
      <c r="Q172" s="18" t="str">
        <f aca="false">IF(B172="","",COUNTIFS(開通管理!$B$5:$B$604,B172,開通管理!$O$5:$O$604,"&lt;&gt;キャンセル"))</f>
        <v/>
      </c>
      <c r="R172" s="18" t="str">
        <f aca="false">IF(B172="","",COUNTIFS(開通管理!$B$5:$B$604,B172,開通管理!$O$5:$O$604,"開通済"))</f>
        <v/>
      </c>
      <c r="S172" s="19" t="str">
        <f aca="false">IF(B172="","",IF(Q172=0,"未申込",IF(R172&lt;Q172,"開通待ち（"&amp;R172&amp;"/"&amp;Q172&amp;"）","全開通")))</f>
        <v/>
      </c>
      <c r="T172" s="20" t="str">
        <f aca="false">IF(S172&lt;&gt;"全開通","",_xlfn.MAXIFS(開通管理!$Q$5:$Q$604,開通管理!$B$5:$B$604,B172))</f>
        <v/>
      </c>
      <c r="U172" s="21" t="str">
        <f aca="false">IF(B172="","",SUMIFS(開通管理!$J$5:$J$604,開通管理!$B$5:$B$604,B172,開通管理!$O$5:$O$604,"&lt;&gt;キャンセル"))</f>
        <v/>
      </c>
      <c r="V172" s="22"/>
      <c r="W172" s="12" t="str">
        <f aca="false">IF(OR(B172="",設定!$B$14=""),"",SUBSTITUTE(設定!$B$14,"__ID__",B172))</f>
        <v/>
      </c>
      <c r="X172" s="22"/>
      <c r="Y172" s="22"/>
      <c r="Z172" s="22"/>
      <c r="AA172" s="20" t="str">
        <f aca="false">IF(Z172="","",WORKDAY(Z172,設定!$B$5,設定!$F$5:$F$120))</f>
        <v/>
      </c>
      <c r="AB172" s="17"/>
      <c r="AC172" s="17"/>
      <c r="AD172" s="17"/>
      <c r="AE172" s="17"/>
      <c r="AF172" s="22"/>
      <c r="AG172" s="17"/>
      <c r="AH172" s="20" t="str">
        <f aca="false">IF(T172="","",EDATE(T172,設定!$B$8))</f>
        <v/>
      </c>
      <c r="AI172" s="17"/>
      <c r="AJ172" s="17"/>
      <c r="AK172" s="22"/>
      <c r="AL172" s="23" t="str">
        <f aca="true">IF(C172="","",IF(N172="失注","―",IF(AND(AK172&lt;&gt;"",AK172&lt;TODAY()),"対応期限超過",IF(AND(AF172="",AA172&lt;&gt;"",IF(AA172="",FALSE(),AA172&lt;TODAY())),"納品遅延",IF(AND(AK172&lt;&gt;"",AK172=TODAY()),"本日対応",IF(AND(S172="全開通",X172="",AF172=""),"ヒアリング依頼待ち",IF(AND(X172&lt;&gt;"",Y172="",Z172="",TODAY()-X172&gt;=設定!$B$6),"ヒアリング未回収",IF(AND(Y172&lt;&gt;"",Z172=""),"素材確認待ち",IF(AND(AF172="",AA172&lt;&gt;"",IF(AA172="",FALSE(),AA172-TODAY()&lt;=設定!$B$7)),"納品間近",IF(AND(AH172&lt;&gt;"",IF(AH172="",FALSE(),AH172&lt;=TODAY()),AI172=""),"解約チェック",IF(AF172&lt;&gt;"","納品済","")))))))))))</f>
        <v/>
      </c>
      <c r="AM172" s="17"/>
    </row>
    <row r="173" customFormat="false" ht="15" hidden="false" customHeight="false" outlineLevel="0" collapsed="false">
      <c r="A173" s="12" t="str">
        <f aca="false">IF(C173="","",ROW()-4)</f>
        <v/>
      </c>
      <c r="B173" s="17"/>
      <c r="C173" s="17"/>
      <c r="D173" s="17"/>
      <c r="E173" s="17"/>
      <c r="F173" s="24"/>
      <c r="G173" s="17"/>
      <c r="H173" s="17"/>
      <c r="I173" s="17"/>
      <c r="J173" s="17"/>
      <c r="K173" s="17"/>
      <c r="L173" s="22"/>
      <c r="M173" s="22"/>
      <c r="N173" s="17"/>
      <c r="O173" s="17"/>
      <c r="P173" s="17"/>
      <c r="Q173" s="18" t="str">
        <f aca="false">IF(B173="","",COUNTIFS(開通管理!$B$5:$B$604,B173,開通管理!$O$5:$O$604,"&lt;&gt;キャンセル"))</f>
        <v/>
      </c>
      <c r="R173" s="18" t="str">
        <f aca="false">IF(B173="","",COUNTIFS(開通管理!$B$5:$B$604,B173,開通管理!$O$5:$O$604,"開通済"))</f>
        <v/>
      </c>
      <c r="S173" s="19" t="str">
        <f aca="false">IF(B173="","",IF(Q173=0,"未申込",IF(R173&lt;Q173,"開通待ち（"&amp;R173&amp;"/"&amp;Q173&amp;"）","全開通")))</f>
        <v/>
      </c>
      <c r="T173" s="20" t="str">
        <f aca="false">IF(S173&lt;&gt;"全開通","",_xlfn.MAXIFS(開通管理!$Q$5:$Q$604,開通管理!$B$5:$B$604,B173))</f>
        <v/>
      </c>
      <c r="U173" s="21" t="str">
        <f aca="false">IF(B173="","",SUMIFS(開通管理!$J$5:$J$604,開通管理!$B$5:$B$604,B173,開通管理!$O$5:$O$604,"&lt;&gt;キャンセル"))</f>
        <v/>
      </c>
      <c r="V173" s="22"/>
      <c r="W173" s="12" t="str">
        <f aca="false">IF(OR(B173="",設定!$B$14=""),"",SUBSTITUTE(設定!$B$14,"__ID__",B173))</f>
        <v/>
      </c>
      <c r="X173" s="22"/>
      <c r="Y173" s="22"/>
      <c r="Z173" s="22"/>
      <c r="AA173" s="20" t="str">
        <f aca="false">IF(Z173="","",WORKDAY(Z173,設定!$B$5,設定!$F$5:$F$120))</f>
        <v/>
      </c>
      <c r="AB173" s="17"/>
      <c r="AC173" s="17"/>
      <c r="AD173" s="17"/>
      <c r="AE173" s="17"/>
      <c r="AF173" s="22"/>
      <c r="AG173" s="17"/>
      <c r="AH173" s="20" t="str">
        <f aca="false">IF(T173="","",EDATE(T173,設定!$B$8))</f>
        <v/>
      </c>
      <c r="AI173" s="17"/>
      <c r="AJ173" s="17"/>
      <c r="AK173" s="22"/>
      <c r="AL173" s="23" t="str">
        <f aca="true">IF(C173="","",IF(N173="失注","―",IF(AND(AK173&lt;&gt;"",AK173&lt;TODAY()),"対応期限超過",IF(AND(AF173="",AA173&lt;&gt;"",IF(AA173="",FALSE(),AA173&lt;TODAY())),"納品遅延",IF(AND(AK173&lt;&gt;"",AK173=TODAY()),"本日対応",IF(AND(S173="全開通",X173="",AF173=""),"ヒアリング依頼待ち",IF(AND(X173&lt;&gt;"",Y173="",Z173="",TODAY()-X173&gt;=設定!$B$6),"ヒアリング未回収",IF(AND(Y173&lt;&gt;"",Z173=""),"素材確認待ち",IF(AND(AF173="",AA173&lt;&gt;"",IF(AA173="",FALSE(),AA173-TODAY()&lt;=設定!$B$7)),"納品間近",IF(AND(AH173&lt;&gt;"",IF(AH173="",FALSE(),AH173&lt;=TODAY()),AI173=""),"解約チェック",IF(AF173&lt;&gt;"","納品済","")))))))))))</f>
        <v/>
      </c>
      <c r="AM173" s="17"/>
    </row>
    <row r="174" customFormat="false" ht="15" hidden="false" customHeight="false" outlineLevel="0" collapsed="false">
      <c r="A174" s="12" t="str">
        <f aca="false">IF(C174="","",ROW()-4)</f>
        <v/>
      </c>
      <c r="B174" s="17"/>
      <c r="C174" s="17"/>
      <c r="D174" s="17"/>
      <c r="E174" s="17"/>
      <c r="F174" s="24"/>
      <c r="G174" s="17"/>
      <c r="H174" s="17"/>
      <c r="I174" s="17"/>
      <c r="J174" s="17"/>
      <c r="K174" s="17"/>
      <c r="L174" s="22"/>
      <c r="M174" s="22"/>
      <c r="N174" s="17"/>
      <c r="O174" s="17"/>
      <c r="P174" s="17"/>
      <c r="Q174" s="18" t="str">
        <f aca="false">IF(B174="","",COUNTIFS(開通管理!$B$5:$B$604,B174,開通管理!$O$5:$O$604,"&lt;&gt;キャンセル"))</f>
        <v/>
      </c>
      <c r="R174" s="18" t="str">
        <f aca="false">IF(B174="","",COUNTIFS(開通管理!$B$5:$B$604,B174,開通管理!$O$5:$O$604,"開通済"))</f>
        <v/>
      </c>
      <c r="S174" s="19" t="str">
        <f aca="false">IF(B174="","",IF(Q174=0,"未申込",IF(R174&lt;Q174,"開通待ち（"&amp;R174&amp;"/"&amp;Q174&amp;"）","全開通")))</f>
        <v/>
      </c>
      <c r="T174" s="20" t="str">
        <f aca="false">IF(S174&lt;&gt;"全開通","",_xlfn.MAXIFS(開通管理!$Q$5:$Q$604,開通管理!$B$5:$B$604,B174))</f>
        <v/>
      </c>
      <c r="U174" s="21" t="str">
        <f aca="false">IF(B174="","",SUMIFS(開通管理!$J$5:$J$604,開通管理!$B$5:$B$604,B174,開通管理!$O$5:$O$604,"&lt;&gt;キャンセル"))</f>
        <v/>
      </c>
      <c r="V174" s="22"/>
      <c r="W174" s="12" t="str">
        <f aca="false">IF(OR(B174="",設定!$B$14=""),"",SUBSTITUTE(設定!$B$14,"__ID__",B174))</f>
        <v/>
      </c>
      <c r="X174" s="22"/>
      <c r="Y174" s="22"/>
      <c r="Z174" s="22"/>
      <c r="AA174" s="20" t="str">
        <f aca="false">IF(Z174="","",WORKDAY(Z174,設定!$B$5,設定!$F$5:$F$120))</f>
        <v/>
      </c>
      <c r="AB174" s="17"/>
      <c r="AC174" s="17"/>
      <c r="AD174" s="17"/>
      <c r="AE174" s="17"/>
      <c r="AF174" s="22"/>
      <c r="AG174" s="17"/>
      <c r="AH174" s="20" t="str">
        <f aca="false">IF(T174="","",EDATE(T174,設定!$B$8))</f>
        <v/>
      </c>
      <c r="AI174" s="17"/>
      <c r="AJ174" s="17"/>
      <c r="AK174" s="22"/>
      <c r="AL174" s="23" t="str">
        <f aca="true">IF(C174="","",IF(N174="失注","―",IF(AND(AK174&lt;&gt;"",AK174&lt;TODAY()),"対応期限超過",IF(AND(AF174="",AA174&lt;&gt;"",IF(AA174="",FALSE(),AA174&lt;TODAY())),"納品遅延",IF(AND(AK174&lt;&gt;"",AK174=TODAY()),"本日対応",IF(AND(S174="全開通",X174="",AF174=""),"ヒアリング依頼待ち",IF(AND(X174&lt;&gt;"",Y174="",Z174="",TODAY()-X174&gt;=設定!$B$6),"ヒアリング未回収",IF(AND(Y174&lt;&gt;"",Z174=""),"素材確認待ち",IF(AND(AF174="",AA174&lt;&gt;"",IF(AA174="",FALSE(),AA174-TODAY()&lt;=設定!$B$7)),"納品間近",IF(AND(AH174&lt;&gt;"",IF(AH174="",FALSE(),AH174&lt;=TODAY()),AI174=""),"解約チェック",IF(AF174&lt;&gt;"","納品済","")))))))))))</f>
        <v/>
      </c>
      <c r="AM174" s="17"/>
    </row>
    <row r="175" customFormat="false" ht="15" hidden="false" customHeight="false" outlineLevel="0" collapsed="false">
      <c r="A175" s="12" t="str">
        <f aca="false">IF(C175="","",ROW()-4)</f>
        <v/>
      </c>
      <c r="B175" s="17"/>
      <c r="C175" s="17"/>
      <c r="D175" s="17"/>
      <c r="E175" s="17"/>
      <c r="F175" s="24"/>
      <c r="G175" s="17"/>
      <c r="H175" s="17"/>
      <c r="I175" s="17"/>
      <c r="J175" s="17"/>
      <c r="K175" s="17"/>
      <c r="L175" s="22"/>
      <c r="M175" s="22"/>
      <c r="N175" s="17"/>
      <c r="O175" s="17"/>
      <c r="P175" s="17"/>
      <c r="Q175" s="18" t="str">
        <f aca="false">IF(B175="","",COUNTIFS(開通管理!$B$5:$B$604,B175,開通管理!$O$5:$O$604,"&lt;&gt;キャンセル"))</f>
        <v/>
      </c>
      <c r="R175" s="18" t="str">
        <f aca="false">IF(B175="","",COUNTIFS(開通管理!$B$5:$B$604,B175,開通管理!$O$5:$O$604,"開通済"))</f>
        <v/>
      </c>
      <c r="S175" s="19" t="str">
        <f aca="false">IF(B175="","",IF(Q175=0,"未申込",IF(R175&lt;Q175,"開通待ち（"&amp;R175&amp;"/"&amp;Q175&amp;"）","全開通")))</f>
        <v/>
      </c>
      <c r="T175" s="20" t="str">
        <f aca="false">IF(S175&lt;&gt;"全開通","",_xlfn.MAXIFS(開通管理!$Q$5:$Q$604,開通管理!$B$5:$B$604,B175))</f>
        <v/>
      </c>
      <c r="U175" s="21" t="str">
        <f aca="false">IF(B175="","",SUMIFS(開通管理!$J$5:$J$604,開通管理!$B$5:$B$604,B175,開通管理!$O$5:$O$604,"&lt;&gt;キャンセル"))</f>
        <v/>
      </c>
      <c r="V175" s="22"/>
      <c r="W175" s="12" t="str">
        <f aca="false">IF(OR(B175="",設定!$B$14=""),"",SUBSTITUTE(設定!$B$14,"__ID__",B175))</f>
        <v/>
      </c>
      <c r="X175" s="22"/>
      <c r="Y175" s="22"/>
      <c r="Z175" s="22"/>
      <c r="AA175" s="20" t="str">
        <f aca="false">IF(Z175="","",WORKDAY(Z175,設定!$B$5,設定!$F$5:$F$120))</f>
        <v/>
      </c>
      <c r="AB175" s="17"/>
      <c r="AC175" s="17"/>
      <c r="AD175" s="17"/>
      <c r="AE175" s="17"/>
      <c r="AF175" s="22"/>
      <c r="AG175" s="17"/>
      <c r="AH175" s="20" t="str">
        <f aca="false">IF(T175="","",EDATE(T175,設定!$B$8))</f>
        <v/>
      </c>
      <c r="AI175" s="17"/>
      <c r="AJ175" s="17"/>
      <c r="AK175" s="22"/>
      <c r="AL175" s="23" t="str">
        <f aca="true">IF(C175="","",IF(N175="失注","―",IF(AND(AK175&lt;&gt;"",AK175&lt;TODAY()),"対応期限超過",IF(AND(AF175="",AA175&lt;&gt;"",IF(AA175="",FALSE(),AA175&lt;TODAY())),"納品遅延",IF(AND(AK175&lt;&gt;"",AK175=TODAY()),"本日対応",IF(AND(S175="全開通",X175="",AF175=""),"ヒアリング依頼待ち",IF(AND(X175&lt;&gt;"",Y175="",Z175="",TODAY()-X175&gt;=設定!$B$6),"ヒアリング未回収",IF(AND(Y175&lt;&gt;"",Z175=""),"素材確認待ち",IF(AND(AF175="",AA175&lt;&gt;"",IF(AA175="",FALSE(),AA175-TODAY()&lt;=設定!$B$7)),"納品間近",IF(AND(AH175&lt;&gt;"",IF(AH175="",FALSE(),AH175&lt;=TODAY()),AI175=""),"解約チェック",IF(AF175&lt;&gt;"","納品済","")))))))))))</f>
        <v/>
      </c>
      <c r="AM175" s="17"/>
    </row>
    <row r="176" customFormat="false" ht="15" hidden="false" customHeight="false" outlineLevel="0" collapsed="false">
      <c r="A176" s="12" t="str">
        <f aca="false">IF(C176="","",ROW()-4)</f>
        <v/>
      </c>
      <c r="B176" s="17"/>
      <c r="C176" s="17"/>
      <c r="D176" s="17"/>
      <c r="E176" s="17"/>
      <c r="F176" s="24"/>
      <c r="G176" s="17"/>
      <c r="H176" s="17"/>
      <c r="I176" s="17"/>
      <c r="J176" s="17"/>
      <c r="K176" s="17"/>
      <c r="L176" s="22"/>
      <c r="M176" s="22"/>
      <c r="N176" s="17"/>
      <c r="O176" s="17"/>
      <c r="P176" s="17"/>
      <c r="Q176" s="18" t="str">
        <f aca="false">IF(B176="","",COUNTIFS(開通管理!$B$5:$B$604,B176,開通管理!$O$5:$O$604,"&lt;&gt;キャンセル"))</f>
        <v/>
      </c>
      <c r="R176" s="18" t="str">
        <f aca="false">IF(B176="","",COUNTIFS(開通管理!$B$5:$B$604,B176,開通管理!$O$5:$O$604,"開通済"))</f>
        <v/>
      </c>
      <c r="S176" s="19" t="str">
        <f aca="false">IF(B176="","",IF(Q176=0,"未申込",IF(R176&lt;Q176,"開通待ち（"&amp;R176&amp;"/"&amp;Q176&amp;"）","全開通")))</f>
        <v/>
      </c>
      <c r="T176" s="20" t="str">
        <f aca="false">IF(S176&lt;&gt;"全開通","",_xlfn.MAXIFS(開通管理!$Q$5:$Q$604,開通管理!$B$5:$B$604,B176))</f>
        <v/>
      </c>
      <c r="U176" s="21" t="str">
        <f aca="false">IF(B176="","",SUMIFS(開通管理!$J$5:$J$604,開通管理!$B$5:$B$604,B176,開通管理!$O$5:$O$604,"&lt;&gt;キャンセル"))</f>
        <v/>
      </c>
      <c r="V176" s="22"/>
      <c r="W176" s="12" t="str">
        <f aca="false">IF(OR(B176="",設定!$B$14=""),"",SUBSTITUTE(設定!$B$14,"__ID__",B176))</f>
        <v/>
      </c>
      <c r="X176" s="22"/>
      <c r="Y176" s="22"/>
      <c r="Z176" s="22"/>
      <c r="AA176" s="20" t="str">
        <f aca="false">IF(Z176="","",WORKDAY(Z176,設定!$B$5,設定!$F$5:$F$120))</f>
        <v/>
      </c>
      <c r="AB176" s="17"/>
      <c r="AC176" s="17"/>
      <c r="AD176" s="17"/>
      <c r="AE176" s="17"/>
      <c r="AF176" s="22"/>
      <c r="AG176" s="17"/>
      <c r="AH176" s="20" t="str">
        <f aca="false">IF(T176="","",EDATE(T176,設定!$B$8))</f>
        <v/>
      </c>
      <c r="AI176" s="17"/>
      <c r="AJ176" s="17"/>
      <c r="AK176" s="22"/>
      <c r="AL176" s="23" t="str">
        <f aca="true">IF(C176="","",IF(N176="失注","―",IF(AND(AK176&lt;&gt;"",AK176&lt;TODAY()),"対応期限超過",IF(AND(AF176="",AA176&lt;&gt;"",IF(AA176="",FALSE(),AA176&lt;TODAY())),"納品遅延",IF(AND(AK176&lt;&gt;"",AK176=TODAY()),"本日対応",IF(AND(S176="全開通",X176="",AF176=""),"ヒアリング依頼待ち",IF(AND(X176&lt;&gt;"",Y176="",Z176="",TODAY()-X176&gt;=設定!$B$6),"ヒアリング未回収",IF(AND(Y176&lt;&gt;"",Z176=""),"素材確認待ち",IF(AND(AF176="",AA176&lt;&gt;"",IF(AA176="",FALSE(),AA176-TODAY()&lt;=設定!$B$7)),"納品間近",IF(AND(AH176&lt;&gt;"",IF(AH176="",FALSE(),AH176&lt;=TODAY()),AI176=""),"解約チェック",IF(AF176&lt;&gt;"","納品済","")))))))))))</f>
        <v/>
      </c>
      <c r="AM176" s="17"/>
    </row>
    <row r="177" customFormat="false" ht="15" hidden="false" customHeight="false" outlineLevel="0" collapsed="false">
      <c r="A177" s="12" t="str">
        <f aca="false">IF(C177="","",ROW()-4)</f>
        <v/>
      </c>
      <c r="B177" s="17"/>
      <c r="C177" s="17"/>
      <c r="D177" s="17"/>
      <c r="E177" s="17"/>
      <c r="F177" s="24"/>
      <c r="G177" s="17"/>
      <c r="H177" s="17"/>
      <c r="I177" s="17"/>
      <c r="J177" s="17"/>
      <c r="K177" s="17"/>
      <c r="L177" s="22"/>
      <c r="M177" s="22"/>
      <c r="N177" s="17"/>
      <c r="O177" s="17"/>
      <c r="P177" s="17"/>
      <c r="Q177" s="18" t="str">
        <f aca="false">IF(B177="","",COUNTIFS(開通管理!$B$5:$B$604,B177,開通管理!$O$5:$O$604,"&lt;&gt;キャンセル"))</f>
        <v/>
      </c>
      <c r="R177" s="18" t="str">
        <f aca="false">IF(B177="","",COUNTIFS(開通管理!$B$5:$B$604,B177,開通管理!$O$5:$O$604,"開通済"))</f>
        <v/>
      </c>
      <c r="S177" s="19" t="str">
        <f aca="false">IF(B177="","",IF(Q177=0,"未申込",IF(R177&lt;Q177,"開通待ち（"&amp;R177&amp;"/"&amp;Q177&amp;"）","全開通")))</f>
        <v/>
      </c>
      <c r="T177" s="20" t="str">
        <f aca="false">IF(S177&lt;&gt;"全開通","",_xlfn.MAXIFS(開通管理!$Q$5:$Q$604,開通管理!$B$5:$B$604,B177))</f>
        <v/>
      </c>
      <c r="U177" s="21" t="str">
        <f aca="false">IF(B177="","",SUMIFS(開通管理!$J$5:$J$604,開通管理!$B$5:$B$604,B177,開通管理!$O$5:$O$604,"&lt;&gt;キャンセル"))</f>
        <v/>
      </c>
      <c r="V177" s="22"/>
      <c r="W177" s="12" t="str">
        <f aca="false">IF(OR(B177="",設定!$B$14=""),"",SUBSTITUTE(設定!$B$14,"__ID__",B177))</f>
        <v/>
      </c>
      <c r="X177" s="22"/>
      <c r="Y177" s="22"/>
      <c r="Z177" s="22"/>
      <c r="AA177" s="20" t="str">
        <f aca="false">IF(Z177="","",WORKDAY(Z177,設定!$B$5,設定!$F$5:$F$120))</f>
        <v/>
      </c>
      <c r="AB177" s="17"/>
      <c r="AC177" s="17"/>
      <c r="AD177" s="17"/>
      <c r="AE177" s="17"/>
      <c r="AF177" s="22"/>
      <c r="AG177" s="17"/>
      <c r="AH177" s="20" t="str">
        <f aca="false">IF(T177="","",EDATE(T177,設定!$B$8))</f>
        <v/>
      </c>
      <c r="AI177" s="17"/>
      <c r="AJ177" s="17"/>
      <c r="AK177" s="22"/>
      <c r="AL177" s="23" t="str">
        <f aca="true">IF(C177="","",IF(N177="失注","―",IF(AND(AK177&lt;&gt;"",AK177&lt;TODAY()),"対応期限超過",IF(AND(AF177="",AA177&lt;&gt;"",IF(AA177="",FALSE(),AA177&lt;TODAY())),"納品遅延",IF(AND(AK177&lt;&gt;"",AK177=TODAY()),"本日対応",IF(AND(S177="全開通",X177="",AF177=""),"ヒアリング依頼待ち",IF(AND(X177&lt;&gt;"",Y177="",Z177="",TODAY()-X177&gt;=設定!$B$6),"ヒアリング未回収",IF(AND(Y177&lt;&gt;"",Z177=""),"素材確認待ち",IF(AND(AF177="",AA177&lt;&gt;"",IF(AA177="",FALSE(),AA177-TODAY()&lt;=設定!$B$7)),"納品間近",IF(AND(AH177&lt;&gt;"",IF(AH177="",FALSE(),AH177&lt;=TODAY()),AI177=""),"解約チェック",IF(AF177&lt;&gt;"","納品済","")))))))))))</f>
        <v/>
      </c>
      <c r="AM177" s="17"/>
    </row>
    <row r="178" customFormat="false" ht="15" hidden="false" customHeight="false" outlineLevel="0" collapsed="false">
      <c r="A178" s="12" t="str">
        <f aca="false">IF(C178="","",ROW()-4)</f>
        <v/>
      </c>
      <c r="B178" s="17"/>
      <c r="C178" s="17"/>
      <c r="D178" s="17"/>
      <c r="E178" s="17"/>
      <c r="F178" s="24"/>
      <c r="G178" s="17"/>
      <c r="H178" s="17"/>
      <c r="I178" s="17"/>
      <c r="J178" s="17"/>
      <c r="K178" s="17"/>
      <c r="L178" s="22"/>
      <c r="M178" s="22"/>
      <c r="N178" s="17"/>
      <c r="O178" s="17"/>
      <c r="P178" s="17"/>
      <c r="Q178" s="18" t="str">
        <f aca="false">IF(B178="","",COUNTIFS(開通管理!$B$5:$B$604,B178,開通管理!$O$5:$O$604,"&lt;&gt;キャンセル"))</f>
        <v/>
      </c>
      <c r="R178" s="18" t="str">
        <f aca="false">IF(B178="","",COUNTIFS(開通管理!$B$5:$B$604,B178,開通管理!$O$5:$O$604,"開通済"))</f>
        <v/>
      </c>
      <c r="S178" s="19" t="str">
        <f aca="false">IF(B178="","",IF(Q178=0,"未申込",IF(R178&lt;Q178,"開通待ち（"&amp;R178&amp;"/"&amp;Q178&amp;"）","全開通")))</f>
        <v/>
      </c>
      <c r="T178" s="20" t="str">
        <f aca="false">IF(S178&lt;&gt;"全開通","",_xlfn.MAXIFS(開通管理!$Q$5:$Q$604,開通管理!$B$5:$B$604,B178))</f>
        <v/>
      </c>
      <c r="U178" s="21" t="str">
        <f aca="false">IF(B178="","",SUMIFS(開通管理!$J$5:$J$604,開通管理!$B$5:$B$604,B178,開通管理!$O$5:$O$604,"&lt;&gt;キャンセル"))</f>
        <v/>
      </c>
      <c r="V178" s="22"/>
      <c r="W178" s="12" t="str">
        <f aca="false">IF(OR(B178="",設定!$B$14=""),"",SUBSTITUTE(設定!$B$14,"__ID__",B178))</f>
        <v/>
      </c>
      <c r="X178" s="22"/>
      <c r="Y178" s="22"/>
      <c r="Z178" s="22"/>
      <c r="AA178" s="20" t="str">
        <f aca="false">IF(Z178="","",WORKDAY(Z178,設定!$B$5,設定!$F$5:$F$120))</f>
        <v/>
      </c>
      <c r="AB178" s="17"/>
      <c r="AC178" s="17"/>
      <c r="AD178" s="17"/>
      <c r="AE178" s="17"/>
      <c r="AF178" s="22"/>
      <c r="AG178" s="17"/>
      <c r="AH178" s="20" t="str">
        <f aca="false">IF(T178="","",EDATE(T178,設定!$B$8))</f>
        <v/>
      </c>
      <c r="AI178" s="17"/>
      <c r="AJ178" s="17"/>
      <c r="AK178" s="22"/>
      <c r="AL178" s="23" t="str">
        <f aca="true">IF(C178="","",IF(N178="失注","―",IF(AND(AK178&lt;&gt;"",AK178&lt;TODAY()),"対応期限超過",IF(AND(AF178="",AA178&lt;&gt;"",IF(AA178="",FALSE(),AA178&lt;TODAY())),"納品遅延",IF(AND(AK178&lt;&gt;"",AK178=TODAY()),"本日対応",IF(AND(S178="全開通",X178="",AF178=""),"ヒアリング依頼待ち",IF(AND(X178&lt;&gt;"",Y178="",Z178="",TODAY()-X178&gt;=設定!$B$6),"ヒアリング未回収",IF(AND(Y178&lt;&gt;"",Z178=""),"素材確認待ち",IF(AND(AF178="",AA178&lt;&gt;"",IF(AA178="",FALSE(),AA178-TODAY()&lt;=設定!$B$7)),"納品間近",IF(AND(AH178&lt;&gt;"",IF(AH178="",FALSE(),AH178&lt;=TODAY()),AI178=""),"解約チェック",IF(AF178&lt;&gt;"","納品済","")))))))))))</f>
        <v/>
      </c>
      <c r="AM178" s="17"/>
    </row>
    <row r="179" customFormat="false" ht="15" hidden="false" customHeight="false" outlineLevel="0" collapsed="false">
      <c r="A179" s="12" t="str">
        <f aca="false">IF(C179="","",ROW()-4)</f>
        <v/>
      </c>
      <c r="B179" s="17"/>
      <c r="C179" s="17"/>
      <c r="D179" s="17"/>
      <c r="E179" s="17"/>
      <c r="F179" s="24"/>
      <c r="G179" s="17"/>
      <c r="H179" s="17"/>
      <c r="I179" s="17"/>
      <c r="J179" s="17"/>
      <c r="K179" s="17"/>
      <c r="L179" s="22"/>
      <c r="M179" s="22"/>
      <c r="N179" s="17"/>
      <c r="O179" s="17"/>
      <c r="P179" s="17"/>
      <c r="Q179" s="18" t="str">
        <f aca="false">IF(B179="","",COUNTIFS(開通管理!$B$5:$B$604,B179,開通管理!$O$5:$O$604,"&lt;&gt;キャンセル"))</f>
        <v/>
      </c>
      <c r="R179" s="18" t="str">
        <f aca="false">IF(B179="","",COUNTIFS(開通管理!$B$5:$B$604,B179,開通管理!$O$5:$O$604,"開通済"))</f>
        <v/>
      </c>
      <c r="S179" s="19" t="str">
        <f aca="false">IF(B179="","",IF(Q179=0,"未申込",IF(R179&lt;Q179,"開通待ち（"&amp;R179&amp;"/"&amp;Q179&amp;"）","全開通")))</f>
        <v/>
      </c>
      <c r="T179" s="20" t="str">
        <f aca="false">IF(S179&lt;&gt;"全開通","",_xlfn.MAXIFS(開通管理!$Q$5:$Q$604,開通管理!$B$5:$B$604,B179))</f>
        <v/>
      </c>
      <c r="U179" s="21" t="str">
        <f aca="false">IF(B179="","",SUMIFS(開通管理!$J$5:$J$604,開通管理!$B$5:$B$604,B179,開通管理!$O$5:$O$604,"&lt;&gt;キャンセル"))</f>
        <v/>
      </c>
      <c r="V179" s="22"/>
      <c r="W179" s="12" t="str">
        <f aca="false">IF(OR(B179="",設定!$B$14=""),"",SUBSTITUTE(設定!$B$14,"__ID__",B179))</f>
        <v/>
      </c>
      <c r="X179" s="22"/>
      <c r="Y179" s="22"/>
      <c r="Z179" s="22"/>
      <c r="AA179" s="20" t="str">
        <f aca="false">IF(Z179="","",WORKDAY(Z179,設定!$B$5,設定!$F$5:$F$120))</f>
        <v/>
      </c>
      <c r="AB179" s="17"/>
      <c r="AC179" s="17"/>
      <c r="AD179" s="17"/>
      <c r="AE179" s="17"/>
      <c r="AF179" s="22"/>
      <c r="AG179" s="17"/>
      <c r="AH179" s="20" t="str">
        <f aca="false">IF(T179="","",EDATE(T179,設定!$B$8))</f>
        <v/>
      </c>
      <c r="AI179" s="17"/>
      <c r="AJ179" s="17"/>
      <c r="AK179" s="22"/>
      <c r="AL179" s="23" t="str">
        <f aca="true">IF(C179="","",IF(N179="失注","―",IF(AND(AK179&lt;&gt;"",AK179&lt;TODAY()),"対応期限超過",IF(AND(AF179="",AA179&lt;&gt;"",IF(AA179="",FALSE(),AA179&lt;TODAY())),"納品遅延",IF(AND(AK179&lt;&gt;"",AK179=TODAY()),"本日対応",IF(AND(S179="全開通",X179="",AF179=""),"ヒアリング依頼待ち",IF(AND(X179&lt;&gt;"",Y179="",Z179="",TODAY()-X179&gt;=設定!$B$6),"ヒアリング未回収",IF(AND(Y179&lt;&gt;"",Z179=""),"素材確認待ち",IF(AND(AF179="",AA179&lt;&gt;"",IF(AA179="",FALSE(),AA179-TODAY()&lt;=設定!$B$7)),"納品間近",IF(AND(AH179&lt;&gt;"",IF(AH179="",FALSE(),AH179&lt;=TODAY()),AI179=""),"解約チェック",IF(AF179&lt;&gt;"","納品済","")))))))))))</f>
        <v/>
      </c>
      <c r="AM179" s="17"/>
    </row>
    <row r="180" customFormat="false" ht="15" hidden="false" customHeight="false" outlineLevel="0" collapsed="false">
      <c r="A180" s="12" t="str">
        <f aca="false">IF(C180="","",ROW()-4)</f>
        <v/>
      </c>
      <c r="B180" s="17"/>
      <c r="C180" s="17"/>
      <c r="D180" s="17"/>
      <c r="E180" s="17"/>
      <c r="F180" s="24"/>
      <c r="G180" s="17"/>
      <c r="H180" s="17"/>
      <c r="I180" s="17"/>
      <c r="J180" s="17"/>
      <c r="K180" s="17"/>
      <c r="L180" s="22"/>
      <c r="M180" s="22"/>
      <c r="N180" s="17"/>
      <c r="O180" s="17"/>
      <c r="P180" s="17"/>
      <c r="Q180" s="18" t="str">
        <f aca="false">IF(B180="","",COUNTIFS(開通管理!$B$5:$B$604,B180,開通管理!$O$5:$O$604,"&lt;&gt;キャンセル"))</f>
        <v/>
      </c>
      <c r="R180" s="18" t="str">
        <f aca="false">IF(B180="","",COUNTIFS(開通管理!$B$5:$B$604,B180,開通管理!$O$5:$O$604,"開通済"))</f>
        <v/>
      </c>
      <c r="S180" s="19" t="str">
        <f aca="false">IF(B180="","",IF(Q180=0,"未申込",IF(R180&lt;Q180,"開通待ち（"&amp;R180&amp;"/"&amp;Q180&amp;"）","全開通")))</f>
        <v/>
      </c>
      <c r="T180" s="20" t="str">
        <f aca="false">IF(S180&lt;&gt;"全開通","",_xlfn.MAXIFS(開通管理!$Q$5:$Q$604,開通管理!$B$5:$B$604,B180))</f>
        <v/>
      </c>
      <c r="U180" s="21" t="str">
        <f aca="false">IF(B180="","",SUMIFS(開通管理!$J$5:$J$604,開通管理!$B$5:$B$604,B180,開通管理!$O$5:$O$604,"&lt;&gt;キャンセル"))</f>
        <v/>
      </c>
      <c r="V180" s="22"/>
      <c r="W180" s="12" t="str">
        <f aca="false">IF(OR(B180="",設定!$B$14=""),"",SUBSTITUTE(設定!$B$14,"__ID__",B180))</f>
        <v/>
      </c>
      <c r="X180" s="22"/>
      <c r="Y180" s="22"/>
      <c r="Z180" s="22"/>
      <c r="AA180" s="20" t="str">
        <f aca="false">IF(Z180="","",WORKDAY(Z180,設定!$B$5,設定!$F$5:$F$120))</f>
        <v/>
      </c>
      <c r="AB180" s="17"/>
      <c r="AC180" s="17"/>
      <c r="AD180" s="17"/>
      <c r="AE180" s="17"/>
      <c r="AF180" s="22"/>
      <c r="AG180" s="17"/>
      <c r="AH180" s="20" t="str">
        <f aca="false">IF(T180="","",EDATE(T180,設定!$B$8))</f>
        <v/>
      </c>
      <c r="AI180" s="17"/>
      <c r="AJ180" s="17"/>
      <c r="AK180" s="22"/>
      <c r="AL180" s="23" t="str">
        <f aca="true">IF(C180="","",IF(N180="失注","―",IF(AND(AK180&lt;&gt;"",AK180&lt;TODAY()),"対応期限超過",IF(AND(AF180="",AA180&lt;&gt;"",IF(AA180="",FALSE(),AA180&lt;TODAY())),"納品遅延",IF(AND(AK180&lt;&gt;"",AK180=TODAY()),"本日対応",IF(AND(S180="全開通",X180="",AF180=""),"ヒアリング依頼待ち",IF(AND(X180&lt;&gt;"",Y180="",Z180="",TODAY()-X180&gt;=設定!$B$6),"ヒアリング未回収",IF(AND(Y180&lt;&gt;"",Z180=""),"素材確認待ち",IF(AND(AF180="",AA180&lt;&gt;"",IF(AA180="",FALSE(),AA180-TODAY()&lt;=設定!$B$7)),"納品間近",IF(AND(AH180&lt;&gt;"",IF(AH180="",FALSE(),AH180&lt;=TODAY()),AI180=""),"解約チェック",IF(AF180&lt;&gt;"","納品済","")))))))))))</f>
        <v/>
      </c>
      <c r="AM180" s="17"/>
    </row>
    <row r="181" customFormat="false" ht="15" hidden="false" customHeight="false" outlineLevel="0" collapsed="false">
      <c r="A181" s="12" t="str">
        <f aca="false">IF(C181="","",ROW()-4)</f>
        <v/>
      </c>
      <c r="B181" s="17"/>
      <c r="C181" s="17"/>
      <c r="D181" s="17"/>
      <c r="E181" s="17"/>
      <c r="F181" s="24"/>
      <c r="G181" s="17"/>
      <c r="H181" s="17"/>
      <c r="I181" s="17"/>
      <c r="J181" s="17"/>
      <c r="K181" s="17"/>
      <c r="L181" s="22"/>
      <c r="M181" s="22"/>
      <c r="N181" s="17"/>
      <c r="O181" s="17"/>
      <c r="P181" s="17"/>
      <c r="Q181" s="18" t="str">
        <f aca="false">IF(B181="","",COUNTIFS(開通管理!$B$5:$B$604,B181,開通管理!$O$5:$O$604,"&lt;&gt;キャンセル"))</f>
        <v/>
      </c>
      <c r="R181" s="18" t="str">
        <f aca="false">IF(B181="","",COUNTIFS(開通管理!$B$5:$B$604,B181,開通管理!$O$5:$O$604,"開通済"))</f>
        <v/>
      </c>
      <c r="S181" s="19" t="str">
        <f aca="false">IF(B181="","",IF(Q181=0,"未申込",IF(R181&lt;Q181,"開通待ち（"&amp;R181&amp;"/"&amp;Q181&amp;"）","全開通")))</f>
        <v/>
      </c>
      <c r="T181" s="20" t="str">
        <f aca="false">IF(S181&lt;&gt;"全開通","",_xlfn.MAXIFS(開通管理!$Q$5:$Q$604,開通管理!$B$5:$B$604,B181))</f>
        <v/>
      </c>
      <c r="U181" s="21" t="str">
        <f aca="false">IF(B181="","",SUMIFS(開通管理!$J$5:$J$604,開通管理!$B$5:$B$604,B181,開通管理!$O$5:$O$604,"&lt;&gt;キャンセル"))</f>
        <v/>
      </c>
      <c r="V181" s="22"/>
      <c r="W181" s="12" t="str">
        <f aca="false">IF(OR(B181="",設定!$B$14=""),"",SUBSTITUTE(設定!$B$14,"__ID__",B181))</f>
        <v/>
      </c>
      <c r="X181" s="22"/>
      <c r="Y181" s="22"/>
      <c r="Z181" s="22"/>
      <c r="AA181" s="20" t="str">
        <f aca="false">IF(Z181="","",WORKDAY(Z181,設定!$B$5,設定!$F$5:$F$120))</f>
        <v/>
      </c>
      <c r="AB181" s="17"/>
      <c r="AC181" s="17"/>
      <c r="AD181" s="17"/>
      <c r="AE181" s="17"/>
      <c r="AF181" s="22"/>
      <c r="AG181" s="17"/>
      <c r="AH181" s="20" t="str">
        <f aca="false">IF(T181="","",EDATE(T181,設定!$B$8))</f>
        <v/>
      </c>
      <c r="AI181" s="17"/>
      <c r="AJ181" s="17"/>
      <c r="AK181" s="22"/>
      <c r="AL181" s="23" t="str">
        <f aca="true">IF(C181="","",IF(N181="失注","―",IF(AND(AK181&lt;&gt;"",AK181&lt;TODAY()),"対応期限超過",IF(AND(AF181="",AA181&lt;&gt;"",IF(AA181="",FALSE(),AA181&lt;TODAY())),"納品遅延",IF(AND(AK181&lt;&gt;"",AK181=TODAY()),"本日対応",IF(AND(S181="全開通",X181="",AF181=""),"ヒアリング依頼待ち",IF(AND(X181&lt;&gt;"",Y181="",Z181="",TODAY()-X181&gt;=設定!$B$6),"ヒアリング未回収",IF(AND(Y181&lt;&gt;"",Z181=""),"素材確認待ち",IF(AND(AF181="",AA181&lt;&gt;"",IF(AA181="",FALSE(),AA181-TODAY()&lt;=設定!$B$7)),"納品間近",IF(AND(AH181&lt;&gt;"",IF(AH181="",FALSE(),AH181&lt;=TODAY()),AI181=""),"解約チェック",IF(AF181&lt;&gt;"","納品済","")))))))))))</f>
        <v/>
      </c>
      <c r="AM181" s="17"/>
    </row>
    <row r="182" customFormat="false" ht="15" hidden="false" customHeight="false" outlineLevel="0" collapsed="false">
      <c r="A182" s="12" t="str">
        <f aca="false">IF(C182="","",ROW()-4)</f>
        <v/>
      </c>
      <c r="B182" s="17"/>
      <c r="C182" s="17"/>
      <c r="D182" s="17"/>
      <c r="E182" s="17"/>
      <c r="F182" s="24"/>
      <c r="G182" s="17"/>
      <c r="H182" s="17"/>
      <c r="I182" s="17"/>
      <c r="J182" s="17"/>
      <c r="K182" s="17"/>
      <c r="L182" s="22"/>
      <c r="M182" s="22"/>
      <c r="N182" s="17"/>
      <c r="O182" s="17"/>
      <c r="P182" s="17"/>
      <c r="Q182" s="18" t="str">
        <f aca="false">IF(B182="","",COUNTIFS(開通管理!$B$5:$B$604,B182,開通管理!$O$5:$O$604,"&lt;&gt;キャンセル"))</f>
        <v/>
      </c>
      <c r="R182" s="18" t="str">
        <f aca="false">IF(B182="","",COUNTIFS(開通管理!$B$5:$B$604,B182,開通管理!$O$5:$O$604,"開通済"))</f>
        <v/>
      </c>
      <c r="S182" s="19" t="str">
        <f aca="false">IF(B182="","",IF(Q182=0,"未申込",IF(R182&lt;Q182,"開通待ち（"&amp;R182&amp;"/"&amp;Q182&amp;"）","全開通")))</f>
        <v/>
      </c>
      <c r="T182" s="20" t="str">
        <f aca="false">IF(S182&lt;&gt;"全開通","",_xlfn.MAXIFS(開通管理!$Q$5:$Q$604,開通管理!$B$5:$B$604,B182))</f>
        <v/>
      </c>
      <c r="U182" s="21" t="str">
        <f aca="false">IF(B182="","",SUMIFS(開通管理!$J$5:$J$604,開通管理!$B$5:$B$604,B182,開通管理!$O$5:$O$604,"&lt;&gt;キャンセル"))</f>
        <v/>
      </c>
      <c r="V182" s="22"/>
      <c r="W182" s="12" t="str">
        <f aca="false">IF(OR(B182="",設定!$B$14=""),"",SUBSTITUTE(設定!$B$14,"__ID__",B182))</f>
        <v/>
      </c>
      <c r="X182" s="22"/>
      <c r="Y182" s="22"/>
      <c r="Z182" s="22"/>
      <c r="AA182" s="20" t="str">
        <f aca="false">IF(Z182="","",WORKDAY(Z182,設定!$B$5,設定!$F$5:$F$120))</f>
        <v/>
      </c>
      <c r="AB182" s="17"/>
      <c r="AC182" s="17"/>
      <c r="AD182" s="17"/>
      <c r="AE182" s="17"/>
      <c r="AF182" s="22"/>
      <c r="AG182" s="17"/>
      <c r="AH182" s="20" t="str">
        <f aca="false">IF(T182="","",EDATE(T182,設定!$B$8))</f>
        <v/>
      </c>
      <c r="AI182" s="17"/>
      <c r="AJ182" s="17"/>
      <c r="AK182" s="22"/>
      <c r="AL182" s="23" t="str">
        <f aca="true">IF(C182="","",IF(N182="失注","―",IF(AND(AK182&lt;&gt;"",AK182&lt;TODAY()),"対応期限超過",IF(AND(AF182="",AA182&lt;&gt;"",IF(AA182="",FALSE(),AA182&lt;TODAY())),"納品遅延",IF(AND(AK182&lt;&gt;"",AK182=TODAY()),"本日対応",IF(AND(S182="全開通",X182="",AF182=""),"ヒアリング依頼待ち",IF(AND(X182&lt;&gt;"",Y182="",Z182="",TODAY()-X182&gt;=設定!$B$6),"ヒアリング未回収",IF(AND(Y182&lt;&gt;"",Z182=""),"素材確認待ち",IF(AND(AF182="",AA182&lt;&gt;"",IF(AA182="",FALSE(),AA182-TODAY()&lt;=設定!$B$7)),"納品間近",IF(AND(AH182&lt;&gt;"",IF(AH182="",FALSE(),AH182&lt;=TODAY()),AI182=""),"解約チェック",IF(AF182&lt;&gt;"","納品済","")))))))))))</f>
        <v/>
      </c>
      <c r="AM182" s="17"/>
    </row>
    <row r="183" customFormat="false" ht="15" hidden="false" customHeight="false" outlineLevel="0" collapsed="false">
      <c r="A183" s="12" t="str">
        <f aca="false">IF(C183="","",ROW()-4)</f>
        <v/>
      </c>
      <c r="B183" s="17"/>
      <c r="C183" s="17"/>
      <c r="D183" s="17"/>
      <c r="E183" s="17"/>
      <c r="F183" s="24"/>
      <c r="G183" s="17"/>
      <c r="H183" s="17"/>
      <c r="I183" s="17"/>
      <c r="J183" s="17"/>
      <c r="K183" s="17"/>
      <c r="L183" s="22"/>
      <c r="M183" s="22"/>
      <c r="N183" s="17"/>
      <c r="O183" s="17"/>
      <c r="P183" s="17"/>
      <c r="Q183" s="18" t="str">
        <f aca="false">IF(B183="","",COUNTIFS(開通管理!$B$5:$B$604,B183,開通管理!$O$5:$O$604,"&lt;&gt;キャンセル"))</f>
        <v/>
      </c>
      <c r="R183" s="18" t="str">
        <f aca="false">IF(B183="","",COUNTIFS(開通管理!$B$5:$B$604,B183,開通管理!$O$5:$O$604,"開通済"))</f>
        <v/>
      </c>
      <c r="S183" s="19" t="str">
        <f aca="false">IF(B183="","",IF(Q183=0,"未申込",IF(R183&lt;Q183,"開通待ち（"&amp;R183&amp;"/"&amp;Q183&amp;"）","全開通")))</f>
        <v/>
      </c>
      <c r="T183" s="20" t="str">
        <f aca="false">IF(S183&lt;&gt;"全開通","",_xlfn.MAXIFS(開通管理!$Q$5:$Q$604,開通管理!$B$5:$B$604,B183))</f>
        <v/>
      </c>
      <c r="U183" s="21" t="str">
        <f aca="false">IF(B183="","",SUMIFS(開通管理!$J$5:$J$604,開通管理!$B$5:$B$604,B183,開通管理!$O$5:$O$604,"&lt;&gt;キャンセル"))</f>
        <v/>
      </c>
      <c r="V183" s="22"/>
      <c r="W183" s="12" t="str">
        <f aca="false">IF(OR(B183="",設定!$B$14=""),"",SUBSTITUTE(設定!$B$14,"__ID__",B183))</f>
        <v/>
      </c>
      <c r="X183" s="22"/>
      <c r="Y183" s="22"/>
      <c r="Z183" s="22"/>
      <c r="AA183" s="20" t="str">
        <f aca="false">IF(Z183="","",WORKDAY(Z183,設定!$B$5,設定!$F$5:$F$120))</f>
        <v/>
      </c>
      <c r="AB183" s="17"/>
      <c r="AC183" s="17"/>
      <c r="AD183" s="17"/>
      <c r="AE183" s="17"/>
      <c r="AF183" s="22"/>
      <c r="AG183" s="17"/>
      <c r="AH183" s="20" t="str">
        <f aca="false">IF(T183="","",EDATE(T183,設定!$B$8))</f>
        <v/>
      </c>
      <c r="AI183" s="17"/>
      <c r="AJ183" s="17"/>
      <c r="AK183" s="22"/>
      <c r="AL183" s="23" t="str">
        <f aca="true">IF(C183="","",IF(N183="失注","―",IF(AND(AK183&lt;&gt;"",AK183&lt;TODAY()),"対応期限超過",IF(AND(AF183="",AA183&lt;&gt;"",IF(AA183="",FALSE(),AA183&lt;TODAY())),"納品遅延",IF(AND(AK183&lt;&gt;"",AK183=TODAY()),"本日対応",IF(AND(S183="全開通",X183="",AF183=""),"ヒアリング依頼待ち",IF(AND(X183&lt;&gt;"",Y183="",Z183="",TODAY()-X183&gt;=設定!$B$6),"ヒアリング未回収",IF(AND(Y183&lt;&gt;"",Z183=""),"素材確認待ち",IF(AND(AF183="",AA183&lt;&gt;"",IF(AA183="",FALSE(),AA183-TODAY()&lt;=設定!$B$7)),"納品間近",IF(AND(AH183&lt;&gt;"",IF(AH183="",FALSE(),AH183&lt;=TODAY()),AI183=""),"解約チェック",IF(AF183&lt;&gt;"","納品済","")))))))))))</f>
        <v/>
      </c>
      <c r="AM183" s="17"/>
    </row>
    <row r="184" customFormat="false" ht="15" hidden="false" customHeight="false" outlineLevel="0" collapsed="false">
      <c r="A184" s="12" t="str">
        <f aca="false">IF(C184="","",ROW()-4)</f>
        <v/>
      </c>
      <c r="B184" s="17"/>
      <c r="C184" s="17"/>
      <c r="D184" s="17"/>
      <c r="E184" s="17"/>
      <c r="F184" s="24"/>
      <c r="G184" s="17"/>
      <c r="H184" s="17"/>
      <c r="I184" s="17"/>
      <c r="J184" s="17"/>
      <c r="K184" s="17"/>
      <c r="L184" s="22"/>
      <c r="M184" s="22"/>
      <c r="N184" s="17"/>
      <c r="O184" s="17"/>
      <c r="P184" s="17"/>
      <c r="Q184" s="18" t="str">
        <f aca="false">IF(B184="","",COUNTIFS(開通管理!$B$5:$B$604,B184,開通管理!$O$5:$O$604,"&lt;&gt;キャンセル"))</f>
        <v/>
      </c>
      <c r="R184" s="18" t="str">
        <f aca="false">IF(B184="","",COUNTIFS(開通管理!$B$5:$B$604,B184,開通管理!$O$5:$O$604,"開通済"))</f>
        <v/>
      </c>
      <c r="S184" s="19" t="str">
        <f aca="false">IF(B184="","",IF(Q184=0,"未申込",IF(R184&lt;Q184,"開通待ち（"&amp;R184&amp;"/"&amp;Q184&amp;"）","全開通")))</f>
        <v/>
      </c>
      <c r="T184" s="20" t="str">
        <f aca="false">IF(S184&lt;&gt;"全開通","",_xlfn.MAXIFS(開通管理!$Q$5:$Q$604,開通管理!$B$5:$B$604,B184))</f>
        <v/>
      </c>
      <c r="U184" s="21" t="str">
        <f aca="false">IF(B184="","",SUMIFS(開通管理!$J$5:$J$604,開通管理!$B$5:$B$604,B184,開通管理!$O$5:$O$604,"&lt;&gt;キャンセル"))</f>
        <v/>
      </c>
      <c r="V184" s="22"/>
      <c r="W184" s="12" t="str">
        <f aca="false">IF(OR(B184="",設定!$B$14=""),"",SUBSTITUTE(設定!$B$14,"__ID__",B184))</f>
        <v/>
      </c>
      <c r="X184" s="22"/>
      <c r="Y184" s="22"/>
      <c r="Z184" s="22"/>
      <c r="AA184" s="20" t="str">
        <f aca="false">IF(Z184="","",WORKDAY(Z184,設定!$B$5,設定!$F$5:$F$120))</f>
        <v/>
      </c>
      <c r="AB184" s="17"/>
      <c r="AC184" s="17"/>
      <c r="AD184" s="17"/>
      <c r="AE184" s="17"/>
      <c r="AF184" s="22"/>
      <c r="AG184" s="17"/>
      <c r="AH184" s="20" t="str">
        <f aca="false">IF(T184="","",EDATE(T184,設定!$B$8))</f>
        <v/>
      </c>
      <c r="AI184" s="17"/>
      <c r="AJ184" s="17"/>
      <c r="AK184" s="22"/>
      <c r="AL184" s="23" t="str">
        <f aca="true">IF(C184="","",IF(N184="失注","―",IF(AND(AK184&lt;&gt;"",AK184&lt;TODAY()),"対応期限超過",IF(AND(AF184="",AA184&lt;&gt;"",IF(AA184="",FALSE(),AA184&lt;TODAY())),"納品遅延",IF(AND(AK184&lt;&gt;"",AK184=TODAY()),"本日対応",IF(AND(S184="全開通",X184="",AF184=""),"ヒアリング依頼待ち",IF(AND(X184&lt;&gt;"",Y184="",Z184="",TODAY()-X184&gt;=設定!$B$6),"ヒアリング未回収",IF(AND(Y184&lt;&gt;"",Z184=""),"素材確認待ち",IF(AND(AF184="",AA184&lt;&gt;"",IF(AA184="",FALSE(),AA184-TODAY()&lt;=設定!$B$7)),"納品間近",IF(AND(AH184&lt;&gt;"",IF(AH184="",FALSE(),AH184&lt;=TODAY()),AI184=""),"解約チェック",IF(AF184&lt;&gt;"","納品済","")))))))))))</f>
        <v/>
      </c>
      <c r="AM184" s="17"/>
    </row>
    <row r="185" customFormat="false" ht="15" hidden="false" customHeight="false" outlineLevel="0" collapsed="false">
      <c r="A185" s="12" t="str">
        <f aca="false">IF(C185="","",ROW()-4)</f>
        <v/>
      </c>
      <c r="B185" s="17"/>
      <c r="C185" s="17"/>
      <c r="D185" s="17"/>
      <c r="E185" s="17"/>
      <c r="F185" s="24"/>
      <c r="G185" s="17"/>
      <c r="H185" s="17"/>
      <c r="I185" s="17"/>
      <c r="J185" s="17"/>
      <c r="K185" s="17"/>
      <c r="L185" s="22"/>
      <c r="M185" s="22"/>
      <c r="N185" s="17"/>
      <c r="O185" s="17"/>
      <c r="P185" s="17"/>
      <c r="Q185" s="18" t="str">
        <f aca="false">IF(B185="","",COUNTIFS(開通管理!$B$5:$B$604,B185,開通管理!$O$5:$O$604,"&lt;&gt;キャンセル"))</f>
        <v/>
      </c>
      <c r="R185" s="18" t="str">
        <f aca="false">IF(B185="","",COUNTIFS(開通管理!$B$5:$B$604,B185,開通管理!$O$5:$O$604,"開通済"))</f>
        <v/>
      </c>
      <c r="S185" s="19" t="str">
        <f aca="false">IF(B185="","",IF(Q185=0,"未申込",IF(R185&lt;Q185,"開通待ち（"&amp;R185&amp;"/"&amp;Q185&amp;"）","全開通")))</f>
        <v/>
      </c>
      <c r="T185" s="20" t="str">
        <f aca="false">IF(S185&lt;&gt;"全開通","",_xlfn.MAXIFS(開通管理!$Q$5:$Q$604,開通管理!$B$5:$B$604,B185))</f>
        <v/>
      </c>
      <c r="U185" s="21" t="str">
        <f aca="false">IF(B185="","",SUMIFS(開通管理!$J$5:$J$604,開通管理!$B$5:$B$604,B185,開通管理!$O$5:$O$604,"&lt;&gt;キャンセル"))</f>
        <v/>
      </c>
      <c r="V185" s="22"/>
      <c r="W185" s="12" t="str">
        <f aca="false">IF(OR(B185="",設定!$B$14=""),"",SUBSTITUTE(設定!$B$14,"__ID__",B185))</f>
        <v/>
      </c>
      <c r="X185" s="22"/>
      <c r="Y185" s="22"/>
      <c r="Z185" s="22"/>
      <c r="AA185" s="20" t="str">
        <f aca="false">IF(Z185="","",WORKDAY(Z185,設定!$B$5,設定!$F$5:$F$120))</f>
        <v/>
      </c>
      <c r="AB185" s="17"/>
      <c r="AC185" s="17"/>
      <c r="AD185" s="17"/>
      <c r="AE185" s="17"/>
      <c r="AF185" s="22"/>
      <c r="AG185" s="17"/>
      <c r="AH185" s="20" t="str">
        <f aca="false">IF(T185="","",EDATE(T185,設定!$B$8))</f>
        <v/>
      </c>
      <c r="AI185" s="17"/>
      <c r="AJ185" s="17"/>
      <c r="AK185" s="22"/>
      <c r="AL185" s="23" t="str">
        <f aca="true">IF(C185="","",IF(N185="失注","―",IF(AND(AK185&lt;&gt;"",AK185&lt;TODAY()),"対応期限超過",IF(AND(AF185="",AA185&lt;&gt;"",IF(AA185="",FALSE(),AA185&lt;TODAY())),"納品遅延",IF(AND(AK185&lt;&gt;"",AK185=TODAY()),"本日対応",IF(AND(S185="全開通",X185="",AF185=""),"ヒアリング依頼待ち",IF(AND(X185&lt;&gt;"",Y185="",Z185="",TODAY()-X185&gt;=設定!$B$6),"ヒアリング未回収",IF(AND(Y185&lt;&gt;"",Z185=""),"素材確認待ち",IF(AND(AF185="",AA185&lt;&gt;"",IF(AA185="",FALSE(),AA185-TODAY()&lt;=設定!$B$7)),"納品間近",IF(AND(AH185&lt;&gt;"",IF(AH185="",FALSE(),AH185&lt;=TODAY()),AI185=""),"解約チェック",IF(AF185&lt;&gt;"","納品済","")))))))))))</f>
        <v/>
      </c>
      <c r="AM185" s="17"/>
    </row>
    <row r="186" customFormat="false" ht="15" hidden="false" customHeight="false" outlineLevel="0" collapsed="false">
      <c r="A186" s="12" t="str">
        <f aca="false">IF(C186="","",ROW()-4)</f>
        <v/>
      </c>
      <c r="B186" s="17"/>
      <c r="C186" s="17"/>
      <c r="D186" s="17"/>
      <c r="E186" s="17"/>
      <c r="F186" s="24"/>
      <c r="G186" s="17"/>
      <c r="H186" s="17"/>
      <c r="I186" s="17"/>
      <c r="J186" s="17"/>
      <c r="K186" s="17"/>
      <c r="L186" s="22"/>
      <c r="M186" s="22"/>
      <c r="N186" s="17"/>
      <c r="O186" s="17"/>
      <c r="P186" s="17"/>
      <c r="Q186" s="18" t="str">
        <f aca="false">IF(B186="","",COUNTIFS(開通管理!$B$5:$B$604,B186,開通管理!$O$5:$O$604,"&lt;&gt;キャンセル"))</f>
        <v/>
      </c>
      <c r="R186" s="18" t="str">
        <f aca="false">IF(B186="","",COUNTIFS(開通管理!$B$5:$B$604,B186,開通管理!$O$5:$O$604,"開通済"))</f>
        <v/>
      </c>
      <c r="S186" s="19" t="str">
        <f aca="false">IF(B186="","",IF(Q186=0,"未申込",IF(R186&lt;Q186,"開通待ち（"&amp;R186&amp;"/"&amp;Q186&amp;"）","全開通")))</f>
        <v/>
      </c>
      <c r="T186" s="20" t="str">
        <f aca="false">IF(S186&lt;&gt;"全開通","",_xlfn.MAXIFS(開通管理!$Q$5:$Q$604,開通管理!$B$5:$B$604,B186))</f>
        <v/>
      </c>
      <c r="U186" s="21" t="str">
        <f aca="false">IF(B186="","",SUMIFS(開通管理!$J$5:$J$604,開通管理!$B$5:$B$604,B186,開通管理!$O$5:$O$604,"&lt;&gt;キャンセル"))</f>
        <v/>
      </c>
      <c r="V186" s="22"/>
      <c r="W186" s="12" t="str">
        <f aca="false">IF(OR(B186="",設定!$B$14=""),"",SUBSTITUTE(設定!$B$14,"__ID__",B186))</f>
        <v/>
      </c>
      <c r="X186" s="22"/>
      <c r="Y186" s="22"/>
      <c r="Z186" s="22"/>
      <c r="AA186" s="20" t="str">
        <f aca="false">IF(Z186="","",WORKDAY(Z186,設定!$B$5,設定!$F$5:$F$120))</f>
        <v/>
      </c>
      <c r="AB186" s="17"/>
      <c r="AC186" s="17"/>
      <c r="AD186" s="17"/>
      <c r="AE186" s="17"/>
      <c r="AF186" s="22"/>
      <c r="AG186" s="17"/>
      <c r="AH186" s="20" t="str">
        <f aca="false">IF(T186="","",EDATE(T186,設定!$B$8))</f>
        <v/>
      </c>
      <c r="AI186" s="17"/>
      <c r="AJ186" s="17"/>
      <c r="AK186" s="22"/>
      <c r="AL186" s="23" t="str">
        <f aca="true">IF(C186="","",IF(N186="失注","―",IF(AND(AK186&lt;&gt;"",AK186&lt;TODAY()),"対応期限超過",IF(AND(AF186="",AA186&lt;&gt;"",IF(AA186="",FALSE(),AA186&lt;TODAY())),"納品遅延",IF(AND(AK186&lt;&gt;"",AK186=TODAY()),"本日対応",IF(AND(S186="全開通",X186="",AF186=""),"ヒアリング依頼待ち",IF(AND(X186&lt;&gt;"",Y186="",Z186="",TODAY()-X186&gt;=設定!$B$6),"ヒアリング未回収",IF(AND(Y186&lt;&gt;"",Z186=""),"素材確認待ち",IF(AND(AF186="",AA186&lt;&gt;"",IF(AA186="",FALSE(),AA186-TODAY()&lt;=設定!$B$7)),"納品間近",IF(AND(AH186&lt;&gt;"",IF(AH186="",FALSE(),AH186&lt;=TODAY()),AI186=""),"解約チェック",IF(AF186&lt;&gt;"","納品済","")))))))))))</f>
        <v/>
      </c>
      <c r="AM186" s="17"/>
    </row>
    <row r="187" customFormat="false" ht="15" hidden="false" customHeight="false" outlineLevel="0" collapsed="false">
      <c r="A187" s="12" t="str">
        <f aca="false">IF(C187="","",ROW()-4)</f>
        <v/>
      </c>
      <c r="B187" s="17"/>
      <c r="C187" s="17"/>
      <c r="D187" s="17"/>
      <c r="E187" s="17"/>
      <c r="F187" s="24"/>
      <c r="G187" s="17"/>
      <c r="H187" s="17"/>
      <c r="I187" s="17"/>
      <c r="J187" s="17"/>
      <c r="K187" s="17"/>
      <c r="L187" s="22"/>
      <c r="M187" s="22"/>
      <c r="N187" s="17"/>
      <c r="O187" s="17"/>
      <c r="P187" s="17"/>
      <c r="Q187" s="18" t="str">
        <f aca="false">IF(B187="","",COUNTIFS(開通管理!$B$5:$B$604,B187,開通管理!$O$5:$O$604,"&lt;&gt;キャンセル"))</f>
        <v/>
      </c>
      <c r="R187" s="18" t="str">
        <f aca="false">IF(B187="","",COUNTIFS(開通管理!$B$5:$B$604,B187,開通管理!$O$5:$O$604,"開通済"))</f>
        <v/>
      </c>
      <c r="S187" s="19" t="str">
        <f aca="false">IF(B187="","",IF(Q187=0,"未申込",IF(R187&lt;Q187,"開通待ち（"&amp;R187&amp;"/"&amp;Q187&amp;"）","全開通")))</f>
        <v/>
      </c>
      <c r="T187" s="20" t="str">
        <f aca="false">IF(S187&lt;&gt;"全開通","",_xlfn.MAXIFS(開通管理!$Q$5:$Q$604,開通管理!$B$5:$B$604,B187))</f>
        <v/>
      </c>
      <c r="U187" s="21" t="str">
        <f aca="false">IF(B187="","",SUMIFS(開通管理!$J$5:$J$604,開通管理!$B$5:$B$604,B187,開通管理!$O$5:$O$604,"&lt;&gt;キャンセル"))</f>
        <v/>
      </c>
      <c r="V187" s="22"/>
      <c r="W187" s="12" t="str">
        <f aca="false">IF(OR(B187="",設定!$B$14=""),"",SUBSTITUTE(設定!$B$14,"__ID__",B187))</f>
        <v/>
      </c>
      <c r="X187" s="22"/>
      <c r="Y187" s="22"/>
      <c r="Z187" s="22"/>
      <c r="AA187" s="20" t="str">
        <f aca="false">IF(Z187="","",WORKDAY(Z187,設定!$B$5,設定!$F$5:$F$120))</f>
        <v/>
      </c>
      <c r="AB187" s="17"/>
      <c r="AC187" s="17"/>
      <c r="AD187" s="17"/>
      <c r="AE187" s="17"/>
      <c r="AF187" s="22"/>
      <c r="AG187" s="17"/>
      <c r="AH187" s="20" t="str">
        <f aca="false">IF(T187="","",EDATE(T187,設定!$B$8))</f>
        <v/>
      </c>
      <c r="AI187" s="17"/>
      <c r="AJ187" s="17"/>
      <c r="AK187" s="22"/>
      <c r="AL187" s="23" t="str">
        <f aca="true">IF(C187="","",IF(N187="失注","―",IF(AND(AK187&lt;&gt;"",AK187&lt;TODAY()),"対応期限超過",IF(AND(AF187="",AA187&lt;&gt;"",IF(AA187="",FALSE(),AA187&lt;TODAY())),"納品遅延",IF(AND(AK187&lt;&gt;"",AK187=TODAY()),"本日対応",IF(AND(S187="全開通",X187="",AF187=""),"ヒアリング依頼待ち",IF(AND(X187&lt;&gt;"",Y187="",Z187="",TODAY()-X187&gt;=設定!$B$6),"ヒアリング未回収",IF(AND(Y187&lt;&gt;"",Z187=""),"素材確認待ち",IF(AND(AF187="",AA187&lt;&gt;"",IF(AA187="",FALSE(),AA187-TODAY()&lt;=設定!$B$7)),"納品間近",IF(AND(AH187&lt;&gt;"",IF(AH187="",FALSE(),AH187&lt;=TODAY()),AI187=""),"解約チェック",IF(AF187&lt;&gt;"","納品済","")))))))))))</f>
        <v/>
      </c>
      <c r="AM187" s="17"/>
    </row>
    <row r="188" customFormat="false" ht="15" hidden="false" customHeight="false" outlineLevel="0" collapsed="false">
      <c r="A188" s="12" t="str">
        <f aca="false">IF(C188="","",ROW()-4)</f>
        <v/>
      </c>
      <c r="B188" s="17"/>
      <c r="C188" s="17"/>
      <c r="D188" s="17"/>
      <c r="E188" s="17"/>
      <c r="F188" s="24"/>
      <c r="G188" s="17"/>
      <c r="H188" s="17"/>
      <c r="I188" s="17"/>
      <c r="J188" s="17"/>
      <c r="K188" s="17"/>
      <c r="L188" s="22"/>
      <c r="M188" s="22"/>
      <c r="N188" s="17"/>
      <c r="O188" s="17"/>
      <c r="P188" s="17"/>
      <c r="Q188" s="18" t="str">
        <f aca="false">IF(B188="","",COUNTIFS(開通管理!$B$5:$B$604,B188,開通管理!$O$5:$O$604,"&lt;&gt;キャンセル"))</f>
        <v/>
      </c>
      <c r="R188" s="18" t="str">
        <f aca="false">IF(B188="","",COUNTIFS(開通管理!$B$5:$B$604,B188,開通管理!$O$5:$O$604,"開通済"))</f>
        <v/>
      </c>
      <c r="S188" s="19" t="str">
        <f aca="false">IF(B188="","",IF(Q188=0,"未申込",IF(R188&lt;Q188,"開通待ち（"&amp;R188&amp;"/"&amp;Q188&amp;"）","全開通")))</f>
        <v/>
      </c>
      <c r="T188" s="20" t="str">
        <f aca="false">IF(S188&lt;&gt;"全開通","",_xlfn.MAXIFS(開通管理!$Q$5:$Q$604,開通管理!$B$5:$B$604,B188))</f>
        <v/>
      </c>
      <c r="U188" s="21" t="str">
        <f aca="false">IF(B188="","",SUMIFS(開通管理!$J$5:$J$604,開通管理!$B$5:$B$604,B188,開通管理!$O$5:$O$604,"&lt;&gt;キャンセル"))</f>
        <v/>
      </c>
      <c r="V188" s="22"/>
      <c r="W188" s="12" t="str">
        <f aca="false">IF(OR(B188="",設定!$B$14=""),"",SUBSTITUTE(設定!$B$14,"__ID__",B188))</f>
        <v/>
      </c>
      <c r="X188" s="22"/>
      <c r="Y188" s="22"/>
      <c r="Z188" s="22"/>
      <c r="AA188" s="20" t="str">
        <f aca="false">IF(Z188="","",WORKDAY(Z188,設定!$B$5,設定!$F$5:$F$120))</f>
        <v/>
      </c>
      <c r="AB188" s="17"/>
      <c r="AC188" s="17"/>
      <c r="AD188" s="17"/>
      <c r="AE188" s="17"/>
      <c r="AF188" s="22"/>
      <c r="AG188" s="17"/>
      <c r="AH188" s="20" t="str">
        <f aca="false">IF(T188="","",EDATE(T188,設定!$B$8))</f>
        <v/>
      </c>
      <c r="AI188" s="17"/>
      <c r="AJ188" s="17"/>
      <c r="AK188" s="22"/>
      <c r="AL188" s="23" t="str">
        <f aca="true">IF(C188="","",IF(N188="失注","―",IF(AND(AK188&lt;&gt;"",AK188&lt;TODAY()),"対応期限超過",IF(AND(AF188="",AA188&lt;&gt;"",IF(AA188="",FALSE(),AA188&lt;TODAY())),"納品遅延",IF(AND(AK188&lt;&gt;"",AK188=TODAY()),"本日対応",IF(AND(S188="全開通",X188="",AF188=""),"ヒアリング依頼待ち",IF(AND(X188&lt;&gt;"",Y188="",Z188="",TODAY()-X188&gt;=設定!$B$6),"ヒアリング未回収",IF(AND(Y188&lt;&gt;"",Z188=""),"素材確認待ち",IF(AND(AF188="",AA188&lt;&gt;"",IF(AA188="",FALSE(),AA188-TODAY()&lt;=設定!$B$7)),"納品間近",IF(AND(AH188&lt;&gt;"",IF(AH188="",FALSE(),AH188&lt;=TODAY()),AI188=""),"解約チェック",IF(AF188&lt;&gt;"","納品済","")))))))))))</f>
        <v/>
      </c>
      <c r="AM188" s="17"/>
    </row>
    <row r="189" customFormat="false" ht="15" hidden="false" customHeight="false" outlineLevel="0" collapsed="false">
      <c r="A189" s="12" t="str">
        <f aca="false">IF(C189="","",ROW()-4)</f>
        <v/>
      </c>
      <c r="B189" s="17"/>
      <c r="C189" s="17"/>
      <c r="D189" s="17"/>
      <c r="E189" s="17"/>
      <c r="F189" s="24"/>
      <c r="G189" s="17"/>
      <c r="H189" s="17"/>
      <c r="I189" s="17"/>
      <c r="J189" s="17"/>
      <c r="K189" s="17"/>
      <c r="L189" s="22"/>
      <c r="M189" s="22"/>
      <c r="N189" s="17"/>
      <c r="O189" s="17"/>
      <c r="P189" s="17"/>
      <c r="Q189" s="18" t="str">
        <f aca="false">IF(B189="","",COUNTIFS(開通管理!$B$5:$B$604,B189,開通管理!$O$5:$O$604,"&lt;&gt;キャンセル"))</f>
        <v/>
      </c>
      <c r="R189" s="18" t="str">
        <f aca="false">IF(B189="","",COUNTIFS(開通管理!$B$5:$B$604,B189,開通管理!$O$5:$O$604,"開通済"))</f>
        <v/>
      </c>
      <c r="S189" s="19" t="str">
        <f aca="false">IF(B189="","",IF(Q189=0,"未申込",IF(R189&lt;Q189,"開通待ち（"&amp;R189&amp;"/"&amp;Q189&amp;"）","全開通")))</f>
        <v/>
      </c>
      <c r="T189" s="20" t="str">
        <f aca="false">IF(S189&lt;&gt;"全開通","",_xlfn.MAXIFS(開通管理!$Q$5:$Q$604,開通管理!$B$5:$B$604,B189))</f>
        <v/>
      </c>
      <c r="U189" s="21" t="str">
        <f aca="false">IF(B189="","",SUMIFS(開通管理!$J$5:$J$604,開通管理!$B$5:$B$604,B189,開通管理!$O$5:$O$604,"&lt;&gt;キャンセル"))</f>
        <v/>
      </c>
      <c r="V189" s="22"/>
      <c r="W189" s="12" t="str">
        <f aca="false">IF(OR(B189="",設定!$B$14=""),"",SUBSTITUTE(設定!$B$14,"__ID__",B189))</f>
        <v/>
      </c>
      <c r="X189" s="22"/>
      <c r="Y189" s="22"/>
      <c r="Z189" s="22"/>
      <c r="AA189" s="20" t="str">
        <f aca="false">IF(Z189="","",WORKDAY(Z189,設定!$B$5,設定!$F$5:$F$120))</f>
        <v/>
      </c>
      <c r="AB189" s="17"/>
      <c r="AC189" s="17"/>
      <c r="AD189" s="17"/>
      <c r="AE189" s="17"/>
      <c r="AF189" s="22"/>
      <c r="AG189" s="17"/>
      <c r="AH189" s="20" t="str">
        <f aca="false">IF(T189="","",EDATE(T189,設定!$B$8))</f>
        <v/>
      </c>
      <c r="AI189" s="17"/>
      <c r="AJ189" s="17"/>
      <c r="AK189" s="22"/>
      <c r="AL189" s="23" t="str">
        <f aca="true">IF(C189="","",IF(N189="失注","―",IF(AND(AK189&lt;&gt;"",AK189&lt;TODAY()),"対応期限超過",IF(AND(AF189="",AA189&lt;&gt;"",IF(AA189="",FALSE(),AA189&lt;TODAY())),"納品遅延",IF(AND(AK189&lt;&gt;"",AK189=TODAY()),"本日対応",IF(AND(S189="全開通",X189="",AF189=""),"ヒアリング依頼待ち",IF(AND(X189&lt;&gt;"",Y189="",Z189="",TODAY()-X189&gt;=設定!$B$6),"ヒアリング未回収",IF(AND(Y189&lt;&gt;"",Z189=""),"素材確認待ち",IF(AND(AF189="",AA189&lt;&gt;"",IF(AA189="",FALSE(),AA189-TODAY()&lt;=設定!$B$7)),"納品間近",IF(AND(AH189&lt;&gt;"",IF(AH189="",FALSE(),AH189&lt;=TODAY()),AI189=""),"解約チェック",IF(AF189&lt;&gt;"","納品済","")))))))))))</f>
        <v/>
      </c>
      <c r="AM189" s="17"/>
    </row>
    <row r="190" customFormat="false" ht="15" hidden="false" customHeight="false" outlineLevel="0" collapsed="false">
      <c r="A190" s="12" t="str">
        <f aca="false">IF(C190="","",ROW()-4)</f>
        <v/>
      </c>
      <c r="B190" s="17"/>
      <c r="C190" s="17"/>
      <c r="D190" s="17"/>
      <c r="E190" s="17"/>
      <c r="F190" s="24"/>
      <c r="G190" s="17"/>
      <c r="H190" s="17"/>
      <c r="I190" s="17"/>
      <c r="J190" s="17"/>
      <c r="K190" s="17"/>
      <c r="L190" s="22"/>
      <c r="M190" s="22"/>
      <c r="N190" s="17"/>
      <c r="O190" s="17"/>
      <c r="P190" s="17"/>
      <c r="Q190" s="18" t="str">
        <f aca="false">IF(B190="","",COUNTIFS(開通管理!$B$5:$B$604,B190,開通管理!$O$5:$O$604,"&lt;&gt;キャンセル"))</f>
        <v/>
      </c>
      <c r="R190" s="18" t="str">
        <f aca="false">IF(B190="","",COUNTIFS(開通管理!$B$5:$B$604,B190,開通管理!$O$5:$O$604,"開通済"))</f>
        <v/>
      </c>
      <c r="S190" s="19" t="str">
        <f aca="false">IF(B190="","",IF(Q190=0,"未申込",IF(R190&lt;Q190,"開通待ち（"&amp;R190&amp;"/"&amp;Q190&amp;"）","全開通")))</f>
        <v/>
      </c>
      <c r="T190" s="20" t="str">
        <f aca="false">IF(S190&lt;&gt;"全開通","",_xlfn.MAXIFS(開通管理!$Q$5:$Q$604,開通管理!$B$5:$B$604,B190))</f>
        <v/>
      </c>
      <c r="U190" s="21" t="str">
        <f aca="false">IF(B190="","",SUMIFS(開通管理!$J$5:$J$604,開通管理!$B$5:$B$604,B190,開通管理!$O$5:$O$604,"&lt;&gt;キャンセル"))</f>
        <v/>
      </c>
      <c r="V190" s="22"/>
      <c r="W190" s="12" t="str">
        <f aca="false">IF(OR(B190="",設定!$B$14=""),"",SUBSTITUTE(設定!$B$14,"__ID__",B190))</f>
        <v/>
      </c>
      <c r="X190" s="22"/>
      <c r="Y190" s="22"/>
      <c r="Z190" s="22"/>
      <c r="AA190" s="20" t="str">
        <f aca="false">IF(Z190="","",WORKDAY(Z190,設定!$B$5,設定!$F$5:$F$120))</f>
        <v/>
      </c>
      <c r="AB190" s="17"/>
      <c r="AC190" s="17"/>
      <c r="AD190" s="17"/>
      <c r="AE190" s="17"/>
      <c r="AF190" s="22"/>
      <c r="AG190" s="17"/>
      <c r="AH190" s="20" t="str">
        <f aca="false">IF(T190="","",EDATE(T190,設定!$B$8))</f>
        <v/>
      </c>
      <c r="AI190" s="17"/>
      <c r="AJ190" s="17"/>
      <c r="AK190" s="22"/>
      <c r="AL190" s="23" t="str">
        <f aca="true">IF(C190="","",IF(N190="失注","―",IF(AND(AK190&lt;&gt;"",AK190&lt;TODAY()),"対応期限超過",IF(AND(AF190="",AA190&lt;&gt;"",IF(AA190="",FALSE(),AA190&lt;TODAY())),"納品遅延",IF(AND(AK190&lt;&gt;"",AK190=TODAY()),"本日対応",IF(AND(S190="全開通",X190="",AF190=""),"ヒアリング依頼待ち",IF(AND(X190&lt;&gt;"",Y190="",Z190="",TODAY()-X190&gt;=設定!$B$6),"ヒアリング未回収",IF(AND(Y190&lt;&gt;"",Z190=""),"素材確認待ち",IF(AND(AF190="",AA190&lt;&gt;"",IF(AA190="",FALSE(),AA190-TODAY()&lt;=設定!$B$7)),"納品間近",IF(AND(AH190&lt;&gt;"",IF(AH190="",FALSE(),AH190&lt;=TODAY()),AI190=""),"解約チェック",IF(AF190&lt;&gt;"","納品済","")))))))))))</f>
        <v/>
      </c>
      <c r="AM190" s="17"/>
    </row>
    <row r="191" customFormat="false" ht="15" hidden="false" customHeight="false" outlineLevel="0" collapsed="false">
      <c r="A191" s="12" t="str">
        <f aca="false">IF(C191="","",ROW()-4)</f>
        <v/>
      </c>
      <c r="B191" s="17"/>
      <c r="C191" s="17"/>
      <c r="D191" s="17"/>
      <c r="E191" s="17"/>
      <c r="F191" s="24"/>
      <c r="G191" s="17"/>
      <c r="H191" s="17"/>
      <c r="I191" s="17"/>
      <c r="J191" s="17"/>
      <c r="K191" s="17"/>
      <c r="L191" s="22"/>
      <c r="M191" s="22"/>
      <c r="N191" s="17"/>
      <c r="O191" s="17"/>
      <c r="P191" s="17"/>
      <c r="Q191" s="18" t="str">
        <f aca="false">IF(B191="","",COUNTIFS(開通管理!$B$5:$B$604,B191,開通管理!$O$5:$O$604,"&lt;&gt;キャンセル"))</f>
        <v/>
      </c>
      <c r="R191" s="18" t="str">
        <f aca="false">IF(B191="","",COUNTIFS(開通管理!$B$5:$B$604,B191,開通管理!$O$5:$O$604,"開通済"))</f>
        <v/>
      </c>
      <c r="S191" s="19" t="str">
        <f aca="false">IF(B191="","",IF(Q191=0,"未申込",IF(R191&lt;Q191,"開通待ち（"&amp;R191&amp;"/"&amp;Q191&amp;"）","全開通")))</f>
        <v/>
      </c>
      <c r="T191" s="20" t="str">
        <f aca="false">IF(S191&lt;&gt;"全開通","",_xlfn.MAXIFS(開通管理!$Q$5:$Q$604,開通管理!$B$5:$B$604,B191))</f>
        <v/>
      </c>
      <c r="U191" s="21" t="str">
        <f aca="false">IF(B191="","",SUMIFS(開通管理!$J$5:$J$604,開通管理!$B$5:$B$604,B191,開通管理!$O$5:$O$604,"&lt;&gt;キャンセル"))</f>
        <v/>
      </c>
      <c r="V191" s="22"/>
      <c r="W191" s="12" t="str">
        <f aca="false">IF(OR(B191="",設定!$B$14=""),"",SUBSTITUTE(設定!$B$14,"__ID__",B191))</f>
        <v/>
      </c>
      <c r="X191" s="22"/>
      <c r="Y191" s="22"/>
      <c r="Z191" s="22"/>
      <c r="AA191" s="20" t="str">
        <f aca="false">IF(Z191="","",WORKDAY(Z191,設定!$B$5,設定!$F$5:$F$120))</f>
        <v/>
      </c>
      <c r="AB191" s="17"/>
      <c r="AC191" s="17"/>
      <c r="AD191" s="17"/>
      <c r="AE191" s="17"/>
      <c r="AF191" s="22"/>
      <c r="AG191" s="17"/>
      <c r="AH191" s="20" t="str">
        <f aca="false">IF(T191="","",EDATE(T191,設定!$B$8))</f>
        <v/>
      </c>
      <c r="AI191" s="17"/>
      <c r="AJ191" s="17"/>
      <c r="AK191" s="22"/>
      <c r="AL191" s="23" t="str">
        <f aca="true">IF(C191="","",IF(N191="失注","―",IF(AND(AK191&lt;&gt;"",AK191&lt;TODAY()),"対応期限超過",IF(AND(AF191="",AA191&lt;&gt;"",IF(AA191="",FALSE(),AA191&lt;TODAY())),"納品遅延",IF(AND(AK191&lt;&gt;"",AK191=TODAY()),"本日対応",IF(AND(S191="全開通",X191="",AF191=""),"ヒアリング依頼待ち",IF(AND(X191&lt;&gt;"",Y191="",Z191="",TODAY()-X191&gt;=設定!$B$6),"ヒアリング未回収",IF(AND(Y191&lt;&gt;"",Z191=""),"素材確認待ち",IF(AND(AF191="",AA191&lt;&gt;"",IF(AA191="",FALSE(),AA191-TODAY()&lt;=設定!$B$7)),"納品間近",IF(AND(AH191&lt;&gt;"",IF(AH191="",FALSE(),AH191&lt;=TODAY()),AI191=""),"解約チェック",IF(AF191&lt;&gt;"","納品済","")))))))))))</f>
        <v/>
      </c>
      <c r="AM191" s="17"/>
    </row>
    <row r="192" customFormat="false" ht="15" hidden="false" customHeight="false" outlineLevel="0" collapsed="false">
      <c r="A192" s="12" t="str">
        <f aca="false">IF(C192="","",ROW()-4)</f>
        <v/>
      </c>
      <c r="B192" s="17"/>
      <c r="C192" s="17"/>
      <c r="D192" s="17"/>
      <c r="E192" s="17"/>
      <c r="F192" s="24"/>
      <c r="G192" s="17"/>
      <c r="H192" s="17"/>
      <c r="I192" s="17"/>
      <c r="J192" s="17"/>
      <c r="K192" s="17"/>
      <c r="L192" s="22"/>
      <c r="M192" s="22"/>
      <c r="N192" s="17"/>
      <c r="O192" s="17"/>
      <c r="P192" s="17"/>
      <c r="Q192" s="18" t="str">
        <f aca="false">IF(B192="","",COUNTIFS(開通管理!$B$5:$B$604,B192,開通管理!$O$5:$O$604,"&lt;&gt;キャンセル"))</f>
        <v/>
      </c>
      <c r="R192" s="18" t="str">
        <f aca="false">IF(B192="","",COUNTIFS(開通管理!$B$5:$B$604,B192,開通管理!$O$5:$O$604,"開通済"))</f>
        <v/>
      </c>
      <c r="S192" s="19" t="str">
        <f aca="false">IF(B192="","",IF(Q192=0,"未申込",IF(R192&lt;Q192,"開通待ち（"&amp;R192&amp;"/"&amp;Q192&amp;"）","全開通")))</f>
        <v/>
      </c>
      <c r="T192" s="20" t="str">
        <f aca="false">IF(S192&lt;&gt;"全開通","",_xlfn.MAXIFS(開通管理!$Q$5:$Q$604,開通管理!$B$5:$B$604,B192))</f>
        <v/>
      </c>
      <c r="U192" s="21" t="str">
        <f aca="false">IF(B192="","",SUMIFS(開通管理!$J$5:$J$604,開通管理!$B$5:$B$604,B192,開通管理!$O$5:$O$604,"&lt;&gt;キャンセル"))</f>
        <v/>
      </c>
      <c r="V192" s="22"/>
      <c r="W192" s="12" t="str">
        <f aca="false">IF(OR(B192="",設定!$B$14=""),"",SUBSTITUTE(設定!$B$14,"__ID__",B192))</f>
        <v/>
      </c>
      <c r="X192" s="22"/>
      <c r="Y192" s="22"/>
      <c r="Z192" s="22"/>
      <c r="AA192" s="20" t="str">
        <f aca="false">IF(Z192="","",WORKDAY(Z192,設定!$B$5,設定!$F$5:$F$120))</f>
        <v/>
      </c>
      <c r="AB192" s="17"/>
      <c r="AC192" s="17"/>
      <c r="AD192" s="17"/>
      <c r="AE192" s="17"/>
      <c r="AF192" s="22"/>
      <c r="AG192" s="17"/>
      <c r="AH192" s="20" t="str">
        <f aca="false">IF(T192="","",EDATE(T192,設定!$B$8))</f>
        <v/>
      </c>
      <c r="AI192" s="17"/>
      <c r="AJ192" s="17"/>
      <c r="AK192" s="22"/>
      <c r="AL192" s="23" t="str">
        <f aca="true">IF(C192="","",IF(N192="失注","―",IF(AND(AK192&lt;&gt;"",AK192&lt;TODAY()),"対応期限超過",IF(AND(AF192="",AA192&lt;&gt;"",IF(AA192="",FALSE(),AA192&lt;TODAY())),"納品遅延",IF(AND(AK192&lt;&gt;"",AK192=TODAY()),"本日対応",IF(AND(S192="全開通",X192="",AF192=""),"ヒアリング依頼待ち",IF(AND(X192&lt;&gt;"",Y192="",Z192="",TODAY()-X192&gt;=設定!$B$6),"ヒアリング未回収",IF(AND(Y192&lt;&gt;"",Z192=""),"素材確認待ち",IF(AND(AF192="",AA192&lt;&gt;"",IF(AA192="",FALSE(),AA192-TODAY()&lt;=設定!$B$7)),"納品間近",IF(AND(AH192&lt;&gt;"",IF(AH192="",FALSE(),AH192&lt;=TODAY()),AI192=""),"解約チェック",IF(AF192&lt;&gt;"","納品済","")))))))))))</f>
        <v/>
      </c>
      <c r="AM192" s="17"/>
    </row>
    <row r="193" customFormat="false" ht="15" hidden="false" customHeight="false" outlineLevel="0" collapsed="false">
      <c r="A193" s="12" t="str">
        <f aca="false">IF(C193="","",ROW()-4)</f>
        <v/>
      </c>
      <c r="B193" s="17"/>
      <c r="C193" s="17"/>
      <c r="D193" s="17"/>
      <c r="E193" s="17"/>
      <c r="F193" s="24"/>
      <c r="G193" s="17"/>
      <c r="H193" s="17"/>
      <c r="I193" s="17"/>
      <c r="J193" s="17"/>
      <c r="K193" s="17"/>
      <c r="L193" s="22"/>
      <c r="M193" s="22"/>
      <c r="N193" s="17"/>
      <c r="O193" s="17"/>
      <c r="P193" s="17"/>
      <c r="Q193" s="18" t="str">
        <f aca="false">IF(B193="","",COUNTIFS(開通管理!$B$5:$B$604,B193,開通管理!$O$5:$O$604,"&lt;&gt;キャンセル"))</f>
        <v/>
      </c>
      <c r="R193" s="18" t="str">
        <f aca="false">IF(B193="","",COUNTIFS(開通管理!$B$5:$B$604,B193,開通管理!$O$5:$O$604,"開通済"))</f>
        <v/>
      </c>
      <c r="S193" s="19" t="str">
        <f aca="false">IF(B193="","",IF(Q193=0,"未申込",IF(R193&lt;Q193,"開通待ち（"&amp;R193&amp;"/"&amp;Q193&amp;"）","全開通")))</f>
        <v/>
      </c>
      <c r="T193" s="20" t="str">
        <f aca="false">IF(S193&lt;&gt;"全開通","",_xlfn.MAXIFS(開通管理!$Q$5:$Q$604,開通管理!$B$5:$B$604,B193))</f>
        <v/>
      </c>
      <c r="U193" s="21" t="str">
        <f aca="false">IF(B193="","",SUMIFS(開通管理!$J$5:$J$604,開通管理!$B$5:$B$604,B193,開通管理!$O$5:$O$604,"&lt;&gt;キャンセル"))</f>
        <v/>
      </c>
      <c r="V193" s="22"/>
      <c r="W193" s="12" t="str">
        <f aca="false">IF(OR(B193="",設定!$B$14=""),"",SUBSTITUTE(設定!$B$14,"__ID__",B193))</f>
        <v/>
      </c>
      <c r="X193" s="22"/>
      <c r="Y193" s="22"/>
      <c r="Z193" s="22"/>
      <c r="AA193" s="20" t="str">
        <f aca="false">IF(Z193="","",WORKDAY(Z193,設定!$B$5,設定!$F$5:$F$120))</f>
        <v/>
      </c>
      <c r="AB193" s="17"/>
      <c r="AC193" s="17"/>
      <c r="AD193" s="17"/>
      <c r="AE193" s="17"/>
      <c r="AF193" s="22"/>
      <c r="AG193" s="17"/>
      <c r="AH193" s="20" t="str">
        <f aca="false">IF(T193="","",EDATE(T193,設定!$B$8))</f>
        <v/>
      </c>
      <c r="AI193" s="17"/>
      <c r="AJ193" s="17"/>
      <c r="AK193" s="22"/>
      <c r="AL193" s="23" t="str">
        <f aca="true">IF(C193="","",IF(N193="失注","―",IF(AND(AK193&lt;&gt;"",AK193&lt;TODAY()),"対応期限超過",IF(AND(AF193="",AA193&lt;&gt;"",IF(AA193="",FALSE(),AA193&lt;TODAY())),"納品遅延",IF(AND(AK193&lt;&gt;"",AK193=TODAY()),"本日対応",IF(AND(S193="全開通",X193="",AF193=""),"ヒアリング依頼待ち",IF(AND(X193&lt;&gt;"",Y193="",Z193="",TODAY()-X193&gt;=設定!$B$6),"ヒアリング未回収",IF(AND(Y193&lt;&gt;"",Z193=""),"素材確認待ち",IF(AND(AF193="",AA193&lt;&gt;"",IF(AA193="",FALSE(),AA193-TODAY()&lt;=設定!$B$7)),"納品間近",IF(AND(AH193&lt;&gt;"",IF(AH193="",FALSE(),AH193&lt;=TODAY()),AI193=""),"解約チェック",IF(AF193&lt;&gt;"","納品済","")))))))))))</f>
        <v/>
      </c>
      <c r="AM193" s="17"/>
    </row>
    <row r="194" customFormat="false" ht="15" hidden="false" customHeight="false" outlineLevel="0" collapsed="false">
      <c r="A194" s="12" t="str">
        <f aca="false">IF(C194="","",ROW()-4)</f>
        <v/>
      </c>
      <c r="B194" s="17"/>
      <c r="C194" s="17"/>
      <c r="D194" s="17"/>
      <c r="E194" s="17"/>
      <c r="F194" s="24"/>
      <c r="G194" s="17"/>
      <c r="H194" s="17"/>
      <c r="I194" s="17"/>
      <c r="J194" s="17"/>
      <c r="K194" s="17"/>
      <c r="L194" s="22"/>
      <c r="M194" s="22"/>
      <c r="N194" s="17"/>
      <c r="O194" s="17"/>
      <c r="P194" s="17"/>
      <c r="Q194" s="18" t="str">
        <f aca="false">IF(B194="","",COUNTIFS(開通管理!$B$5:$B$604,B194,開通管理!$O$5:$O$604,"&lt;&gt;キャンセル"))</f>
        <v/>
      </c>
      <c r="R194" s="18" t="str">
        <f aca="false">IF(B194="","",COUNTIFS(開通管理!$B$5:$B$604,B194,開通管理!$O$5:$O$604,"開通済"))</f>
        <v/>
      </c>
      <c r="S194" s="19" t="str">
        <f aca="false">IF(B194="","",IF(Q194=0,"未申込",IF(R194&lt;Q194,"開通待ち（"&amp;R194&amp;"/"&amp;Q194&amp;"）","全開通")))</f>
        <v/>
      </c>
      <c r="T194" s="20" t="str">
        <f aca="false">IF(S194&lt;&gt;"全開通","",_xlfn.MAXIFS(開通管理!$Q$5:$Q$604,開通管理!$B$5:$B$604,B194))</f>
        <v/>
      </c>
      <c r="U194" s="21" t="str">
        <f aca="false">IF(B194="","",SUMIFS(開通管理!$J$5:$J$604,開通管理!$B$5:$B$604,B194,開通管理!$O$5:$O$604,"&lt;&gt;キャンセル"))</f>
        <v/>
      </c>
      <c r="V194" s="22"/>
      <c r="W194" s="12" t="str">
        <f aca="false">IF(OR(B194="",設定!$B$14=""),"",SUBSTITUTE(設定!$B$14,"__ID__",B194))</f>
        <v/>
      </c>
      <c r="X194" s="22"/>
      <c r="Y194" s="22"/>
      <c r="Z194" s="22"/>
      <c r="AA194" s="20" t="str">
        <f aca="false">IF(Z194="","",WORKDAY(Z194,設定!$B$5,設定!$F$5:$F$120))</f>
        <v/>
      </c>
      <c r="AB194" s="17"/>
      <c r="AC194" s="17"/>
      <c r="AD194" s="17"/>
      <c r="AE194" s="17"/>
      <c r="AF194" s="22"/>
      <c r="AG194" s="17"/>
      <c r="AH194" s="20" t="str">
        <f aca="false">IF(T194="","",EDATE(T194,設定!$B$8))</f>
        <v/>
      </c>
      <c r="AI194" s="17"/>
      <c r="AJ194" s="17"/>
      <c r="AK194" s="22"/>
      <c r="AL194" s="23" t="str">
        <f aca="true">IF(C194="","",IF(N194="失注","―",IF(AND(AK194&lt;&gt;"",AK194&lt;TODAY()),"対応期限超過",IF(AND(AF194="",AA194&lt;&gt;"",IF(AA194="",FALSE(),AA194&lt;TODAY())),"納品遅延",IF(AND(AK194&lt;&gt;"",AK194=TODAY()),"本日対応",IF(AND(S194="全開通",X194="",AF194=""),"ヒアリング依頼待ち",IF(AND(X194&lt;&gt;"",Y194="",Z194="",TODAY()-X194&gt;=設定!$B$6),"ヒアリング未回収",IF(AND(Y194&lt;&gt;"",Z194=""),"素材確認待ち",IF(AND(AF194="",AA194&lt;&gt;"",IF(AA194="",FALSE(),AA194-TODAY()&lt;=設定!$B$7)),"納品間近",IF(AND(AH194&lt;&gt;"",IF(AH194="",FALSE(),AH194&lt;=TODAY()),AI194=""),"解約チェック",IF(AF194&lt;&gt;"","納品済","")))))))))))</f>
        <v/>
      </c>
      <c r="AM194" s="17"/>
    </row>
    <row r="195" customFormat="false" ht="15" hidden="false" customHeight="false" outlineLevel="0" collapsed="false">
      <c r="A195" s="12" t="str">
        <f aca="false">IF(C195="","",ROW()-4)</f>
        <v/>
      </c>
      <c r="B195" s="17"/>
      <c r="C195" s="17"/>
      <c r="D195" s="17"/>
      <c r="E195" s="17"/>
      <c r="F195" s="24"/>
      <c r="G195" s="17"/>
      <c r="H195" s="17"/>
      <c r="I195" s="17"/>
      <c r="J195" s="17"/>
      <c r="K195" s="17"/>
      <c r="L195" s="22"/>
      <c r="M195" s="22"/>
      <c r="N195" s="17"/>
      <c r="O195" s="17"/>
      <c r="P195" s="17"/>
      <c r="Q195" s="18" t="str">
        <f aca="false">IF(B195="","",COUNTIFS(開通管理!$B$5:$B$604,B195,開通管理!$O$5:$O$604,"&lt;&gt;キャンセル"))</f>
        <v/>
      </c>
      <c r="R195" s="18" t="str">
        <f aca="false">IF(B195="","",COUNTIFS(開通管理!$B$5:$B$604,B195,開通管理!$O$5:$O$604,"開通済"))</f>
        <v/>
      </c>
      <c r="S195" s="19" t="str">
        <f aca="false">IF(B195="","",IF(Q195=0,"未申込",IF(R195&lt;Q195,"開通待ち（"&amp;R195&amp;"/"&amp;Q195&amp;"）","全開通")))</f>
        <v/>
      </c>
      <c r="T195" s="20" t="str">
        <f aca="false">IF(S195&lt;&gt;"全開通","",_xlfn.MAXIFS(開通管理!$Q$5:$Q$604,開通管理!$B$5:$B$604,B195))</f>
        <v/>
      </c>
      <c r="U195" s="21" t="str">
        <f aca="false">IF(B195="","",SUMIFS(開通管理!$J$5:$J$604,開通管理!$B$5:$B$604,B195,開通管理!$O$5:$O$604,"&lt;&gt;キャンセル"))</f>
        <v/>
      </c>
      <c r="V195" s="22"/>
      <c r="W195" s="12" t="str">
        <f aca="false">IF(OR(B195="",設定!$B$14=""),"",SUBSTITUTE(設定!$B$14,"__ID__",B195))</f>
        <v/>
      </c>
      <c r="X195" s="22"/>
      <c r="Y195" s="22"/>
      <c r="Z195" s="22"/>
      <c r="AA195" s="20" t="str">
        <f aca="false">IF(Z195="","",WORKDAY(Z195,設定!$B$5,設定!$F$5:$F$120))</f>
        <v/>
      </c>
      <c r="AB195" s="17"/>
      <c r="AC195" s="17"/>
      <c r="AD195" s="17"/>
      <c r="AE195" s="17"/>
      <c r="AF195" s="22"/>
      <c r="AG195" s="17"/>
      <c r="AH195" s="20" t="str">
        <f aca="false">IF(T195="","",EDATE(T195,設定!$B$8))</f>
        <v/>
      </c>
      <c r="AI195" s="17"/>
      <c r="AJ195" s="17"/>
      <c r="AK195" s="22"/>
      <c r="AL195" s="23" t="str">
        <f aca="true">IF(C195="","",IF(N195="失注","―",IF(AND(AK195&lt;&gt;"",AK195&lt;TODAY()),"対応期限超過",IF(AND(AF195="",AA195&lt;&gt;"",IF(AA195="",FALSE(),AA195&lt;TODAY())),"納品遅延",IF(AND(AK195&lt;&gt;"",AK195=TODAY()),"本日対応",IF(AND(S195="全開通",X195="",AF195=""),"ヒアリング依頼待ち",IF(AND(X195&lt;&gt;"",Y195="",Z195="",TODAY()-X195&gt;=設定!$B$6),"ヒアリング未回収",IF(AND(Y195&lt;&gt;"",Z195=""),"素材確認待ち",IF(AND(AF195="",AA195&lt;&gt;"",IF(AA195="",FALSE(),AA195-TODAY()&lt;=設定!$B$7)),"納品間近",IF(AND(AH195&lt;&gt;"",IF(AH195="",FALSE(),AH195&lt;=TODAY()),AI195=""),"解約チェック",IF(AF195&lt;&gt;"","納品済","")))))))))))</f>
        <v/>
      </c>
      <c r="AM195" s="17"/>
    </row>
    <row r="196" customFormat="false" ht="15" hidden="false" customHeight="false" outlineLevel="0" collapsed="false">
      <c r="A196" s="12" t="str">
        <f aca="false">IF(C196="","",ROW()-4)</f>
        <v/>
      </c>
      <c r="B196" s="17"/>
      <c r="C196" s="17"/>
      <c r="D196" s="17"/>
      <c r="E196" s="17"/>
      <c r="F196" s="24"/>
      <c r="G196" s="17"/>
      <c r="H196" s="17"/>
      <c r="I196" s="17"/>
      <c r="J196" s="17"/>
      <c r="K196" s="17"/>
      <c r="L196" s="22"/>
      <c r="M196" s="22"/>
      <c r="N196" s="17"/>
      <c r="O196" s="17"/>
      <c r="P196" s="17"/>
      <c r="Q196" s="18" t="str">
        <f aca="false">IF(B196="","",COUNTIFS(開通管理!$B$5:$B$604,B196,開通管理!$O$5:$O$604,"&lt;&gt;キャンセル"))</f>
        <v/>
      </c>
      <c r="R196" s="18" t="str">
        <f aca="false">IF(B196="","",COUNTIFS(開通管理!$B$5:$B$604,B196,開通管理!$O$5:$O$604,"開通済"))</f>
        <v/>
      </c>
      <c r="S196" s="19" t="str">
        <f aca="false">IF(B196="","",IF(Q196=0,"未申込",IF(R196&lt;Q196,"開通待ち（"&amp;R196&amp;"/"&amp;Q196&amp;"）","全開通")))</f>
        <v/>
      </c>
      <c r="T196" s="20" t="str">
        <f aca="false">IF(S196&lt;&gt;"全開通","",_xlfn.MAXIFS(開通管理!$Q$5:$Q$604,開通管理!$B$5:$B$604,B196))</f>
        <v/>
      </c>
      <c r="U196" s="21" t="str">
        <f aca="false">IF(B196="","",SUMIFS(開通管理!$J$5:$J$604,開通管理!$B$5:$B$604,B196,開通管理!$O$5:$O$604,"&lt;&gt;キャンセル"))</f>
        <v/>
      </c>
      <c r="V196" s="22"/>
      <c r="W196" s="12" t="str">
        <f aca="false">IF(OR(B196="",設定!$B$14=""),"",SUBSTITUTE(設定!$B$14,"__ID__",B196))</f>
        <v/>
      </c>
      <c r="X196" s="22"/>
      <c r="Y196" s="22"/>
      <c r="Z196" s="22"/>
      <c r="AA196" s="20" t="str">
        <f aca="false">IF(Z196="","",WORKDAY(Z196,設定!$B$5,設定!$F$5:$F$120))</f>
        <v/>
      </c>
      <c r="AB196" s="17"/>
      <c r="AC196" s="17"/>
      <c r="AD196" s="17"/>
      <c r="AE196" s="17"/>
      <c r="AF196" s="22"/>
      <c r="AG196" s="17"/>
      <c r="AH196" s="20" t="str">
        <f aca="false">IF(T196="","",EDATE(T196,設定!$B$8))</f>
        <v/>
      </c>
      <c r="AI196" s="17"/>
      <c r="AJ196" s="17"/>
      <c r="AK196" s="22"/>
      <c r="AL196" s="23" t="str">
        <f aca="true">IF(C196="","",IF(N196="失注","―",IF(AND(AK196&lt;&gt;"",AK196&lt;TODAY()),"対応期限超過",IF(AND(AF196="",AA196&lt;&gt;"",IF(AA196="",FALSE(),AA196&lt;TODAY())),"納品遅延",IF(AND(AK196&lt;&gt;"",AK196=TODAY()),"本日対応",IF(AND(S196="全開通",X196="",AF196=""),"ヒアリング依頼待ち",IF(AND(X196&lt;&gt;"",Y196="",Z196="",TODAY()-X196&gt;=設定!$B$6),"ヒアリング未回収",IF(AND(Y196&lt;&gt;"",Z196=""),"素材確認待ち",IF(AND(AF196="",AA196&lt;&gt;"",IF(AA196="",FALSE(),AA196-TODAY()&lt;=設定!$B$7)),"納品間近",IF(AND(AH196&lt;&gt;"",IF(AH196="",FALSE(),AH196&lt;=TODAY()),AI196=""),"解約チェック",IF(AF196&lt;&gt;"","納品済","")))))))))))</f>
        <v/>
      </c>
      <c r="AM196" s="17"/>
    </row>
    <row r="197" customFormat="false" ht="15" hidden="false" customHeight="false" outlineLevel="0" collapsed="false">
      <c r="A197" s="12" t="str">
        <f aca="false">IF(C197="","",ROW()-4)</f>
        <v/>
      </c>
      <c r="B197" s="17"/>
      <c r="C197" s="17"/>
      <c r="D197" s="17"/>
      <c r="E197" s="17"/>
      <c r="F197" s="24"/>
      <c r="G197" s="17"/>
      <c r="H197" s="17"/>
      <c r="I197" s="17"/>
      <c r="J197" s="17"/>
      <c r="K197" s="17"/>
      <c r="L197" s="22"/>
      <c r="M197" s="22"/>
      <c r="N197" s="17"/>
      <c r="O197" s="17"/>
      <c r="P197" s="17"/>
      <c r="Q197" s="18" t="str">
        <f aca="false">IF(B197="","",COUNTIFS(開通管理!$B$5:$B$604,B197,開通管理!$O$5:$O$604,"&lt;&gt;キャンセル"))</f>
        <v/>
      </c>
      <c r="R197" s="18" t="str">
        <f aca="false">IF(B197="","",COUNTIFS(開通管理!$B$5:$B$604,B197,開通管理!$O$5:$O$604,"開通済"))</f>
        <v/>
      </c>
      <c r="S197" s="19" t="str">
        <f aca="false">IF(B197="","",IF(Q197=0,"未申込",IF(R197&lt;Q197,"開通待ち（"&amp;R197&amp;"/"&amp;Q197&amp;"）","全開通")))</f>
        <v/>
      </c>
      <c r="T197" s="20" t="str">
        <f aca="false">IF(S197&lt;&gt;"全開通","",_xlfn.MAXIFS(開通管理!$Q$5:$Q$604,開通管理!$B$5:$B$604,B197))</f>
        <v/>
      </c>
      <c r="U197" s="21" t="str">
        <f aca="false">IF(B197="","",SUMIFS(開通管理!$J$5:$J$604,開通管理!$B$5:$B$604,B197,開通管理!$O$5:$O$604,"&lt;&gt;キャンセル"))</f>
        <v/>
      </c>
      <c r="V197" s="22"/>
      <c r="W197" s="12" t="str">
        <f aca="false">IF(OR(B197="",設定!$B$14=""),"",SUBSTITUTE(設定!$B$14,"__ID__",B197))</f>
        <v/>
      </c>
      <c r="X197" s="22"/>
      <c r="Y197" s="22"/>
      <c r="Z197" s="22"/>
      <c r="AA197" s="20" t="str">
        <f aca="false">IF(Z197="","",WORKDAY(Z197,設定!$B$5,設定!$F$5:$F$120))</f>
        <v/>
      </c>
      <c r="AB197" s="17"/>
      <c r="AC197" s="17"/>
      <c r="AD197" s="17"/>
      <c r="AE197" s="17"/>
      <c r="AF197" s="22"/>
      <c r="AG197" s="17"/>
      <c r="AH197" s="20" t="str">
        <f aca="false">IF(T197="","",EDATE(T197,設定!$B$8))</f>
        <v/>
      </c>
      <c r="AI197" s="17"/>
      <c r="AJ197" s="17"/>
      <c r="AK197" s="22"/>
      <c r="AL197" s="23" t="str">
        <f aca="true">IF(C197="","",IF(N197="失注","―",IF(AND(AK197&lt;&gt;"",AK197&lt;TODAY()),"対応期限超過",IF(AND(AF197="",AA197&lt;&gt;"",IF(AA197="",FALSE(),AA197&lt;TODAY())),"納品遅延",IF(AND(AK197&lt;&gt;"",AK197=TODAY()),"本日対応",IF(AND(S197="全開通",X197="",AF197=""),"ヒアリング依頼待ち",IF(AND(X197&lt;&gt;"",Y197="",Z197="",TODAY()-X197&gt;=設定!$B$6),"ヒアリング未回収",IF(AND(Y197&lt;&gt;"",Z197=""),"素材確認待ち",IF(AND(AF197="",AA197&lt;&gt;"",IF(AA197="",FALSE(),AA197-TODAY()&lt;=設定!$B$7)),"納品間近",IF(AND(AH197&lt;&gt;"",IF(AH197="",FALSE(),AH197&lt;=TODAY()),AI197=""),"解約チェック",IF(AF197&lt;&gt;"","納品済","")))))))))))</f>
        <v/>
      </c>
      <c r="AM197" s="17"/>
    </row>
    <row r="198" customFormat="false" ht="15" hidden="false" customHeight="false" outlineLevel="0" collapsed="false">
      <c r="A198" s="12" t="str">
        <f aca="false">IF(C198="","",ROW()-4)</f>
        <v/>
      </c>
      <c r="B198" s="17"/>
      <c r="C198" s="17"/>
      <c r="D198" s="17"/>
      <c r="E198" s="17"/>
      <c r="F198" s="24"/>
      <c r="G198" s="17"/>
      <c r="H198" s="17"/>
      <c r="I198" s="17"/>
      <c r="J198" s="17"/>
      <c r="K198" s="17"/>
      <c r="L198" s="22"/>
      <c r="M198" s="22"/>
      <c r="N198" s="17"/>
      <c r="O198" s="17"/>
      <c r="P198" s="17"/>
      <c r="Q198" s="18" t="str">
        <f aca="false">IF(B198="","",COUNTIFS(開通管理!$B$5:$B$604,B198,開通管理!$O$5:$O$604,"&lt;&gt;キャンセル"))</f>
        <v/>
      </c>
      <c r="R198" s="18" t="str">
        <f aca="false">IF(B198="","",COUNTIFS(開通管理!$B$5:$B$604,B198,開通管理!$O$5:$O$604,"開通済"))</f>
        <v/>
      </c>
      <c r="S198" s="19" t="str">
        <f aca="false">IF(B198="","",IF(Q198=0,"未申込",IF(R198&lt;Q198,"開通待ち（"&amp;R198&amp;"/"&amp;Q198&amp;"）","全開通")))</f>
        <v/>
      </c>
      <c r="T198" s="20" t="str">
        <f aca="false">IF(S198&lt;&gt;"全開通","",_xlfn.MAXIFS(開通管理!$Q$5:$Q$604,開通管理!$B$5:$B$604,B198))</f>
        <v/>
      </c>
      <c r="U198" s="21" t="str">
        <f aca="false">IF(B198="","",SUMIFS(開通管理!$J$5:$J$604,開通管理!$B$5:$B$604,B198,開通管理!$O$5:$O$604,"&lt;&gt;キャンセル"))</f>
        <v/>
      </c>
      <c r="V198" s="22"/>
      <c r="W198" s="12" t="str">
        <f aca="false">IF(OR(B198="",設定!$B$14=""),"",SUBSTITUTE(設定!$B$14,"__ID__",B198))</f>
        <v/>
      </c>
      <c r="X198" s="22"/>
      <c r="Y198" s="22"/>
      <c r="Z198" s="22"/>
      <c r="AA198" s="20" t="str">
        <f aca="false">IF(Z198="","",WORKDAY(Z198,設定!$B$5,設定!$F$5:$F$120))</f>
        <v/>
      </c>
      <c r="AB198" s="17"/>
      <c r="AC198" s="17"/>
      <c r="AD198" s="17"/>
      <c r="AE198" s="17"/>
      <c r="AF198" s="22"/>
      <c r="AG198" s="17"/>
      <c r="AH198" s="20" t="str">
        <f aca="false">IF(T198="","",EDATE(T198,設定!$B$8))</f>
        <v/>
      </c>
      <c r="AI198" s="17"/>
      <c r="AJ198" s="17"/>
      <c r="AK198" s="22"/>
      <c r="AL198" s="23" t="str">
        <f aca="true">IF(C198="","",IF(N198="失注","―",IF(AND(AK198&lt;&gt;"",AK198&lt;TODAY()),"対応期限超過",IF(AND(AF198="",AA198&lt;&gt;"",IF(AA198="",FALSE(),AA198&lt;TODAY())),"納品遅延",IF(AND(AK198&lt;&gt;"",AK198=TODAY()),"本日対応",IF(AND(S198="全開通",X198="",AF198=""),"ヒアリング依頼待ち",IF(AND(X198&lt;&gt;"",Y198="",Z198="",TODAY()-X198&gt;=設定!$B$6),"ヒアリング未回収",IF(AND(Y198&lt;&gt;"",Z198=""),"素材確認待ち",IF(AND(AF198="",AA198&lt;&gt;"",IF(AA198="",FALSE(),AA198-TODAY()&lt;=設定!$B$7)),"納品間近",IF(AND(AH198&lt;&gt;"",IF(AH198="",FALSE(),AH198&lt;=TODAY()),AI198=""),"解約チェック",IF(AF198&lt;&gt;"","納品済","")))))))))))</f>
        <v/>
      </c>
      <c r="AM198" s="17"/>
    </row>
    <row r="199" customFormat="false" ht="15" hidden="false" customHeight="false" outlineLevel="0" collapsed="false">
      <c r="A199" s="12" t="str">
        <f aca="false">IF(C199="","",ROW()-4)</f>
        <v/>
      </c>
      <c r="B199" s="17"/>
      <c r="C199" s="17"/>
      <c r="D199" s="17"/>
      <c r="E199" s="17"/>
      <c r="F199" s="24"/>
      <c r="G199" s="17"/>
      <c r="H199" s="17"/>
      <c r="I199" s="17"/>
      <c r="J199" s="17"/>
      <c r="K199" s="17"/>
      <c r="L199" s="22"/>
      <c r="M199" s="22"/>
      <c r="N199" s="17"/>
      <c r="O199" s="17"/>
      <c r="P199" s="17"/>
      <c r="Q199" s="18" t="str">
        <f aca="false">IF(B199="","",COUNTIFS(開通管理!$B$5:$B$604,B199,開通管理!$O$5:$O$604,"&lt;&gt;キャンセル"))</f>
        <v/>
      </c>
      <c r="R199" s="18" t="str">
        <f aca="false">IF(B199="","",COUNTIFS(開通管理!$B$5:$B$604,B199,開通管理!$O$5:$O$604,"開通済"))</f>
        <v/>
      </c>
      <c r="S199" s="19" t="str">
        <f aca="false">IF(B199="","",IF(Q199=0,"未申込",IF(R199&lt;Q199,"開通待ち（"&amp;R199&amp;"/"&amp;Q199&amp;"）","全開通")))</f>
        <v/>
      </c>
      <c r="T199" s="20" t="str">
        <f aca="false">IF(S199&lt;&gt;"全開通","",_xlfn.MAXIFS(開通管理!$Q$5:$Q$604,開通管理!$B$5:$B$604,B199))</f>
        <v/>
      </c>
      <c r="U199" s="21" t="str">
        <f aca="false">IF(B199="","",SUMIFS(開通管理!$J$5:$J$604,開通管理!$B$5:$B$604,B199,開通管理!$O$5:$O$604,"&lt;&gt;キャンセル"))</f>
        <v/>
      </c>
      <c r="V199" s="22"/>
      <c r="W199" s="12" t="str">
        <f aca="false">IF(OR(B199="",設定!$B$14=""),"",SUBSTITUTE(設定!$B$14,"__ID__",B199))</f>
        <v/>
      </c>
      <c r="X199" s="22"/>
      <c r="Y199" s="22"/>
      <c r="Z199" s="22"/>
      <c r="AA199" s="20" t="str">
        <f aca="false">IF(Z199="","",WORKDAY(Z199,設定!$B$5,設定!$F$5:$F$120))</f>
        <v/>
      </c>
      <c r="AB199" s="17"/>
      <c r="AC199" s="17"/>
      <c r="AD199" s="17"/>
      <c r="AE199" s="17"/>
      <c r="AF199" s="22"/>
      <c r="AG199" s="17"/>
      <c r="AH199" s="20" t="str">
        <f aca="false">IF(T199="","",EDATE(T199,設定!$B$8))</f>
        <v/>
      </c>
      <c r="AI199" s="17"/>
      <c r="AJ199" s="17"/>
      <c r="AK199" s="22"/>
      <c r="AL199" s="23" t="str">
        <f aca="true">IF(C199="","",IF(N199="失注","―",IF(AND(AK199&lt;&gt;"",AK199&lt;TODAY()),"対応期限超過",IF(AND(AF199="",AA199&lt;&gt;"",IF(AA199="",FALSE(),AA199&lt;TODAY())),"納品遅延",IF(AND(AK199&lt;&gt;"",AK199=TODAY()),"本日対応",IF(AND(S199="全開通",X199="",AF199=""),"ヒアリング依頼待ち",IF(AND(X199&lt;&gt;"",Y199="",Z199="",TODAY()-X199&gt;=設定!$B$6),"ヒアリング未回収",IF(AND(Y199&lt;&gt;"",Z199=""),"素材確認待ち",IF(AND(AF199="",AA199&lt;&gt;"",IF(AA199="",FALSE(),AA199-TODAY()&lt;=設定!$B$7)),"納品間近",IF(AND(AH199&lt;&gt;"",IF(AH199="",FALSE(),AH199&lt;=TODAY()),AI199=""),"解約チェック",IF(AF199&lt;&gt;"","納品済","")))))))))))</f>
        <v/>
      </c>
      <c r="AM199" s="17"/>
    </row>
    <row r="200" customFormat="false" ht="15" hidden="false" customHeight="false" outlineLevel="0" collapsed="false">
      <c r="A200" s="12" t="str">
        <f aca="false">IF(C200="","",ROW()-4)</f>
        <v/>
      </c>
      <c r="B200" s="17"/>
      <c r="C200" s="17"/>
      <c r="D200" s="17"/>
      <c r="E200" s="17"/>
      <c r="F200" s="24"/>
      <c r="G200" s="17"/>
      <c r="H200" s="17"/>
      <c r="I200" s="17"/>
      <c r="J200" s="17"/>
      <c r="K200" s="17"/>
      <c r="L200" s="22"/>
      <c r="M200" s="22"/>
      <c r="N200" s="17"/>
      <c r="O200" s="17"/>
      <c r="P200" s="17"/>
      <c r="Q200" s="18" t="str">
        <f aca="false">IF(B200="","",COUNTIFS(開通管理!$B$5:$B$604,B200,開通管理!$O$5:$O$604,"&lt;&gt;キャンセル"))</f>
        <v/>
      </c>
      <c r="R200" s="18" t="str">
        <f aca="false">IF(B200="","",COUNTIFS(開通管理!$B$5:$B$604,B200,開通管理!$O$5:$O$604,"開通済"))</f>
        <v/>
      </c>
      <c r="S200" s="19" t="str">
        <f aca="false">IF(B200="","",IF(Q200=0,"未申込",IF(R200&lt;Q200,"開通待ち（"&amp;R200&amp;"/"&amp;Q200&amp;"）","全開通")))</f>
        <v/>
      </c>
      <c r="T200" s="20" t="str">
        <f aca="false">IF(S200&lt;&gt;"全開通","",_xlfn.MAXIFS(開通管理!$Q$5:$Q$604,開通管理!$B$5:$B$604,B200))</f>
        <v/>
      </c>
      <c r="U200" s="21" t="str">
        <f aca="false">IF(B200="","",SUMIFS(開通管理!$J$5:$J$604,開通管理!$B$5:$B$604,B200,開通管理!$O$5:$O$604,"&lt;&gt;キャンセル"))</f>
        <v/>
      </c>
      <c r="V200" s="22"/>
      <c r="W200" s="12" t="str">
        <f aca="false">IF(OR(B200="",設定!$B$14=""),"",SUBSTITUTE(設定!$B$14,"__ID__",B200))</f>
        <v/>
      </c>
      <c r="X200" s="22"/>
      <c r="Y200" s="22"/>
      <c r="Z200" s="22"/>
      <c r="AA200" s="20" t="str">
        <f aca="false">IF(Z200="","",WORKDAY(Z200,設定!$B$5,設定!$F$5:$F$120))</f>
        <v/>
      </c>
      <c r="AB200" s="17"/>
      <c r="AC200" s="17"/>
      <c r="AD200" s="17"/>
      <c r="AE200" s="17"/>
      <c r="AF200" s="22"/>
      <c r="AG200" s="17"/>
      <c r="AH200" s="20" t="str">
        <f aca="false">IF(T200="","",EDATE(T200,設定!$B$8))</f>
        <v/>
      </c>
      <c r="AI200" s="17"/>
      <c r="AJ200" s="17"/>
      <c r="AK200" s="22"/>
      <c r="AL200" s="23" t="str">
        <f aca="true">IF(C200="","",IF(N200="失注","―",IF(AND(AK200&lt;&gt;"",AK200&lt;TODAY()),"対応期限超過",IF(AND(AF200="",AA200&lt;&gt;"",IF(AA200="",FALSE(),AA200&lt;TODAY())),"納品遅延",IF(AND(AK200&lt;&gt;"",AK200=TODAY()),"本日対応",IF(AND(S200="全開通",X200="",AF200=""),"ヒアリング依頼待ち",IF(AND(X200&lt;&gt;"",Y200="",Z200="",TODAY()-X200&gt;=設定!$B$6),"ヒアリング未回収",IF(AND(Y200&lt;&gt;"",Z200=""),"素材確認待ち",IF(AND(AF200="",AA200&lt;&gt;"",IF(AA200="",FALSE(),AA200-TODAY()&lt;=設定!$B$7)),"納品間近",IF(AND(AH200&lt;&gt;"",IF(AH200="",FALSE(),AH200&lt;=TODAY()),AI200=""),"解約チェック",IF(AF200&lt;&gt;"","納品済","")))))))))))</f>
        <v/>
      </c>
      <c r="AM200" s="17"/>
    </row>
    <row r="201" customFormat="false" ht="15" hidden="false" customHeight="false" outlineLevel="0" collapsed="false">
      <c r="A201" s="12" t="str">
        <f aca="false">IF(C201="","",ROW()-4)</f>
        <v/>
      </c>
      <c r="B201" s="17"/>
      <c r="C201" s="17"/>
      <c r="D201" s="17"/>
      <c r="E201" s="17"/>
      <c r="F201" s="24"/>
      <c r="G201" s="17"/>
      <c r="H201" s="17"/>
      <c r="I201" s="17"/>
      <c r="J201" s="17"/>
      <c r="K201" s="17"/>
      <c r="L201" s="22"/>
      <c r="M201" s="22"/>
      <c r="N201" s="17"/>
      <c r="O201" s="17"/>
      <c r="P201" s="17"/>
      <c r="Q201" s="18" t="str">
        <f aca="false">IF(B201="","",COUNTIFS(開通管理!$B$5:$B$604,B201,開通管理!$O$5:$O$604,"&lt;&gt;キャンセル"))</f>
        <v/>
      </c>
      <c r="R201" s="18" t="str">
        <f aca="false">IF(B201="","",COUNTIFS(開通管理!$B$5:$B$604,B201,開通管理!$O$5:$O$604,"開通済"))</f>
        <v/>
      </c>
      <c r="S201" s="19" t="str">
        <f aca="false">IF(B201="","",IF(Q201=0,"未申込",IF(R201&lt;Q201,"開通待ち（"&amp;R201&amp;"/"&amp;Q201&amp;"）","全開通")))</f>
        <v/>
      </c>
      <c r="T201" s="20" t="str">
        <f aca="false">IF(S201&lt;&gt;"全開通","",_xlfn.MAXIFS(開通管理!$Q$5:$Q$604,開通管理!$B$5:$B$604,B201))</f>
        <v/>
      </c>
      <c r="U201" s="21" t="str">
        <f aca="false">IF(B201="","",SUMIFS(開通管理!$J$5:$J$604,開通管理!$B$5:$B$604,B201,開通管理!$O$5:$O$604,"&lt;&gt;キャンセル"))</f>
        <v/>
      </c>
      <c r="V201" s="22"/>
      <c r="W201" s="12" t="str">
        <f aca="false">IF(OR(B201="",設定!$B$14=""),"",SUBSTITUTE(設定!$B$14,"__ID__",B201))</f>
        <v/>
      </c>
      <c r="X201" s="22"/>
      <c r="Y201" s="22"/>
      <c r="Z201" s="22"/>
      <c r="AA201" s="20" t="str">
        <f aca="false">IF(Z201="","",WORKDAY(Z201,設定!$B$5,設定!$F$5:$F$120))</f>
        <v/>
      </c>
      <c r="AB201" s="17"/>
      <c r="AC201" s="17"/>
      <c r="AD201" s="17"/>
      <c r="AE201" s="17"/>
      <c r="AF201" s="22"/>
      <c r="AG201" s="17"/>
      <c r="AH201" s="20" t="str">
        <f aca="false">IF(T201="","",EDATE(T201,設定!$B$8))</f>
        <v/>
      </c>
      <c r="AI201" s="17"/>
      <c r="AJ201" s="17"/>
      <c r="AK201" s="22"/>
      <c r="AL201" s="23" t="str">
        <f aca="true">IF(C201="","",IF(N201="失注","―",IF(AND(AK201&lt;&gt;"",AK201&lt;TODAY()),"対応期限超過",IF(AND(AF201="",AA201&lt;&gt;"",IF(AA201="",FALSE(),AA201&lt;TODAY())),"納品遅延",IF(AND(AK201&lt;&gt;"",AK201=TODAY()),"本日対応",IF(AND(S201="全開通",X201="",AF201=""),"ヒアリング依頼待ち",IF(AND(X201&lt;&gt;"",Y201="",Z201="",TODAY()-X201&gt;=設定!$B$6),"ヒアリング未回収",IF(AND(Y201&lt;&gt;"",Z201=""),"素材確認待ち",IF(AND(AF201="",AA201&lt;&gt;"",IF(AA201="",FALSE(),AA201-TODAY()&lt;=設定!$B$7)),"納品間近",IF(AND(AH201&lt;&gt;"",IF(AH201="",FALSE(),AH201&lt;=TODAY()),AI201=""),"解約チェック",IF(AF201&lt;&gt;"","納品済","")))))))))))</f>
        <v/>
      </c>
      <c r="AM201" s="17"/>
    </row>
    <row r="202" customFormat="false" ht="15" hidden="false" customHeight="false" outlineLevel="0" collapsed="false">
      <c r="A202" s="12" t="str">
        <f aca="false">IF(C202="","",ROW()-4)</f>
        <v/>
      </c>
      <c r="B202" s="17"/>
      <c r="C202" s="17"/>
      <c r="D202" s="17"/>
      <c r="E202" s="17"/>
      <c r="F202" s="24"/>
      <c r="G202" s="17"/>
      <c r="H202" s="17"/>
      <c r="I202" s="17"/>
      <c r="J202" s="17"/>
      <c r="K202" s="17"/>
      <c r="L202" s="22"/>
      <c r="M202" s="22"/>
      <c r="N202" s="17"/>
      <c r="O202" s="17"/>
      <c r="P202" s="17"/>
      <c r="Q202" s="18" t="str">
        <f aca="false">IF(B202="","",COUNTIFS(開通管理!$B$5:$B$604,B202,開通管理!$O$5:$O$604,"&lt;&gt;キャンセル"))</f>
        <v/>
      </c>
      <c r="R202" s="18" t="str">
        <f aca="false">IF(B202="","",COUNTIFS(開通管理!$B$5:$B$604,B202,開通管理!$O$5:$O$604,"開通済"))</f>
        <v/>
      </c>
      <c r="S202" s="19" t="str">
        <f aca="false">IF(B202="","",IF(Q202=0,"未申込",IF(R202&lt;Q202,"開通待ち（"&amp;R202&amp;"/"&amp;Q202&amp;"）","全開通")))</f>
        <v/>
      </c>
      <c r="T202" s="20" t="str">
        <f aca="false">IF(S202&lt;&gt;"全開通","",_xlfn.MAXIFS(開通管理!$Q$5:$Q$604,開通管理!$B$5:$B$604,B202))</f>
        <v/>
      </c>
      <c r="U202" s="21" t="str">
        <f aca="false">IF(B202="","",SUMIFS(開通管理!$J$5:$J$604,開通管理!$B$5:$B$604,B202,開通管理!$O$5:$O$604,"&lt;&gt;キャンセル"))</f>
        <v/>
      </c>
      <c r="V202" s="22"/>
      <c r="W202" s="12" t="str">
        <f aca="false">IF(OR(B202="",設定!$B$14=""),"",SUBSTITUTE(設定!$B$14,"__ID__",B202))</f>
        <v/>
      </c>
      <c r="X202" s="22"/>
      <c r="Y202" s="22"/>
      <c r="Z202" s="22"/>
      <c r="AA202" s="20" t="str">
        <f aca="false">IF(Z202="","",WORKDAY(Z202,設定!$B$5,設定!$F$5:$F$120))</f>
        <v/>
      </c>
      <c r="AB202" s="17"/>
      <c r="AC202" s="17"/>
      <c r="AD202" s="17"/>
      <c r="AE202" s="17"/>
      <c r="AF202" s="22"/>
      <c r="AG202" s="17"/>
      <c r="AH202" s="20" t="str">
        <f aca="false">IF(T202="","",EDATE(T202,設定!$B$8))</f>
        <v/>
      </c>
      <c r="AI202" s="17"/>
      <c r="AJ202" s="17"/>
      <c r="AK202" s="22"/>
      <c r="AL202" s="23" t="str">
        <f aca="true">IF(C202="","",IF(N202="失注","―",IF(AND(AK202&lt;&gt;"",AK202&lt;TODAY()),"対応期限超過",IF(AND(AF202="",AA202&lt;&gt;"",IF(AA202="",FALSE(),AA202&lt;TODAY())),"納品遅延",IF(AND(AK202&lt;&gt;"",AK202=TODAY()),"本日対応",IF(AND(S202="全開通",X202="",AF202=""),"ヒアリング依頼待ち",IF(AND(X202&lt;&gt;"",Y202="",Z202="",TODAY()-X202&gt;=設定!$B$6),"ヒアリング未回収",IF(AND(Y202&lt;&gt;"",Z202=""),"素材確認待ち",IF(AND(AF202="",AA202&lt;&gt;"",IF(AA202="",FALSE(),AA202-TODAY()&lt;=設定!$B$7)),"納品間近",IF(AND(AH202&lt;&gt;"",IF(AH202="",FALSE(),AH202&lt;=TODAY()),AI202=""),"解約チェック",IF(AF202&lt;&gt;"","納品済","")))))))))))</f>
        <v/>
      </c>
      <c r="AM202" s="17"/>
    </row>
    <row r="203" customFormat="false" ht="15" hidden="false" customHeight="false" outlineLevel="0" collapsed="false">
      <c r="A203" s="12" t="str">
        <f aca="false">IF(C203="","",ROW()-4)</f>
        <v/>
      </c>
      <c r="B203" s="17"/>
      <c r="C203" s="17"/>
      <c r="D203" s="17"/>
      <c r="E203" s="17"/>
      <c r="F203" s="24"/>
      <c r="G203" s="17"/>
      <c r="H203" s="17"/>
      <c r="I203" s="17"/>
      <c r="J203" s="17"/>
      <c r="K203" s="17"/>
      <c r="L203" s="22"/>
      <c r="M203" s="22"/>
      <c r="N203" s="17"/>
      <c r="O203" s="17"/>
      <c r="P203" s="17"/>
      <c r="Q203" s="18" t="str">
        <f aca="false">IF(B203="","",COUNTIFS(開通管理!$B$5:$B$604,B203,開通管理!$O$5:$O$604,"&lt;&gt;キャンセル"))</f>
        <v/>
      </c>
      <c r="R203" s="18" t="str">
        <f aca="false">IF(B203="","",COUNTIFS(開通管理!$B$5:$B$604,B203,開通管理!$O$5:$O$604,"開通済"))</f>
        <v/>
      </c>
      <c r="S203" s="19" t="str">
        <f aca="false">IF(B203="","",IF(Q203=0,"未申込",IF(R203&lt;Q203,"開通待ち（"&amp;R203&amp;"/"&amp;Q203&amp;"）","全開通")))</f>
        <v/>
      </c>
      <c r="T203" s="20" t="str">
        <f aca="false">IF(S203&lt;&gt;"全開通","",_xlfn.MAXIFS(開通管理!$Q$5:$Q$604,開通管理!$B$5:$B$604,B203))</f>
        <v/>
      </c>
      <c r="U203" s="21" t="str">
        <f aca="false">IF(B203="","",SUMIFS(開通管理!$J$5:$J$604,開通管理!$B$5:$B$604,B203,開通管理!$O$5:$O$604,"&lt;&gt;キャンセル"))</f>
        <v/>
      </c>
      <c r="V203" s="22"/>
      <c r="W203" s="12" t="str">
        <f aca="false">IF(OR(B203="",設定!$B$14=""),"",SUBSTITUTE(設定!$B$14,"__ID__",B203))</f>
        <v/>
      </c>
      <c r="X203" s="22"/>
      <c r="Y203" s="22"/>
      <c r="Z203" s="22"/>
      <c r="AA203" s="20" t="str">
        <f aca="false">IF(Z203="","",WORKDAY(Z203,設定!$B$5,設定!$F$5:$F$120))</f>
        <v/>
      </c>
      <c r="AB203" s="17"/>
      <c r="AC203" s="17"/>
      <c r="AD203" s="17"/>
      <c r="AE203" s="17"/>
      <c r="AF203" s="22"/>
      <c r="AG203" s="17"/>
      <c r="AH203" s="20" t="str">
        <f aca="false">IF(T203="","",EDATE(T203,設定!$B$8))</f>
        <v/>
      </c>
      <c r="AI203" s="17"/>
      <c r="AJ203" s="17"/>
      <c r="AK203" s="22"/>
      <c r="AL203" s="23" t="str">
        <f aca="true">IF(C203="","",IF(N203="失注","―",IF(AND(AK203&lt;&gt;"",AK203&lt;TODAY()),"対応期限超過",IF(AND(AF203="",AA203&lt;&gt;"",IF(AA203="",FALSE(),AA203&lt;TODAY())),"納品遅延",IF(AND(AK203&lt;&gt;"",AK203=TODAY()),"本日対応",IF(AND(S203="全開通",X203="",AF203=""),"ヒアリング依頼待ち",IF(AND(X203&lt;&gt;"",Y203="",Z203="",TODAY()-X203&gt;=設定!$B$6),"ヒアリング未回収",IF(AND(Y203&lt;&gt;"",Z203=""),"素材確認待ち",IF(AND(AF203="",AA203&lt;&gt;"",IF(AA203="",FALSE(),AA203-TODAY()&lt;=設定!$B$7)),"納品間近",IF(AND(AH203&lt;&gt;"",IF(AH203="",FALSE(),AH203&lt;=TODAY()),AI203=""),"解約チェック",IF(AF203&lt;&gt;"","納品済","")))))))))))</f>
        <v/>
      </c>
      <c r="AM203" s="17"/>
    </row>
    <row r="204" customFormat="false" ht="15" hidden="false" customHeight="false" outlineLevel="0" collapsed="false">
      <c r="A204" s="12" t="str">
        <f aca="false">IF(C204="","",ROW()-4)</f>
        <v/>
      </c>
      <c r="B204" s="17"/>
      <c r="C204" s="17"/>
      <c r="D204" s="17"/>
      <c r="E204" s="17"/>
      <c r="F204" s="24"/>
      <c r="G204" s="17"/>
      <c r="H204" s="17"/>
      <c r="I204" s="17"/>
      <c r="J204" s="17"/>
      <c r="K204" s="17"/>
      <c r="L204" s="22"/>
      <c r="M204" s="22"/>
      <c r="N204" s="17"/>
      <c r="O204" s="17"/>
      <c r="P204" s="17"/>
      <c r="Q204" s="18" t="str">
        <f aca="false">IF(B204="","",COUNTIFS(開通管理!$B$5:$B$604,B204,開通管理!$O$5:$O$604,"&lt;&gt;キャンセル"))</f>
        <v/>
      </c>
      <c r="R204" s="18" t="str">
        <f aca="false">IF(B204="","",COUNTIFS(開通管理!$B$5:$B$604,B204,開通管理!$O$5:$O$604,"開通済"))</f>
        <v/>
      </c>
      <c r="S204" s="19" t="str">
        <f aca="false">IF(B204="","",IF(Q204=0,"未申込",IF(R204&lt;Q204,"開通待ち（"&amp;R204&amp;"/"&amp;Q204&amp;"）","全開通")))</f>
        <v/>
      </c>
      <c r="T204" s="20" t="str">
        <f aca="false">IF(S204&lt;&gt;"全開通","",_xlfn.MAXIFS(開通管理!$Q$5:$Q$604,開通管理!$B$5:$B$604,B204))</f>
        <v/>
      </c>
      <c r="U204" s="21" t="str">
        <f aca="false">IF(B204="","",SUMIFS(開通管理!$J$5:$J$604,開通管理!$B$5:$B$604,B204,開通管理!$O$5:$O$604,"&lt;&gt;キャンセル"))</f>
        <v/>
      </c>
      <c r="V204" s="22"/>
      <c r="W204" s="12" t="str">
        <f aca="false">IF(OR(B204="",設定!$B$14=""),"",SUBSTITUTE(設定!$B$14,"__ID__",B204))</f>
        <v/>
      </c>
      <c r="X204" s="22"/>
      <c r="Y204" s="22"/>
      <c r="Z204" s="22"/>
      <c r="AA204" s="20" t="str">
        <f aca="false">IF(Z204="","",WORKDAY(Z204,設定!$B$5,設定!$F$5:$F$120))</f>
        <v/>
      </c>
      <c r="AB204" s="17"/>
      <c r="AC204" s="17"/>
      <c r="AD204" s="17"/>
      <c r="AE204" s="17"/>
      <c r="AF204" s="22"/>
      <c r="AG204" s="17"/>
      <c r="AH204" s="20" t="str">
        <f aca="false">IF(T204="","",EDATE(T204,設定!$B$8))</f>
        <v/>
      </c>
      <c r="AI204" s="17"/>
      <c r="AJ204" s="17"/>
      <c r="AK204" s="22"/>
      <c r="AL204" s="23" t="str">
        <f aca="true">IF(C204="","",IF(N204="失注","―",IF(AND(AK204&lt;&gt;"",AK204&lt;TODAY()),"対応期限超過",IF(AND(AF204="",AA204&lt;&gt;"",IF(AA204="",FALSE(),AA204&lt;TODAY())),"納品遅延",IF(AND(AK204&lt;&gt;"",AK204=TODAY()),"本日対応",IF(AND(S204="全開通",X204="",AF204=""),"ヒアリング依頼待ち",IF(AND(X204&lt;&gt;"",Y204="",Z204="",TODAY()-X204&gt;=設定!$B$6),"ヒアリング未回収",IF(AND(Y204&lt;&gt;"",Z204=""),"素材確認待ち",IF(AND(AF204="",AA204&lt;&gt;"",IF(AA204="",FALSE(),AA204-TODAY()&lt;=設定!$B$7)),"納品間近",IF(AND(AH204&lt;&gt;"",IF(AH204="",FALSE(),AH204&lt;=TODAY()),AI204=""),"解約チェック",IF(AF204&lt;&gt;"","納品済","")))))))))))</f>
        <v/>
      </c>
      <c r="AM204" s="17"/>
    </row>
    <row r="205" customFormat="false" ht="15" hidden="false" customHeight="false" outlineLevel="0" collapsed="false">
      <c r="A205" s="12" t="str">
        <f aca="false">IF(C205="","",ROW()-4)</f>
        <v/>
      </c>
      <c r="B205" s="17"/>
      <c r="C205" s="17"/>
      <c r="D205" s="17"/>
      <c r="E205" s="17"/>
      <c r="F205" s="24"/>
      <c r="G205" s="17"/>
      <c r="H205" s="17"/>
      <c r="I205" s="17"/>
      <c r="J205" s="17"/>
      <c r="K205" s="17"/>
      <c r="L205" s="22"/>
      <c r="M205" s="22"/>
      <c r="N205" s="17"/>
      <c r="O205" s="17"/>
      <c r="P205" s="17"/>
      <c r="Q205" s="18" t="str">
        <f aca="false">IF(B205="","",COUNTIFS(開通管理!$B$5:$B$604,B205,開通管理!$O$5:$O$604,"&lt;&gt;キャンセル"))</f>
        <v/>
      </c>
      <c r="R205" s="18" t="str">
        <f aca="false">IF(B205="","",COUNTIFS(開通管理!$B$5:$B$604,B205,開通管理!$O$5:$O$604,"開通済"))</f>
        <v/>
      </c>
      <c r="S205" s="19" t="str">
        <f aca="false">IF(B205="","",IF(Q205=0,"未申込",IF(R205&lt;Q205,"開通待ち（"&amp;R205&amp;"/"&amp;Q205&amp;"）","全開通")))</f>
        <v/>
      </c>
      <c r="T205" s="20" t="str">
        <f aca="false">IF(S205&lt;&gt;"全開通","",_xlfn.MAXIFS(開通管理!$Q$5:$Q$604,開通管理!$B$5:$B$604,B205))</f>
        <v/>
      </c>
      <c r="U205" s="21" t="str">
        <f aca="false">IF(B205="","",SUMIFS(開通管理!$J$5:$J$604,開通管理!$B$5:$B$604,B205,開通管理!$O$5:$O$604,"&lt;&gt;キャンセル"))</f>
        <v/>
      </c>
      <c r="V205" s="22"/>
      <c r="W205" s="12" t="str">
        <f aca="false">IF(OR(B205="",設定!$B$14=""),"",SUBSTITUTE(設定!$B$14,"__ID__",B205))</f>
        <v/>
      </c>
      <c r="X205" s="22"/>
      <c r="Y205" s="22"/>
      <c r="Z205" s="22"/>
      <c r="AA205" s="20" t="str">
        <f aca="false">IF(Z205="","",WORKDAY(Z205,設定!$B$5,設定!$F$5:$F$120))</f>
        <v/>
      </c>
      <c r="AB205" s="17"/>
      <c r="AC205" s="17"/>
      <c r="AD205" s="17"/>
      <c r="AE205" s="17"/>
      <c r="AF205" s="22"/>
      <c r="AG205" s="17"/>
      <c r="AH205" s="20" t="str">
        <f aca="false">IF(T205="","",EDATE(T205,設定!$B$8))</f>
        <v/>
      </c>
      <c r="AI205" s="17"/>
      <c r="AJ205" s="17"/>
      <c r="AK205" s="22"/>
      <c r="AL205" s="23" t="str">
        <f aca="true">IF(C205="","",IF(N205="失注","―",IF(AND(AK205&lt;&gt;"",AK205&lt;TODAY()),"対応期限超過",IF(AND(AF205="",AA205&lt;&gt;"",IF(AA205="",FALSE(),AA205&lt;TODAY())),"納品遅延",IF(AND(AK205&lt;&gt;"",AK205=TODAY()),"本日対応",IF(AND(S205="全開通",X205="",AF205=""),"ヒアリング依頼待ち",IF(AND(X205&lt;&gt;"",Y205="",Z205="",TODAY()-X205&gt;=設定!$B$6),"ヒアリング未回収",IF(AND(Y205&lt;&gt;"",Z205=""),"素材確認待ち",IF(AND(AF205="",AA205&lt;&gt;"",IF(AA205="",FALSE(),AA205-TODAY()&lt;=設定!$B$7)),"納品間近",IF(AND(AH205&lt;&gt;"",IF(AH205="",FALSE(),AH205&lt;=TODAY()),AI205=""),"解約チェック",IF(AF205&lt;&gt;"","納品済","")))))))))))</f>
        <v/>
      </c>
      <c r="AM205" s="17"/>
    </row>
    <row r="206" customFormat="false" ht="15" hidden="false" customHeight="false" outlineLevel="0" collapsed="false">
      <c r="A206" s="12" t="str">
        <f aca="false">IF(C206="","",ROW()-4)</f>
        <v/>
      </c>
      <c r="B206" s="17"/>
      <c r="C206" s="17"/>
      <c r="D206" s="17"/>
      <c r="E206" s="17"/>
      <c r="F206" s="24"/>
      <c r="G206" s="17"/>
      <c r="H206" s="17"/>
      <c r="I206" s="17"/>
      <c r="J206" s="17"/>
      <c r="K206" s="17"/>
      <c r="L206" s="22"/>
      <c r="M206" s="22"/>
      <c r="N206" s="17"/>
      <c r="O206" s="17"/>
      <c r="P206" s="17"/>
      <c r="Q206" s="18" t="str">
        <f aca="false">IF(B206="","",COUNTIFS(開通管理!$B$5:$B$604,B206,開通管理!$O$5:$O$604,"&lt;&gt;キャンセル"))</f>
        <v/>
      </c>
      <c r="R206" s="18" t="str">
        <f aca="false">IF(B206="","",COUNTIFS(開通管理!$B$5:$B$604,B206,開通管理!$O$5:$O$604,"開通済"))</f>
        <v/>
      </c>
      <c r="S206" s="19" t="str">
        <f aca="false">IF(B206="","",IF(Q206=0,"未申込",IF(R206&lt;Q206,"開通待ち（"&amp;R206&amp;"/"&amp;Q206&amp;"）","全開通")))</f>
        <v/>
      </c>
      <c r="T206" s="20" t="str">
        <f aca="false">IF(S206&lt;&gt;"全開通","",_xlfn.MAXIFS(開通管理!$Q$5:$Q$604,開通管理!$B$5:$B$604,B206))</f>
        <v/>
      </c>
      <c r="U206" s="21" t="str">
        <f aca="false">IF(B206="","",SUMIFS(開通管理!$J$5:$J$604,開通管理!$B$5:$B$604,B206,開通管理!$O$5:$O$604,"&lt;&gt;キャンセル"))</f>
        <v/>
      </c>
      <c r="V206" s="22"/>
      <c r="W206" s="12" t="str">
        <f aca="false">IF(OR(B206="",設定!$B$14=""),"",SUBSTITUTE(設定!$B$14,"__ID__",B206))</f>
        <v/>
      </c>
      <c r="X206" s="22"/>
      <c r="Y206" s="22"/>
      <c r="Z206" s="22"/>
      <c r="AA206" s="20" t="str">
        <f aca="false">IF(Z206="","",WORKDAY(Z206,設定!$B$5,設定!$F$5:$F$120))</f>
        <v/>
      </c>
      <c r="AB206" s="17"/>
      <c r="AC206" s="17"/>
      <c r="AD206" s="17"/>
      <c r="AE206" s="17"/>
      <c r="AF206" s="22"/>
      <c r="AG206" s="17"/>
      <c r="AH206" s="20" t="str">
        <f aca="false">IF(T206="","",EDATE(T206,設定!$B$8))</f>
        <v/>
      </c>
      <c r="AI206" s="17"/>
      <c r="AJ206" s="17"/>
      <c r="AK206" s="22"/>
      <c r="AL206" s="23" t="str">
        <f aca="true">IF(C206="","",IF(N206="失注","―",IF(AND(AK206&lt;&gt;"",AK206&lt;TODAY()),"対応期限超過",IF(AND(AF206="",AA206&lt;&gt;"",IF(AA206="",FALSE(),AA206&lt;TODAY())),"納品遅延",IF(AND(AK206&lt;&gt;"",AK206=TODAY()),"本日対応",IF(AND(S206="全開通",X206="",AF206=""),"ヒアリング依頼待ち",IF(AND(X206&lt;&gt;"",Y206="",Z206="",TODAY()-X206&gt;=設定!$B$6),"ヒアリング未回収",IF(AND(Y206&lt;&gt;"",Z206=""),"素材確認待ち",IF(AND(AF206="",AA206&lt;&gt;"",IF(AA206="",FALSE(),AA206-TODAY()&lt;=設定!$B$7)),"納品間近",IF(AND(AH206&lt;&gt;"",IF(AH206="",FALSE(),AH206&lt;=TODAY()),AI206=""),"解約チェック",IF(AF206&lt;&gt;"","納品済","")))))))))))</f>
        <v/>
      </c>
      <c r="AM206" s="17"/>
    </row>
    <row r="207" customFormat="false" ht="15" hidden="false" customHeight="false" outlineLevel="0" collapsed="false">
      <c r="A207" s="12" t="str">
        <f aca="false">IF(C207="","",ROW()-4)</f>
        <v/>
      </c>
      <c r="B207" s="17"/>
      <c r="C207" s="17"/>
      <c r="D207" s="17"/>
      <c r="E207" s="17"/>
      <c r="F207" s="24"/>
      <c r="G207" s="17"/>
      <c r="H207" s="17"/>
      <c r="I207" s="17"/>
      <c r="J207" s="17"/>
      <c r="K207" s="17"/>
      <c r="L207" s="22"/>
      <c r="M207" s="22"/>
      <c r="N207" s="17"/>
      <c r="O207" s="17"/>
      <c r="P207" s="17"/>
      <c r="Q207" s="18" t="str">
        <f aca="false">IF(B207="","",COUNTIFS(開通管理!$B$5:$B$604,B207,開通管理!$O$5:$O$604,"&lt;&gt;キャンセル"))</f>
        <v/>
      </c>
      <c r="R207" s="18" t="str">
        <f aca="false">IF(B207="","",COUNTIFS(開通管理!$B$5:$B$604,B207,開通管理!$O$5:$O$604,"開通済"))</f>
        <v/>
      </c>
      <c r="S207" s="19" t="str">
        <f aca="false">IF(B207="","",IF(Q207=0,"未申込",IF(R207&lt;Q207,"開通待ち（"&amp;R207&amp;"/"&amp;Q207&amp;"）","全開通")))</f>
        <v/>
      </c>
      <c r="T207" s="20" t="str">
        <f aca="false">IF(S207&lt;&gt;"全開通","",_xlfn.MAXIFS(開通管理!$Q$5:$Q$604,開通管理!$B$5:$B$604,B207))</f>
        <v/>
      </c>
      <c r="U207" s="21" t="str">
        <f aca="false">IF(B207="","",SUMIFS(開通管理!$J$5:$J$604,開通管理!$B$5:$B$604,B207,開通管理!$O$5:$O$604,"&lt;&gt;キャンセル"))</f>
        <v/>
      </c>
      <c r="V207" s="22"/>
      <c r="W207" s="12" t="str">
        <f aca="false">IF(OR(B207="",設定!$B$14=""),"",SUBSTITUTE(設定!$B$14,"__ID__",B207))</f>
        <v/>
      </c>
      <c r="X207" s="22"/>
      <c r="Y207" s="22"/>
      <c r="Z207" s="22"/>
      <c r="AA207" s="20" t="str">
        <f aca="false">IF(Z207="","",WORKDAY(Z207,設定!$B$5,設定!$F$5:$F$120))</f>
        <v/>
      </c>
      <c r="AB207" s="17"/>
      <c r="AC207" s="17"/>
      <c r="AD207" s="17"/>
      <c r="AE207" s="17"/>
      <c r="AF207" s="22"/>
      <c r="AG207" s="17"/>
      <c r="AH207" s="20" t="str">
        <f aca="false">IF(T207="","",EDATE(T207,設定!$B$8))</f>
        <v/>
      </c>
      <c r="AI207" s="17"/>
      <c r="AJ207" s="17"/>
      <c r="AK207" s="22"/>
      <c r="AL207" s="23" t="str">
        <f aca="true">IF(C207="","",IF(N207="失注","―",IF(AND(AK207&lt;&gt;"",AK207&lt;TODAY()),"対応期限超過",IF(AND(AF207="",AA207&lt;&gt;"",IF(AA207="",FALSE(),AA207&lt;TODAY())),"納品遅延",IF(AND(AK207&lt;&gt;"",AK207=TODAY()),"本日対応",IF(AND(S207="全開通",X207="",AF207=""),"ヒアリング依頼待ち",IF(AND(X207&lt;&gt;"",Y207="",Z207="",TODAY()-X207&gt;=設定!$B$6),"ヒアリング未回収",IF(AND(Y207&lt;&gt;"",Z207=""),"素材確認待ち",IF(AND(AF207="",AA207&lt;&gt;"",IF(AA207="",FALSE(),AA207-TODAY()&lt;=設定!$B$7)),"納品間近",IF(AND(AH207&lt;&gt;"",IF(AH207="",FALSE(),AH207&lt;=TODAY()),AI207=""),"解約チェック",IF(AF207&lt;&gt;"","納品済","")))))))))))</f>
        <v/>
      </c>
      <c r="AM207" s="17"/>
    </row>
    <row r="208" customFormat="false" ht="15" hidden="false" customHeight="false" outlineLevel="0" collapsed="false">
      <c r="A208" s="12" t="str">
        <f aca="false">IF(C208="","",ROW()-4)</f>
        <v/>
      </c>
      <c r="B208" s="17"/>
      <c r="C208" s="17"/>
      <c r="D208" s="17"/>
      <c r="E208" s="17"/>
      <c r="F208" s="24"/>
      <c r="G208" s="17"/>
      <c r="H208" s="17"/>
      <c r="I208" s="17"/>
      <c r="J208" s="17"/>
      <c r="K208" s="17"/>
      <c r="L208" s="22"/>
      <c r="M208" s="22"/>
      <c r="N208" s="17"/>
      <c r="O208" s="17"/>
      <c r="P208" s="17"/>
      <c r="Q208" s="18" t="str">
        <f aca="false">IF(B208="","",COUNTIFS(開通管理!$B$5:$B$604,B208,開通管理!$O$5:$O$604,"&lt;&gt;キャンセル"))</f>
        <v/>
      </c>
      <c r="R208" s="18" t="str">
        <f aca="false">IF(B208="","",COUNTIFS(開通管理!$B$5:$B$604,B208,開通管理!$O$5:$O$604,"開通済"))</f>
        <v/>
      </c>
      <c r="S208" s="19" t="str">
        <f aca="false">IF(B208="","",IF(Q208=0,"未申込",IF(R208&lt;Q208,"開通待ち（"&amp;R208&amp;"/"&amp;Q208&amp;"）","全開通")))</f>
        <v/>
      </c>
      <c r="T208" s="20" t="str">
        <f aca="false">IF(S208&lt;&gt;"全開通","",_xlfn.MAXIFS(開通管理!$Q$5:$Q$604,開通管理!$B$5:$B$604,B208))</f>
        <v/>
      </c>
      <c r="U208" s="21" t="str">
        <f aca="false">IF(B208="","",SUMIFS(開通管理!$J$5:$J$604,開通管理!$B$5:$B$604,B208,開通管理!$O$5:$O$604,"&lt;&gt;キャンセル"))</f>
        <v/>
      </c>
      <c r="V208" s="22"/>
      <c r="W208" s="12" t="str">
        <f aca="false">IF(OR(B208="",設定!$B$14=""),"",SUBSTITUTE(設定!$B$14,"__ID__",B208))</f>
        <v/>
      </c>
      <c r="X208" s="22"/>
      <c r="Y208" s="22"/>
      <c r="Z208" s="22"/>
      <c r="AA208" s="20" t="str">
        <f aca="false">IF(Z208="","",WORKDAY(Z208,設定!$B$5,設定!$F$5:$F$120))</f>
        <v/>
      </c>
      <c r="AB208" s="17"/>
      <c r="AC208" s="17"/>
      <c r="AD208" s="17"/>
      <c r="AE208" s="17"/>
      <c r="AF208" s="22"/>
      <c r="AG208" s="17"/>
      <c r="AH208" s="20" t="str">
        <f aca="false">IF(T208="","",EDATE(T208,設定!$B$8))</f>
        <v/>
      </c>
      <c r="AI208" s="17"/>
      <c r="AJ208" s="17"/>
      <c r="AK208" s="22"/>
      <c r="AL208" s="23" t="str">
        <f aca="true">IF(C208="","",IF(N208="失注","―",IF(AND(AK208&lt;&gt;"",AK208&lt;TODAY()),"対応期限超過",IF(AND(AF208="",AA208&lt;&gt;"",IF(AA208="",FALSE(),AA208&lt;TODAY())),"納品遅延",IF(AND(AK208&lt;&gt;"",AK208=TODAY()),"本日対応",IF(AND(S208="全開通",X208="",AF208=""),"ヒアリング依頼待ち",IF(AND(X208&lt;&gt;"",Y208="",Z208="",TODAY()-X208&gt;=設定!$B$6),"ヒアリング未回収",IF(AND(Y208&lt;&gt;"",Z208=""),"素材確認待ち",IF(AND(AF208="",AA208&lt;&gt;"",IF(AA208="",FALSE(),AA208-TODAY()&lt;=設定!$B$7)),"納品間近",IF(AND(AH208&lt;&gt;"",IF(AH208="",FALSE(),AH208&lt;=TODAY()),AI208=""),"解約チェック",IF(AF208&lt;&gt;"","納品済","")))))))))))</f>
        <v/>
      </c>
      <c r="AM208" s="17"/>
    </row>
    <row r="209" customFormat="false" ht="15" hidden="false" customHeight="false" outlineLevel="0" collapsed="false">
      <c r="A209" s="12" t="str">
        <f aca="false">IF(C209="","",ROW()-4)</f>
        <v/>
      </c>
      <c r="B209" s="17"/>
      <c r="C209" s="17"/>
      <c r="D209" s="17"/>
      <c r="E209" s="17"/>
      <c r="F209" s="24"/>
      <c r="G209" s="17"/>
      <c r="H209" s="17"/>
      <c r="I209" s="17"/>
      <c r="J209" s="17"/>
      <c r="K209" s="17"/>
      <c r="L209" s="22"/>
      <c r="M209" s="22"/>
      <c r="N209" s="17"/>
      <c r="O209" s="17"/>
      <c r="P209" s="17"/>
      <c r="Q209" s="18" t="str">
        <f aca="false">IF(B209="","",COUNTIFS(開通管理!$B$5:$B$604,B209,開通管理!$O$5:$O$604,"&lt;&gt;キャンセル"))</f>
        <v/>
      </c>
      <c r="R209" s="18" t="str">
        <f aca="false">IF(B209="","",COUNTIFS(開通管理!$B$5:$B$604,B209,開通管理!$O$5:$O$604,"開通済"))</f>
        <v/>
      </c>
      <c r="S209" s="19" t="str">
        <f aca="false">IF(B209="","",IF(Q209=0,"未申込",IF(R209&lt;Q209,"開通待ち（"&amp;R209&amp;"/"&amp;Q209&amp;"）","全開通")))</f>
        <v/>
      </c>
      <c r="T209" s="20" t="str">
        <f aca="false">IF(S209&lt;&gt;"全開通","",_xlfn.MAXIFS(開通管理!$Q$5:$Q$604,開通管理!$B$5:$B$604,B209))</f>
        <v/>
      </c>
      <c r="U209" s="21" t="str">
        <f aca="false">IF(B209="","",SUMIFS(開通管理!$J$5:$J$604,開通管理!$B$5:$B$604,B209,開通管理!$O$5:$O$604,"&lt;&gt;キャンセル"))</f>
        <v/>
      </c>
      <c r="V209" s="22"/>
      <c r="W209" s="12" t="str">
        <f aca="false">IF(OR(B209="",設定!$B$14=""),"",SUBSTITUTE(設定!$B$14,"__ID__",B209))</f>
        <v/>
      </c>
      <c r="X209" s="22"/>
      <c r="Y209" s="22"/>
      <c r="Z209" s="22"/>
      <c r="AA209" s="20" t="str">
        <f aca="false">IF(Z209="","",WORKDAY(Z209,設定!$B$5,設定!$F$5:$F$120))</f>
        <v/>
      </c>
      <c r="AB209" s="17"/>
      <c r="AC209" s="17"/>
      <c r="AD209" s="17"/>
      <c r="AE209" s="17"/>
      <c r="AF209" s="22"/>
      <c r="AG209" s="17"/>
      <c r="AH209" s="20" t="str">
        <f aca="false">IF(T209="","",EDATE(T209,設定!$B$8))</f>
        <v/>
      </c>
      <c r="AI209" s="17"/>
      <c r="AJ209" s="17"/>
      <c r="AK209" s="22"/>
      <c r="AL209" s="23" t="str">
        <f aca="true">IF(C209="","",IF(N209="失注","―",IF(AND(AK209&lt;&gt;"",AK209&lt;TODAY()),"対応期限超過",IF(AND(AF209="",AA209&lt;&gt;"",IF(AA209="",FALSE(),AA209&lt;TODAY())),"納品遅延",IF(AND(AK209&lt;&gt;"",AK209=TODAY()),"本日対応",IF(AND(S209="全開通",X209="",AF209=""),"ヒアリング依頼待ち",IF(AND(X209&lt;&gt;"",Y209="",Z209="",TODAY()-X209&gt;=設定!$B$6),"ヒアリング未回収",IF(AND(Y209&lt;&gt;"",Z209=""),"素材確認待ち",IF(AND(AF209="",AA209&lt;&gt;"",IF(AA209="",FALSE(),AA209-TODAY()&lt;=設定!$B$7)),"納品間近",IF(AND(AH209&lt;&gt;"",IF(AH209="",FALSE(),AH209&lt;=TODAY()),AI209=""),"解約チェック",IF(AF209&lt;&gt;"","納品済","")))))))))))</f>
        <v/>
      </c>
      <c r="AM209" s="17"/>
    </row>
    <row r="210" customFormat="false" ht="15" hidden="false" customHeight="false" outlineLevel="0" collapsed="false">
      <c r="A210" s="12" t="str">
        <f aca="false">IF(C210="","",ROW()-4)</f>
        <v/>
      </c>
      <c r="B210" s="17"/>
      <c r="C210" s="17"/>
      <c r="D210" s="17"/>
      <c r="E210" s="17"/>
      <c r="F210" s="24"/>
      <c r="G210" s="17"/>
      <c r="H210" s="17"/>
      <c r="I210" s="17"/>
      <c r="J210" s="17"/>
      <c r="K210" s="17"/>
      <c r="L210" s="22"/>
      <c r="M210" s="22"/>
      <c r="N210" s="17"/>
      <c r="O210" s="17"/>
      <c r="P210" s="17"/>
      <c r="Q210" s="18" t="str">
        <f aca="false">IF(B210="","",COUNTIFS(開通管理!$B$5:$B$604,B210,開通管理!$O$5:$O$604,"&lt;&gt;キャンセル"))</f>
        <v/>
      </c>
      <c r="R210" s="18" t="str">
        <f aca="false">IF(B210="","",COUNTIFS(開通管理!$B$5:$B$604,B210,開通管理!$O$5:$O$604,"開通済"))</f>
        <v/>
      </c>
      <c r="S210" s="19" t="str">
        <f aca="false">IF(B210="","",IF(Q210=0,"未申込",IF(R210&lt;Q210,"開通待ち（"&amp;R210&amp;"/"&amp;Q210&amp;"）","全開通")))</f>
        <v/>
      </c>
      <c r="T210" s="20" t="str">
        <f aca="false">IF(S210&lt;&gt;"全開通","",_xlfn.MAXIFS(開通管理!$Q$5:$Q$604,開通管理!$B$5:$B$604,B210))</f>
        <v/>
      </c>
      <c r="U210" s="21" t="str">
        <f aca="false">IF(B210="","",SUMIFS(開通管理!$J$5:$J$604,開通管理!$B$5:$B$604,B210,開通管理!$O$5:$O$604,"&lt;&gt;キャンセル"))</f>
        <v/>
      </c>
      <c r="V210" s="22"/>
      <c r="W210" s="12" t="str">
        <f aca="false">IF(OR(B210="",設定!$B$14=""),"",SUBSTITUTE(設定!$B$14,"__ID__",B210))</f>
        <v/>
      </c>
      <c r="X210" s="22"/>
      <c r="Y210" s="22"/>
      <c r="Z210" s="22"/>
      <c r="AA210" s="20" t="str">
        <f aca="false">IF(Z210="","",WORKDAY(Z210,設定!$B$5,設定!$F$5:$F$120))</f>
        <v/>
      </c>
      <c r="AB210" s="17"/>
      <c r="AC210" s="17"/>
      <c r="AD210" s="17"/>
      <c r="AE210" s="17"/>
      <c r="AF210" s="22"/>
      <c r="AG210" s="17"/>
      <c r="AH210" s="20" t="str">
        <f aca="false">IF(T210="","",EDATE(T210,設定!$B$8))</f>
        <v/>
      </c>
      <c r="AI210" s="17"/>
      <c r="AJ210" s="17"/>
      <c r="AK210" s="22"/>
      <c r="AL210" s="23" t="str">
        <f aca="true">IF(C210="","",IF(N210="失注","―",IF(AND(AK210&lt;&gt;"",AK210&lt;TODAY()),"対応期限超過",IF(AND(AF210="",AA210&lt;&gt;"",IF(AA210="",FALSE(),AA210&lt;TODAY())),"納品遅延",IF(AND(AK210&lt;&gt;"",AK210=TODAY()),"本日対応",IF(AND(S210="全開通",X210="",AF210=""),"ヒアリング依頼待ち",IF(AND(X210&lt;&gt;"",Y210="",Z210="",TODAY()-X210&gt;=設定!$B$6),"ヒアリング未回収",IF(AND(Y210&lt;&gt;"",Z210=""),"素材確認待ち",IF(AND(AF210="",AA210&lt;&gt;"",IF(AA210="",FALSE(),AA210-TODAY()&lt;=設定!$B$7)),"納品間近",IF(AND(AH210&lt;&gt;"",IF(AH210="",FALSE(),AH210&lt;=TODAY()),AI210=""),"解約チェック",IF(AF210&lt;&gt;"","納品済","")))))))))))</f>
        <v/>
      </c>
      <c r="AM210" s="17"/>
    </row>
    <row r="211" customFormat="false" ht="15" hidden="false" customHeight="false" outlineLevel="0" collapsed="false">
      <c r="A211" s="12" t="str">
        <f aca="false">IF(C211="","",ROW()-4)</f>
        <v/>
      </c>
      <c r="B211" s="17"/>
      <c r="C211" s="17"/>
      <c r="D211" s="17"/>
      <c r="E211" s="17"/>
      <c r="F211" s="24"/>
      <c r="G211" s="17"/>
      <c r="H211" s="17"/>
      <c r="I211" s="17"/>
      <c r="J211" s="17"/>
      <c r="K211" s="17"/>
      <c r="L211" s="22"/>
      <c r="M211" s="22"/>
      <c r="N211" s="17"/>
      <c r="O211" s="17"/>
      <c r="P211" s="17"/>
      <c r="Q211" s="18" t="str">
        <f aca="false">IF(B211="","",COUNTIFS(開通管理!$B$5:$B$604,B211,開通管理!$O$5:$O$604,"&lt;&gt;キャンセル"))</f>
        <v/>
      </c>
      <c r="R211" s="18" t="str">
        <f aca="false">IF(B211="","",COUNTIFS(開通管理!$B$5:$B$604,B211,開通管理!$O$5:$O$604,"開通済"))</f>
        <v/>
      </c>
      <c r="S211" s="19" t="str">
        <f aca="false">IF(B211="","",IF(Q211=0,"未申込",IF(R211&lt;Q211,"開通待ち（"&amp;R211&amp;"/"&amp;Q211&amp;"）","全開通")))</f>
        <v/>
      </c>
      <c r="T211" s="20" t="str">
        <f aca="false">IF(S211&lt;&gt;"全開通","",_xlfn.MAXIFS(開通管理!$Q$5:$Q$604,開通管理!$B$5:$B$604,B211))</f>
        <v/>
      </c>
      <c r="U211" s="21" t="str">
        <f aca="false">IF(B211="","",SUMIFS(開通管理!$J$5:$J$604,開通管理!$B$5:$B$604,B211,開通管理!$O$5:$O$604,"&lt;&gt;キャンセル"))</f>
        <v/>
      </c>
      <c r="V211" s="22"/>
      <c r="W211" s="12" t="str">
        <f aca="false">IF(OR(B211="",設定!$B$14=""),"",SUBSTITUTE(設定!$B$14,"__ID__",B211))</f>
        <v/>
      </c>
      <c r="X211" s="22"/>
      <c r="Y211" s="22"/>
      <c r="Z211" s="22"/>
      <c r="AA211" s="20" t="str">
        <f aca="false">IF(Z211="","",WORKDAY(Z211,設定!$B$5,設定!$F$5:$F$120))</f>
        <v/>
      </c>
      <c r="AB211" s="17"/>
      <c r="AC211" s="17"/>
      <c r="AD211" s="17"/>
      <c r="AE211" s="17"/>
      <c r="AF211" s="22"/>
      <c r="AG211" s="17"/>
      <c r="AH211" s="20" t="str">
        <f aca="false">IF(T211="","",EDATE(T211,設定!$B$8))</f>
        <v/>
      </c>
      <c r="AI211" s="17"/>
      <c r="AJ211" s="17"/>
      <c r="AK211" s="22"/>
      <c r="AL211" s="23" t="str">
        <f aca="true">IF(C211="","",IF(N211="失注","―",IF(AND(AK211&lt;&gt;"",AK211&lt;TODAY()),"対応期限超過",IF(AND(AF211="",AA211&lt;&gt;"",IF(AA211="",FALSE(),AA211&lt;TODAY())),"納品遅延",IF(AND(AK211&lt;&gt;"",AK211=TODAY()),"本日対応",IF(AND(S211="全開通",X211="",AF211=""),"ヒアリング依頼待ち",IF(AND(X211&lt;&gt;"",Y211="",Z211="",TODAY()-X211&gt;=設定!$B$6),"ヒアリング未回収",IF(AND(Y211&lt;&gt;"",Z211=""),"素材確認待ち",IF(AND(AF211="",AA211&lt;&gt;"",IF(AA211="",FALSE(),AA211-TODAY()&lt;=設定!$B$7)),"納品間近",IF(AND(AH211&lt;&gt;"",IF(AH211="",FALSE(),AH211&lt;=TODAY()),AI211=""),"解約チェック",IF(AF211&lt;&gt;"","納品済","")))))))))))</f>
        <v/>
      </c>
      <c r="AM211" s="17"/>
    </row>
    <row r="212" customFormat="false" ht="15" hidden="false" customHeight="false" outlineLevel="0" collapsed="false">
      <c r="A212" s="12" t="str">
        <f aca="false">IF(C212="","",ROW()-4)</f>
        <v/>
      </c>
      <c r="B212" s="17"/>
      <c r="C212" s="17"/>
      <c r="D212" s="17"/>
      <c r="E212" s="17"/>
      <c r="F212" s="24"/>
      <c r="G212" s="17"/>
      <c r="H212" s="17"/>
      <c r="I212" s="17"/>
      <c r="J212" s="17"/>
      <c r="K212" s="17"/>
      <c r="L212" s="22"/>
      <c r="M212" s="22"/>
      <c r="N212" s="17"/>
      <c r="O212" s="17"/>
      <c r="P212" s="17"/>
      <c r="Q212" s="18" t="str">
        <f aca="false">IF(B212="","",COUNTIFS(開通管理!$B$5:$B$604,B212,開通管理!$O$5:$O$604,"&lt;&gt;キャンセル"))</f>
        <v/>
      </c>
      <c r="R212" s="18" t="str">
        <f aca="false">IF(B212="","",COUNTIFS(開通管理!$B$5:$B$604,B212,開通管理!$O$5:$O$604,"開通済"))</f>
        <v/>
      </c>
      <c r="S212" s="19" t="str">
        <f aca="false">IF(B212="","",IF(Q212=0,"未申込",IF(R212&lt;Q212,"開通待ち（"&amp;R212&amp;"/"&amp;Q212&amp;"）","全開通")))</f>
        <v/>
      </c>
      <c r="T212" s="20" t="str">
        <f aca="false">IF(S212&lt;&gt;"全開通","",_xlfn.MAXIFS(開通管理!$Q$5:$Q$604,開通管理!$B$5:$B$604,B212))</f>
        <v/>
      </c>
      <c r="U212" s="21" t="str">
        <f aca="false">IF(B212="","",SUMIFS(開通管理!$J$5:$J$604,開通管理!$B$5:$B$604,B212,開通管理!$O$5:$O$604,"&lt;&gt;キャンセル"))</f>
        <v/>
      </c>
      <c r="V212" s="22"/>
      <c r="W212" s="12" t="str">
        <f aca="false">IF(OR(B212="",設定!$B$14=""),"",SUBSTITUTE(設定!$B$14,"__ID__",B212))</f>
        <v/>
      </c>
      <c r="X212" s="22"/>
      <c r="Y212" s="22"/>
      <c r="Z212" s="22"/>
      <c r="AA212" s="20" t="str">
        <f aca="false">IF(Z212="","",WORKDAY(Z212,設定!$B$5,設定!$F$5:$F$120))</f>
        <v/>
      </c>
      <c r="AB212" s="17"/>
      <c r="AC212" s="17"/>
      <c r="AD212" s="17"/>
      <c r="AE212" s="17"/>
      <c r="AF212" s="22"/>
      <c r="AG212" s="17"/>
      <c r="AH212" s="20" t="str">
        <f aca="false">IF(T212="","",EDATE(T212,設定!$B$8))</f>
        <v/>
      </c>
      <c r="AI212" s="17"/>
      <c r="AJ212" s="17"/>
      <c r="AK212" s="22"/>
      <c r="AL212" s="23" t="str">
        <f aca="true">IF(C212="","",IF(N212="失注","―",IF(AND(AK212&lt;&gt;"",AK212&lt;TODAY()),"対応期限超過",IF(AND(AF212="",AA212&lt;&gt;"",IF(AA212="",FALSE(),AA212&lt;TODAY())),"納品遅延",IF(AND(AK212&lt;&gt;"",AK212=TODAY()),"本日対応",IF(AND(S212="全開通",X212="",AF212=""),"ヒアリング依頼待ち",IF(AND(X212&lt;&gt;"",Y212="",Z212="",TODAY()-X212&gt;=設定!$B$6),"ヒアリング未回収",IF(AND(Y212&lt;&gt;"",Z212=""),"素材確認待ち",IF(AND(AF212="",AA212&lt;&gt;"",IF(AA212="",FALSE(),AA212-TODAY()&lt;=設定!$B$7)),"納品間近",IF(AND(AH212&lt;&gt;"",IF(AH212="",FALSE(),AH212&lt;=TODAY()),AI212=""),"解約チェック",IF(AF212&lt;&gt;"","納品済","")))))))))))</f>
        <v/>
      </c>
      <c r="AM212" s="17"/>
    </row>
    <row r="213" customFormat="false" ht="15" hidden="false" customHeight="false" outlineLevel="0" collapsed="false">
      <c r="A213" s="12" t="str">
        <f aca="false">IF(C213="","",ROW()-4)</f>
        <v/>
      </c>
      <c r="B213" s="17"/>
      <c r="C213" s="17"/>
      <c r="D213" s="17"/>
      <c r="E213" s="17"/>
      <c r="F213" s="24"/>
      <c r="G213" s="17"/>
      <c r="H213" s="17"/>
      <c r="I213" s="17"/>
      <c r="J213" s="17"/>
      <c r="K213" s="17"/>
      <c r="L213" s="22"/>
      <c r="M213" s="22"/>
      <c r="N213" s="17"/>
      <c r="O213" s="17"/>
      <c r="P213" s="17"/>
      <c r="Q213" s="18" t="str">
        <f aca="false">IF(B213="","",COUNTIFS(開通管理!$B$5:$B$604,B213,開通管理!$O$5:$O$604,"&lt;&gt;キャンセル"))</f>
        <v/>
      </c>
      <c r="R213" s="18" t="str">
        <f aca="false">IF(B213="","",COUNTIFS(開通管理!$B$5:$B$604,B213,開通管理!$O$5:$O$604,"開通済"))</f>
        <v/>
      </c>
      <c r="S213" s="19" t="str">
        <f aca="false">IF(B213="","",IF(Q213=0,"未申込",IF(R213&lt;Q213,"開通待ち（"&amp;R213&amp;"/"&amp;Q213&amp;"）","全開通")))</f>
        <v/>
      </c>
      <c r="T213" s="20" t="str">
        <f aca="false">IF(S213&lt;&gt;"全開通","",_xlfn.MAXIFS(開通管理!$Q$5:$Q$604,開通管理!$B$5:$B$604,B213))</f>
        <v/>
      </c>
      <c r="U213" s="21" t="str">
        <f aca="false">IF(B213="","",SUMIFS(開通管理!$J$5:$J$604,開通管理!$B$5:$B$604,B213,開通管理!$O$5:$O$604,"&lt;&gt;キャンセル"))</f>
        <v/>
      </c>
      <c r="V213" s="22"/>
      <c r="W213" s="12" t="str">
        <f aca="false">IF(OR(B213="",設定!$B$14=""),"",SUBSTITUTE(設定!$B$14,"__ID__",B213))</f>
        <v/>
      </c>
      <c r="X213" s="22"/>
      <c r="Y213" s="22"/>
      <c r="Z213" s="22"/>
      <c r="AA213" s="20" t="str">
        <f aca="false">IF(Z213="","",WORKDAY(Z213,設定!$B$5,設定!$F$5:$F$120))</f>
        <v/>
      </c>
      <c r="AB213" s="17"/>
      <c r="AC213" s="17"/>
      <c r="AD213" s="17"/>
      <c r="AE213" s="17"/>
      <c r="AF213" s="22"/>
      <c r="AG213" s="17"/>
      <c r="AH213" s="20" t="str">
        <f aca="false">IF(T213="","",EDATE(T213,設定!$B$8))</f>
        <v/>
      </c>
      <c r="AI213" s="17"/>
      <c r="AJ213" s="17"/>
      <c r="AK213" s="22"/>
      <c r="AL213" s="23" t="str">
        <f aca="true">IF(C213="","",IF(N213="失注","―",IF(AND(AK213&lt;&gt;"",AK213&lt;TODAY()),"対応期限超過",IF(AND(AF213="",AA213&lt;&gt;"",IF(AA213="",FALSE(),AA213&lt;TODAY())),"納品遅延",IF(AND(AK213&lt;&gt;"",AK213=TODAY()),"本日対応",IF(AND(S213="全開通",X213="",AF213=""),"ヒアリング依頼待ち",IF(AND(X213&lt;&gt;"",Y213="",Z213="",TODAY()-X213&gt;=設定!$B$6),"ヒアリング未回収",IF(AND(Y213&lt;&gt;"",Z213=""),"素材確認待ち",IF(AND(AF213="",AA213&lt;&gt;"",IF(AA213="",FALSE(),AA213-TODAY()&lt;=設定!$B$7)),"納品間近",IF(AND(AH213&lt;&gt;"",IF(AH213="",FALSE(),AH213&lt;=TODAY()),AI213=""),"解約チェック",IF(AF213&lt;&gt;"","納品済","")))))))))))</f>
        <v/>
      </c>
      <c r="AM213" s="17"/>
    </row>
    <row r="214" customFormat="false" ht="15" hidden="false" customHeight="false" outlineLevel="0" collapsed="false">
      <c r="A214" s="12" t="str">
        <f aca="false">IF(C214="","",ROW()-4)</f>
        <v/>
      </c>
      <c r="B214" s="17"/>
      <c r="C214" s="17"/>
      <c r="D214" s="17"/>
      <c r="E214" s="17"/>
      <c r="F214" s="24"/>
      <c r="G214" s="17"/>
      <c r="H214" s="17"/>
      <c r="I214" s="17"/>
      <c r="J214" s="17"/>
      <c r="K214" s="17"/>
      <c r="L214" s="22"/>
      <c r="M214" s="22"/>
      <c r="N214" s="17"/>
      <c r="O214" s="17"/>
      <c r="P214" s="17"/>
      <c r="Q214" s="18" t="str">
        <f aca="false">IF(B214="","",COUNTIFS(開通管理!$B$5:$B$604,B214,開通管理!$O$5:$O$604,"&lt;&gt;キャンセル"))</f>
        <v/>
      </c>
      <c r="R214" s="18" t="str">
        <f aca="false">IF(B214="","",COUNTIFS(開通管理!$B$5:$B$604,B214,開通管理!$O$5:$O$604,"開通済"))</f>
        <v/>
      </c>
      <c r="S214" s="19" t="str">
        <f aca="false">IF(B214="","",IF(Q214=0,"未申込",IF(R214&lt;Q214,"開通待ち（"&amp;R214&amp;"/"&amp;Q214&amp;"）","全開通")))</f>
        <v/>
      </c>
      <c r="T214" s="20" t="str">
        <f aca="false">IF(S214&lt;&gt;"全開通","",_xlfn.MAXIFS(開通管理!$Q$5:$Q$604,開通管理!$B$5:$B$604,B214))</f>
        <v/>
      </c>
      <c r="U214" s="21" t="str">
        <f aca="false">IF(B214="","",SUMIFS(開通管理!$J$5:$J$604,開通管理!$B$5:$B$604,B214,開通管理!$O$5:$O$604,"&lt;&gt;キャンセル"))</f>
        <v/>
      </c>
      <c r="V214" s="22"/>
      <c r="W214" s="12" t="str">
        <f aca="false">IF(OR(B214="",設定!$B$14=""),"",SUBSTITUTE(設定!$B$14,"__ID__",B214))</f>
        <v/>
      </c>
      <c r="X214" s="22"/>
      <c r="Y214" s="22"/>
      <c r="Z214" s="22"/>
      <c r="AA214" s="20" t="str">
        <f aca="false">IF(Z214="","",WORKDAY(Z214,設定!$B$5,設定!$F$5:$F$120))</f>
        <v/>
      </c>
      <c r="AB214" s="17"/>
      <c r="AC214" s="17"/>
      <c r="AD214" s="17"/>
      <c r="AE214" s="17"/>
      <c r="AF214" s="22"/>
      <c r="AG214" s="17"/>
      <c r="AH214" s="20" t="str">
        <f aca="false">IF(T214="","",EDATE(T214,設定!$B$8))</f>
        <v/>
      </c>
      <c r="AI214" s="17"/>
      <c r="AJ214" s="17"/>
      <c r="AK214" s="22"/>
      <c r="AL214" s="23" t="str">
        <f aca="true">IF(C214="","",IF(N214="失注","―",IF(AND(AK214&lt;&gt;"",AK214&lt;TODAY()),"対応期限超過",IF(AND(AF214="",AA214&lt;&gt;"",IF(AA214="",FALSE(),AA214&lt;TODAY())),"納品遅延",IF(AND(AK214&lt;&gt;"",AK214=TODAY()),"本日対応",IF(AND(S214="全開通",X214="",AF214=""),"ヒアリング依頼待ち",IF(AND(X214&lt;&gt;"",Y214="",Z214="",TODAY()-X214&gt;=設定!$B$6),"ヒアリング未回収",IF(AND(Y214&lt;&gt;"",Z214=""),"素材確認待ち",IF(AND(AF214="",AA214&lt;&gt;"",IF(AA214="",FALSE(),AA214-TODAY()&lt;=設定!$B$7)),"納品間近",IF(AND(AH214&lt;&gt;"",IF(AH214="",FALSE(),AH214&lt;=TODAY()),AI214=""),"解約チェック",IF(AF214&lt;&gt;"","納品済","")))))))))))</f>
        <v/>
      </c>
      <c r="AM214" s="17"/>
    </row>
    <row r="215" customFormat="false" ht="15" hidden="false" customHeight="false" outlineLevel="0" collapsed="false">
      <c r="A215" s="12" t="str">
        <f aca="false">IF(C215="","",ROW()-4)</f>
        <v/>
      </c>
      <c r="B215" s="17"/>
      <c r="C215" s="17"/>
      <c r="D215" s="17"/>
      <c r="E215" s="17"/>
      <c r="F215" s="24"/>
      <c r="G215" s="17"/>
      <c r="H215" s="17"/>
      <c r="I215" s="17"/>
      <c r="J215" s="17"/>
      <c r="K215" s="17"/>
      <c r="L215" s="22"/>
      <c r="M215" s="22"/>
      <c r="N215" s="17"/>
      <c r="O215" s="17"/>
      <c r="P215" s="17"/>
      <c r="Q215" s="18" t="str">
        <f aca="false">IF(B215="","",COUNTIFS(開通管理!$B$5:$B$604,B215,開通管理!$O$5:$O$604,"&lt;&gt;キャンセル"))</f>
        <v/>
      </c>
      <c r="R215" s="18" t="str">
        <f aca="false">IF(B215="","",COUNTIFS(開通管理!$B$5:$B$604,B215,開通管理!$O$5:$O$604,"開通済"))</f>
        <v/>
      </c>
      <c r="S215" s="19" t="str">
        <f aca="false">IF(B215="","",IF(Q215=0,"未申込",IF(R215&lt;Q215,"開通待ち（"&amp;R215&amp;"/"&amp;Q215&amp;"）","全開通")))</f>
        <v/>
      </c>
      <c r="T215" s="20" t="str">
        <f aca="false">IF(S215&lt;&gt;"全開通","",_xlfn.MAXIFS(開通管理!$Q$5:$Q$604,開通管理!$B$5:$B$604,B215))</f>
        <v/>
      </c>
      <c r="U215" s="21" t="str">
        <f aca="false">IF(B215="","",SUMIFS(開通管理!$J$5:$J$604,開通管理!$B$5:$B$604,B215,開通管理!$O$5:$O$604,"&lt;&gt;キャンセル"))</f>
        <v/>
      </c>
      <c r="V215" s="22"/>
      <c r="W215" s="12" t="str">
        <f aca="false">IF(OR(B215="",設定!$B$14=""),"",SUBSTITUTE(設定!$B$14,"__ID__",B215))</f>
        <v/>
      </c>
      <c r="X215" s="22"/>
      <c r="Y215" s="22"/>
      <c r="Z215" s="22"/>
      <c r="AA215" s="20" t="str">
        <f aca="false">IF(Z215="","",WORKDAY(Z215,設定!$B$5,設定!$F$5:$F$120))</f>
        <v/>
      </c>
      <c r="AB215" s="17"/>
      <c r="AC215" s="17"/>
      <c r="AD215" s="17"/>
      <c r="AE215" s="17"/>
      <c r="AF215" s="22"/>
      <c r="AG215" s="17"/>
      <c r="AH215" s="20" t="str">
        <f aca="false">IF(T215="","",EDATE(T215,設定!$B$8))</f>
        <v/>
      </c>
      <c r="AI215" s="17"/>
      <c r="AJ215" s="17"/>
      <c r="AK215" s="22"/>
      <c r="AL215" s="23" t="str">
        <f aca="true">IF(C215="","",IF(N215="失注","―",IF(AND(AK215&lt;&gt;"",AK215&lt;TODAY()),"対応期限超過",IF(AND(AF215="",AA215&lt;&gt;"",IF(AA215="",FALSE(),AA215&lt;TODAY())),"納品遅延",IF(AND(AK215&lt;&gt;"",AK215=TODAY()),"本日対応",IF(AND(S215="全開通",X215="",AF215=""),"ヒアリング依頼待ち",IF(AND(X215&lt;&gt;"",Y215="",Z215="",TODAY()-X215&gt;=設定!$B$6),"ヒアリング未回収",IF(AND(Y215&lt;&gt;"",Z215=""),"素材確認待ち",IF(AND(AF215="",AA215&lt;&gt;"",IF(AA215="",FALSE(),AA215-TODAY()&lt;=設定!$B$7)),"納品間近",IF(AND(AH215&lt;&gt;"",IF(AH215="",FALSE(),AH215&lt;=TODAY()),AI215=""),"解約チェック",IF(AF215&lt;&gt;"","納品済","")))))))))))</f>
        <v/>
      </c>
      <c r="AM215" s="17"/>
    </row>
    <row r="216" customFormat="false" ht="15" hidden="false" customHeight="false" outlineLevel="0" collapsed="false">
      <c r="A216" s="12" t="str">
        <f aca="false">IF(C216="","",ROW()-4)</f>
        <v/>
      </c>
      <c r="B216" s="17"/>
      <c r="C216" s="17"/>
      <c r="D216" s="17"/>
      <c r="E216" s="17"/>
      <c r="F216" s="24"/>
      <c r="G216" s="17"/>
      <c r="H216" s="17"/>
      <c r="I216" s="17"/>
      <c r="J216" s="17"/>
      <c r="K216" s="17"/>
      <c r="L216" s="22"/>
      <c r="M216" s="22"/>
      <c r="N216" s="17"/>
      <c r="O216" s="17"/>
      <c r="P216" s="17"/>
      <c r="Q216" s="18" t="str">
        <f aca="false">IF(B216="","",COUNTIFS(開通管理!$B$5:$B$604,B216,開通管理!$O$5:$O$604,"&lt;&gt;キャンセル"))</f>
        <v/>
      </c>
      <c r="R216" s="18" t="str">
        <f aca="false">IF(B216="","",COUNTIFS(開通管理!$B$5:$B$604,B216,開通管理!$O$5:$O$604,"開通済"))</f>
        <v/>
      </c>
      <c r="S216" s="19" t="str">
        <f aca="false">IF(B216="","",IF(Q216=0,"未申込",IF(R216&lt;Q216,"開通待ち（"&amp;R216&amp;"/"&amp;Q216&amp;"）","全開通")))</f>
        <v/>
      </c>
      <c r="T216" s="20" t="str">
        <f aca="false">IF(S216&lt;&gt;"全開通","",_xlfn.MAXIFS(開通管理!$Q$5:$Q$604,開通管理!$B$5:$B$604,B216))</f>
        <v/>
      </c>
      <c r="U216" s="21" t="str">
        <f aca="false">IF(B216="","",SUMIFS(開通管理!$J$5:$J$604,開通管理!$B$5:$B$604,B216,開通管理!$O$5:$O$604,"&lt;&gt;キャンセル"))</f>
        <v/>
      </c>
      <c r="V216" s="22"/>
      <c r="W216" s="12" t="str">
        <f aca="false">IF(OR(B216="",設定!$B$14=""),"",SUBSTITUTE(設定!$B$14,"__ID__",B216))</f>
        <v/>
      </c>
      <c r="X216" s="22"/>
      <c r="Y216" s="22"/>
      <c r="Z216" s="22"/>
      <c r="AA216" s="20" t="str">
        <f aca="false">IF(Z216="","",WORKDAY(Z216,設定!$B$5,設定!$F$5:$F$120))</f>
        <v/>
      </c>
      <c r="AB216" s="17"/>
      <c r="AC216" s="17"/>
      <c r="AD216" s="17"/>
      <c r="AE216" s="17"/>
      <c r="AF216" s="22"/>
      <c r="AG216" s="17"/>
      <c r="AH216" s="20" t="str">
        <f aca="false">IF(T216="","",EDATE(T216,設定!$B$8))</f>
        <v/>
      </c>
      <c r="AI216" s="17"/>
      <c r="AJ216" s="17"/>
      <c r="AK216" s="22"/>
      <c r="AL216" s="23" t="str">
        <f aca="true">IF(C216="","",IF(N216="失注","―",IF(AND(AK216&lt;&gt;"",AK216&lt;TODAY()),"対応期限超過",IF(AND(AF216="",AA216&lt;&gt;"",IF(AA216="",FALSE(),AA216&lt;TODAY())),"納品遅延",IF(AND(AK216&lt;&gt;"",AK216=TODAY()),"本日対応",IF(AND(S216="全開通",X216="",AF216=""),"ヒアリング依頼待ち",IF(AND(X216&lt;&gt;"",Y216="",Z216="",TODAY()-X216&gt;=設定!$B$6),"ヒアリング未回収",IF(AND(Y216&lt;&gt;"",Z216=""),"素材確認待ち",IF(AND(AF216="",AA216&lt;&gt;"",IF(AA216="",FALSE(),AA216-TODAY()&lt;=設定!$B$7)),"納品間近",IF(AND(AH216&lt;&gt;"",IF(AH216="",FALSE(),AH216&lt;=TODAY()),AI216=""),"解約チェック",IF(AF216&lt;&gt;"","納品済","")))))))))))</f>
        <v/>
      </c>
      <c r="AM216" s="17"/>
    </row>
    <row r="217" customFormat="false" ht="15" hidden="false" customHeight="false" outlineLevel="0" collapsed="false">
      <c r="A217" s="12" t="str">
        <f aca="false">IF(C217="","",ROW()-4)</f>
        <v/>
      </c>
      <c r="B217" s="17"/>
      <c r="C217" s="17"/>
      <c r="D217" s="17"/>
      <c r="E217" s="17"/>
      <c r="F217" s="24"/>
      <c r="G217" s="17"/>
      <c r="H217" s="17"/>
      <c r="I217" s="17"/>
      <c r="J217" s="17"/>
      <c r="K217" s="17"/>
      <c r="L217" s="22"/>
      <c r="M217" s="22"/>
      <c r="N217" s="17"/>
      <c r="O217" s="17"/>
      <c r="P217" s="17"/>
      <c r="Q217" s="18" t="str">
        <f aca="false">IF(B217="","",COUNTIFS(開通管理!$B$5:$B$604,B217,開通管理!$O$5:$O$604,"&lt;&gt;キャンセル"))</f>
        <v/>
      </c>
      <c r="R217" s="18" t="str">
        <f aca="false">IF(B217="","",COUNTIFS(開通管理!$B$5:$B$604,B217,開通管理!$O$5:$O$604,"開通済"))</f>
        <v/>
      </c>
      <c r="S217" s="19" t="str">
        <f aca="false">IF(B217="","",IF(Q217=0,"未申込",IF(R217&lt;Q217,"開通待ち（"&amp;R217&amp;"/"&amp;Q217&amp;"）","全開通")))</f>
        <v/>
      </c>
      <c r="T217" s="20" t="str">
        <f aca="false">IF(S217&lt;&gt;"全開通","",_xlfn.MAXIFS(開通管理!$Q$5:$Q$604,開通管理!$B$5:$B$604,B217))</f>
        <v/>
      </c>
      <c r="U217" s="21" t="str">
        <f aca="false">IF(B217="","",SUMIFS(開通管理!$J$5:$J$604,開通管理!$B$5:$B$604,B217,開通管理!$O$5:$O$604,"&lt;&gt;キャンセル"))</f>
        <v/>
      </c>
      <c r="V217" s="22"/>
      <c r="W217" s="12" t="str">
        <f aca="false">IF(OR(B217="",設定!$B$14=""),"",SUBSTITUTE(設定!$B$14,"__ID__",B217))</f>
        <v/>
      </c>
      <c r="X217" s="22"/>
      <c r="Y217" s="22"/>
      <c r="Z217" s="22"/>
      <c r="AA217" s="20" t="str">
        <f aca="false">IF(Z217="","",WORKDAY(Z217,設定!$B$5,設定!$F$5:$F$120))</f>
        <v/>
      </c>
      <c r="AB217" s="17"/>
      <c r="AC217" s="17"/>
      <c r="AD217" s="17"/>
      <c r="AE217" s="17"/>
      <c r="AF217" s="22"/>
      <c r="AG217" s="17"/>
      <c r="AH217" s="20" t="str">
        <f aca="false">IF(T217="","",EDATE(T217,設定!$B$8))</f>
        <v/>
      </c>
      <c r="AI217" s="17"/>
      <c r="AJ217" s="17"/>
      <c r="AK217" s="22"/>
      <c r="AL217" s="23" t="str">
        <f aca="true">IF(C217="","",IF(N217="失注","―",IF(AND(AK217&lt;&gt;"",AK217&lt;TODAY()),"対応期限超過",IF(AND(AF217="",AA217&lt;&gt;"",IF(AA217="",FALSE(),AA217&lt;TODAY())),"納品遅延",IF(AND(AK217&lt;&gt;"",AK217=TODAY()),"本日対応",IF(AND(S217="全開通",X217="",AF217=""),"ヒアリング依頼待ち",IF(AND(X217&lt;&gt;"",Y217="",Z217="",TODAY()-X217&gt;=設定!$B$6),"ヒアリング未回収",IF(AND(Y217&lt;&gt;"",Z217=""),"素材確認待ち",IF(AND(AF217="",AA217&lt;&gt;"",IF(AA217="",FALSE(),AA217-TODAY()&lt;=設定!$B$7)),"納品間近",IF(AND(AH217&lt;&gt;"",IF(AH217="",FALSE(),AH217&lt;=TODAY()),AI217=""),"解約チェック",IF(AF217&lt;&gt;"","納品済","")))))))))))</f>
        <v/>
      </c>
      <c r="AM217" s="17"/>
    </row>
    <row r="218" customFormat="false" ht="15" hidden="false" customHeight="false" outlineLevel="0" collapsed="false">
      <c r="A218" s="12" t="str">
        <f aca="false">IF(C218="","",ROW()-4)</f>
        <v/>
      </c>
      <c r="B218" s="17"/>
      <c r="C218" s="17"/>
      <c r="D218" s="17"/>
      <c r="E218" s="17"/>
      <c r="F218" s="24"/>
      <c r="G218" s="17"/>
      <c r="H218" s="17"/>
      <c r="I218" s="17"/>
      <c r="J218" s="17"/>
      <c r="K218" s="17"/>
      <c r="L218" s="22"/>
      <c r="M218" s="22"/>
      <c r="N218" s="17"/>
      <c r="O218" s="17"/>
      <c r="P218" s="17"/>
      <c r="Q218" s="18" t="str">
        <f aca="false">IF(B218="","",COUNTIFS(開通管理!$B$5:$B$604,B218,開通管理!$O$5:$O$604,"&lt;&gt;キャンセル"))</f>
        <v/>
      </c>
      <c r="R218" s="18" t="str">
        <f aca="false">IF(B218="","",COUNTIFS(開通管理!$B$5:$B$604,B218,開通管理!$O$5:$O$604,"開通済"))</f>
        <v/>
      </c>
      <c r="S218" s="19" t="str">
        <f aca="false">IF(B218="","",IF(Q218=0,"未申込",IF(R218&lt;Q218,"開通待ち（"&amp;R218&amp;"/"&amp;Q218&amp;"）","全開通")))</f>
        <v/>
      </c>
      <c r="T218" s="20" t="str">
        <f aca="false">IF(S218&lt;&gt;"全開通","",_xlfn.MAXIFS(開通管理!$Q$5:$Q$604,開通管理!$B$5:$B$604,B218))</f>
        <v/>
      </c>
      <c r="U218" s="21" t="str">
        <f aca="false">IF(B218="","",SUMIFS(開通管理!$J$5:$J$604,開通管理!$B$5:$B$604,B218,開通管理!$O$5:$O$604,"&lt;&gt;キャンセル"))</f>
        <v/>
      </c>
      <c r="V218" s="22"/>
      <c r="W218" s="12" t="str">
        <f aca="false">IF(OR(B218="",設定!$B$14=""),"",SUBSTITUTE(設定!$B$14,"__ID__",B218))</f>
        <v/>
      </c>
      <c r="X218" s="22"/>
      <c r="Y218" s="22"/>
      <c r="Z218" s="22"/>
      <c r="AA218" s="20" t="str">
        <f aca="false">IF(Z218="","",WORKDAY(Z218,設定!$B$5,設定!$F$5:$F$120))</f>
        <v/>
      </c>
      <c r="AB218" s="17"/>
      <c r="AC218" s="17"/>
      <c r="AD218" s="17"/>
      <c r="AE218" s="17"/>
      <c r="AF218" s="22"/>
      <c r="AG218" s="17"/>
      <c r="AH218" s="20" t="str">
        <f aca="false">IF(T218="","",EDATE(T218,設定!$B$8))</f>
        <v/>
      </c>
      <c r="AI218" s="17"/>
      <c r="AJ218" s="17"/>
      <c r="AK218" s="22"/>
      <c r="AL218" s="23" t="str">
        <f aca="true">IF(C218="","",IF(N218="失注","―",IF(AND(AK218&lt;&gt;"",AK218&lt;TODAY()),"対応期限超過",IF(AND(AF218="",AA218&lt;&gt;"",IF(AA218="",FALSE(),AA218&lt;TODAY())),"納品遅延",IF(AND(AK218&lt;&gt;"",AK218=TODAY()),"本日対応",IF(AND(S218="全開通",X218="",AF218=""),"ヒアリング依頼待ち",IF(AND(X218&lt;&gt;"",Y218="",Z218="",TODAY()-X218&gt;=設定!$B$6),"ヒアリング未回収",IF(AND(Y218&lt;&gt;"",Z218=""),"素材確認待ち",IF(AND(AF218="",AA218&lt;&gt;"",IF(AA218="",FALSE(),AA218-TODAY()&lt;=設定!$B$7)),"納品間近",IF(AND(AH218&lt;&gt;"",IF(AH218="",FALSE(),AH218&lt;=TODAY()),AI218=""),"解約チェック",IF(AF218&lt;&gt;"","納品済","")))))))))))</f>
        <v/>
      </c>
      <c r="AM218" s="17"/>
    </row>
    <row r="219" customFormat="false" ht="15" hidden="false" customHeight="false" outlineLevel="0" collapsed="false">
      <c r="A219" s="12" t="str">
        <f aca="false">IF(C219="","",ROW()-4)</f>
        <v/>
      </c>
      <c r="B219" s="17"/>
      <c r="C219" s="17"/>
      <c r="D219" s="17"/>
      <c r="E219" s="17"/>
      <c r="F219" s="24"/>
      <c r="G219" s="17"/>
      <c r="H219" s="17"/>
      <c r="I219" s="17"/>
      <c r="J219" s="17"/>
      <c r="K219" s="17"/>
      <c r="L219" s="22"/>
      <c r="M219" s="22"/>
      <c r="N219" s="17"/>
      <c r="O219" s="17"/>
      <c r="P219" s="17"/>
      <c r="Q219" s="18" t="str">
        <f aca="false">IF(B219="","",COUNTIFS(開通管理!$B$5:$B$604,B219,開通管理!$O$5:$O$604,"&lt;&gt;キャンセル"))</f>
        <v/>
      </c>
      <c r="R219" s="18" t="str">
        <f aca="false">IF(B219="","",COUNTIFS(開通管理!$B$5:$B$604,B219,開通管理!$O$5:$O$604,"開通済"))</f>
        <v/>
      </c>
      <c r="S219" s="19" t="str">
        <f aca="false">IF(B219="","",IF(Q219=0,"未申込",IF(R219&lt;Q219,"開通待ち（"&amp;R219&amp;"/"&amp;Q219&amp;"）","全開通")))</f>
        <v/>
      </c>
      <c r="T219" s="20" t="str">
        <f aca="false">IF(S219&lt;&gt;"全開通","",_xlfn.MAXIFS(開通管理!$Q$5:$Q$604,開通管理!$B$5:$B$604,B219))</f>
        <v/>
      </c>
      <c r="U219" s="21" t="str">
        <f aca="false">IF(B219="","",SUMIFS(開通管理!$J$5:$J$604,開通管理!$B$5:$B$604,B219,開通管理!$O$5:$O$604,"&lt;&gt;キャンセル"))</f>
        <v/>
      </c>
      <c r="V219" s="22"/>
      <c r="W219" s="12" t="str">
        <f aca="false">IF(OR(B219="",設定!$B$14=""),"",SUBSTITUTE(設定!$B$14,"__ID__",B219))</f>
        <v/>
      </c>
      <c r="X219" s="22"/>
      <c r="Y219" s="22"/>
      <c r="Z219" s="22"/>
      <c r="AA219" s="20" t="str">
        <f aca="false">IF(Z219="","",WORKDAY(Z219,設定!$B$5,設定!$F$5:$F$120))</f>
        <v/>
      </c>
      <c r="AB219" s="17"/>
      <c r="AC219" s="17"/>
      <c r="AD219" s="17"/>
      <c r="AE219" s="17"/>
      <c r="AF219" s="22"/>
      <c r="AG219" s="17"/>
      <c r="AH219" s="20" t="str">
        <f aca="false">IF(T219="","",EDATE(T219,設定!$B$8))</f>
        <v/>
      </c>
      <c r="AI219" s="17"/>
      <c r="AJ219" s="17"/>
      <c r="AK219" s="22"/>
      <c r="AL219" s="23" t="str">
        <f aca="true">IF(C219="","",IF(N219="失注","―",IF(AND(AK219&lt;&gt;"",AK219&lt;TODAY()),"対応期限超過",IF(AND(AF219="",AA219&lt;&gt;"",IF(AA219="",FALSE(),AA219&lt;TODAY())),"納品遅延",IF(AND(AK219&lt;&gt;"",AK219=TODAY()),"本日対応",IF(AND(S219="全開通",X219="",AF219=""),"ヒアリング依頼待ち",IF(AND(X219&lt;&gt;"",Y219="",Z219="",TODAY()-X219&gt;=設定!$B$6),"ヒアリング未回収",IF(AND(Y219&lt;&gt;"",Z219=""),"素材確認待ち",IF(AND(AF219="",AA219&lt;&gt;"",IF(AA219="",FALSE(),AA219-TODAY()&lt;=設定!$B$7)),"納品間近",IF(AND(AH219&lt;&gt;"",IF(AH219="",FALSE(),AH219&lt;=TODAY()),AI219=""),"解約チェック",IF(AF219&lt;&gt;"","納品済","")))))))))))</f>
        <v/>
      </c>
      <c r="AM219" s="17"/>
    </row>
    <row r="220" customFormat="false" ht="15" hidden="false" customHeight="false" outlineLevel="0" collapsed="false">
      <c r="A220" s="12" t="str">
        <f aca="false">IF(C220="","",ROW()-4)</f>
        <v/>
      </c>
      <c r="B220" s="17"/>
      <c r="C220" s="17"/>
      <c r="D220" s="17"/>
      <c r="E220" s="17"/>
      <c r="F220" s="24"/>
      <c r="G220" s="17"/>
      <c r="H220" s="17"/>
      <c r="I220" s="17"/>
      <c r="J220" s="17"/>
      <c r="K220" s="17"/>
      <c r="L220" s="22"/>
      <c r="M220" s="22"/>
      <c r="N220" s="17"/>
      <c r="O220" s="17"/>
      <c r="P220" s="17"/>
      <c r="Q220" s="18" t="str">
        <f aca="false">IF(B220="","",COUNTIFS(開通管理!$B$5:$B$604,B220,開通管理!$O$5:$O$604,"&lt;&gt;キャンセル"))</f>
        <v/>
      </c>
      <c r="R220" s="18" t="str">
        <f aca="false">IF(B220="","",COUNTIFS(開通管理!$B$5:$B$604,B220,開通管理!$O$5:$O$604,"開通済"))</f>
        <v/>
      </c>
      <c r="S220" s="19" t="str">
        <f aca="false">IF(B220="","",IF(Q220=0,"未申込",IF(R220&lt;Q220,"開通待ち（"&amp;R220&amp;"/"&amp;Q220&amp;"）","全開通")))</f>
        <v/>
      </c>
      <c r="T220" s="20" t="str">
        <f aca="false">IF(S220&lt;&gt;"全開通","",_xlfn.MAXIFS(開通管理!$Q$5:$Q$604,開通管理!$B$5:$B$604,B220))</f>
        <v/>
      </c>
      <c r="U220" s="21" t="str">
        <f aca="false">IF(B220="","",SUMIFS(開通管理!$J$5:$J$604,開通管理!$B$5:$B$604,B220,開通管理!$O$5:$O$604,"&lt;&gt;キャンセル"))</f>
        <v/>
      </c>
      <c r="V220" s="22"/>
      <c r="W220" s="12" t="str">
        <f aca="false">IF(OR(B220="",設定!$B$14=""),"",SUBSTITUTE(設定!$B$14,"__ID__",B220))</f>
        <v/>
      </c>
      <c r="X220" s="22"/>
      <c r="Y220" s="22"/>
      <c r="Z220" s="22"/>
      <c r="AA220" s="20" t="str">
        <f aca="false">IF(Z220="","",WORKDAY(Z220,設定!$B$5,設定!$F$5:$F$120))</f>
        <v/>
      </c>
      <c r="AB220" s="17"/>
      <c r="AC220" s="17"/>
      <c r="AD220" s="17"/>
      <c r="AE220" s="17"/>
      <c r="AF220" s="22"/>
      <c r="AG220" s="17"/>
      <c r="AH220" s="20" t="str">
        <f aca="false">IF(T220="","",EDATE(T220,設定!$B$8))</f>
        <v/>
      </c>
      <c r="AI220" s="17"/>
      <c r="AJ220" s="17"/>
      <c r="AK220" s="22"/>
      <c r="AL220" s="23" t="str">
        <f aca="true">IF(C220="","",IF(N220="失注","―",IF(AND(AK220&lt;&gt;"",AK220&lt;TODAY()),"対応期限超過",IF(AND(AF220="",AA220&lt;&gt;"",IF(AA220="",FALSE(),AA220&lt;TODAY())),"納品遅延",IF(AND(AK220&lt;&gt;"",AK220=TODAY()),"本日対応",IF(AND(S220="全開通",X220="",AF220=""),"ヒアリング依頼待ち",IF(AND(X220&lt;&gt;"",Y220="",Z220="",TODAY()-X220&gt;=設定!$B$6),"ヒアリング未回収",IF(AND(Y220&lt;&gt;"",Z220=""),"素材確認待ち",IF(AND(AF220="",AA220&lt;&gt;"",IF(AA220="",FALSE(),AA220-TODAY()&lt;=設定!$B$7)),"納品間近",IF(AND(AH220&lt;&gt;"",IF(AH220="",FALSE(),AH220&lt;=TODAY()),AI220=""),"解約チェック",IF(AF220&lt;&gt;"","納品済","")))))))))))</f>
        <v/>
      </c>
      <c r="AM220" s="17"/>
    </row>
    <row r="221" customFormat="false" ht="15" hidden="false" customHeight="false" outlineLevel="0" collapsed="false">
      <c r="A221" s="12" t="str">
        <f aca="false">IF(C221="","",ROW()-4)</f>
        <v/>
      </c>
      <c r="B221" s="17"/>
      <c r="C221" s="17"/>
      <c r="D221" s="17"/>
      <c r="E221" s="17"/>
      <c r="F221" s="24"/>
      <c r="G221" s="17"/>
      <c r="H221" s="17"/>
      <c r="I221" s="17"/>
      <c r="J221" s="17"/>
      <c r="K221" s="17"/>
      <c r="L221" s="22"/>
      <c r="M221" s="22"/>
      <c r="N221" s="17"/>
      <c r="O221" s="17"/>
      <c r="P221" s="17"/>
      <c r="Q221" s="18" t="str">
        <f aca="false">IF(B221="","",COUNTIFS(開通管理!$B$5:$B$604,B221,開通管理!$O$5:$O$604,"&lt;&gt;キャンセル"))</f>
        <v/>
      </c>
      <c r="R221" s="18" t="str">
        <f aca="false">IF(B221="","",COUNTIFS(開通管理!$B$5:$B$604,B221,開通管理!$O$5:$O$604,"開通済"))</f>
        <v/>
      </c>
      <c r="S221" s="19" t="str">
        <f aca="false">IF(B221="","",IF(Q221=0,"未申込",IF(R221&lt;Q221,"開通待ち（"&amp;R221&amp;"/"&amp;Q221&amp;"）","全開通")))</f>
        <v/>
      </c>
      <c r="T221" s="20" t="str">
        <f aca="false">IF(S221&lt;&gt;"全開通","",_xlfn.MAXIFS(開通管理!$Q$5:$Q$604,開通管理!$B$5:$B$604,B221))</f>
        <v/>
      </c>
      <c r="U221" s="21" t="str">
        <f aca="false">IF(B221="","",SUMIFS(開通管理!$J$5:$J$604,開通管理!$B$5:$B$604,B221,開通管理!$O$5:$O$604,"&lt;&gt;キャンセル"))</f>
        <v/>
      </c>
      <c r="V221" s="22"/>
      <c r="W221" s="12" t="str">
        <f aca="false">IF(OR(B221="",設定!$B$14=""),"",SUBSTITUTE(設定!$B$14,"__ID__",B221))</f>
        <v/>
      </c>
      <c r="X221" s="22"/>
      <c r="Y221" s="22"/>
      <c r="Z221" s="22"/>
      <c r="AA221" s="20" t="str">
        <f aca="false">IF(Z221="","",WORKDAY(Z221,設定!$B$5,設定!$F$5:$F$120))</f>
        <v/>
      </c>
      <c r="AB221" s="17"/>
      <c r="AC221" s="17"/>
      <c r="AD221" s="17"/>
      <c r="AE221" s="17"/>
      <c r="AF221" s="22"/>
      <c r="AG221" s="17"/>
      <c r="AH221" s="20" t="str">
        <f aca="false">IF(T221="","",EDATE(T221,設定!$B$8))</f>
        <v/>
      </c>
      <c r="AI221" s="17"/>
      <c r="AJ221" s="17"/>
      <c r="AK221" s="22"/>
      <c r="AL221" s="23" t="str">
        <f aca="true">IF(C221="","",IF(N221="失注","―",IF(AND(AK221&lt;&gt;"",AK221&lt;TODAY()),"対応期限超過",IF(AND(AF221="",AA221&lt;&gt;"",IF(AA221="",FALSE(),AA221&lt;TODAY())),"納品遅延",IF(AND(AK221&lt;&gt;"",AK221=TODAY()),"本日対応",IF(AND(S221="全開通",X221="",AF221=""),"ヒアリング依頼待ち",IF(AND(X221&lt;&gt;"",Y221="",Z221="",TODAY()-X221&gt;=設定!$B$6),"ヒアリング未回収",IF(AND(Y221&lt;&gt;"",Z221=""),"素材確認待ち",IF(AND(AF221="",AA221&lt;&gt;"",IF(AA221="",FALSE(),AA221-TODAY()&lt;=設定!$B$7)),"納品間近",IF(AND(AH221&lt;&gt;"",IF(AH221="",FALSE(),AH221&lt;=TODAY()),AI221=""),"解約チェック",IF(AF221&lt;&gt;"","納品済","")))))))))))</f>
        <v/>
      </c>
      <c r="AM221" s="17"/>
    </row>
    <row r="222" customFormat="false" ht="15" hidden="false" customHeight="false" outlineLevel="0" collapsed="false">
      <c r="A222" s="12" t="str">
        <f aca="false">IF(C222="","",ROW()-4)</f>
        <v/>
      </c>
      <c r="B222" s="17"/>
      <c r="C222" s="17"/>
      <c r="D222" s="17"/>
      <c r="E222" s="17"/>
      <c r="F222" s="24"/>
      <c r="G222" s="17"/>
      <c r="H222" s="17"/>
      <c r="I222" s="17"/>
      <c r="J222" s="17"/>
      <c r="K222" s="17"/>
      <c r="L222" s="22"/>
      <c r="M222" s="22"/>
      <c r="N222" s="17"/>
      <c r="O222" s="17"/>
      <c r="P222" s="17"/>
      <c r="Q222" s="18" t="str">
        <f aca="false">IF(B222="","",COUNTIFS(開通管理!$B$5:$B$604,B222,開通管理!$O$5:$O$604,"&lt;&gt;キャンセル"))</f>
        <v/>
      </c>
      <c r="R222" s="18" t="str">
        <f aca="false">IF(B222="","",COUNTIFS(開通管理!$B$5:$B$604,B222,開通管理!$O$5:$O$604,"開通済"))</f>
        <v/>
      </c>
      <c r="S222" s="19" t="str">
        <f aca="false">IF(B222="","",IF(Q222=0,"未申込",IF(R222&lt;Q222,"開通待ち（"&amp;R222&amp;"/"&amp;Q222&amp;"）","全開通")))</f>
        <v/>
      </c>
      <c r="T222" s="20" t="str">
        <f aca="false">IF(S222&lt;&gt;"全開通","",_xlfn.MAXIFS(開通管理!$Q$5:$Q$604,開通管理!$B$5:$B$604,B222))</f>
        <v/>
      </c>
      <c r="U222" s="21" t="str">
        <f aca="false">IF(B222="","",SUMIFS(開通管理!$J$5:$J$604,開通管理!$B$5:$B$604,B222,開通管理!$O$5:$O$604,"&lt;&gt;キャンセル"))</f>
        <v/>
      </c>
      <c r="V222" s="22"/>
      <c r="W222" s="12" t="str">
        <f aca="false">IF(OR(B222="",設定!$B$14=""),"",SUBSTITUTE(設定!$B$14,"__ID__",B222))</f>
        <v/>
      </c>
      <c r="X222" s="22"/>
      <c r="Y222" s="22"/>
      <c r="Z222" s="22"/>
      <c r="AA222" s="20" t="str">
        <f aca="false">IF(Z222="","",WORKDAY(Z222,設定!$B$5,設定!$F$5:$F$120))</f>
        <v/>
      </c>
      <c r="AB222" s="17"/>
      <c r="AC222" s="17"/>
      <c r="AD222" s="17"/>
      <c r="AE222" s="17"/>
      <c r="AF222" s="22"/>
      <c r="AG222" s="17"/>
      <c r="AH222" s="20" t="str">
        <f aca="false">IF(T222="","",EDATE(T222,設定!$B$8))</f>
        <v/>
      </c>
      <c r="AI222" s="17"/>
      <c r="AJ222" s="17"/>
      <c r="AK222" s="22"/>
      <c r="AL222" s="23" t="str">
        <f aca="true">IF(C222="","",IF(N222="失注","―",IF(AND(AK222&lt;&gt;"",AK222&lt;TODAY()),"対応期限超過",IF(AND(AF222="",AA222&lt;&gt;"",IF(AA222="",FALSE(),AA222&lt;TODAY())),"納品遅延",IF(AND(AK222&lt;&gt;"",AK222=TODAY()),"本日対応",IF(AND(S222="全開通",X222="",AF222=""),"ヒアリング依頼待ち",IF(AND(X222&lt;&gt;"",Y222="",Z222="",TODAY()-X222&gt;=設定!$B$6),"ヒアリング未回収",IF(AND(Y222&lt;&gt;"",Z222=""),"素材確認待ち",IF(AND(AF222="",AA222&lt;&gt;"",IF(AA222="",FALSE(),AA222-TODAY()&lt;=設定!$B$7)),"納品間近",IF(AND(AH222&lt;&gt;"",IF(AH222="",FALSE(),AH222&lt;=TODAY()),AI222=""),"解約チェック",IF(AF222&lt;&gt;"","納品済","")))))))))))</f>
        <v/>
      </c>
      <c r="AM222" s="17"/>
    </row>
    <row r="223" customFormat="false" ht="15" hidden="false" customHeight="false" outlineLevel="0" collapsed="false">
      <c r="A223" s="12" t="str">
        <f aca="false">IF(C223="","",ROW()-4)</f>
        <v/>
      </c>
      <c r="B223" s="17"/>
      <c r="C223" s="17"/>
      <c r="D223" s="17"/>
      <c r="E223" s="17"/>
      <c r="F223" s="24"/>
      <c r="G223" s="17"/>
      <c r="H223" s="17"/>
      <c r="I223" s="17"/>
      <c r="J223" s="17"/>
      <c r="K223" s="17"/>
      <c r="L223" s="22"/>
      <c r="M223" s="22"/>
      <c r="N223" s="17"/>
      <c r="O223" s="17"/>
      <c r="P223" s="17"/>
      <c r="Q223" s="18" t="str">
        <f aca="false">IF(B223="","",COUNTIFS(開通管理!$B$5:$B$604,B223,開通管理!$O$5:$O$604,"&lt;&gt;キャンセル"))</f>
        <v/>
      </c>
      <c r="R223" s="18" t="str">
        <f aca="false">IF(B223="","",COUNTIFS(開通管理!$B$5:$B$604,B223,開通管理!$O$5:$O$604,"開通済"))</f>
        <v/>
      </c>
      <c r="S223" s="19" t="str">
        <f aca="false">IF(B223="","",IF(Q223=0,"未申込",IF(R223&lt;Q223,"開通待ち（"&amp;R223&amp;"/"&amp;Q223&amp;"）","全開通")))</f>
        <v/>
      </c>
      <c r="T223" s="20" t="str">
        <f aca="false">IF(S223&lt;&gt;"全開通","",_xlfn.MAXIFS(開通管理!$Q$5:$Q$604,開通管理!$B$5:$B$604,B223))</f>
        <v/>
      </c>
      <c r="U223" s="21" t="str">
        <f aca="false">IF(B223="","",SUMIFS(開通管理!$J$5:$J$604,開通管理!$B$5:$B$604,B223,開通管理!$O$5:$O$604,"&lt;&gt;キャンセル"))</f>
        <v/>
      </c>
      <c r="V223" s="22"/>
      <c r="W223" s="12" t="str">
        <f aca="false">IF(OR(B223="",設定!$B$14=""),"",SUBSTITUTE(設定!$B$14,"__ID__",B223))</f>
        <v/>
      </c>
      <c r="X223" s="22"/>
      <c r="Y223" s="22"/>
      <c r="Z223" s="22"/>
      <c r="AA223" s="20" t="str">
        <f aca="false">IF(Z223="","",WORKDAY(Z223,設定!$B$5,設定!$F$5:$F$120))</f>
        <v/>
      </c>
      <c r="AB223" s="17"/>
      <c r="AC223" s="17"/>
      <c r="AD223" s="17"/>
      <c r="AE223" s="17"/>
      <c r="AF223" s="22"/>
      <c r="AG223" s="17"/>
      <c r="AH223" s="20" t="str">
        <f aca="false">IF(T223="","",EDATE(T223,設定!$B$8))</f>
        <v/>
      </c>
      <c r="AI223" s="17"/>
      <c r="AJ223" s="17"/>
      <c r="AK223" s="22"/>
      <c r="AL223" s="23" t="str">
        <f aca="true">IF(C223="","",IF(N223="失注","―",IF(AND(AK223&lt;&gt;"",AK223&lt;TODAY()),"対応期限超過",IF(AND(AF223="",AA223&lt;&gt;"",IF(AA223="",FALSE(),AA223&lt;TODAY())),"納品遅延",IF(AND(AK223&lt;&gt;"",AK223=TODAY()),"本日対応",IF(AND(S223="全開通",X223="",AF223=""),"ヒアリング依頼待ち",IF(AND(X223&lt;&gt;"",Y223="",Z223="",TODAY()-X223&gt;=設定!$B$6),"ヒアリング未回収",IF(AND(Y223&lt;&gt;"",Z223=""),"素材確認待ち",IF(AND(AF223="",AA223&lt;&gt;"",IF(AA223="",FALSE(),AA223-TODAY()&lt;=設定!$B$7)),"納品間近",IF(AND(AH223&lt;&gt;"",IF(AH223="",FALSE(),AH223&lt;=TODAY()),AI223=""),"解約チェック",IF(AF223&lt;&gt;"","納品済","")))))))))))</f>
        <v/>
      </c>
      <c r="AM223" s="17"/>
    </row>
    <row r="224" customFormat="false" ht="15" hidden="false" customHeight="false" outlineLevel="0" collapsed="false">
      <c r="A224" s="12" t="str">
        <f aca="false">IF(C224="","",ROW()-4)</f>
        <v/>
      </c>
      <c r="B224" s="17"/>
      <c r="C224" s="17"/>
      <c r="D224" s="17"/>
      <c r="E224" s="17"/>
      <c r="F224" s="24"/>
      <c r="G224" s="17"/>
      <c r="H224" s="17"/>
      <c r="I224" s="17"/>
      <c r="J224" s="17"/>
      <c r="K224" s="17"/>
      <c r="L224" s="22"/>
      <c r="M224" s="22"/>
      <c r="N224" s="17"/>
      <c r="O224" s="17"/>
      <c r="P224" s="17"/>
      <c r="Q224" s="18" t="str">
        <f aca="false">IF(B224="","",COUNTIFS(開通管理!$B$5:$B$604,B224,開通管理!$O$5:$O$604,"&lt;&gt;キャンセル"))</f>
        <v/>
      </c>
      <c r="R224" s="18" t="str">
        <f aca="false">IF(B224="","",COUNTIFS(開通管理!$B$5:$B$604,B224,開通管理!$O$5:$O$604,"開通済"))</f>
        <v/>
      </c>
      <c r="S224" s="19" t="str">
        <f aca="false">IF(B224="","",IF(Q224=0,"未申込",IF(R224&lt;Q224,"開通待ち（"&amp;R224&amp;"/"&amp;Q224&amp;"）","全開通")))</f>
        <v/>
      </c>
      <c r="T224" s="20" t="str">
        <f aca="false">IF(S224&lt;&gt;"全開通","",_xlfn.MAXIFS(開通管理!$Q$5:$Q$604,開通管理!$B$5:$B$604,B224))</f>
        <v/>
      </c>
      <c r="U224" s="21" t="str">
        <f aca="false">IF(B224="","",SUMIFS(開通管理!$J$5:$J$604,開通管理!$B$5:$B$604,B224,開通管理!$O$5:$O$604,"&lt;&gt;キャンセル"))</f>
        <v/>
      </c>
      <c r="V224" s="22"/>
      <c r="W224" s="12" t="str">
        <f aca="false">IF(OR(B224="",設定!$B$14=""),"",SUBSTITUTE(設定!$B$14,"__ID__",B224))</f>
        <v/>
      </c>
      <c r="X224" s="22"/>
      <c r="Y224" s="22"/>
      <c r="Z224" s="22"/>
      <c r="AA224" s="20" t="str">
        <f aca="false">IF(Z224="","",WORKDAY(Z224,設定!$B$5,設定!$F$5:$F$120))</f>
        <v/>
      </c>
      <c r="AB224" s="17"/>
      <c r="AC224" s="17"/>
      <c r="AD224" s="17"/>
      <c r="AE224" s="17"/>
      <c r="AF224" s="22"/>
      <c r="AG224" s="17"/>
      <c r="AH224" s="20" t="str">
        <f aca="false">IF(T224="","",EDATE(T224,設定!$B$8))</f>
        <v/>
      </c>
      <c r="AI224" s="17"/>
      <c r="AJ224" s="17"/>
      <c r="AK224" s="22"/>
      <c r="AL224" s="23" t="str">
        <f aca="true">IF(C224="","",IF(N224="失注","―",IF(AND(AK224&lt;&gt;"",AK224&lt;TODAY()),"対応期限超過",IF(AND(AF224="",AA224&lt;&gt;"",IF(AA224="",FALSE(),AA224&lt;TODAY())),"納品遅延",IF(AND(AK224&lt;&gt;"",AK224=TODAY()),"本日対応",IF(AND(S224="全開通",X224="",AF224=""),"ヒアリング依頼待ち",IF(AND(X224&lt;&gt;"",Y224="",Z224="",TODAY()-X224&gt;=設定!$B$6),"ヒアリング未回収",IF(AND(Y224&lt;&gt;"",Z224=""),"素材確認待ち",IF(AND(AF224="",AA224&lt;&gt;"",IF(AA224="",FALSE(),AA224-TODAY()&lt;=設定!$B$7)),"納品間近",IF(AND(AH224&lt;&gt;"",IF(AH224="",FALSE(),AH224&lt;=TODAY()),AI224=""),"解約チェック",IF(AF224&lt;&gt;"","納品済","")))))))))))</f>
        <v/>
      </c>
      <c r="AM224" s="17"/>
    </row>
    <row r="225" customFormat="false" ht="15" hidden="false" customHeight="false" outlineLevel="0" collapsed="false">
      <c r="A225" s="12" t="str">
        <f aca="false">IF(C225="","",ROW()-4)</f>
        <v/>
      </c>
      <c r="B225" s="17"/>
      <c r="C225" s="17"/>
      <c r="D225" s="17"/>
      <c r="E225" s="17"/>
      <c r="F225" s="24"/>
      <c r="G225" s="17"/>
      <c r="H225" s="17"/>
      <c r="I225" s="17"/>
      <c r="J225" s="17"/>
      <c r="K225" s="17"/>
      <c r="L225" s="22"/>
      <c r="M225" s="22"/>
      <c r="N225" s="17"/>
      <c r="O225" s="17"/>
      <c r="P225" s="17"/>
      <c r="Q225" s="18" t="str">
        <f aca="false">IF(B225="","",COUNTIFS(開通管理!$B$5:$B$604,B225,開通管理!$O$5:$O$604,"&lt;&gt;キャンセル"))</f>
        <v/>
      </c>
      <c r="R225" s="18" t="str">
        <f aca="false">IF(B225="","",COUNTIFS(開通管理!$B$5:$B$604,B225,開通管理!$O$5:$O$604,"開通済"))</f>
        <v/>
      </c>
      <c r="S225" s="19" t="str">
        <f aca="false">IF(B225="","",IF(Q225=0,"未申込",IF(R225&lt;Q225,"開通待ち（"&amp;R225&amp;"/"&amp;Q225&amp;"）","全開通")))</f>
        <v/>
      </c>
      <c r="T225" s="20" t="str">
        <f aca="false">IF(S225&lt;&gt;"全開通","",_xlfn.MAXIFS(開通管理!$Q$5:$Q$604,開通管理!$B$5:$B$604,B225))</f>
        <v/>
      </c>
      <c r="U225" s="21" t="str">
        <f aca="false">IF(B225="","",SUMIFS(開通管理!$J$5:$J$604,開通管理!$B$5:$B$604,B225,開通管理!$O$5:$O$604,"&lt;&gt;キャンセル"))</f>
        <v/>
      </c>
      <c r="V225" s="22"/>
      <c r="W225" s="12" t="str">
        <f aca="false">IF(OR(B225="",設定!$B$14=""),"",SUBSTITUTE(設定!$B$14,"__ID__",B225))</f>
        <v/>
      </c>
      <c r="X225" s="22"/>
      <c r="Y225" s="22"/>
      <c r="Z225" s="22"/>
      <c r="AA225" s="20" t="str">
        <f aca="false">IF(Z225="","",WORKDAY(Z225,設定!$B$5,設定!$F$5:$F$120))</f>
        <v/>
      </c>
      <c r="AB225" s="17"/>
      <c r="AC225" s="17"/>
      <c r="AD225" s="17"/>
      <c r="AE225" s="17"/>
      <c r="AF225" s="22"/>
      <c r="AG225" s="17"/>
      <c r="AH225" s="20" t="str">
        <f aca="false">IF(T225="","",EDATE(T225,設定!$B$8))</f>
        <v/>
      </c>
      <c r="AI225" s="17"/>
      <c r="AJ225" s="17"/>
      <c r="AK225" s="22"/>
      <c r="AL225" s="23" t="str">
        <f aca="true">IF(C225="","",IF(N225="失注","―",IF(AND(AK225&lt;&gt;"",AK225&lt;TODAY()),"対応期限超過",IF(AND(AF225="",AA225&lt;&gt;"",IF(AA225="",FALSE(),AA225&lt;TODAY())),"納品遅延",IF(AND(AK225&lt;&gt;"",AK225=TODAY()),"本日対応",IF(AND(S225="全開通",X225="",AF225=""),"ヒアリング依頼待ち",IF(AND(X225&lt;&gt;"",Y225="",Z225="",TODAY()-X225&gt;=設定!$B$6),"ヒアリング未回収",IF(AND(Y225&lt;&gt;"",Z225=""),"素材確認待ち",IF(AND(AF225="",AA225&lt;&gt;"",IF(AA225="",FALSE(),AA225-TODAY()&lt;=設定!$B$7)),"納品間近",IF(AND(AH225&lt;&gt;"",IF(AH225="",FALSE(),AH225&lt;=TODAY()),AI225=""),"解約チェック",IF(AF225&lt;&gt;"","納品済","")))))))))))</f>
        <v/>
      </c>
      <c r="AM225" s="17"/>
    </row>
    <row r="226" customFormat="false" ht="15" hidden="false" customHeight="false" outlineLevel="0" collapsed="false">
      <c r="A226" s="12" t="str">
        <f aca="false">IF(C226="","",ROW()-4)</f>
        <v/>
      </c>
      <c r="B226" s="17"/>
      <c r="C226" s="17"/>
      <c r="D226" s="17"/>
      <c r="E226" s="17"/>
      <c r="F226" s="24"/>
      <c r="G226" s="17"/>
      <c r="H226" s="17"/>
      <c r="I226" s="17"/>
      <c r="J226" s="17"/>
      <c r="K226" s="17"/>
      <c r="L226" s="22"/>
      <c r="M226" s="22"/>
      <c r="N226" s="17"/>
      <c r="O226" s="17"/>
      <c r="P226" s="17"/>
      <c r="Q226" s="18" t="str">
        <f aca="false">IF(B226="","",COUNTIFS(開通管理!$B$5:$B$604,B226,開通管理!$O$5:$O$604,"&lt;&gt;キャンセル"))</f>
        <v/>
      </c>
      <c r="R226" s="18" t="str">
        <f aca="false">IF(B226="","",COUNTIFS(開通管理!$B$5:$B$604,B226,開通管理!$O$5:$O$604,"開通済"))</f>
        <v/>
      </c>
      <c r="S226" s="19" t="str">
        <f aca="false">IF(B226="","",IF(Q226=0,"未申込",IF(R226&lt;Q226,"開通待ち（"&amp;R226&amp;"/"&amp;Q226&amp;"）","全開通")))</f>
        <v/>
      </c>
      <c r="T226" s="20" t="str">
        <f aca="false">IF(S226&lt;&gt;"全開通","",_xlfn.MAXIFS(開通管理!$Q$5:$Q$604,開通管理!$B$5:$B$604,B226))</f>
        <v/>
      </c>
      <c r="U226" s="21" t="str">
        <f aca="false">IF(B226="","",SUMIFS(開通管理!$J$5:$J$604,開通管理!$B$5:$B$604,B226,開通管理!$O$5:$O$604,"&lt;&gt;キャンセル"))</f>
        <v/>
      </c>
      <c r="V226" s="22"/>
      <c r="W226" s="12" t="str">
        <f aca="false">IF(OR(B226="",設定!$B$14=""),"",SUBSTITUTE(設定!$B$14,"__ID__",B226))</f>
        <v/>
      </c>
      <c r="X226" s="22"/>
      <c r="Y226" s="22"/>
      <c r="Z226" s="22"/>
      <c r="AA226" s="20" t="str">
        <f aca="false">IF(Z226="","",WORKDAY(Z226,設定!$B$5,設定!$F$5:$F$120))</f>
        <v/>
      </c>
      <c r="AB226" s="17"/>
      <c r="AC226" s="17"/>
      <c r="AD226" s="17"/>
      <c r="AE226" s="17"/>
      <c r="AF226" s="22"/>
      <c r="AG226" s="17"/>
      <c r="AH226" s="20" t="str">
        <f aca="false">IF(T226="","",EDATE(T226,設定!$B$8))</f>
        <v/>
      </c>
      <c r="AI226" s="17"/>
      <c r="AJ226" s="17"/>
      <c r="AK226" s="22"/>
      <c r="AL226" s="23" t="str">
        <f aca="true">IF(C226="","",IF(N226="失注","―",IF(AND(AK226&lt;&gt;"",AK226&lt;TODAY()),"対応期限超過",IF(AND(AF226="",AA226&lt;&gt;"",IF(AA226="",FALSE(),AA226&lt;TODAY())),"納品遅延",IF(AND(AK226&lt;&gt;"",AK226=TODAY()),"本日対応",IF(AND(S226="全開通",X226="",AF226=""),"ヒアリング依頼待ち",IF(AND(X226&lt;&gt;"",Y226="",Z226="",TODAY()-X226&gt;=設定!$B$6),"ヒアリング未回収",IF(AND(Y226&lt;&gt;"",Z226=""),"素材確認待ち",IF(AND(AF226="",AA226&lt;&gt;"",IF(AA226="",FALSE(),AA226-TODAY()&lt;=設定!$B$7)),"納品間近",IF(AND(AH226&lt;&gt;"",IF(AH226="",FALSE(),AH226&lt;=TODAY()),AI226=""),"解約チェック",IF(AF226&lt;&gt;"","納品済","")))))))))))</f>
        <v/>
      </c>
      <c r="AM226" s="17"/>
    </row>
    <row r="227" customFormat="false" ht="15" hidden="false" customHeight="false" outlineLevel="0" collapsed="false">
      <c r="A227" s="12" t="str">
        <f aca="false">IF(C227="","",ROW()-4)</f>
        <v/>
      </c>
      <c r="B227" s="17"/>
      <c r="C227" s="17"/>
      <c r="D227" s="17"/>
      <c r="E227" s="17"/>
      <c r="F227" s="24"/>
      <c r="G227" s="17"/>
      <c r="H227" s="17"/>
      <c r="I227" s="17"/>
      <c r="J227" s="17"/>
      <c r="K227" s="17"/>
      <c r="L227" s="22"/>
      <c r="M227" s="22"/>
      <c r="N227" s="17"/>
      <c r="O227" s="17"/>
      <c r="P227" s="17"/>
      <c r="Q227" s="18" t="str">
        <f aca="false">IF(B227="","",COUNTIFS(開通管理!$B$5:$B$604,B227,開通管理!$O$5:$O$604,"&lt;&gt;キャンセル"))</f>
        <v/>
      </c>
      <c r="R227" s="18" t="str">
        <f aca="false">IF(B227="","",COUNTIFS(開通管理!$B$5:$B$604,B227,開通管理!$O$5:$O$604,"開通済"))</f>
        <v/>
      </c>
      <c r="S227" s="19" t="str">
        <f aca="false">IF(B227="","",IF(Q227=0,"未申込",IF(R227&lt;Q227,"開通待ち（"&amp;R227&amp;"/"&amp;Q227&amp;"）","全開通")))</f>
        <v/>
      </c>
      <c r="T227" s="20" t="str">
        <f aca="false">IF(S227&lt;&gt;"全開通","",_xlfn.MAXIFS(開通管理!$Q$5:$Q$604,開通管理!$B$5:$B$604,B227))</f>
        <v/>
      </c>
      <c r="U227" s="21" t="str">
        <f aca="false">IF(B227="","",SUMIFS(開通管理!$J$5:$J$604,開通管理!$B$5:$B$604,B227,開通管理!$O$5:$O$604,"&lt;&gt;キャンセル"))</f>
        <v/>
      </c>
      <c r="V227" s="22"/>
      <c r="W227" s="12" t="str">
        <f aca="false">IF(OR(B227="",設定!$B$14=""),"",SUBSTITUTE(設定!$B$14,"__ID__",B227))</f>
        <v/>
      </c>
      <c r="X227" s="22"/>
      <c r="Y227" s="22"/>
      <c r="Z227" s="22"/>
      <c r="AA227" s="20" t="str">
        <f aca="false">IF(Z227="","",WORKDAY(Z227,設定!$B$5,設定!$F$5:$F$120))</f>
        <v/>
      </c>
      <c r="AB227" s="17"/>
      <c r="AC227" s="17"/>
      <c r="AD227" s="17"/>
      <c r="AE227" s="17"/>
      <c r="AF227" s="22"/>
      <c r="AG227" s="17"/>
      <c r="AH227" s="20" t="str">
        <f aca="false">IF(T227="","",EDATE(T227,設定!$B$8))</f>
        <v/>
      </c>
      <c r="AI227" s="17"/>
      <c r="AJ227" s="17"/>
      <c r="AK227" s="22"/>
      <c r="AL227" s="23" t="str">
        <f aca="true">IF(C227="","",IF(N227="失注","―",IF(AND(AK227&lt;&gt;"",AK227&lt;TODAY()),"対応期限超過",IF(AND(AF227="",AA227&lt;&gt;"",IF(AA227="",FALSE(),AA227&lt;TODAY())),"納品遅延",IF(AND(AK227&lt;&gt;"",AK227=TODAY()),"本日対応",IF(AND(S227="全開通",X227="",AF227=""),"ヒアリング依頼待ち",IF(AND(X227&lt;&gt;"",Y227="",Z227="",TODAY()-X227&gt;=設定!$B$6),"ヒアリング未回収",IF(AND(Y227&lt;&gt;"",Z227=""),"素材確認待ち",IF(AND(AF227="",AA227&lt;&gt;"",IF(AA227="",FALSE(),AA227-TODAY()&lt;=設定!$B$7)),"納品間近",IF(AND(AH227&lt;&gt;"",IF(AH227="",FALSE(),AH227&lt;=TODAY()),AI227=""),"解約チェック",IF(AF227&lt;&gt;"","納品済","")))))))))))</f>
        <v/>
      </c>
      <c r="AM227" s="17"/>
    </row>
    <row r="228" customFormat="false" ht="15" hidden="false" customHeight="false" outlineLevel="0" collapsed="false">
      <c r="A228" s="12" t="str">
        <f aca="false">IF(C228="","",ROW()-4)</f>
        <v/>
      </c>
      <c r="B228" s="17"/>
      <c r="C228" s="17"/>
      <c r="D228" s="17"/>
      <c r="E228" s="17"/>
      <c r="F228" s="24"/>
      <c r="G228" s="17"/>
      <c r="H228" s="17"/>
      <c r="I228" s="17"/>
      <c r="J228" s="17"/>
      <c r="K228" s="17"/>
      <c r="L228" s="22"/>
      <c r="M228" s="22"/>
      <c r="N228" s="17"/>
      <c r="O228" s="17"/>
      <c r="P228" s="17"/>
      <c r="Q228" s="18" t="str">
        <f aca="false">IF(B228="","",COUNTIFS(開通管理!$B$5:$B$604,B228,開通管理!$O$5:$O$604,"&lt;&gt;キャンセル"))</f>
        <v/>
      </c>
      <c r="R228" s="18" t="str">
        <f aca="false">IF(B228="","",COUNTIFS(開通管理!$B$5:$B$604,B228,開通管理!$O$5:$O$604,"開通済"))</f>
        <v/>
      </c>
      <c r="S228" s="19" t="str">
        <f aca="false">IF(B228="","",IF(Q228=0,"未申込",IF(R228&lt;Q228,"開通待ち（"&amp;R228&amp;"/"&amp;Q228&amp;"）","全開通")))</f>
        <v/>
      </c>
      <c r="T228" s="20" t="str">
        <f aca="false">IF(S228&lt;&gt;"全開通","",_xlfn.MAXIFS(開通管理!$Q$5:$Q$604,開通管理!$B$5:$B$604,B228))</f>
        <v/>
      </c>
      <c r="U228" s="21" t="str">
        <f aca="false">IF(B228="","",SUMIFS(開通管理!$J$5:$J$604,開通管理!$B$5:$B$604,B228,開通管理!$O$5:$O$604,"&lt;&gt;キャンセル"))</f>
        <v/>
      </c>
      <c r="V228" s="22"/>
      <c r="W228" s="12" t="str">
        <f aca="false">IF(OR(B228="",設定!$B$14=""),"",SUBSTITUTE(設定!$B$14,"__ID__",B228))</f>
        <v/>
      </c>
      <c r="X228" s="22"/>
      <c r="Y228" s="22"/>
      <c r="Z228" s="22"/>
      <c r="AA228" s="20" t="str">
        <f aca="false">IF(Z228="","",WORKDAY(Z228,設定!$B$5,設定!$F$5:$F$120))</f>
        <v/>
      </c>
      <c r="AB228" s="17"/>
      <c r="AC228" s="17"/>
      <c r="AD228" s="17"/>
      <c r="AE228" s="17"/>
      <c r="AF228" s="22"/>
      <c r="AG228" s="17"/>
      <c r="AH228" s="20" t="str">
        <f aca="false">IF(T228="","",EDATE(T228,設定!$B$8))</f>
        <v/>
      </c>
      <c r="AI228" s="17"/>
      <c r="AJ228" s="17"/>
      <c r="AK228" s="22"/>
      <c r="AL228" s="23" t="str">
        <f aca="true">IF(C228="","",IF(N228="失注","―",IF(AND(AK228&lt;&gt;"",AK228&lt;TODAY()),"対応期限超過",IF(AND(AF228="",AA228&lt;&gt;"",IF(AA228="",FALSE(),AA228&lt;TODAY())),"納品遅延",IF(AND(AK228&lt;&gt;"",AK228=TODAY()),"本日対応",IF(AND(S228="全開通",X228="",AF228=""),"ヒアリング依頼待ち",IF(AND(X228&lt;&gt;"",Y228="",Z228="",TODAY()-X228&gt;=設定!$B$6),"ヒアリング未回収",IF(AND(Y228&lt;&gt;"",Z228=""),"素材確認待ち",IF(AND(AF228="",AA228&lt;&gt;"",IF(AA228="",FALSE(),AA228-TODAY()&lt;=設定!$B$7)),"納品間近",IF(AND(AH228&lt;&gt;"",IF(AH228="",FALSE(),AH228&lt;=TODAY()),AI228=""),"解約チェック",IF(AF228&lt;&gt;"","納品済","")))))))))))</f>
        <v/>
      </c>
      <c r="AM228" s="17"/>
    </row>
    <row r="229" customFormat="false" ht="15" hidden="false" customHeight="false" outlineLevel="0" collapsed="false">
      <c r="A229" s="12" t="str">
        <f aca="false">IF(C229="","",ROW()-4)</f>
        <v/>
      </c>
      <c r="B229" s="17"/>
      <c r="C229" s="17"/>
      <c r="D229" s="17"/>
      <c r="E229" s="17"/>
      <c r="F229" s="24"/>
      <c r="G229" s="17"/>
      <c r="H229" s="17"/>
      <c r="I229" s="17"/>
      <c r="J229" s="17"/>
      <c r="K229" s="17"/>
      <c r="L229" s="22"/>
      <c r="M229" s="22"/>
      <c r="N229" s="17"/>
      <c r="O229" s="17"/>
      <c r="P229" s="17"/>
      <c r="Q229" s="18" t="str">
        <f aca="false">IF(B229="","",COUNTIFS(開通管理!$B$5:$B$604,B229,開通管理!$O$5:$O$604,"&lt;&gt;キャンセル"))</f>
        <v/>
      </c>
      <c r="R229" s="18" t="str">
        <f aca="false">IF(B229="","",COUNTIFS(開通管理!$B$5:$B$604,B229,開通管理!$O$5:$O$604,"開通済"))</f>
        <v/>
      </c>
      <c r="S229" s="19" t="str">
        <f aca="false">IF(B229="","",IF(Q229=0,"未申込",IF(R229&lt;Q229,"開通待ち（"&amp;R229&amp;"/"&amp;Q229&amp;"）","全開通")))</f>
        <v/>
      </c>
      <c r="T229" s="20" t="str">
        <f aca="false">IF(S229&lt;&gt;"全開通","",_xlfn.MAXIFS(開通管理!$Q$5:$Q$604,開通管理!$B$5:$B$604,B229))</f>
        <v/>
      </c>
      <c r="U229" s="21" t="str">
        <f aca="false">IF(B229="","",SUMIFS(開通管理!$J$5:$J$604,開通管理!$B$5:$B$604,B229,開通管理!$O$5:$O$604,"&lt;&gt;キャンセル"))</f>
        <v/>
      </c>
      <c r="V229" s="22"/>
      <c r="W229" s="12" t="str">
        <f aca="false">IF(OR(B229="",設定!$B$14=""),"",SUBSTITUTE(設定!$B$14,"__ID__",B229))</f>
        <v/>
      </c>
      <c r="X229" s="22"/>
      <c r="Y229" s="22"/>
      <c r="Z229" s="22"/>
      <c r="AA229" s="20" t="str">
        <f aca="false">IF(Z229="","",WORKDAY(Z229,設定!$B$5,設定!$F$5:$F$120))</f>
        <v/>
      </c>
      <c r="AB229" s="17"/>
      <c r="AC229" s="17"/>
      <c r="AD229" s="17"/>
      <c r="AE229" s="17"/>
      <c r="AF229" s="22"/>
      <c r="AG229" s="17"/>
      <c r="AH229" s="20" t="str">
        <f aca="false">IF(T229="","",EDATE(T229,設定!$B$8))</f>
        <v/>
      </c>
      <c r="AI229" s="17"/>
      <c r="AJ229" s="17"/>
      <c r="AK229" s="22"/>
      <c r="AL229" s="23" t="str">
        <f aca="true">IF(C229="","",IF(N229="失注","―",IF(AND(AK229&lt;&gt;"",AK229&lt;TODAY()),"対応期限超過",IF(AND(AF229="",AA229&lt;&gt;"",IF(AA229="",FALSE(),AA229&lt;TODAY())),"納品遅延",IF(AND(AK229&lt;&gt;"",AK229=TODAY()),"本日対応",IF(AND(S229="全開通",X229="",AF229=""),"ヒアリング依頼待ち",IF(AND(X229&lt;&gt;"",Y229="",Z229="",TODAY()-X229&gt;=設定!$B$6),"ヒアリング未回収",IF(AND(Y229&lt;&gt;"",Z229=""),"素材確認待ち",IF(AND(AF229="",AA229&lt;&gt;"",IF(AA229="",FALSE(),AA229-TODAY()&lt;=設定!$B$7)),"納品間近",IF(AND(AH229&lt;&gt;"",IF(AH229="",FALSE(),AH229&lt;=TODAY()),AI229=""),"解約チェック",IF(AF229&lt;&gt;"","納品済","")))))))))))</f>
        <v/>
      </c>
      <c r="AM229" s="17"/>
    </row>
    <row r="230" customFormat="false" ht="15" hidden="false" customHeight="false" outlineLevel="0" collapsed="false">
      <c r="A230" s="12" t="str">
        <f aca="false">IF(C230="","",ROW()-4)</f>
        <v/>
      </c>
      <c r="B230" s="17"/>
      <c r="C230" s="17"/>
      <c r="D230" s="17"/>
      <c r="E230" s="17"/>
      <c r="F230" s="24"/>
      <c r="G230" s="17"/>
      <c r="H230" s="17"/>
      <c r="I230" s="17"/>
      <c r="J230" s="17"/>
      <c r="K230" s="17"/>
      <c r="L230" s="22"/>
      <c r="M230" s="22"/>
      <c r="N230" s="17"/>
      <c r="O230" s="17"/>
      <c r="P230" s="17"/>
      <c r="Q230" s="18" t="str">
        <f aca="false">IF(B230="","",COUNTIFS(開通管理!$B$5:$B$604,B230,開通管理!$O$5:$O$604,"&lt;&gt;キャンセル"))</f>
        <v/>
      </c>
      <c r="R230" s="18" t="str">
        <f aca="false">IF(B230="","",COUNTIFS(開通管理!$B$5:$B$604,B230,開通管理!$O$5:$O$604,"開通済"))</f>
        <v/>
      </c>
      <c r="S230" s="19" t="str">
        <f aca="false">IF(B230="","",IF(Q230=0,"未申込",IF(R230&lt;Q230,"開通待ち（"&amp;R230&amp;"/"&amp;Q230&amp;"）","全開通")))</f>
        <v/>
      </c>
      <c r="T230" s="20" t="str">
        <f aca="false">IF(S230&lt;&gt;"全開通","",_xlfn.MAXIFS(開通管理!$Q$5:$Q$604,開通管理!$B$5:$B$604,B230))</f>
        <v/>
      </c>
      <c r="U230" s="21" t="str">
        <f aca="false">IF(B230="","",SUMIFS(開通管理!$J$5:$J$604,開通管理!$B$5:$B$604,B230,開通管理!$O$5:$O$604,"&lt;&gt;キャンセル"))</f>
        <v/>
      </c>
      <c r="V230" s="22"/>
      <c r="W230" s="12" t="str">
        <f aca="false">IF(OR(B230="",設定!$B$14=""),"",SUBSTITUTE(設定!$B$14,"__ID__",B230))</f>
        <v/>
      </c>
      <c r="X230" s="22"/>
      <c r="Y230" s="22"/>
      <c r="Z230" s="22"/>
      <c r="AA230" s="20" t="str">
        <f aca="false">IF(Z230="","",WORKDAY(Z230,設定!$B$5,設定!$F$5:$F$120))</f>
        <v/>
      </c>
      <c r="AB230" s="17"/>
      <c r="AC230" s="17"/>
      <c r="AD230" s="17"/>
      <c r="AE230" s="17"/>
      <c r="AF230" s="22"/>
      <c r="AG230" s="17"/>
      <c r="AH230" s="20" t="str">
        <f aca="false">IF(T230="","",EDATE(T230,設定!$B$8))</f>
        <v/>
      </c>
      <c r="AI230" s="17"/>
      <c r="AJ230" s="17"/>
      <c r="AK230" s="22"/>
      <c r="AL230" s="23" t="str">
        <f aca="true">IF(C230="","",IF(N230="失注","―",IF(AND(AK230&lt;&gt;"",AK230&lt;TODAY()),"対応期限超過",IF(AND(AF230="",AA230&lt;&gt;"",IF(AA230="",FALSE(),AA230&lt;TODAY())),"納品遅延",IF(AND(AK230&lt;&gt;"",AK230=TODAY()),"本日対応",IF(AND(S230="全開通",X230="",AF230=""),"ヒアリング依頼待ち",IF(AND(X230&lt;&gt;"",Y230="",Z230="",TODAY()-X230&gt;=設定!$B$6),"ヒアリング未回収",IF(AND(Y230&lt;&gt;"",Z230=""),"素材確認待ち",IF(AND(AF230="",AA230&lt;&gt;"",IF(AA230="",FALSE(),AA230-TODAY()&lt;=設定!$B$7)),"納品間近",IF(AND(AH230&lt;&gt;"",IF(AH230="",FALSE(),AH230&lt;=TODAY()),AI230=""),"解約チェック",IF(AF230&lt;&gt;"","納品済","")))))))))))</f>
        <v/>
      </c>
      <c r="AM230" s="17"/>
    </row>
    <row r="231" customFormat="false" ht="15" hidden="false" customHeight="false" outlineLevel="0" collapsed="false">
      <c r="A231" s="12" t="str">
        <f aca="false">IF(C231="","",ROW()-4)</f>
        <v/>
      </c>
      <c r="B231" s="17"/>
      <c r="C231" s="17"/>
      <c r="D231" s="17"/>
      <c r="E231" s="17"/>
      <c r="F231" s="24"/>
      <c r="G231" s="17"/>
      <c r="H231" s="17"/>
      <c r="I231" s="17"/>
      <c r="J231" s="17"/>
      <c r="K231" s="17"/>
      <c r="L231" s="22"/>
      <c r="M231" s="22"/>
      <c r="N231" s="17"/>
      <c r="O231" s="17"/>
      <c r="P231" s="17"/>
      <c r="Q231" s="18" t="str">
        <f aca="false">IF(B231="","",COUNTIFS(開通管理!$B$5:$B$604,B231,開通管理!$O$5:$O$604,"&lt;&gt;キャンセル"))</f>
        <v/>
      </c>
      <c r="R231" s="18" t="str">
        <f aca="false">IF(B231="","",COUNTIFS(開通管理!$B$5:$B$604,B231,開通管理!$O$5:$O$604,"開通済"))</f>
        <v/>
      </c>
      <c r="S231" s="19" t="str">
        <f aca="false">IF(B231="","",IF(Q231=0,"未申込",IF(R231&lt;Q231,"開通待ち（"&amp;R231&amp;"/"&amp;Q231&amp;"）","全開通")))</f>
        <v/>
      </c>
      <c r="T231" s="20" t="str">
        <f aca="false">IF(S231&lt;&gt;"全開通","",_xlfn.MAXIFS(開通管理!$Q$5:$Q$604,開通管理!$B$5:$B$604,B231))</f>
        <v/>
      </c>
      <c r="U231" s="21" t="str">
        <f aca="false">IF(B231="","",SUMIFS(開通管理!$J$5:$J$604,開通管理!$B$5:$B$604,B231,開通管理!$O$5:$O$604,"&lt;&gt;キャンセル"))</f>
        <v/>
      </c>
      <c r="V231" s="22"/>
      <c r="W231" s="12" t="str">
        <f aca="false">IF(OR(B231="",設定!$B$14=""),"",SUBSTITUTE(設定!$B$14,"__ID__",B231))</f>
        <v/>
      </c>
      <c r="X231" s="22"/>
      <c r="Y231" s="22"/>
      <c r="Z231" s="22"/>
      <c r="AA231" s="20" t="str">
        <f aca="false">IF(Z231="","",WORKDAY(Z231,設定!$B$5,設定!$F$5:$F$120))</f>
        <v/>
      </c>
      <c r="AB231" s="17"/>
      <c r="AC231" s="17"/>
      <c r="AD231" s="17"/>
      <c r="AE231" s="17"/>
      <c r="AF231" s="22"/>
      <c r="AG231" s="17"/>
      <c r="AH231" s="20" t="str">
        <f aca="false">IF(T231="","",EDATE(T231,設定!$B$8))</f>
        <v/>
      </c>
      <c r="AI231" s="17"/>
      <c r="AJ231" s="17"/>
      <c r="AK231" s="22"/>
      <c r="AL231" s="23" t="str">
        <f aca="true">IF(C231="","",IF(N231="失注","―",IF(AND(AK231&lt;&gt;"",AK231&lt;TODAY()),"対応期限超過",IF(AND(AF231="",AA231&lt;&gt;"",IF(AA231="",FALSE(),AA231&lt;TODAY())),"納品遅延",IF(AND(AK231&lt;&gt;"",AK231=TODAY()),"本日対応",IF(AND(S231="全開通",X231="",AF231=""),"ヒアリング依頼待ち",IF(AND(X231&lt;&gt;"",Y231="",Z231="",TODAY()-X231&gt;=設定!$B$6),"ヒアリング未回収",IF(AND(Y231&lt;&gt;"",Z231=""),"素材確認待ち",IF(AND(AF231="",AA231&lt;&gt;"",IF(AA231="",FALSE(),AA231-TODAY()&lt;=設定!$B$7)),"納品間近",IF(AND(AH231&lt;&gt;"",IF(AH231="",FALSE(),AH231&lt;=TODAY()),AI231=""),"解約チェック",IF(AF231&lt;&gt;"","納品済","")))))))))))</f>
        <v/>
      </c>
      <c r="AM231" s="17"/>
    </row>
    <row r="232" customFormat="false" ht="15" hidden="false" customHeight="false" outlineLevel="0" collapsed="false">
      <c r="A232" s="12" t="str">
        <f aca="false">IF(C232="","",ROW()-4)</f>
        <v/>
      </c>
      <c r="B232" s="17"/>
      <c r="C232" s="17"/>
      <c r="D232" s="17"/>
      <c r="E232" s="17"/>
      <c r="F232" s="24"/>
      <c r="G232" s="17"/>
      <c r="H232" s="17"/>
      <c r="I232" s="17"/>
      <c r="J232" s="17"/>
      <c r="K232" s="17"/>
      <c r="L232" s="22"/>
      <c r="M232" s="22"/>
      <c r="N232" s="17"/>
      <c r="O232" s="17"/>
      <c r="P232" s="17"/>
      <c r="Q232" s="18" t="str">
        <f aca="false">IF(B232="","",COUNTIFS(開通管理!$B$5:$B$604,B232,開通管理!$O$5:$O$604,"&lt;&gt;キャンセル"))</f>
        <v/>
      </c>
      <c r="R232" s="18" t="str">
        <f aca="false">IF(B232="","",COUNTIFS(開通管理!$B$5:$B$604,B232,開通管理!$O$5:$O$604,"開通済"))</f>
        <v/>
      </c>
      <c r="S232" s="19" t="str">
        <f aca="false">IF(B232="","",IF(Q232=0,"未申込",IF(R232&lt;Q232,"開通待ち（"&amp;R232&amp;"/"&amp;Q232&amp;"）","全開通")))</f>
        <v/>
      </c>
      <c r="T232" s="20" t="str">
        <f aca="false">IF(S232&lt;&gt;"全開通","",_xlfn.MAXIFS(開通管理!$Q$5:$Q$604,開通管理!$B$5:$B$604,B232))</f>
        <v/>
      </c>
      <c r="U232" s="21" t="str">
        <f aca="false">IF(B232="","",SUMIFS(開通管理!$J$5:$J$604,開通管理!$B$5:$B$604,B232,開通管理!$O$5:$O$604,"&lt;&gt;キャンセル"))</f>
        <v/>
      </c>
      <c r="V232" s="22"/>
      <c r="W232" s="12" t="str">
        <f aca="false">IF(OR(B232="",設定!$B$14=""),"",SUBSTITUTE(設定!$B$14,"__ID__",B232))</f>
        <v/>
      </c>
      <c r="X232" s="22"/>
      <c r="Y232" s="22"/>
      <c r="Z232" s="22"/>
      <c r="AA232" s="20" t="str">
        <f aca="false">IF(Z232="","",WORKDAY(Z232,設定!$B$5,設定!$F$5:$F$120))</f>
        <v/>
      </c>
      <c r="AB232" s="17"/>
      <c r="AC232" s="17"/>
      <c r="AD232" s="17"/>
      <c r="AE232" s="17"/>
      <c r="AF232" s="22"/>
      <c r="AG232" s="17"/>
      <c r="AH232" s="20" t="str">
        <f aca="false">IF(T232="","",EDATE(T232,設定!$B$8))</f>
        <v/>
      </c>
      <c r="AI232" s="17"/>
      <c r="AJ232" s="17"/>
      <c r="AK232" s="22"/>
      <c r="AL232" s="23" t="str">
        <f aca="true">IF(C232="","",IF(N232="失注","―",IF(AND(AK232&lt;&gt;"",AK232&lt;TODAY()),"対応期限超過",IF(AND(AF232="",AA232&lt;&gt;"",IF(AA232="",FALSE(),AA232&lt;TODAY())),"納品遅延",IF(AND(AK232&lt;&gt;"",AK232=TODAY()),"本日対応",IF(AND(S232="全開通",X232="",AF232=""),"ヒアリング依頼待ち",IF(AND(X232&lt;&gt;"",Y232="",Z232="",TODAY()-X232&gt;=設定!$B$6),"ヒアリング未回収",IF(AND(Y232&lt;&gt;"",Z232=""),"素材確認待ち",IF(AND(AF232="",AA232&lt;&gt;"",IF(AA232="",FALSE(),AA232-TODAY()&lt;=設定!$B$7)),"納品間近",IF(AND(AH232&lt;&gt;"",IF(AH232="",FALSE(),AH232&lt;=TODAY()),AI232=""),"解約チェック",IF(AF232&lt;&gt;"","納品済","")))))))))))</f>
        <v/>
      </c>
      <c r="AM232" s="17"/>
    </row>
    <row r="233" customFormat="false" ht="15" hidden="false" customHeight="false" outlineLevel="0" collapsed="false">
      <c r="A233" s="12" t="str">
        <f aca="false">IF(C233="","",ROW()-4)</f>
        <v/>
      </c>
      <c r="B233" s="17"/>
      <c r="C233" s="17"/>
      <c r="D233" s="17"/>
      <c r="E233" s="17"/>
      <c r="F233" s="24"/>
      <c r="G233" s="17"/>
      <c r="H233" s="17"/>
      <c r="I233" s="17"/>
      <c r="J233" s="17"/>
      <c r="K233" s="17"/>
      <c r="L233" s="22"/>
      <c r="M233" s="22"/>
      <c r="N233" s="17"/>
      <c r="O233" s="17"/>
      <c r="P233" s="17"/>
      <c r="Q233" s="18" t="str">
        <f aca="false">IF(B233="","",COUNTIFS(開通管理!$B$5:$B$604,B233,開通管理!$O$5:$O$604,"&lt;&gt;キャンセル"))</f>
        <v/>
      </c>
      <c r="R233" s="18" t="str">
        <f aca="false">IF(B233="","",COUNTIFS(開通管理!$B$5:$B$604,B233,開通管理!$O$5:$O$604,"開通済"))</f>
        <v/>
      </c>
      <c r="S233" s="19" t="str">
        <f aca="false">IF(B233="","",IF(Q233=0,"未申込",IF(R233&lt;Q233,"開通待ち（"&amp;R233&amp;"/"&amp;Q233&amp;"）","全開通")))</f>
        <v/>
      </c>
      <c r="T233" s="20" t="str">
        <f aca="false">IF(S233&lt;&gt;"全開通","",_xlfn.MAXIFS(開通管理!$Q$5:$Q$604,開通管理!$B$5:$B$604,B233))</f>
        <v/>
      </c>
      <c r="U233" s="21" t="str">
        <f aca="false">IF(B233="","",SUMIFS(開通管理!$J$5:$J$604,開通管理!$B$5:$B$604,B233,開通管理!$O$5:$O$604,"&lt;&gt;キャンセル"))</f>
        <v/>
      </c>
      <c r="V233" s="22"/>
      <c r="W233" s="12" t="str">
        <f aca="false">IF(OR(B233="",設定!$B$14=""),"",SUBSTITUTE(設定!$B$14,"__ID__",B233))</f>
        <v/>
      </c>
      <c r="X233" s="22"/>
      <c r="Y233" s="22"/>
      <c r="Z233" s="22"/>
      <c r="AA233" s="20" t="str">
        <f aca="false">IF(Z233="","",WORKDAY(Z233,設定!$B$5,設定!$F$5:$F$120))</f>
        <v/>
      </c>
      <c r="AB233" s="17"/>
      <c r="AC233" s="17"/>
      <c r="AD233" s="17"/>
      <c r="AE233" s="17"/>
      <c r="AF233" s="22"/>
      <c r="AG233" s="17"/>
      <c r="AH233" s="20" t="str">
        <f aca="false">IF(T233="","",EDATE(T233,設定!$B$8))</f>
        <v/>
      </c>
      <c r="AI233" s="17"/>
      <c r="AJ233" s="17"/>
      <c r="AK233" s="22"/>
      <c r="AL233" s="23" t="str">
        <f aca="true">IF(C233="","",IF(N233="失注","―",IF(AND(AK233&lt;&gt;"",AK233&lt;TODAY()),"対応期限超過",IF(AND(AF233="",AA233&lt;&gt;"",IF(AA233="",FALSE(),AA233&lt;TODAY())),"納品遅延",IF(AND(AK233&lt;&gt;"",AK233=TODAY()),"本日対応",IF(AND(S233="全開通",X233="",AF233=""),"ヒアリング依頼待ち",IF(AND(X233&lt;&gt;"",Y233="",Z233="",TODAY()-X233&gt;=設定!$B$6),"ヒアリング未回収",IF(AND(Y233&lt;&gt;"",Z233=""),"素材確認待ち",IF(AND(AF233="",AA233&lt;&gt;"",IF(AA233="",FALSE(),AA233-TODAY()&lt;=設定!$B$7)),"納品間近",IF(AND(AH233&lt;&gt;"",IF(AH233="",FALSE(),AH233&lt;=TODAY()),AI233=""),"解約チェック",IF(AF233&lt;&gt;"","納品済","")))))))))))</f>
        <v/>
      </c>
      <c r="AM233" s="17"/>
    </row>
    <row r="234" customFormat="false" ht="15" hidden="false" customHeight="false" outlineLevel="0" collapsed="false">
      <c r="A234" s="12" t="str">
        <f aca="false">IF(C234="","",ROW()-4)</f>
        <v/>
      </c>
      <c r="B234" s="17"/>
      <c r="C234" s="17"/>
      <c r="D234" s="17"/>
      <c r="E234" s="17"/>
      <c r="F234" s="24"/>
      <c r="G234" s="17"/>
      <c r="H234" s="17"/>
      <c r="I234" s="17"/>
      <c r="J234" s="17"/>
      <c r="K234" s="17"/>
      <c r="L234" s="22"/>
      <c r="M234" s="22"/>
      <c r="N234" s="17"/>
      <c r="O234" s="17"/>
      <c r="P234" s="17"/>
      <c r="Q234" s="18" t="str">
        <f aca="false">IF(B234="","",COUNTIFS(開通管理!$B$5:$B$604,B234,開通管理!$O$5:$O$604,"&lt;&gt;キャンセル"))</f>
        <v/>
      </c>
      <c r="R234" s="18" t="str">
        <f aca="false">IF(B234="","",COUNTIFS(開通管理!$B$5:$B$604,B234,開通管理!$O$5:$O$604,"開通済"))</f>
        <v/>
      </c>
      <c r="S234" s="19" t="str">
        <f aca="false">IF(B234="","",IF(Q234=0,"未申込",IF(R234&lt;Q234,"開通待ち（"&amp;R234&amp;"/"&amp;Q234&amp;"）","全開通")))</f>
        <v/>
      </c>
      <c r="T234" s="20" t="str">
        <f aca="false">IF(S234&lt;&gt;"全開通","",_xlfn.MAXIFS(開通管理!$Q$5:$Q$604,開通管理!$B$5:$B$604,B234))</f>
        <v/>
      </c>
      <c r="U234" s="21" t="str">
        <f aca="false">IF(B234="","",SUMIFS(開通管理!$J$5:$J$604,開通管理!$B$5:$B$604,B234,開通管理!$O$5:$O$604,"&lt;&gt;キャンセル"))</f>
        <v/>
      </c>
      <c r="V234" s="22"/>
      <c r="W234" s="12" t="str">
        <f aca="false">IF(OR(B234="",設定!$B$14=""),"",SUBSTITUTE(設定!$B$14,"__ID__",B234))</f>
        <v/>
      </c>
      <c r="X234" s="22"/>
      <c r="Y234" s="22"/>
      <c r="Z234" s="22"/>
      <c r="AA234" s="20" t="str">
        <f aca="false">IF(Z234="","",WORKDAY(Z234,設定!$B$5,設定!$F$5:$F$120))</f>
        <v/>
      </c>
      <c r="AB234" s="17"/>
      <c r="AC234" s="17"/>
      <c r="AD234" s="17"/>
      <c r="AE234" s="17"/>
      <c r="AF234" s="22"/>
      <c r="AG234" s="17"/>
      <c r="AH234" s="20" t="str">
        <f aca="false">IF(T234="","",EDATE(T234,設定!$B$8))</f>
        <v/>
      </c>
      <c r="AI234" s="17"/>
      <c r="AJ234" s="17"/>
      <c r="AK234" s="22"/>
      <c r="AL234" s="23" t="str">
        <f aca="true">IF(C234="","",IF(N234="失注","―",IF(AND(AK234&lt;&gt;"",AK234&lt;TODAY()),"対応期限超過",IF(AND(AF234="",AA234&lt;&gt;"",IF(AA234="",FALSE(),AA234&lt;TODAY())),"納品遅延",IF(AND(AK234&lt;&gt;"",AK234=TODAY()),"本日対応",IF(AND(S234="全開通",X234="",AF234=""),"ヒアリング依頼待ち",IF(AND(X234&lt;&gt;"",Y234="",Z234="",TODAY()-X234&gt;=設定!$B$6),"ヒアリング未回収",IF(AND(Y234&lt;&gt;"",Z234=""),"素材確認待ち",IF(AND(AF234="",AA234&lt;&gt;"",IF(AA234="",FALSE(),AA234-TODAY()&lt;=設定!$B$7)),"納品間近",IF(AND(AH234&lt;&gt;"",IF(AH234="",FALSE(),AH234&lt;=TODAY()),AI234=""),"解約チェック",IF(AF234&lt;&gt;"","納品済","")))))))))))</f>
        <v/>
      </c>
      <c r="AM234" s="17"/>
    </row>
    <row r="235" customFormat="false" ht="15" hidden="false" customHeight="false" outlineLevel="0" collapsed="false">
      <c r="A235" s="12" t="str">
        <f aca="false">IF(C235="","",ROW()-4)</f>
        <v/>
      </c>
      <c r="B235" s="17"/>
      <c r="C235" s="17"/>
      <c r="D235" s="17"/>
      <c r="E235" s="17"/>
      <c r="F235" s="24"/>
      <c r="G235" s="17"/>
      <c r="H235" s="17"/>
      <c r="I235" s="17"/>
      <c r="J235" s="17"/>
      <c r="K235" s="17"/>
      <c r="L235" s="22"/>
      <c r="M235" s="22"/>
      <c r="N235" s="17"/>
      <c r="O235" s="17"/>
      <c r="P235" s="17"/>
      <c r="Q235" s="18" t="str">
        <f aca="false">IF(B235="","",COUNTIFS(開通管理!$B$5:$B$604,B235,開通管理!$O$5:$O$604,"&lt;&gt;キャンセル"))</f>
        <v/>
      </c>
      <c r="R235" s="18" t="str">
        <f aca="false">IF(B235="","",COUNTIFS(開通管理!$B$5:$B$604,B235,開通管理!$O$5:$O$604,"開通済"))</f>
        <v/>
      </c>
      <c r="S235" s="19" t="str">
        <f aca="false">IF(B235="","",IF(Q235=0,"未申込",IF(R235&lt;Q235,"開通待ち（"&amp;R235&amp;"/"&amp;Q235&amp;"）","全開通")))</f>
        <v/>
      </c>
      <c r="T235" s="20" t="str">
        <f aca="false">IF(S235&lt;&gt;"全開通","",_xlfn.MAXIFS(開通管理!$Q$5:$Q$604,開通管理!$B$5:$B$604,B235))</f>
        <v/>
      </c>
      <c r="U235" s="21" t="str">
        <f aca="false">IF(B235="","",SUMIFS(開通管理!$J$5:$J$604,開通管理!$B$5:$B$604,B235,開通管理!$O$5:$O$604,"&lt;&gt;キャンセル"))</f>
        <v/>
      </c>
      <c r="V235" s="22"/>
      <c r="W235" s="12" t="str">
        <f aca="false">IF(OR(B235="",設定!$B$14=""),"",SUBSTITUTE(設定!$B$14,"__ID__",B235))</f>
        <v/>
      </c>
      <c r="X235" s="22"/>
      <c r="Y235" s="22"/>
      <c r="Z235" s="22"/>
      <c r="AA235" s="20" t="str">
        <f aca="false">IF(Z235="","",WORKDAY(Z235,設定!$B$5,設定!$F$5:$F$120))</f>
        <v/>
      </c>
      <c r="AB235" s="17"/>
      <c r="AC235" s="17"/>
      <c r="AD235" s="17"/>
      <c r="AE235" s="17"/>
      <c r="AF235" s="22"/>
      <c r="AG235" s="17"/>
      <c r="AH235" s="20" t="str">
        <f aca="false">IF(T235="","",EDATE(T235,設定!$B$8))</f>
        <v/>
      </c>
      <c r="AI235" s="17"/>
      <c r="AJ235" s="17"/>
      <c r="AK235" s="22"/>
      <c r="AL235" s="23" t="str">
        <f aca="true">IF(C235="","",IF(N235="失注","―",IF(AND(AK235&lt;&gt;"",AK235&lt;TODAY()),"対応期限超過",IF(AND(AF235="",AA235&lt;&gt;"",IF(AA235="",FALSE(),AA235&lt;TODAY())),"納品遅延",IF(AND(AK235&lt;&gt;"",AK235=TODAY()),"本日対応",IF(AND(S235="全開通",X235="",AF235=""),"ヒアリング依頼待ち",IF(AND(X235&lt;&gt;"",Y235="",Z235="",TODAY()-X235&gt;=設定!$B$6),"ヒアリング未回収",IF(AND(Y235&lt;&gt;"",Z235=""),"素材確認待ち",IF(AND(AF235="",AA235&lt;&gt;"",IF(AA235="",FALSE(),AA235-TODAY()&lt;=設定!$B$7)),"納品間近",IF(AND(AH235&lt;&gt;"",IF(AH235="",FALSE(),AH235&lt;=TODAY()),AI235=""),"解約チェック",IF(AF235&lt;&gt;"","納品済","")))))))))))</f>
        <v/>
      </c>
      <c r="AM235" s="17"/>
    </row>
    <row r="236" customFormat="false" ht="15" hidden="false" customHeight="false" outlineLevel="0" collapsed="false">
      <c r="A236" s="12" t="str">
        <f aca="false">IF(C236="","",ROW()-4)</f>
        <v/>
      </c>
      <c r="B236" s="17"/>
      <c r="C236" s="17"/>
      <c r="D236" s="17"/>
      <c r="E236" s="17"/>
      <c r="F236" s="24"/>
      <c r="G236" s="17"/>
      <c r="H236" s="17"/>
      <c r="I236" s="17"/>
      <c r="J236" s="17"/>
      <c r="K236" s="17"/>
      <c r="L236" s="22"/>
      <c r="M236" s="22"/>
      <c r="N236" s="17"/>
      <c r="O236" s="17"/>
      <c r="P236" s="17"/>
      <c r="Q236" s="18" t="str">
        <f aca="false">IF(B236="","",COUNTIFS(開通管理!$B$5:$B$604,B236,開通管理!$O$5:$O$604,"&lt;&gt;キャンセル"))</f>
        <v/>
      </c>
      <c r="R236" s="18" t="str">
        <f aca="false">IF(B236="","",COUNTIFS(開通管理!$B$5:$B$604,B236,開通管理!$O$5:$O$604,"開通済"))</f>
        <v/>
      </c>
      <c r="S236" s="19" t="str">
        <f aca="false">IF(B236="","",IF(Q236=0,"未申込",IF(R236&lt;Q236,"開通待ち（"&amp;R236&amp;"/"&amp;Q236&amp;"）","全開通")))</f>
        <v/>
      </c>
      <c r="T236" s="20" t="str">
        <f aca="false">IF(S236&lt;&gt;"全開通","",_xlfn.MAXIFS(開通管理!$Q$5:$Q$604,開通管理!$B$5:$B$604,B236))</f>
        <v/>
      </c>
      <c r="U236" s="21" t="str">
        <f aca="false">IF(B236="","",SUMIFS(開通管理!$J$5:$J$604,開通管理!$B$5:$B$604,B236,開通管理!$O$5:$O$604,"&lt;&gt;キャンセル"))</f>
        <v/>
      </c>
      <c r="V236" s="22"/>
      <c r="W236" s="12" t="str">
        <f aca="false">IF(OR(B236="",設定!$B$14=""),"",SUBSTITUTE(設定!$B$14,"__ID__",B236))</f>
        <v/>
      </c>
      <c r="X236" s="22"/>
      <c r="Y236" s="22"/>
      <c r="Z236" s="22"/>
      <c r="AA236" s="20" t="str">
        <f aca="false">IF(Z236="","",WORKDAY(Z236,設定!$B$5,設定!$F$5:$F$120))</f>
        <v/>
      </c>
      <c r="AB236" s="17"/>
      <c r="AC236" s="17"/>
      <c r="AD236" s="17"/>
      <c r="AE236" s="17"/>
      <c r="AF236" s="22"/>
      <c r="AG236" s="17"/>
      <c r="AH236" s="20" t="str">
        <f aca="false">IF(T236="","",EDATE(T236,設定!$B$8))</f>
        <v/>
      </c>
      <c r="AI236" s="17"/>
      <c r="AJ236" s="17"/>
      <c r="AK236" s="22"/>
      <c r="AL236" s="23" t="str">
        <f aca="true">IF(C236="","",IF(N236="失注","―",IF(AND(AK236&lt;&gt;"",AK236&lt;TODAY()),"対応期限超過",IF(AND(AF236="",AA236&lt;&gt;"",IF(AA236="",FALSE(),AA236&lt;TODAY())),"納品遅延",IF(AND(AK236&lt;&gt;"",AK236=TODAY()),"本日対応",IF(AND(S236="全開通",X236="",AF236=""),"ヒアリング依頼待ち",IF(AND(X236&lt;&gt;"",Y236="",Z236="",TODAY()-X236&gt;=設定!$B$6),"ヒアリング未回収",IF(AND(Y236&lt;&gt;"",Z236=""),"素材確認待ち",IF(AND(AF236="",AA236&lt;&gt;"",IF(AA236="",FALSE(),AA236-TODAY()&lt;=設定!$B$7)),"納品間近",IF(AND(AH236&lt;&gt;"",IF(AH236="",FALSE(),AH236&lt;=TODAY()),AI236=""),"解約チェック",IF(AF236&lt;&gt;"","納品済","")))))))))))</f>
        <v/>
      </c>
      <c r="AM236" s="17"/>
    </row>
    <row r="237" customFormat="false" ht="15" hidden="false" customHeight="false" outlineLevel="0" collapsed="false">
      <c r="A237" s="12" t="str">
        <f aca="false">IF(C237="","",ROW()-4)</f>
        <v/>
      </c>
      <c r="B237" s="17"/>
      <c r="C237" s="17"/>
      <c r="D237" s="17"/>
      <c r="E237" s="17"/>
      <c r="F237" s="24"/>
      <c r="G237" s="17"/>
      <c r="H237" s="17"/>
      <c r="I237" s="17"/>
      <c r="J237" s="17"/>
      <c r="K237" s="17"/>
      <c r="L237" s="22"/>
      <c r="M237" s="22"/>
      <c r="N237" s="17"/>
      <c r="O237" s="17"/>
      <c r="P237" s="17"/>
      <c r="Q237" s="18" t="str">
        <f aca="false">IF(B237="","",COUNTIFS(開通管理!$B$5:$B$604,B237,開通管理!$O$5:$O$604,"&lt;&gt;キャンセル"))</f>
        <v/>
      </c>
      <c r="R237" s="18" t="str">
        <f aca="false">IF(B237="","",COUNTIFS(開通管理!$B$5:$B$604,B237,開通管理!$O$5:$O$604,"開通済"))</f>
        <v/>
      </c>
      <c r="S237" s="19" t="str">
        <f aca="false">IF(B237="","",IF(Q237=0,"未申込",IF(R237&lt;Q237,"開通待ち（"&amp;R237&amp;"/"&amp;Q237&amp;"）","全開通")))</f>
        <v/>
      </c>
      <c r="T237" s="20" t="str">
        <f aca="false">IF(S237&lt;&gt;"全開通","",_xlfn.MAXIFS(開通管理!$Q$5:$Q$604,開通管理!$B$5:$B$604,B237))</f>
        <v/>
      </c>
      <c r="U237" s="21" t="str">
        <f aca="false">IF(B237="","",SUMIFS(開通管理!$J$5:$J$604,開通管理!$B$5:$B$604,B237,開通管理!$O$5:$O$604,"&lt;&gt;キャンセル"))</f>
        <v/>
      </c>
      <c r="V237" s="22"/>
      <c r="W237" s="12" t="str">
        <f aca="false">IF(OR(B237="",設定!$B$14=""),"",SUBSTITUTE(設定!$B$14,"__ID__",B237))</f>
        <v/>
      </c>
      <c r="X237" s="22"/>
      <c r="Y237" s="22"/>
      <c r="Z237" s="22"/>
      <c r="AA237" s="20" t="str">
        <f aca="false">IF(Z237="","",WORKDAY(Z237,設定!$B$5,設定!$F$5:$F$120))</f>
        <v/>
      </c>
      <c r="AB237" s="17"/>
      <c r="AC237" s="17"/>
      <c r="AD237" s="17"/>
      <c r="AE237" s="17"/>
      <c r="AF237" s="22"/>
      <c r="AG237" s="17"/>
      <c r="AH237" s="20" t="str">
        <f aca="false">IF(T237="","",EDATE(T237,設定!$B$8))</f>
        <v/>
      </c>
      <c r="AI237" s="17"/>
      <c r="AJ237" s="17"/>
      <c r="AK237" s="22"/>
      <c r="AL237" s="23" t="str">
        <f aca="true">IF(C237="","",IF(N237="失注","―",IF(AND(AK237&lt;&gt;"",AK237&lt;TODAY()),"対応期限超過",IF(AND(AF237="",AA237&lt;&gt;"",IF(AA237="",FALSE(),AA237&lt;TODAY())),"納品遅延",IF(AND(AK237&lt;&gt;"",AK237=TODAY()),"本日対応",IF(AND(S237="全開通",X237="",AF237=""),"ヒアリング依頼待ち",IF(AND(X237&lt;&gt;"",Y237="",Z237="",TODAY()-X237&gt;=設定!$B$6),"ヒアリング未回収",IF(AND(Y237&lt;&gt;"",Z237=""),"素材確認待ち",IF(AND(AF237="",AA237&lt;&gt;"",IF(AA237="",FALSE(),AA237-TODAY()&lt;=設定!$B$7)),"納品間近",IF(AND(AH237&lt;&gt;"",IF(AH237="",FALSE(),AH237&lt;=TODAY()),AI237=""),"解約チェック",IF(AF237&lt;&gt;"","納品済","")))))))))))</f>
        <v/>
      </c>
      <c r="AM237" s="17"/>
    </row>
    <row r="238" customFormat="false" ht="15" hidden="false" customHeight="false" outlineLevel="0" collapsed="false">
      <c r="A238" s="12" t="str">
        <f aca="false">IF(C238="","",ROW()-4)</f>
        <v/>
      </c>
      <c r="B238" s="17"/>
      <c r="C238" s="17"/>
      <c r="D238" s="17"/>
      <c r="E238" s="17"/>
      <c r="F238" s="24"/>
      <c r="G238" s="17"/>
      <c r="H238" s="17"/>
      <c r="I238" s="17"/>
      <c r="J238" s="17"/>
      <c r="K238" s="17"/>
      <c r="L238" s="22"/>
      <c r="M238" s="22"/>
      <c r="N238" s="17"/>
      <c r="O238" s="17"/>
      <c r="P238" s="17"/>
      <c r="Q238" s="18" t="str">
        <f aca="false">IF(B238="","",COUNTIFS(開通管理!$B$5:$B$604,B238,開通管理!$O$5:$O$604,"&lt;&gt;キャンセル"))</f>
        <v/>
      </c>
      <c r="R238" s="18" t="str">
        <f aca="false">IF(B238="","",COUNTIFS(開通管理!$B$5:$B$604,B238,開通管理!$O$5:$O$604,"開通済"))</f>
        <v/>
      </c>
      <c r="S238" s="19" t="str">
        <f aca="false">IF(B238="","",IF(Q238=0,"未申込",IF(R238&lt;Q238,"開通待ち（"&amp;R238&amp;"/"&amp;Q238&amp;"）","全開通")))</f>
        <v/>
      </c>
      <c r="T238" s="20" t="str">
        <f aca="false">IF(S238&lt;&gt;"全開通","",_xlfn.MAXIFS(開通管理!$Q$5:$Q$604,開通管理!$B$5:$B$604,B238))</f>
        <v/>
      </c>
      <c r="U238" s="21" t="str">
        <f aca="false">IF(B238="","",SUMIFS(開通管理!$J$5:$J$604,開通管理!$B$5:$B$604,B238,開通管理!$O$5:$O$604,"&lt;&gt;キャンセル"))</f>
        <v/>
      </c>
      <c r="V238" s="22"/>
      <c r="W238" s="12" t="str">
        <f aca="false">IF(OR(B238="",設定!$B$14=""),"",SUBSTITUTE(設定!$B$14,"__ID__",B238))</f>
        <v/>
      </c>
      <c r="X238" s="22"/>
      <c r="Y238" s="22"/>
      <c r="Z238" s="22"/>
      <c r="AA238" s="20" t="str">
        <f aca="false">IF(Z238="","",WORKDAY(Z238,設定!$B$5,設定!$F$5:$F$120))</f>
        <v/>
      </c>
      <c r="AB238" s="17"/>
      <c r="AC238" s="17"/>
      <c r="AD238" s="17"/>
      <c r="AE238" s="17"/>
      <c r="AF238" s="22"/>
      <c r="AG238" s="17"/>
      <c r="AH238" s="20" t="str">
        <f aca="false">IF(T238="","",EDATE(T238,設定!$B$8))</f>
        <v/>
      </c>
      <c r="AI238" s="17"/>
      <c r="AJ238" s="17"/>
      <c r="AK238" s="22"/>
      <c r="AL238" s="23" t="str">
        <f aca="true">IF(C238="","",IF(N238="失注","―",IF(AND(AK238&lt;&gt;"",AK238&lt;TODAY()),"対応期限超過",IF(AND(AF238="",AA238&lt;&gt;"",IF(AA238="",FALSE(),AA238&lt;TODAY())),"納品遅延",IF(AND(AK238&lt;&gt;"",AK238=TODAY()),"本日対応",IF(AND(S238="全開通",X238="",AF238=""),"ヒアリング依頼待ち",IF(AND(X238&lt;&gt;"",Y238="",Z238="",TODAY()-X238&gt;=設定!$B$6),"ヒアリング未回収",IF(AND(Y238&lt;&gt;"",Z238=""),"素材確認待ち",IF(AND(AF238="",AA238&lt;&gt;"",IF(AA238="",FALSE(),AA238-TODAY()&lt;=設定!$B$7)),"納品間近",IF(AND(AH238&lt;&gt;"",IF(AH238="",FALSE(),AH238&lt;=TODAY()),AI238=""),"解約チェック",IF(AF238&lt;&gt;"","納品済","")))))))))))</f>
        <v/>
      </c>
      <c r="AM238" s="17"/>
    </row>
    <row r="239" customFormat="false" ht="15" hidden="false" customHeight="false" outlineLevel="0" collapsed="false">
      <c r="A239" s="12" t="str">
        <f aca="false">IF(C239="","",ROW()-4)</f>
        <v/>
      </c>
      <c r="B239" s="17"/>
      <c r="C239" s="17"/>
      <c r="D239" s="17"/>
      <c r="E239" s="17"/>
      <c r="F239" s="24"/>
      <c r="G239" s="17"/>
      <c r="H239" s="17"/>
      <c r="I239" s="17"/>
      <c r="J239" s="17"/>
      <c r="K239" s="17"/>
      <c r="L239" s="22"/>
      <c r="M239" s="22"/>
      <c r="N239" s="17"/>
      <c r="O239" s="17"/>
      <c r="P239" s="17"/>
      <c r="Q239" s="18" t="str">
        <f aca="false">IF(B239="","",COUNTIFS(開通管理!$B$5:$B$604,B239,開通管理!$O$5:$O$604,"&lt;&gt;キャンセル"))</f>
        <v/>
      </c>
      <c r="R239" s="18" t="str">
        <f aca="false">IF(B239="","",COUNTIFS(開通管理!$B$5:$B$604,B239,開通管理!$O$5:$O$604,"開通済"))</f>
        <v/>
      </c>
      <c r="S239" s="19" t="str">
        <f aca="false">IF(B239="","",IF(Q239=0,"未申込",IF(R239&lt;Q239,"開通待ち（"&amp;R239&amp;"/"&amp;Q239&amp;"）","全開通")))</f>
        <v/>
      </c>
      <c r="T239" s="20" t="str">
        <f aca="false">IF(S239&lt;&gt;"全開通","",_xlfn.MAXIFS(開通管理!$Q$5:$Q$604,開通管理!$B$5:$B$604,B239))</f>
        <v/>
      </c>
      <c r="U239" s="21" t="str">
        <f aca="false">IF(B239="","",SUMIFS(開通管理!$J$5:$J$604,開通管理!$B$5:$B$604,B239,開通管理!$O$5:$O$604,"&lt;&gt;キャンセル"))</f>
        <v/>
      </c>
      <c r="V239" s="22"/>
      <c r="W239" s="12" t="str">
        <f aca="false">IF(OR(B239="",設定!$B$14=""),"",SUBSTITUTE(設定!$B$14,"__ID__",B239))</f>
        <v/>
      </c>
      <c r="X239" s="22"/>
      <c r="Y239" s="22"/>
      <c r="Z239" s="22"/>
      <c r="AA239" s="20" t="str">
        <f aca="false">IF(Z239="","",WORKDAY(Z239,設定!$B$5,設定!$F$5:$F$120))</f>
        <v/>
      </c>
      <c r="AB239" s="17"/>
      <c r="AC239" s="17"/>
      <c r="AD239" s="17"/>
      <c r="AE239" s="17"/>
      <c r="AF239" s="22"/>
      <c r="AG239" s="17"/>
      <c r="AH239" s="20" t="str">
        <f aca="false">IF(T239="","",EDATE(T239,設定!$B$8))</f>
        <v/>
      </c>
      <c r="AI239" s="17"/>
      <c r="AJ239" s="17"/>
      <c r="AK239" s="22"/>
      <c r="AL239" s="23" t="str">
        <f aca="true">IF(C239="","",IF(N239="失注","―",IF(AND(AK239&lt;&gt;"",AK239&lt;TODAY()),"対応期限超過",IF(AND(AF239="",AA239&lt;&gt;"",IF(AA239="",FALSE(),AA239&lt;TODAY())),"納品遅延",IF(AND(AK239&lt;&gt;"",AK239=TODAY()),"本日対応",IF(AND(S239="全開通",X239="",AF239=""),"ヒアリング依頼待ち",IF(AND(X239&lt;&gt;"",Y239="",Z239="",TODAY()-X239&gt;=設定!$B$6),"ヒアリング未回収",IF(AND(Y239&lt;&gt;"",Z239=""),"素材確認待ち",IF(AND(AF239="",AA239&lt;&gt;"",IF(AA239="",FALSE(),AA239-TODAY()&lt;=設定!$B$7)),"納品間近",IF(AND(AH239&lt;&gt;"",IF(AH239="",FALSE(),AH239&lt;=TODAY()),AI239=""),"解約チェック",IF(AF239&lt;&gt;"","納品済","")))))))))))</f>
        <v/>
      </c>
      <c r="AM239" s="17"/>
    </row>
    <row r="240" customFormat="false" ht="15" hidden="false" customHeight="false" outlineLevel="0" collapsed="false">
      <c r="A240" s="12" t="str">
        <f aca="false">IF(C240="","",ROW()-4)</f>
        <v/>
      </c>
      <c r="B240" s="17"/>
      <c r="C240" s="17"/>
      <c r="D240" s="17"/>
      <c r="E240" s="17"/>
      <c r="F240" s="24"/>
      <c r="G240" s="17"/>
      <c r="H240" s="17"/>
      <c r="I240" s="17"/>
      <c r="J240" s="17"/>
      <c r="K240" s="17"/>
      <c r="L240" s="22"/>
      <c r="M240" s="22"/>
      <c r="N240" s="17"/>
      <c r="O240" s="17"/>
      <c r="P240" s="17"/>
      <c r="Q240" s="18" t="str">
        <f aca="false">IF(B240="","",COUNTIFS(開通管理!$B$5:$B$604,B240,開通管理!$O$5:$O$604,"&lt;&gt;キャンセル"))</f>
        <v/>
      </c>
      <c r="R240" s="18" t="str">
        <f aca="false">IF(B240="","",COUNTIFS(開通管理!$B$5:$B$604,B240,開通管理!$O$5:$O$604,"開通済"))</f>
        <v/>
      </c>
      <c r="S240" s="19" t="str">
        <f aca="false">IF(B240="","",IF(Q240=0,"未申込",IF(R240&lt;Q240,"開通待ち（"&amp;R240&amp;"/"&amp;Q240&amp;"）","全開通")))</f>
        <v/>
      </c>
      <c r="T240" s="20" t="str">
        <f aca="false">IF(S240&lt;&gt;"全開通","",_xlfn.MAXIFS(開通管理!$Q$5:$Q$604,開通管理!$B$5:$B$604,B240))</f>
        <v/>
      </c>
      <c r="U240" s="21" t="str">
        <f aca="false">IF(B240="","",SUMIFS(開通管理!$J$5:$J$604,開通管理!$B$5:$B$604,B240,開通管理!$O$5:$O$604,"&lt;&gt;キャンセル"))</f>
        <v/>
      </c>
      <c r="V240" s="22"/>
      <c r="W240" s="12" t="str">
        <f aca="false">IF(OR(B240="",設定!$B$14=""),"",SUBSTITUTE(設定!$B$14,"__ID__",B240))</f>
        <v/>
      </c>
      <c r="X240" s="22"/>
      <c r="Y240" s="22"/>
      <c r="Z240" s="22"/>
      <c r="AA240" s="20" t="str">
        <f aca="false">IF(Z240="","",WORKDAY(Z240,設定!$B$5,設定!$F$5:$F$120))</f>
        <v/>
      </c>
      <c r="AB240" s="17"/>
      <c r="AC240" s="17"/>
      <c r="AD240" s="17"/>
      <c r="AE240" s="17"/>
      <c r="AF240" s="22"/>
      <c r="AG240" s="17"/>
      <c r="AH240" s="20" t="str">
        <f aca="false">IF(T240="","",EDATE(T240,設定!$B$8))</f>
        <v/>
      </c>
      <c r="AI240" s="17"/>
      <c r="AJ240" s="17"/>
      <c r="AK240" s="22"/>
      <c r="AL240" s="23" t="str">
        <f aca="true">IF(C240="","",IF(N240="失注","―",IF(AND(AK240&lt;&gt;"",AK240&lt;TODAY()),"対応期限超過",IF(AND(AF240="",AA240&lt;&gt;"",IF(AA240="",FALSE(),AA240&lt;TODAY())),"納品遅延",IF(AND(AK240&lt;&gt;"",AK240=TODAY()),"本日対応",IF(AND(S240="全開通",X240="",AF240=""),"ヒアリング依頼待ち",IF(AND(X240&lt;&gt;"",Y240="",Z240="",TODAY()-X240&gt;=設定!$B$6),"ヒアリング未回収",IF(AND(Y240&lt;&gt;"",Z240=""),"素材確認待ち",IF(AND(AF240="",AA240&lt;&gt;"",IF(AA240="",FALSE(),AA240-TODAY()&lt;=設定!$B$7)),"納品間近",IF(AND(AH240&lt;&gt;"",IF(AH240="",FALSE(),AH240&lt;=TODAY()),AI240=""),"解約チェック",IF(AF240&lt;&gt;"","納品済","")))))))))))</f>
        <v/>
      </c>
      <c r="AM240" s="17"/>
    </row>
    <row r="241" customFormat="false" ht="15" hidden="false" customHeight="false" outlineLevel="0" collapsed="false">
      <c r="A241" s="12" t="str">
        <f aca="false">IF(C241="","",ROW()-4)</f>
        <v/>
      </c>
      <c r="B241" s="17"/>
      <c r="C241" s="17"/>
      <c r="D241" s="17"/>
      <c r="E241" s="17"/>
      <c r="F241" s="24"/>
      <c r="G241" s="17"/>
      <c r="H241" s="17"/>
      <c r="I241" s="17"/>
      <c r="J241" s="17"/>
      <c r="K241" s="17"/>
      <c r="L241" s="22"/>
      <c r="M241" s="22"/>
      <c r="N241" s="17"/>
      <c r="O241" s="17"/>
      <c r="P241" s="17"/>
      <c r="Q241" s="18" t="str">
        <f aca="false">IF(B241="","",COUNTIFS(開通管理!$B$5:$B$604,B241,開通管理!$O$5:$O$604,"&lt;&gt;キャンセル"))</f>
        <v/>
      </c>
      <c r="R241" s="18" t="str">
        <f aca="false">IF(B241="","",COUNTIFS(開通管理!$B$5:$B$604,B241,開通管理!$O$5:$O$604,"開通済"))</f>
        <v/>
      </c>
      <c r="S241" s="19" t="str">
        <f aca="false">IF(B241="","",IF(Q241=0,"未申込",IF(R241&lt;Q241,"開通待ち（"&amp;R241&amp;"/"&amp;Q241&amp;"）","全開通")))</f>
        <v/>
      </c>
      <c r="T241" s="20" t="str">
        <f aca="false">IF(S241&lt;&gt;"全開通","",_xlfn.MAXIFS(開通管理!$Q$5:$Q$604,開通管理!$B$5:$B$604,B241))</f>
        <v/>
      </c>
      <c r="U241" s="21" t="str">
        <f aca="false">IF(B241="","",SUMIFS(開通管理!$J$5:$J$604,開通管理!$B$5:$B$604,B241,開通管理!$O$5:$O$604,"&lt;&gt;キャンセル"))</f>
        <v/>
      </c>
      <c r="V241" s="22"/>
      <c r="W241" s="12" t="str">
        <f aca="false">IF(OR(B241="",設定!$B$14=""),"",SUBSTITUTE(設定!$B$14,"__ID__",B241))</f>
        <v/>
      </c>
      <c r="X241" s="22"/>
      <c r="Y241" s="22"/>
      <c r="Z241" s="22"/>
      <c r="AA241" s="20" t="str">
        <f aca="false">IF(Z241="","",WORKDAY(Z241,設定!$B$5,設定!$F$5:$F$120))</f>
        <v/>
      </c>
      <c r="AB241" s="17"/>
      <c r="AC241" s="17"/>
      <c r="AD241" s="17"/>
      <c r="AE241" s="17"/>
      <c r="AF241" s="22"/>
      <c r="AG241" s="17"/>
      <c r="AH241" s="20" t="str">
        <f aca="false">IF(T241="","",EDATE(T241,設定!$B$8))</f>
        <v/>
      </c>
      <c r="AI241" s="17"/>
      <c r="AJ241" s="17"/>
      <c r="AK241" s="22"/>
      <c r="AL241" s="23" t="str">
        <f aca="true">IF(C241="","",IF(N241="失注","―",IF(AND(AK241&lt;&gt;"",AK241&lt;TODAY()),"対応期限超過",IF(AND(AF241="",AA241&lt;&gt;"",IF(AA241="",FALSE(),AA241&lt;TODAY())),"納品遅延",IF(AND(AK241&lt;&gt;"",AK241=TODAY()),"本日対応",IF(AND(S241="全開通",X241="",AF241=""),"ヒアリング依頼待ち",IF(AND(X241&lt;&gt;"",Y241="",Z241="",TODAY()-X241&gt;=設定!$B$6),"ヒアリング未回収",IF(AND(Y241&lt;&gt;"",Z241=""),"素材確認待ち",IF(AND(AF241="",AA241&lt;&gt;"",IF(AA241="",FALSE(),AA241-TODAY()&lt;=設定!$B$7)),"納品間近",IF(AND(AH241&lt;&gt;"",IF(AH241="",FALSE(),AH241&lt;=TODAY()),AI241=""),"解約チェック",IF(AF241&lt;&gt;"","納品済","")))))))))))</f>
        <v/>
      </c>
      <c r="AM241" s="17"/>
    </row>
    <row r="242" customFormat="false" ht="15" hidden="false" customHeight="false" outlineLevel="0" collapsed="false">
      <c r="A242" s="12" t="str">
        <f aca="false">IF(C242="","",ROW()-4)</f>
        <v/>
      </c>
      <c r="B242" s="17"/>
      <c r="C242" s="17"/>
      <c r="D242" s="17"/>
      <c r="E242" s="17"/>
      <c r="F242" s="24"/>
      <c r="G242" s="17"/>
      <c r="H242" s="17"/>
      <c r="I242" s="17"/>
      <c r="J242" s="17"/>
      <c r="K242" s="17"/>
      <c r="L242" s="22"/>
      <c r="M242" s="22"/>
      <c r="N242" s="17"/>
      <c r="O242" s="17"/>
      <c r="P242" s="17"/>
      <c r="Q242" s="18" t="str">
        <f aca="false">IF(B242="","",COUNTIFS(開通管理!$B$5:$B$604,B242,開通管理!$O$5:$O$604,"&lt;&gt;キャンセル"))</f>
        <v/>
      </c>
      <c r="R242" s="18" t="str">
        <f aca="false">IF(B242="","",COUNTIFS(開通管理!$B$5:$B$604,B242,開通管理!$O$5:$O$604,"開通済"))</f>
        <v/>
      </c>
      <c r="S242" s="19" t="str">
        <f aca="false">IF(B242="","",IF(Q242=0,"未申込",IF(R242&lt;Q242,"開通待ち（"&amp;R242&amp;"/"&amp;Q242&amp;"）","全開通")))</f>
        <v/>
      </c>
      <c r="T242" s="20" t="str">
        <f aca="false">IF(S242&lt;&gt;"全開通","",_xlfn.MAXIFS(開通管理!$Q$5:$Q$604,開通管理!$B$5:$B$604,B242))</f>
        <v/>
      </c>
      <c r="U242" s="21" t="str">
        <f aca="false">IF(B242="","",SUMIFS(開通管理!$J$5:$J$604,開通管理!$B$5:$B$604,B242,開通管理!$O$5:$O$604,"&lt;&gt;キャンセル"))</f>
        <v/>
      </c>
      <c r="V242" s="22"/>
      <c r="W242" s="12" t="str">
        <f aca="false">IF(OR(B242="",設定!$B$14=""),"",SUBSTITUTE(設定!$B$14,"__ID__",B242))</f>
        <v/>
      </c>
      <c r="X242" s="22"/>
      <c r="Y242" s="22"/>
      <c r="Z242" s="22"/>
      <c r="AA242" s="20" t="str">
        <f aca="false">IF(Z242="","",WORKDAY(Z242,設定!$B$5,設定!$F$5:$F$120))</f>
        <v/>
      </c>
      <c r="AB242" s="17"/>
      <c r="AC242" s="17"/>
      <c r="AD242" s="17"/>
      <c r="AE242" s="17"/>
      <c r="AF242" s="22"/>
      <c r="AG242" s="17"/>
      <c r="AH242" s="20" t="str">
        <f aca="false">IF(T242="","",EDATE(T242,設定!$B$8))</f>
        <v/>
      </c>
      <c r="AI242" s="17"/>
      <c r="AJ242" s="17"/>
      <c r="AK242" s="22"/>
      <c r="AL242" s="23" t="str">
        <f aca="true">IF(C242="","",IF(N242="失注","―",IF(AND(AK242&lt;&gt;"",AK242&lt;TODAY()),"対応期限超過",IF(AND(AF242="",AA242&lt;&gt;"",IF(AA242="",FALSE(),AA242&lt;TODAY())),"納品遅延",IF(AND(AK242&lt;&gt;"",AK242=TODAY()),"本日対応",IF(AND(S242="全開通",X242="",AF242=""),"ヒアリング依頼待ち",IF(AND(X242&lt;&gt;"",Y242="",Z242="",TODAY()-X242&gt;=設定!$B$6),"ヒアリング未回収",IF(AND(Y242&lt;&gt;"",Z242=""),"素材確認待ち",IF(AND(AF242="",AA242&lt;&gt;"",IF(AA242="",FALSE(),AA242-TODAY()&lt;=設定!$B$7)),"納品間近",IF(AND(AH242&lt;&gt;"",IF(AH242="",FALSE(),AH242&lt;=TODAY()),AI242=""),"解約チェック",IF(AF242&lt;&gt;"","納品済","")))))))))))</f>
        <v/>
      </c>
      <c r="AM242" s="17"/>
    </row>
    <row r="243" customFormat="false" ht="15" hidden="false" customHeight="false" outlineLevel="0" collapsed="false">
      <c r="A243" s="12" t="str">
        <f aca="false">IF(C243="","",ROW()-4)</f>
        <v/>
      </c>
      <c r="B243" s="17"/>
      <c r="C243" s="17"/>
      <c r="D243" s="17"/>
      <c r="E243" s="17"/>
      <c r="F243" s="24"/>
      <c r="G243" s="17"/>
      <c r="H243" s="17"/>
      <c r="I243" s="17"/>
      <c r="J243" s="17"/>
      <c r="K243" s="17"/>
      <c r="L243" s="22"/>
      <c r="M243" s="22"/>
      <c r="N243" s="17"/>
      <c r="O243" s="17"/>
      <c r="P243" s="17"/>
      <c r="Q243" s="18" t="str">
        <f aca="false">IF(B243="","",COUNTIFS(開通管理!$B$5:$B$604,B243,開通管理!$O$5:$O$604,"&lt;&gt;キャンセル"))</f>
        <v/>
      </c>
      <c r="R243" s="18" t="str">
        <f aca="false">IF(B243="","",COUNTIFS(開通管理!$B$5:$B$604,B243,開通管理!$O$5:$O$604,"開通済"))</f>
        <v/>
      </c>
      <c r="S243" s="19" t="str">
        <f aca="false">IF(B243="","",IF(Q243=0,"未申込",IF(R243&lt;Q243,"開通待ち（"&amp;R243&amp;"/"&amp;Q243&amp;"）","全開通")))</f>
        <v/>
      </c>
      <c r="T243" s="20" t="str">
        <f aca="false">IF(S243&lt;&gt;"全開通","",_xlfn.MAXIFS(開通管理!$Q$5:$Q$604,開通管理!$B$5:$B$604,B243))</f>
        <v/>
      </c>
      <c r="U243" s="21" t="str">
        <f aca="false">IF(B243="","",SUMIFS(開通管理!$J$5:$J$604,開通管理!$B$5:$B$604,B243,開通管理!$O$5:$O$604,"&lt;&gt;キャンセル"))</f>
        <v/>
      </c>
      <c r="V243" s="22"/>
      <c r="W243" s="12" t="str">
        <f aca="false">IF(OR(B243="",設定!$B$14=""),"",SUBSTITUTE(設定!$B$14,"__ID__",B243))</f>
        <v/>
      </c>
      <c r="X243" s="22"/>
      <c r="Y243" s="22"/>
      <c r="Z243" s="22"/>
      <c r="AA243" s="20" t="str">
        <f aca="false">IF(Z243="","",WORKDAY(Z243,設定!$B$5,設定!$F$5:$F$120))</f>
        <v/>
      </c>
      <c r="AB243" s="17"/>
      <c r="AC243" s="17"/>
      <c r="AD243" s="17"/>
      <c r="AE243" s="17"/>
      <c r="AF243" s="22"/>
      <c r="AG243" s="17"/>
      <c r="AH243" s="20" t="str">
        <f aca="false">IF(T243="","",EDATE(T243,設定!$B$8))</f>
        <v/>
      </c>
      <c r="AI243" s="17"/>
      <c r="AJ243" s="17"/>
      <c r="AK243" s="22"/>
      <c r="AL243" s="23" t="str">
        <f aca="true">IF(C243="","",IF(N243="失注","―",IF(AND(AK243&lt;&gt;"",AK243&lt;TODAY()),"対応期限超過",IF(AND(AF243="",AA243&lt;&gt;"",IF(AA243="",FALSE(),AA243&lt;TODAY())),"納品遅延",IF(AND(AK243&lt;&gt;"",AK243=TODAY()),"本日対応",IF(AND(S243="全開通",X243="",AF243=""),"ヒアリング依頼待ち",IF(AND(X243&lt;&gt;"",Y243="",Z243="",TODAY()-X243&gt;=設定!$B$6),"ヒアリング未回収",IF(AND(Y243&lt;&gt;"",Z243=""),"素材確認待ち",IF(AND(AF243="",AA243&lt;&gt;"",IF(AA243="",FALSE(),AA243-TODAY()&lt;=設定!$B$7)),"納品間近",IF(AND(AH243&lt;&gt;"",IF(AH243="",FALSE(),AH243&lt;=TODAY()),AI243=""),"解約チェック",IF(AF243&lt;&gt;"","納品済","")))))))))))</f>
        <v/>
      </c>
      <c r="AM243" s="17"/>
    </row>
    <row r="244" customFormat="false" ht="15" hidden="false" customHeight="false" outlineLevel="0" collapsed="false">
      <c r="A244" s="12" t="str">
        <f aca="false">IF(C244="","",ROW()-4)</f>
        <v/>
      </c>
      <c r="B244" s="17"/>
      <c r="C244" s="17"/>
      <c r="D244" s="17"/>
      <c r="E244" s="17"/>
      <c r="F244" s="24"/>
      <c r="G244" s="17"/>
      <c r="H244" s="17"/>
      <c r="I244" s="17"/>
      <c r="J244" s="17"/>
      <c r="K244" s="17"/>
      <c r="L244" s="22"/>
      <c r="M244" s="22"/>
      <c r="N244" s="17"/>
      <c r="O244" s="17"/>
      <c r="P244" s="17"/>
      <c r="Q244" s="18" t="str">
        <f aca="false">IF(B244="","",COUNTIFS(開通管理!$B$5:$B$604,B244,開通管理!$O$5:$O$604,"&lt;&gt;キャンセル"))</f>
        <v/>
      </c>
      <c r="R244" s="18" t="str">
        <f aca="false">IF(B244="","",COUNTIFS(開通管理!$B$5:$B$604,B244,開通管理!$O$5:$O$604,"開通済"))</f>
        <v/>
      </c>
      <c r="S244" s="19" t="str">
        <f aca="false">IF(B244="","",IF(Q244=0,"未申込",IF(R244&lt;Q244,"開通待ち（"&amp;R244&amp;"/"&amp;Q244&amp;"）","全開通")))</f>
        <v/>
      </c>
      <c r="T244" s="20" t="str">
        <f aca="false">IF(S244&lt;&gt;"全開通","",_xlfn.MAXIFS(開通管理!$Q$5:$Q$604,開通管理!$B$5:$B$604,B244))</f>
        <v/>
      </c>
      <c r="U244" s="21" t="str">
        <f aca="false">IF(B244="","",SUMIFS(開通管理!$J$5:$J$604,開通管理!$B$5:$B$604,B244,開通管理!$O$5:$O$604,"&lt;&gt;キャンセル"))</f>
        <v/>
      </c>
      <c r="V244" s="22"/>
      <c r="W244" s="12" t="str">
        <f aca="false">IF(OR(B244="",設定!$B$14=""),"",SUBSTITUTE(設定!$B$14,"__ID__",B244))</f>
        <v/>
      </c>
      <c r="X244" s="22"/>
      <c r="Y244" s="22"/>
      <c r="Z244" s="22"/>
      <c r="AA244" s="20" t="str">
        <f aca="false">IF(Z244="","",WORKDAY(Z244,設定!$B$5,設定!$F$5:$F$120))</f>
        <v/>
      </c>
      <c r="AB244" s="17"/>
      <c r="AC244" s="17"/>
      <c r="AD244" s="17"/>
      <c r="AE244" s="17"/>
      <c r="AF244" s="22"/>
      <c r="AG244" s="17"/>
      <c r="AH244" s="20" t="str">
        <f aca="false">IF(T244="","",EDATE(T244,設定!$B$8))</f>
        <v/>
      </c>
      <c r="AI244" s="17"/>
      <c r="AJ244" s="17"/>
      <c r="AK244" s="22"/>
      <c r="AL244" s="23" t="str">
        <f aca="true">IF(C244="","",IF(N244="失注","―",IF(AND(AK244&lt;&gt;"",AK244&lt;TODAY()),"対応期限超過",IF(AND(AF244="",AA244&lt;&gt;"",IF(AA244="",FALSE(),AA244&lt;TODAY())),"納品遅延",IF(AND(AK244&lt;&gt;"",AK244=TODAY()),"本日対応",IF(AND(S244="全開通",X244="",AF244=""),"ヒアリング依頼待ち",IF(AND(X244&lt;&gt;"",Y244="",Z244="",TODAY()-X244&gt;=設定!$B$6),"ヒアリング未回収",IF(AND(Y244&lt;&gt;"",Z244=""),"素材確認待ち",IF(AND(AF244="",AA244&lt;&gt;"",IF(AA244="",FALSE(),AA244-TODAY()&lt;=設定!$B$7)),"納品間近",IF(AND(AH244&lt;&gt;"",IF(AH244="",FALSE(),AH244&lt;=TODAY()),AI244=""),"解約チェック",IF(AF244&lt;&gt;"","納品済","")))))))))))</f>
        <v/>
      </c>
      <c r="AM244" s="17"/>
    </row>
    <row r="245" customFormat="false" ht="15" hidden="false" customHeight="false" outlineLevel="0" collapsed="false">
      <c r="A245" s="12" t="str">
        <f aca="false">IF(C245="","",ROW()-4)</f>
        <v/>
      </c>
      <c r="B245" s="17"/>
      <c r="C245" s="17"/>
      <c r="D245" s="17"/>
      <c r="E245" s="17"/>
      <c r="F245" s="24"/>
      <c r="G245" s="17"/>
      <c r="H245" s="17"/>
      <c r="I245" s="17"/>
      <c r="J245" s="17"/>
      <c r="K245" s="17"/>
      <c r="L245" s="22"/>
      <c r="M245" s="22"/>
      <c r="N245" s="17"/>
      <c r="O245" s="17"/>
      <c r="P245" s="17"/>
      <c r="Q245" s="18" t="str">
        <f aca="false">IF(B245="","",COUNTIFS(開通管理!$B$5:$B$604,B245,開通管理!$O$5:$O$604,"&lt;&gt;キャンセル"))</f>
        <v/>
      </c>
      <c r="R245" s="18" t="str">
        <f aca="false">IF(B245="","",COUNTIFS(開通管理!$B$5:$B$604,B245,開通管理!$O$5:$O$604,"開通済"))</f>
        <v/>
      </c>
      <c r="S245" s="19" t="str">
        <f aca="false">IF(B245="","",IF(Q245=0,"未申込",IF(R245&lt;Q245,"開通待ち（"&amp;R245&amp;"/"&amp;Q245&amp;"）","全開通")))</f>
        <v/>
      </c>
      <c r="T245" s="20" t="str">
        <f aca="false">IF(S245&lt;&gt;"全開通","",_xlfn.MAXIFS(開通管理!$Q$5:$Q$604,開通管理!$B$5:$B$604,B245))</f>
        <v/>
      </c>
      <c r="U245" s="21" t="str">
        <f aca="false">IF(B245="","",SUMIFS(開通管理!$J$5:$J$604,開通管理!$B$5:$B$604,B245,開通管理!$O$5:$O$604,"&lt;&gt;キャンセル"))</f>
        <v/>
      </c>
      <c r="V245" s="22"/>
      <c r="W245" s="12" t="str">
        <f aca="false">IF(OR(B245="",設定!$B$14=""),"",SUBSTITUTE(設定!$B$14,"__ID__",B245))</f>
        <v/>
      </c>
      <c r="X245" s="22"/>
      <c r="Y245" s="22"/>
      <c r="Z245" s="22"/>
      <c r="AA245" s="20" t="str">
        <f aca="false">IF(Z245="","",WORKDAY(Z245,設定!$B$5,設定!$F$5:$F$120))</f>
        <v/>
      </c>
      <c r="AB245" s="17"/>
      <c r="AC245" s="17"/>
      <c r="AD245" s="17"/>
      <c r="AE245" s="17"/>
      <c r="AF245" s="22"/>
      <c r="AG245" s="17"/>
      <c r="AH245" s="20" t="str">
        <f aca="false">IF(T245="","",EDATE(T245,設定!$B$8))</f>
        <v/>
      </c>
      <c r="AI245" s="17"/>
      <c r="AJ245" s="17"/>
      <c r="AK245" s="22"/>
      <c r="AL245" s="23" t="str">
        <f aca="true">IF(C245="","",IF(N245="失注","―",IF(AND(AK245&lt;&gt;"",AK245&lt;TODAY()),"対応期限超過",IF(AND(AF245="",AA245&lt;&gt;"",IF(AA245="",FALSE(),AA245&lt;TODAY())),"納品遅延",IF(AND(AK245&lt;&gt;"",AK245=TODAY()),"本日対応",IF(AND(S245="全開通",X245="",AF245=""),"ヒアリング依頼待ち",IF(AND(X245&lt;&gt;"",Y245="",Z245="",TODAY()-X245&gt;=設定!$B$6),"ヒアリング未回収",IF(AND(Y245&lt;&gt;"",Z245=""),"素材確認待ち",IF(AND(AF245="",AA245&lt;&gt;"",IF(AA245="",FALSE(),AA245-TODAY()&lt;=設定!$B$7)),"納品間近",IF(AND(AH245&lt;&gt;"",IF(AH245="",FALSE(),AH245&lt;=TODAY()),AI245=""),"解約チェック",IF(AF245&lt;&gt;"","納品済","")))))))))))</f>
        <v/>
      </c>
      <c r="AM245" s="17"/>
    </row>
    <row r="246" customFormat="false" ht="15" hidden="false" customHeight="false" outlineLevel="0" collapsed="false">
      <c r="A246" s="12" t="str">
        <f aca="false">IF(C246="","",ROW()-4)</f>
        <v/>
      </c>
      <c r="B246" s="17"/>
      <c r="C246" s="17"/>
      <c r="D246" s="17"/>
      <c r="E246" s="17"/>
      <c r="F246" s="24"/>
      <c r="G246" s="17"/>
      <c r="H246" s="17"/>
      <c r="I246" s="17"/>
      <c r="J246" s="17"/>
      <c r="K246" s="17"/>
      <c r="L246" s="22"/>
      <c r="M246" s="22"/>
      <c r="N246" s="17"/>
      <c r="O246" s="17"/>
      <c r="P246" s="17"/>
      <c r="Q246" s="18" t="str">
        <f aca="false">IF(B246="","",COUNTIFS(開通管理!$B$5:$B$604,B246,開通管理!$O$5:$O$604,"&lt;&gt;キャンセル"))</f>
        <v/>
      </c>
      <c r="R246" s="18" t="str">
        <f aca="false">IF(B246="","",COUNTIFS(開通管理!$B$5:$B$604,B246,開通管理!$O$5:$O$604,"開通済"))</f>
        <v/>
      </c>
      <c r="S246" s="19" t="str">
        <f aca="false">IF(B246="","",IF(Q246=0,"未申込",IF(R246&lt;Q246,"開通待ち（"&amp;R246&amp;"/"&amp;Q246&amp;"）","全開通")))</f>
        <v/>
      </c>
      <c r="T246" s="20" t="str">
        <f aca="false">IF(S246&lt;&gt;"全開通","",_xlfn.MAXIFS(開通管理!$Q$5:$Q$604,開通管理!$B$5:$B$604,B246))</f>
        <v/>
      </c>
      <c r="U246" s="21" t="str">
        <f aca="false">IF(B246="","",SUMIFS(開通管理!$J$5:$J$604,開通管理!$B$5:$B$604,B246,開通管理!$O$5:$O$604,"&lt;&gt;キャンセル"))</f>
        <v/>
      </c>
      <c r="V246" s="22"/>
      <c r="W246" s="12" t="str">
        <f aca="false">IF(OR(B246="",設定!$B$14=""),"",SUBSTITUTE(設定!$B$14,"__ID__",B246))</f>
        <v/>
      </c>
      <c r="X246" s="22"/>
      <c r="Y246" s="22"/>
      <c r="Z246" s="22"/>
      <c r="AA246" s="20" t="str">
        <f aca="false">IF(Z246="","",WORKDAY(Z246,設定!$B$5,設定!$F$5:$F$120))</f>
        <v/>
      </c>
      <c r="AB246" s="17"/>
      <c r="AC246" s="17"/>
      <c r="AD246" s="17"/>
      <c r="AE246" s="17"/>
      <c r="AF246" s="22"/>
      <c r="AG246" s="17"/>
      <c r="AH246" s="20" t="str">
        <f aca="false">IF(T246="","",EDATE(T246,設定!$B$8))</f>
        <v/>
      </c>
      <c r="AI246" s="17"/>
      <c r="AJ246" s="17"/>
      <c r="AK246" s="22"/>
      <c r="AL246" s="23" t="str">
        <f aca="true">IF(C246="","",IF(N246="失注","―",IF(AND(AK246&lt;&gt;"",AK246&lt;TODAY()),"対応期限超過",IF(AND(AF246="",AA246&lt;&gt;"",IF(AA246="",FALSE(),AA246&lt;TODAY())),"納品遅延",IF(AND(AK246&lt;&gt;"",AK246=TODAY()),"本日対応",IF(AND(S246="全開通",X246="",AF246=""),"ヒアリング依頼待ち",IF(AND(X246&lt;&gt;"",Y246="",Z246="",TODAY()-X246&gt;=設定!$B$6),"ヒアリング未回収",IF(AND(Y246&lt;&gt;"",Z246=""),"素材確認待ち",IF(AND(AF246="",AA246&lt;&gt;"",IF(AA246="",FALSE(),AA246-TODAY()&lt;=設定!$B$7)),"納品間近",IF(AND(AH246&lt;&gt;"",IF(AH246="",FALSE(),AH246&lt;=TODAY()),AI246=""),"解約チェック",IF(AF246&lt;&gt;"","納品済","")))))))))))</f>
        <v/>
      </c>
      <c r="AM246" s="17"/>
    </row>
    <row r="247" customFormat="false" ht="15" hidden="false" customHeight="false" outlineLevel="0" collapsed="false">
      <c r="A247" s="12" t="str">
        <f aca="false">IF(C247="","",ROW()-4)</f>
        <v/>
      </c>
      <c r="B247" s="17"/>
      <c r="C247" s="17"/>
      <c r="D247" s="17"/>
      <c r="E247" s="17"/>
      <c r="F247" s="24"/>
      <c r="G247" s="17"/>
      <c r="H247" s="17"/>
      <c r="I247" s="17"/>
      <c r="J247" s="17"/>
      <c r="K247" s="17"/>
      <c r="L247" s="22"/>
      <c r="M247" s="22"/>
      <c r="N247" s="17"/>
      <c r="O247" s="17"/>
      <c r="P247" s="17"/>
      <c r="Q247" s="18" t="str">
        <f aca="false">IF(B247="","",COUNTIFS(開通管理!$B$5:$B$604,B247,開通管理!$O$5:$O$604,"&lt;&gt;キャンセル"))</f>
        <v/>
      </c>
      <c r="R247" s="18" t="str">
        <f aca="false">IF(B247="","",COUNTIFS(開通管理!$B$5:$B$604,B247,開通管理!$O$5:$O$604,"開通済"))</f>
        <v/>
      </c>
      <c r="S247" s="19" t="str">
        <f aca="false">IF(B247="","",IF(Q247=0,"未申込",IF(R247&lt;Q247,"開通待ち（"&amp;R247&amp;"/"&amp;Q247&amp;"）","全開通")))</f>
        <v/>
      </c>
      <c r="T247" s="20" t="str">
        <f aca="false">IF(S247&lt;&gt;"全開通","",_xlfn.MAXIFS(開通管理!$Q$5:$Q$604,開通管理!$B$5:$B$604,B247))</f>
        <v/>
      </c>
      <c r="U247" s="21" t="str">
        <f aca="false">IF(B247="","",SUMIFS(開通管理!$J$5:$J$604,開通管理!$B$5:$B$604,B247,開通管理!$O$5:$O$604,"&lt;&gt;キャンセル"))</f>
        <v/>
      </c>
      <c r="V247" s="22"/>
      <c r="W247" s="12" t="str">
        <f aca="false">IF(OR(B247="",設定!$B$14=""),"",SUBSTITUTE(設定!$B$14,"__ID__",B247))</f>
        <v/>
      </c>
      <c r="X247" s="22"/>
      <c r="Y247" s="22"/>
      <c r="Z247" s="22"/>
      <c r="AA247" s="20" t="str">
        <f aca="false">IF(Z247="","",WORKDAY(Z247,設定!$B$5,設定!$F$5:$F$120))</f>
        <v/>
      </c>
      <c r="AB247" s="17"/>
      <c r="AC247" s="17"/>
      <c r="AD247" s="17"/>
      <c r="AE247" s="17"/>
      <c r="AF247" s="22"/>
      <c r="AG247" s="17"/>
      <c r="AH247" s="20" t="str">
        <f aca="false">IF(T247="","",EDATE(T247,設定!$B$8))</f>
        <v/>
      </c>
      <c r="AI247" s="17"/>
      <c r="AJ247" s="17"/>
      <c r="AK247" s="22"/>
      <c r="AL247" s="23" t="str">
        <f aca="true">IF(C247="","",IF(N247="失注","―",IF(AND(AK247&lt;&gt;"",AK247&lt;TODAY()),"対応期限超過",IF(AND(AF247="",AA247&lt;&gt;"",IF(AA247="",FALSE(),AA247&lt;TODAY())),"納品遅延",IF(AND(AK247&lt;&gt;"",AK247=TODAY()),"本日対応",IF(AND(S247="全開通",X247="",AF247=""),"ヒアリング依頼待ち",IF(AND(X247&lt;&gt;"",Y247="",Z247="",TODAY()-X247&gt;=設定!$B$6),"ヒアリング未回収",IF(AND(Y247&lt;&gt;"",Z247=""),"素材確認待ち",IF(AND(AF247="",AA247&lt;&gt;"",IF(AA247="",FALSE(),AA247-TODAY()&lt;=設定!$B$7)),"納品間近",IF(AND(AH247&lt;&gt;"",IF(AH247="",FALSE(),AH247&lt;=TODAY()),AI247=""),"解約チェック",IF(AF247&lt;&gt;"","納品済","")))))))))))</f>
        <v/>
      </c>
      <c r="AM247" s="17"/>
    </row>
    <row r="248" customFormat="false" ht="15" hidden="false" customHeight="false" outlineLevel="0" collapsed="false">
      <c r="A248" s="12" t="str">
        <f aca="false">IF(C248="","",ROW()-4)</f>
        <v/>
      </c>
      <c r="B248" s="17"/>
      <c r="C248" s="17"/>
      <c r="D248" s="17"/>
      <c r="E248" s="17"/>
      <c r="F248" s="24"/>
      <c r="G248" s="17"/>
      <c r="H248" s="17"/>
      <c r="I248" s="17"/>
      <c r="J248" s="17"/>
      <c r="K248" s="17"/>
      <c r="L248" s="22"/>
      <c r="M248" s="22"/>
      <c r="N248" s="17"/>
      <c r="O248" s="17"/>
      <c r="P248" s="17"/>
      <c r="Q248" s="18" t="str">
        <f aca="false">IF(B248="","",COUNTIFS(開通管理!$B$5:$B$604,B248,開通管理!$O$5:$O$604,"&lt;&gt;キャンセル"))</f>
        <v/>
      </c>
      <c r="R248" s="18" t="str">
        <f aca="false">IF(B248="","",COUNTIFS(開通管理!$B$5:$B$604,B248,開通管理!$O$5:$O$604,"開通済"))</f>
        <v/>
      </c>
      <c r="S248" s="19" t="str">
        <f aca="false">IF(B248="","",IF(Q248=0,"未申込",IF(R248&lt;Q248,"開通待ち（"&amp;R248&amp;"/"&amp;Q248&amp;"）","全開通")))</f>
        <v/>
      </c>
      <c r="T248" s="20" t="str">
        <f aca="false">IF(S248&lt;&gt;"全開通","",_xlfn.MAXIFS(開通管理!$Q$5:$Q$604,開通管理!$B$5:$B$604,B248))</f>
        <v/>
      </c>
      <c r="U248" s="21" t="str">
        <f aca="false">IF(B248="","",SUMIFS(開通管理!$J$5:$J$604,開通管理!$B$5:$B$604,B248,開通管理!$O$5:$O$604,"&lt;&gt;キャンセル"))</f>
        <v/>
      </c>
      <c r="V248" s="22"/>
      <c r="W248" s="12" t="str">
        <f aca="false">IF(OR(B248="",設定!$B$14=""),"",SUBSTITUTE(設定!$B$14,"__ID__",B248))</f>
        <v/>
      </c>
      <c r="X248" s="22"/>
      <c r="Y248" s="22"/>
      <c r="Z248" s="22"/>
      <c r="AA248" s="20" t="str">
        <f aca="false">IF(Z248="","",WORKDAY(Z248,設定!$B$5,設定!$F$5:$F$120))</f>
        <v/>
      </c>
      <c r="AB248" s="17"/>
      <c r="AC248" s="17"/>
      <c r="AD248" s="17"/>
      <c r="AE248" s="17"/>
      <c r="AF248" s="22"/>
      <c r="AG248" s="17"/>
      <c r="AH248" s="20" t="str">
        <f aca="false">IF(T248="","",EDATE(T248,設定!$B$8))</f>
        <v/>
      </c>
      <c r="AI248" s="17"/>
      <c r="AJ248" s="17"/>
      <c r="AK248" s="22"/>
      <c r="AL248" s="23" t="str">
        <f aca="true">IF(C248="","",IF(N248="失注","―",IF(AND(AK248&lt;&gt;"",AK248&lt;TODAY()),"対応期限超過",IF(AND(AF248="",AA248&lt;&gt;"",IF(AA248="",FALSE(),AA248&lt;TODAY())),"納品遅延",IF(AND(AK248&lt;&gt;"",AK248=TODAY()),"本日対応",IF(AND(S248="全開通",X248="",AF248=""),"ヒアリング依頼待ち",IF(AND(X248&lt;&gt;"",Y248="",Z248="",TODAY()-X248&gt;=設定!$B$6),"ヒアリング未回収",IF(AND(Y248&lt;&gt;"",Z248=""),"素材確認待ち",IF(AND(AF248="",AA248&lt;&gt;"",IF(AA248="",FALSE(),AA248-TODAY()&lt;=設定!$B$7)),"納品間近",IF(AND(AH248&lt;&gt;"",IF(AH248="",FALSE(),AH248&lt;=TODAY()),AI248=""),"解約チェック",IF(AF248&lt;&gt;"","納品済","")))))))))))</f>
        <v/>
      </c>
      <c r="AM248" s="17"/>
    </row>
    <row r="249" customFormat="false" ht="15" hidden="false" customHeight="false" outlineLevel="0" collapsed="false">
      <c r="A249" s="12" t="str">
        <f aca="false">IF(C249="","",ROW()-4)</f>
        <v/>
      </c>
      <c r="B249" s="17"/>
      <c r="C249" s="17"/>
      <c r="D249" s="17"/>
      <c r="E249" s="17"/>
      <c r="F249" s="24"/>
      <c r="G249" s="17"/>
      <c r="H249" s="17"/>
      <c r="I249" s="17"/>
      <c r="J249" s="17"/>
      <c r="K249" s="17"/>
      <c r="L249" s="22"/>
      <c r="M249" s="22"/>
      <c r="N249" s="17"/>
      <c r="O249" s="17"/>
      <c r="P249" s="17"/>
      <c r="Q249" s="18" t="str">
        <f aca="false">IF(B249="","",COUNTIFS(開通管理!$B$5:$B$604,B249,開通管理!$O$5:$O$604,"&lt;&gt;キャンセル"))</f>
        <v/>
      </c>
      <c r="R249" s="18" t="str">
        <f aca="false">IF(B249="","",COUNTIFS(開通管理!$B$5:$B$604,B249,開通管理!$O$5:$O$604,"開通済"))</f>
        <v/>
      </c>
      <c r="S249" s="19" t="str">
        <f aca="false">IF(B249="","",IF(Q249=0,"未申込",IF(R249&lt;Q249,"開通待ち（"&amp;R249&amp;"/"&amp;Q249&amp;"）","全開通")))</f>
        <v/>
      </c>
      <c r="T249" s="20" t="str">
        <f aca="false">IF(S249&lt;&gt;"全開通","",_xlfn.MAXIFS(開通管理!$Q$5:$Q$604,開通管理!$B$5:$B$604,B249))</f>
        <v/>
      </c>
      <c r="U249" s="21" t="str">
        <f aca="false">IF(B249="","",SUMIFS(開通管理!$J$5:$J$604,開通管理!$B$5:$B$604,B249,開通管理!$O$5:$O$604,"&lt;&gt;キャンセル"))</f>
        <v/>
      </c>
      <c r="V249" s="22"/>
      <c r="W249" s="12" t="str">
        <f aca="false">IF(OR(B249="",設定!$B$14=""),"",SUBSTITUTE(設定!$B$14,"__ID__",B249))</f>
        <v/>
      </c>
      <c r="X249" s="22"/>
      <c r="Y249" s="22"/>
      <c r="Z249" s="22"/>
      <c r="AA249" s="20" t="str">
        <f aca="false">IF(Z249="","",WORKDAY(Z249,設定!$B$5,設定!$F$5:$F$120))</f>
        <v/>
      </c>
      <c r="AB249" s="17"/>
      <c r="AC249" s="17"/>
      <c r="AD249" s="17"/>
      <c r="AE249" s="17"/>
      <c r="AF249" s="22"/>
      <c r="AG249" s="17"/>
      <c r="AH249" s="20" t="str">
        <f aca="false">IF(T249="","",EDATE(T249,設定!$B$8))</f>
        <v/>
      </c>
      <c r="AI249" s="17"/>
      <c r="AJ249" s="17"/>
      <c r="AK249" s="22"/>
      <c r="AL249" s="23" t="str">
        <f aca="true">IF(C249="","",IF(N249="失注","―",IF(AND(AK249&lt;&gt;"",AK249&lt;TODAY()),"対応期限超過",IF(AND(AF249="",AA249&lt;&gt;"",IF(AA249="",FALSE(),AA249&lt;TODAY())),"納品遅延",IF(AND(AK249&lt;&gt;"",AK249=TODAY()),"本日対応",IF(AND(S249="全開通",X249="",AF249=""),"ヒアリング依頼待ち",IF(AND(X249&lt;&gt;"",Y249="",Z249="",TODAY()-X249&gt;=設定!$B$6),"ヒアリング未回収",IF(AND(Y249&lt;&gt;"",Z249=""),"素材確認待ち",IF(AND(AF249="",AA249&lt;&gt;"",IF(AA249="",FALSE(),AA249-TODAY()&lt;=設定!$B$7)),"納品間近",IF(AND(AH249&lt;&gt;"",IF(AH249="",FALSE(),AH249&lt;=TODAY()),AI249=""),"解約チェック",IF(AF249&lt;&gt;"","納品済","")))))))))))</f>
        <v/>
      </c>
      <c r="AM249" s="17"/>
    </row>
    <row r="250" customFormat="false" ht="15" hidden="false" customHeight="false" outlineLevel="0" collapsed="false">
      <c r="A250" s="12" t="str">
        <f aca="false">IF(C250="","",ROW()-4)</f>
        <v/>
      </c>
      <c r="B250" s="17"/>
      <c r="C250" s="17"/>
      <c r="D250" s="17"/>
      <c r="E250" s="17"/>
      <c r="F250" s="24"/>
      <c r="G250" s="17"/>
      <c r="H250" s="17"/>
      <c r="I250" s="17"/>
      <c r="J250" s="17"/>
      <c r="K250" s="17"/>
      <c r="L250" s="22"/>
      <c r="M250" s="22"/>
      <c r="N250" s="17"/>
      <c r="O250" s="17"/>
      <c r="P250" s="17"/>
      <c r="Q250" s="18" t="str">
        <f aca="false">IF(B250="","",COUNTIFS(開通管理!$B$5:$B$604,B250,開通管理!$O$5:$O$604,"&lt;&gt;キャンセル"))</f>
        <v/>
      </c>
      <c r="R250" s="18" t="str">
        <f aca="false">IF(B250="","",COUNTIFS(開通管理!$B$5:$B$604,B250,開通管理!$O$5:$O$604,"開通済"))</f>
        <v/>
      </c>
      <c r="S250" s="19" t="str">
        <f aca="false">IF(B250="","",IF(Q250=0,"未申込",IF(R250&lt;Q250,"開通待ち（"&amp;R250&amp;"/"&amp;Q250&amp;"）","全開通")))</f>
        <v/>
      </c>
      <c r="T250" s="20" t="str">
        <f aca="false">IF(S250&lt;&gt;"全開通","",_xlfn.MAXIFS(開通管理!$Q$5:$Q$604,開通管理!$B$5:$B$604,B250))</f>
        <v/>
      </c>
      <c r="U250" s="21" t="str">
        <f aca="false">IF(B250="","",SUMIFS(開通管理!$J$5:$J$604,開通管理!$B$5:$B$604,B250,開通管理!$O$5:$O$604,"&lt;&gt;キャンセル"))</f>
        <v/>
      </c>
      <c r="V250" s="22"/>
      <c r="W250" s="12" t="str">
        <f aca="false">IF(OR(B250="",設定!$B$14=""),"",SUBSTITUTE(設定!$B$14,"__ID__",B250))</f>
        <v/>
      </c>
      <c r="X250" s="22"/>
      <c r="Y250" s="22"/>
      <c r="Z250" s="22"/>
      <c r="AA250" s="20" t="str">
        <f aca="false">IF(Z250="","",WORKDAY(Z250,設定!$B$5,設定!$F$5:$F$120))</f>
        <v/>
      </c>
      <c r="AB250" s="17"/>
      <c r="AC250" s="17"/>
      <c r="AD250" s="17"/>
      <c r="AE250" s="17"/>
      <c r="AF250" s="22"/>
      <c r="AG250" s="17"/>
      <c r="AH250" s="20" t="str">
        <f aca="false">IF(T250="","",EDATE(T250,設定!$B$8))</f>
        <v/>
      </c>
      <c r="AI250" s="17"/>
      <c r="AJ250" s="17"/>
      <c r="AK250" s="22"/>
      <c r="AL250" s="23" t="str">
        <f aca="true">IF(C250="","",IF(N250="失注","―",IF(AND(AK250&lt;&gt;"",AK250&lt;TODAY()),"対応期限超過",IF(AND(AF250="",AA250&lt;&gt;"",IF(AA250="",FALSE(),AA250&lt;TODAY())),"納品遅延",IF(AND(AK250&lt;&gt;"",AK250=TODAY()),"本日対応",IF(AND(S250="全開通",X250="",AF250=""),"ヒアリング依頼待ち",IF(AND(X250&lt;&gt;"",Y250="",Z250="",TODAY()-X250&gt;=設定!$B$6),"ヒアリング未回収",IF(AND(Y250&lt;&gt;"",Z250=""),"素材確認待ち",IF(AND(AF250="",AA250&lt;&gt;"",IF(AA250="",FALSE(),AA250-TODAY()&lt;=設定!$B$7)),"納品間近",IF(AND(AH250&lt;&gt;"",IF(AH250="",FALSE(),AH250&lt;=TODAY()),AI250=""),"解約チェック",IF(AF250&lt;&gt;"","納品済","")))))))))))</f>
        <v/>
      </c>
      <c r="AM250" s="17"/>
    </row>
    <row r="251" customFormat="false" ht="15" hidden="false" customHeight="false" outlineLevel="0" collapsed="false">
      <c r="A251" s="12" t="str">
        <f aca="false">IF(C251="","",ROW()-4)</f>
        <v/>
      </c>
      <c r="B251" s="17"/>
      <c r="C251" s="17"/>
      <c r="D251" s="17"/>
      <c r="E251" s="17"/>
      <c r="F251" s="24"/>
      <c r="G251" s="17"/>
      <c r="H251" s="17"/>
      <c r="I251" s="17"/>
      <c r="J251" s="17"/>
      <c r="K251" s="17"/>
      <c r="L251" s="22"/>
      <c r="M251" s="22"/>
      <c r="N251" s="17"/>
      <c r="O251" s="17"/>
      <c r="P251" s="17"/>
      <c r="Q251" s="18" t="str">
        <f aca="false">IF(B251="","",COUNTIFS(開通管理!$B$5:$B$604,B251,開通管理!$O$5:$O$604,"&lt;&gt;キャンセル"))</f>
        <v/>
      </c>
      <c r="R251" s="18" t="str">
        <f aca="false">IF(B251="","",COUNTIFS(開通管理!$B$5:$B$604,B251,開通管理!$O$5:$O$604,"開通済"))</f>
        <v/>
      </c>
      <c r="S251" s="19" t="str">
        <f aca="false">IF(B251="","",IF(Q251=0,"未申込",IF(R251&lt;Q251,"開通待ち（"&amp;R251&amp;"/"&amp;Q251&amp;"）","全開通")))</f>
        <v/>
      </c>
      <c r="T251" s="20" t="str">
        <f aca="false">IF(S251&lt;&gt;"全開通","",_xlfn.MAXIFS(開通管理!$Q$5:$Q$604,開通管理!$B$5:$B$604,B251))</f>
        <v/>
      </c>
      <c r="U251" s="21" t="str">
        <f aca="false">IF(B251="","",SUMIFS(開通管理!$J$5:$J$604,開通管理!$B$5:$B$604,B251,開通管理!$O$5:$O$604,"&lt;&gt;キャンセル"))</f>
        <v/>
      </c>
      <c r="V251" s="22"/>
      <c r="W251" s="12" t="str">
        <f aca="false">IF(OR(B251="",設定!$B$14=""),"",SUBSTITUTE(設定!$B$14,"__ID__",B251))</f>
        <v/>
      </c>
      <c r="X251" s="22"/>
      <c r="Y251" s="22"/>
      <c r="Z251" s="22"/>
      <c r="AA251" s="20" t="str">
        <f aca="false">IF(Z251="","",WORKDAY(Z251,設定!$B$5,設定!$F$5:$F$120))</f>
        <v/>
      </c>
      <c r="AB251" s="17"/>
      <c r="AC251" s="17"/>
      <c r="AD251" s="17"/>
      <c r="AE251" s="17"/>
      <c r="AF251" s="22"/>
      <c r="AG251" s="17"/>
      <c r="AH251" s="20" t="str">
        <f aca="false">IF(T251="","",EDATE(T251,設定!$B$8))</f>
        <v/>
      </c>
      <c r="AI251" s="17"/>
      <c r="AJ251" s="17"/>
      <c r="AK251" s="22"/>
      <c r="AL251" s="23" t="str">
        <f aca="true">IF(C251="","",IF(N251="失注","―",IF(AND(AK251&lt;&gt;"",AK251&lt;TODAY()),"対応期限超過",IF(AND(AF251="",AA251&lt;&gt;"",IF(AA251="",FALSE(),AA251&lt;TODAY())),"納品遅延",IF(AND(AK251&lt;&gt;"",AK251=TODAY()),"本日対応",IF(AND(S251="全開通",X251="",AF251=""),"ヒアリング依頼待ち",IF(AND(X251&lt;&gt;"",Y251="",Z251="",TODAY()-X251&gt;=設定!$B$6),"ヒアリング未回収",IF(AND(Y251&lt;&gt;"",Z251=""),"素材確認待ち",IF(AND(AF251="",AA251&lt;&gt;"",IF(AA251="",FALSE(),AA251-TODAY()&lt;=設定!$B$7)),"納品間近",IF(AND(AH251&lt;&gt;"",IF(AH251="",FALSE(),AH251&lt;=TODAY()),AI251=""),"解約チェック",IF(AF251&lt;&gt;"","納品済","")))))))))))</f>
        <v/>
      </c>
      <c r="AM251" s="17"/>
    </row>
    <row r="252" customFormat="false" ht="15" hidden="false" customHeight="false" outlineLevel="0" collapsed="false">
      <c r="A252" s="12" t="str">
        <f aca="false">IF(C252="","",ROW()-4)</f>
        <v/>
      </c>
      <c r="B252" s="17"/>
      <c r="C252" s="17"/>
      <c r="D252" s="17"/>
      <c r="E252" s="17"/>
      <c r="F252" s="24"/>
      <c r="G252" s="17"/>
      <c r="H252" s="17"/>
      <c r="I252" s="17"/>
      <c r="J252" s="17"/>
      <c r="K252" s="17"/>
      <c r="L252" s="22"/>
      <c r="M252" s="22"/>
      <c r="N252" s="17"/>
      <c r="O252" s="17"/>
      <c r="P252" s="17"/>
      <c r="Q252" s="18" t="str">
        <f aca="false">IF(B252="","",COUNTIFS(開通管理!$B$5:$B$604,B252,開通管理!$O$5:$O$604,"&lt;&gt;キャンセル"))</f>
        <v/>
      </c>
      <c r="R252" s="18" t="str">
        <f aca="false">IF(B252="","",COUNTIFS(開通管理!$B$5:$B$604,B252,開通管理!$O$5:$O$604,"開通済"))</f>
        <v/>
      </c>
      <c r="S252" s="19" t="str">
        <f aca="false">IF(B252="","",IF(Q252=0,"未申込",IF(R252&lt;Q252,"開通待ち（"&amp;R252&amp;"/"&amp;Q252&amp;"）","全開通")))</f>
        <v/>
      </c>
      <c r="T252" s="20" t="str">
        <f aca="false">IF(S252&lt;&gt;"全開通","",_xlfn.MAXIFS(開通管理!$Q$5:$Q$604,開通管理!$B$5:$B$604,B252))</f>
        <v/>
      </c>
      <c r="U252" s="21" t="str">
        <f aca="false">IF(B252="","",SUMIFS(開通管理!$J$5:$J$604,開通管理!$B$5:$B$604,B252,開通管理!$O$5:$O$604,"&lt;&gt;キャンセル"))</f>
        <v/>
      </c>
      <c r="V252" s="22"/>
      <c r="W252" s="12" t="str">
        <f aca="false">IF(OR(B252="",設定!$B$14=""),"",SUBSTITUTE(設定!$B$14,"__ID__",B252))</f>
        <v/>
      </c>
      <c r="X252" s="22"/>
      <c r="Y252" s="22"/>
      <c r="Z252" s="22"/>
      <c r="AA252" s="20" t="str">
        <f aca="false">IF(Z252="","",WORKDAY(Z252,設定!$B$5,設定!$F$5:$F$120))</f>
        <v/>
      </c>
      <c r="AB252" s="17"/>
      <c r="AC252" s="17"/>
      <c r="AD252" s="17"/>
      <c r="AE252" s="17"/>
      <c r="AF252" s="22"/>
      <c r="AG252" s="17"/>
      <c r="AH252" s="20" t="str">
        <f aca="false">IF(T252="","",EDATE(T252,設定!$B$8))</f>
        <v/>
      </c>
      <c r="AI252" s="17"/>
      <c r="AJ252" s="17"/>
      <c r="AK252" s="22"/>
      <c r="AL252" s="23" t="str">
        <f aca="true">IF(C252="","",IF(N252="失注","―",IF(AND(AK252&lt;&gt;"",AK252&lt;TODAY()),"対応期限超過",IF(AND(AF252="",AA252&lt;&gt;"",IF(AA252="",FALSE(),AA252&lt;TODAY())),"納品遅延",IF(AND(AK252&lt;&gt;"",AK252=TODAY()),"本日対応",IF(AND(S252="全開通",X252="",AF252=""),"ヒアリング依頼待ち",IF(AND(X252&lt;&gt;"",Y252="",Z252="",TODAY()-X252&gt;=設定!$B$6),"ヒアリング未回収",IF(AND(Y252&lt;&gt;"",Z252=""),"素材確認待ち",IF(AND(AF252="",AA252&lt;&gt;"",IF(AA252="",FALSE(),AA252-TODAY()&lt;=設定!$B$7)),"納品間近",IF(AND(AH252&lt;&gt;"",IF(AH252="",FALSE(),AH252&lt;=TODAY()),AI252=""),"解約チェック",IF(AF252&lt;&gt;"","納品済","")))))))))))</f>
        <v/>
      </c>
      <c r="AM252" s="17"/>
    </row>
    <row r="253" customFormat="false" ht="15" hidden="false" customHeight="false" outlineLevel="0" collapsed="false">
      <c r="A253" s="12" t="str">
        <f aca="false">IF(C253="","",ROW()-4)</f>
        <v/>
      </c>
      <c r="B253" s="17"/>
      <c r="C253" s="17"/>
      <c r="D253" s="17"/>
      <c r="E253" s="17"/>
      <c r="F253" s="24"/>
      <c r="G253" s="17"/>
      <c r="H253" s="17"/>
      <c r="I253" s="17"/>
      <c r="J253" s="17"/>
      <c r="K253" s="17"/>
      <c r="L253" s="22"/>
      <c r="M253" s="22"/>
      <c r="N253" s="17"/>
      <c r="O253" s="17"/>
      <c r="P253" s="17"/>
      <c r="Q253" s="18" t="str">
        <f aca="false">IF(B253="","",COUNTIFS(開通管理!$B$5:$B$604,B253,開通管理!$O$5:$O$604,"&lt;&gt;キャンセル"))</f>
        <v/>
      </c>
      <c r="R253" s="18" t="str">
        <f aca="false">IF(B253="","",COUNTIFS(開通管理!$B$5:$B$604,B253,開通管理!$O$5:$O$604,"開通済"))</f>
        <v/>
      </c>
      <c r="S253" s="19" t="str">
        <f aca="false">IF(B253="","",IF(Q253=0,"未申込",IF(R253&lt;Q253,"開通待ち（"&amp;R253&amp;"/"&amp;Q253&amp;"）","全開通")))</f>
        <v/>
      </c>
      <c r="T253" s="20" t="str">
        <f aca="false">IF(S253&lt;&gt;"全開通","",_xlfn.MAXIFS(開通管理!$Q$5:$Q$604,開通管理!$B$5:$B$604,B253))</f>
        <v/>
      </c>
      <c r="U253" s="21" t="str">
        <f aca="false">IF(B253="","",SUMIFS(開通管理!$J$5:$J$604,開通管理!$B$5:$B$604,B253,開通管理!$O$5:$O$604,"&lt;&gt;キャンセル"))</f>
        <v/>
      </c>
      <c r="V253" s="22"/>
      <c r="W253" s="12" t="str">
        <f aca="false">IF(OR(B253="",設定!$B$14=""),"",SUBSTITUTE(設定!$B$14,"__ID__",B253))</f>
        <v/>
      </c>
      <c r="X253" s="22"/>
      <c r="Y253" s="22"/>
      <c r="Z253" s="22"/>
      <c r="AA253" s="20" t="str">
        <f aca="false">IF(Z253="","",WORKDAY(Z253,設定!$B$5,設定!$F$5:$F$120))</f>
        <v/>
      </c>
      <c r="AB253" s="17"/>
      <c r="AC253" s="17"/>
      <c r="AD253" s="17"/>
      <c r="AE253" s="17"/>
      <c r="AF253" s="22"/>
      <c r="AG253" s="17"/>
      <c r="AH253" s="20" t="str">
        <f aca="false">IF(T253="","",EDATE(T253,設定!$B$8))</f>
        <v/>
      </c>
      <c r="AI253" s="17"/>
      <c r="AJ253" s="17"/>
      <c r="AK253" s="22"/>
      <c r="AL253" s="23" t="str">
        <f aca="true">IF(C253="","",IF(N253="失注","―",IF(AND(AK253&lt;&gt;"",AK253&lt;TODAY()),"対応期限超過",IF(AND(AF253="",AA253&lt;&gt;"",IF(AA253="",FALSE(),AA253&lt;TODAY())),"納品遅延",IF(AND(AK253&lt;&gt;"",AK253=TODAY()),"本日対応",IF(AND(S253="全開通",X253="",AF253=""),"ヒアリング依頼待ち",IF(AND(X253&lt;&gt;"",Y253="",Z253="",TODAY()-X253&gt;=設定!$B$6),"ヒアリング未回収",IF(AND(Y253&lt;&gt;"",Z253=""),"素材確認待ち",IF(AND(AF253="",AA253&lt;&gt;"",IF(AA253="",FALSE(),AA253-TODAY()&lt;=設定!$B$7)),"納品間近",IF(AND(AH253&lt;&gt;"",IF(AH253="",FALSE(),AH253&lt;=TODAY()),AI253=""),"解約チェック",IF(AF253&lt;&gt;"","納品済","")))))))))))</f>
        <v/>
      </c>
      <c r="AM253" s="17"/>
    </row>
    <row r="254" customFormat="false" ht="15" hidden="false" customHeight="false" outlineLevel="0" collapsed="false">
      <c r="A254" s="12" t="str">
        <f aca="false">IF(C254="","",ROW()-4)</f>
        <v/>
      </c>
      <c r="B254" s="17"/>
      <c r="C254" s="17"/>
      <c r="D254" s="17"/>
      <c r="E254" s="17"/>
      <c r="F254" s="24"/>
      <c r="G254" s="17"/>
      <c r="H254" s="17"/>
      <c r="I254" s="17"/>
      <c r="J254" s="17"/>
      <c r="K254" s="17"/>
      <c r="L254" s="22"/>
      <c r="M254" s="22"/>
      <c r="N254" s="17"/>
      <c r="O254" s="17"/>
      <c r="P254" s="17"/>
      <c r="Q254" s="18" t="str">
        <f aca="false">IF(B254="","",COUNTIFS(開通管理!$B$5:$B$604,B254,開通管理!$O$5:$O$604,"&lt;&gt;キャンセル"))</f>
        <v/>
      </c>
      <c r="R254" s="18" t="str">
        <f aca="false">IF(B254="","",COUNTIFS(開通管理!$B$5:$B$604,B254,開通管理!$O$5:$O$604,"開通済"))</f>
        <v/>
      </c>
      <c r="S254" s="19" t="str">
        <f aca="false">IF(B254="","",IF(Q254=0,"未申込",IF(R254&lt;Q254,"開通待ち（"&amp;R254&amp;"/"&amp;Q254&amp;"）","全開通")))</f>
        <v/>
      </c>
      <c r="T254" s="20" t="str">
        <f aca="false">IF(S254&lt;&gt;"全開通","",_xlfn.MAXIFS(開通管理!$Q$5:$Q$604,開通管理!$B$5:$B$604,B254))</f>
        <v/>
      </c>
      <c r="U254" s="21" t="str">
        <f aca="false">IF(B254="","",SUMIFS(開通管理!$J$5:$J$604,開通管理!$B$5:$B$604,B254,開通管理!$O$5:$O$604,"&lt;&gt;キャンセル"))</f>
        <v/>
      </c>
      <c r="V254" s="22"/>
      <c r="W254" s="12" t="str">
        <f aca="false">IF(OR(B254="",設定!$B$14=""),"",SUBSTITUTE(設定!$B$14,"__ID__",B254))</f>
        <v/>
      </c>
      <c r="X254" s="22"/>
      <c r="Y254" s="22"/>
      <c r="Z254" s="22"/>
      <c r="AA254" s="20" t="str">
        <f aca="false">IF(Z254="","",WORKDAY(Z254,設定!$B$5,設定!$F$5:$F$120))</f>
        <v/>
      </c>
      <c r="AB254" s="17"/>
      <c r="AC254" s="17"/>
      <c r="AD254" s="17"/>
      <c r="AE254" s="17"/>
      <c r="AF254" s="22"/>
      <c r="AG254" s="17"/>
      <c r="AH254" s="20" t="str">
        <f aca="false">IF(T254="","",EDATE(T254,設定!$B$8))</f>
        <v/>
      </c>
      <c r="AI254" s="17"/>
      <c r="AJ254" s="17"/>
      <c r="AK254" s="22"/>
      <c r="AL254" s="23" t="str">
        <f aca="true">IF(C254="","",IF(N254="失注","―",IF(AND(AK254&lt;&gt;"",AK254&lt;TODAY()),"対応期限超過",IF(AND(AF254="",AA254&lt;&gt;"",IF(AA254="",FALSE(),AA254&lt;TODAY())),"納品遅延",IF(AND(AK254&lt;&gt;"",AK254=TODAY()),"本日対応",IF(AND(S254="全開通",X254="",AF254=""),"ヒアリング依頼待ち",IF(AND(X254&lt;&gt;"",Y254="",Z254="",TODAY()-X254&gt;=設定!$B$6),"ヒアリング未回収",IF(AND(Y254&lt;&gt;"",Z254=""),"素材確認待ち",IF(AND(AF254="",AA254&lt;&gt;"",IF(AA254="",FALSE(),AA254-TODAY()&lt;=設定!$B$7)),"納品間近",IF(AND(AH254&lt;&gt;"",IF(AH254="",FALSE(),AH254&lt;=TODAY()),AI254=""),"解約チェック",IF(AF254&lt;&gt;"","納品済","")))))))))))</f>
        <v/>
      </c>
      <c r="AM254" s="17"/>
    </row>
    <row r="255" customFormat="false" ht="15" hidden="false" customHeight="false" outlineLevel="0" collapsed="false">
      <c r="A255" s="12" t="str">
        <f aca="false">IF(C255="","",ROW()-4)</f>
        <v/>
      </c>
      <c r="B255" s="17"/>
      <c r="C255" s="17"/>
      <c r="D255" s="17"/>
      <c r="E255" s="17"/>
      <c r="F255" s="24"/>
      <c r="G255" s="17"/>
      <c r="H255" s="17"/>
      <c r="I255" s="17"/>
      <c r="J255" s="17"/>
      <c r="K255" s="17"/>
      <c r="L255" s="22"/>
      <c r="M255" s="22"/>
      <c r="N255" s="17"/>
      <c r="O255" s="17"/>
      <c r="P255" s="17"/>
      <c r="Q255" s="18" t="str">
        <f aca="false">IF(B255="","",COUNTIFS(開通管理!$B$5:$B$604,B255,開通管理!$O$5:$O$604,"&lt;&gt;キャンセル"))</f>
        <v/>
      </c>
      <c r="R255" s="18" t="str">
        <f aca="false">IF(B255="","",COUNTIFS(開通管理!$B$5:$B$604,B255,開通管理!$O$5:$O$604,"開通済"))</f>
        <v/>
      </c>
      <c r="S255" s="19" t="str">
        <f aca="false">IF(B255="","",IF(Q255=0,"未申込",IF(R255&lt;Q255,"開通待ち（"&amp;R255&amp;"/"&amp;Q255&amp;"）","全開通")))</f>
        <v/>
      </c>
      <c r="T255" s="20" t="str">
        <f aca="false">IF(S255&lt;&gt;"全開通","",_xlfn.MAXIFS(開通管理!$Q$5:$Q$604,開通管理!$B$5:$B$604,B255))</f>
        <v/>
      </c>
      <c r="U255" s="21" t="str">
        <f aca="false">IF(B255="","",SUMIFS(開通管理!$J$5:$J$604,開通管理!$B$5:$B$604,B255,開通管理!$O$5:$O$604,"&lt;&gt;キャンセル"))</f>
        <v/>
      </c>
      <c r="V255" s="22"/>
      <c r="W255" s="12" t="str">
        <f aca="false">IF(OR(B255="",設定!$B$14=""),"",SUBSTITUTE(設定!$B$14,"__ID__",B255))</f>
        <v/>
      </c>
      <c r="X255" s="22"/>
      <c r="Y255" s="22"/>
      <c r="Z255" s="22"/>
      <c r="AA255" s="20" t="str">
        <f aca="false">IF(Z255="","",WORKDAY(Z255,設定!$B$5,設定!$F$5:$F$120))</f>
        <v/>
      </c>
      <c r="AB255" s="17"/>
      <c r="AC255" s="17"/>
      <c r="AD255" s="17"/>
      <c r="AE255" s="17"/>
      <c r="AF255" s="22"/>
      <c r="AG255" s="17"/>
      <c r="AH255" s="20" t="str">
        <f aca="false">IF(T255="","",EDATE(T255,設定!$B$8))</f>
        <v/>
      </c>
      <c r="AI255" s="17"/>
      <c r="AJ255" s="17"/>
      <c r="AK255" s="22"/>
      <c r="AL255" s="23" t="str">
        <f aca="true">IF(C255="","",IF(N255="失注","―",IF(AND(AK255&lt;&gt;"",AK255&lt;TODAY()),"対応期限超過",IF(AND(AF255="",AA255&lt;&gt;"",IF(AA255="",FALSE(),AA255&lt;TODAY())),"納品遅延",IF(AND(AK255&lt;&gt;"",AK255=TODAY()),"本日対応",IF(AND(S255="全開通",X255="",AF255=""),"ヒアリング依頼待ち",IF(AND(X255&lt;&gt;"",Y255="",Z255="",TODAY()-X255&gt;=設定!$B$6),"ヒアリング未回収",IF(AND(Y255&lt;&gt;"",Z255=""),"素材確認待ち",IF(AND(AF255="",AA255&lt;&gt;"",IF(AA255="",FALSE(),AA255-TODAY()&lt;=設定!$B$7)),"納品間近",IF(AND(AH255&lt;&gt;"",IF(AH255="",FALSE(),AH255&lt;=TODAY()),AI255=""),"解約チェック",IF(AF255&lt;&gt;"","納品済","")))))))))))</f>
        <v/>
      </c>
      <c r="AM255" s="17"/>
    </row>
    <row r="256" customFormat="false" ht="15" hidden="false" customHeight="false" outlineLevel="0" collapsed="false">
      <c r="A256" s="12" t="str">
        <f aca="false">IF(C256="","",ROW()-4)</f>
        <v/>
      </c>
      <c r="B256" s="17"/>
      <c r="C256" s="17"/>
      <c r="D256" s="17"/>
      <c r="E256" s="17"/>
      <c r="F256" s="24"/>
      <c r="G256" s="17"/>
      <c r="H256" s="17"/>
      <c r="I256" s="17"/>
      <c r="J256" s="17"/>
      <c r="K256" s="17"/>
      <c r="L256" s="22"/>
      <c r="M256" s="22"/>
      <c r="N256" s="17"/>
      <c r="O256" s="17"/>
      <c r="P256" s="17"/>
      <c r="Q256" s="18" t="str">
        <f aca="false">IF(B256="","",COUNTIFS(開通管理!$B$5:$B$604,B256,開通管理!$O$5:$O$604,"&lt;&gt;キャンセル"))</f>
        <v/>
      </c>
      <c r="R256" s="18" t="str">
        <f aca="false">IF(B256="","",COUNTIFS(開通管理!$B$5:$B$604,B256,開通管理!$O$5:$O$604,"開通済"))</f>
        <v/>
      </c>
      <c r="S256" s="19" t="str">
        <f aca="false">IF(B256="","",IF(Q256=0,"未申込",IF(R256&lt;Q256,"開通待ち（"&amp;R256&amp;"/"&amp;Q256&amp;"）","全開通")))</f>
        <v/>
      </c>
      <c r="T256" s="20" t="str">
        <f aca="false">IF(S256&lt;&gt;"全開通","",_xlfn.MAXIFS(開通管理!$Q$5:$Q$604,開通管理!$B$5:$B$604,B256))</f>
        <v/>
      </c>
      <c r="U256" s="21" t="str">
        <f aca="false">IF(B256="","",SUMIFS(開通管理!$J$5:$J$604,開通管理!$B$5:$B$604,B256,開通管理!$O$5:$O$604,"&lt;&gt;キャンセル"))</f>
        <v/>
      </c>
      <c r="V256" s="22"/>
      <c r="W256" s="12" t="str">
        <f aca="false">IF(OR(B256="",設定!$B$14=""),"",SUBSTITUTE(設定!$B$14,"__ID__",B256))</f>
        <v/>
      </c>
      <c r="X256" s="22"/>
      <c r="Y256" s="22"/>
      <c r="Z256" s="22"/>
      <c r="AA256" s="20" t="str">
        <f aca="false">IF(Z256="","",WORKDAY(Z256,設定!$B$5,設定!$F$5:$F$120))</f>
        <v/>
      </c>
      <c r="AB256" s="17"/>
      <c r="AC256" s="17"/>
      <c r="AD256" s="17"/>
      <c r="AE256" s="17"/>
      <c r="AF256" s="22"/>
      <c r="AG256" s="17"/>
      <c r="AH256" s="20" t="str">
        <f aca="false">IF(T256="","",EDATE(T256,設定!$B$8))</f>
        <v/>
      </c>
      <c r="AI256" s="17"/>
      <c r="AJ256" s="17"/>
      <c r="AK256" s="22"/>
      <c r="AL256" s="23" t="str">
        <f aca="true">IF(C256="","",IF(N256="失注","―",IF(AND(AK256&lt;&gt;"",AK256&lt;TODAY()),"対応期限超過",IF(AND(AF256="",AA256&lt;&gt;"",IF(AA256="",FALSE(),AA256&lt;TODAY())),"納品遅延",IF(AND(AK256&lt;&gt;"",AK256=TODAY()),"本日対応",IF(AND(S256="全開通",X256="",AF256=""),"ヒアリング依頼待ち",IF(AND(X256&lt;&gt;"",Y256="",Z256="",TODAY()-X256&gt;=設定!$B$6),"ヒアリング未回収",IF(AND(Y256&lt;&gt;"",Z256=""),"素材確認待ち",IF(AND(AF256="",AA256&lt;&gt;"",IF(AA256="",FALSE(),AA256-TODAY()&lt;=設定!$B$7)),"納品間近",IF(AND(AH256&lt;&gt;"",IF(AH256="",FALSE(),AH256&lt;=TODAY()),AI256=""),"解約チェック",IF(AF256&lt;&gt;"","納品済","")))))))))))</f>
        <v/>
      </c>
      <c r="AM256" s="17"/>
    </row>
    <row r="257" customFormat="false" ht="15" hidden="false" customHeight="false" outlineLevel="0" collapsed="false">
      <c r="A257" s="12" t="str">
        <f aca="false">IF(C257="","",ROW()-4)</f>
        <v/>
      </c>
      <c r="B257" s="17"/>
      <c r="C257" s="17"/>
      <c r="D257" s="17"/>
      <c r="E257" s="17"/>
      <c r="F257" s="24"/>
      <c r="G257" s="17"/>
      <c r="H257" s="17"/>
      <c r="I257" s="17"/>
      <c r="J257" s="17"/>
      <c r="K257" s="17"/>
      <c r="L257" s="22"/>
      <c r="M257" s="22"/>
      <c r="N257" s="17"/>
      <c r="O257" s="17"/>
      <c r="P257" s="17"/>
      <c r="Q257" s="18" t="str">
        <f aca="false">IF(B257="","",COUNTIFS(開通管理!$B$5:$B$604,B257,開通管理!$O$5:$O$604,"&lt;&gt;キャンセル"))</f>
        <v/>
      </c>
      <c r="R257" s="18" t="str">
        <f aca="false">IF(B257="","",COUNTIFS(開通管理!$B$5:$B$604,B257,開通管理!$O$5:$O$604,"開通済"))</f>
        <v/>
      </c>
      <c r="S257" s="19" t="str">
        <f aca="false">IF(B257="","",IF(Q257=0,"未申込",IF(R257&lt;Q257,"開通待ち（"&amp;R257&amp;"/"&amp;Q257&amp;"）","全開通")))</f>
        <v/>
      </c>
      <c r="T257" s="20" t="str">
        <f aca="false">IF(S257&lt;&gt;"全開通","",_xlfn.MAXIFS(開通管理!$Q$5:$Q$604,開通管理!$B$5:$B$604,B257))</f>
        <v/>
      </c>
      <c r="U257" s="21" t="str">
        <f aca="false">IF(B257="","",SUMIFS(開通管理!$J$5:$J$604,開通管理!$B$5:$B$604,B257,開通管理!$O$5:$O$604,"&lt;&gt;キャンセル"))</f>
        <v/>
      </c>
      <c r="V257" s="22"/>
      <c r="W257" s="12" t="str">
        <f aca="false">IF(OR(B257="",設定!$B$14=""),"",SUBSTITUTE(設定!$B$14,"__ID__",B257))</f>
        <v/>
      </c>
      <c r="X257" s="22"/>
      <c r="Y257" s="22"/>
      <c r="Z257" s="22"/>
      <c r="AA257" s="20" t="str">
        <f aca="false">IF(Z257="","",WORKDAY(Z257,設定!$B$5,設定!$F$5:$F$120))</f>
        <v/>
      </c>
      <c r="AB257" s="17"/>
      <c r="AC257" s="17"/>
      <c r="AD257" s="17"/>
      <c r="AE257" s="17"/>
      <c r="AF257" s="22"/>
      <c r="AG257" s="17"/>
      <c r="AH257" s="20" t="str">
        <f aca="false">IF(T257="","",EDATE(T257,設定!$B$8))</f>
        <v/>
      </c>
      <c r="AI257" s="17"/>
      <c r="AJ257" s="17"/>
      <c r="AK257" s="22"/>
      <c r="AL257" s="23" t="str">
        <f aca="true">IF(C257="","",IF(N257="失注","―",IF(AND(AK257&lt;&gt;"",AK257&lt;TODAY()),"対応期限超過",IF(AND(AF257="",AA257&lt;&gt;"",IF(AA257="",FALSE(),AA257&lt;TODAY())),"納品遅延",IF(AND(AK257&lt;&gt;"",AK257=TODAY()),"本日対応",IF(AND(S257="全開通",X257="",AF257=""),"ヒアリング依頼待ち",IF(AND(X257&lt;&gt;"",Y257="",Z257="",TODAY()-X257&gt;=設定!$B$6),"ヒアリング未回収",IF(AND(Y257&lt;&gt;"",Z257=""),"素材確認待ち",IF(AND(AF257="",AA257&lt;&gt;"",IF(AA257="",FALSE(),AA257-TODAY()&lt;=設定!$B$7)),"納品間近",IF(AND(AH257&lt;&gt;"",IF(AH257="",FALSE(),AH257&lt;=TODAY()),AI257=""),"解約チェック",IF(AF257&lt;&gt;"","納品済","")))))))))))</f>
        <v/>
      </c>
      <c r="AM257" s="17"/>
    </row>
    <row r="258" customFormat="false" ht="15" hidden="false" customHeight="false" outlineLevel="0" collapsed="false">
      <c r="A258" s="12" t="str">
        <f aca="false">IF(C258="","",ROW()-4)</f>
        <v/>
      </c>
      <c r="B258" s="17"/>
      <c r="C258" s="17"/>
      <c r="D258" s="17"/>
      <c r="E258" s="17"/>
      <c r="F258" s="24"/>
      <c r="G258" s="17"/>
      <c r="H258" s="17"/>
      <c r="I258" s="17"/>
      <c r="J258" s="17"/>
      <c r="K258" s="17"/>
      <c r="L258" s="22"/>
      <c r="M258" s="22"/>
      <c r="N258" s="17"/>
      <c r="O258" s="17"/>
      <c r="P258" s="17"/>
      <c r="Q258" s="18" t="str">
        <f aca="false">IF(B258="","",COUNTIFS(開通管理!$B$5:$B$604,B258,開通管理!$O$5:$O$604,"&lt;&gt;キャンセル"))</f>
        <v/>
      </c>
      <c r="R258" s="18" t="str">
        <f aca="false">IF(B258="","",COUNTIFS(開通管理!$B$5:$B$604,B258,開通管理!$O$5:$O$604,"開通済"))</f>
        <v/>
      </c>
      <c r="S258" s="19" t="str">
        <f aca="false">IF(B258="","",IF(Q258=0,"未申込",IF(R258&lt;Q258,"開通待ち（"&amp;R258&amp;"/"&amp;Q258&amp;"）","全開通")))</f>
        <v/>
      </c>
      <c r="T258" s="20" t="str">
        <f aca="false">IF(S258&lt;&gt;"全開通","",_xlfn.MAXIFS(開通管理!$Q$5:$Q$604,開通管理!$B$5:$B$604,B258))</f>
        <v/>
      </c>
      <c r="U258" s="21" t="str">
        <f aca="false">IF(B258="","",SUMIFS(開通管理!$J$5:$J$604,開通管理!$B$5:$B$604,B258,開通管理!$O$5:$O$604,"&lt;&gt;キャンセル"))</f>
        <v/>
      </c>
      <c r="V258" s="22"/>
      <c r="W258" s="12" t="str">
        <f aca="false">IF(OR(B258="",設定!$B$14=""),"",SUBSTITUTE(設定!$B$14,"__ID__",B258))</f>
        <v/>
      </c>
      <c r="X258" s="22"/>
      <c r="Y258" s="22"/>
      <c r="Z258" s="22"/>
      <c r="AA258" s="20" t="str">
        <f aca="false">IF(Z258="","",WORKDAY(Z258,設定!$B$5,設定!$F$5:$F$120))</f>
        <v/>
      </c>
      <c r="AB258" s="17"/>
      <c r="AC258" s="17"/>
      <c r="AD258" s="17"/>
      <c r="AE258" s="17"/>
      <c r="AF258" s="22"/>
      <c r="AG258" s="17"/>
      <c r="AH258" s="20" t="str">
        <f aca="false">IF(T258="","",EDATE(T258,設定!$B$8))</f>
        <v/>
      </c>
      <c r="AI258" s="17"/>
      <c r="AJ258" s="17"/>
      <c r="AK258" s="22"/>
      <c r="AL258" s="23" t="str">
        <f aca="true">IF(C258="","",IF(N258="失注","―",IF(AND(AK258&lt;&gt;"",AK258&lt;TODAY()),"対応期限超過",IF(AND(AF258="",AA258&lt;&gt;"",IF(AA258="",FALSE(),AA258&lt;TODAY())),"納品遅延",IF(AND(AK258&lt;&gt;"",AK258=TODAY()),"本日対応",IF(AND(S258="全開通",X258="",AF258=""),"ヒアリング依頼待ち",IF(AND(X258&lt;&gt;"",Y258="",Z258="",TODAY()-X258&gt;=設定!$B$6),"ヒアリング未回収",IF(AND(Y258&lt;&gt;"",Z258=""),"素材確認待ち",IF(AND(AF258="",AA258&lt;&gt;"",IF(AA258="",FALSE(),AA258-TODAY()&lt;=設定!$B$7)),"納品間近",IF(AND(AH258&lt;&gt;"",IF(AH258="",FALSE(),AH258&lt;=TODAY()),AI258=""),"解約チェック",IF(AF258&lt;&gt;"","納品済","")))))))))))</f>
        <v/>
      </c>
      <c r="AM258" s="17"/>
    </row>
    <row r="259" customFormat="false" ht="15" hidden="false" customHeight="false" outlineLevel="0" collapsed="false">
      <c r="A259" s="12" t="str">
        <f aca="false">IF(C259="","",ROW()-4)</f>
        <v/>
      </c>
      <c r="B259" s="17"/>
      <c r="C259" s="17"/>
      <c r="D259" s="17"/>
      <c r="E259" s="17"/>
      <c r="F259" s="24"/>
      <c r="G259" s="17"/>
      <c r="H259" s="17"/>
      <c r="I259" s="17"/>
      <c r="J259" s="17"/>
      <c r="K259" s="17"/>
      <c r="L259" s="22"/>
      <c r="M259" s="22"/>
      <c r="N259" s="17"/>
      <c r="O259" s="17"/>
      <c r="P259" s="17"/>
      <c r="Q259" s="18" t="str">
        <f aca="false">IF(B259="","",COUNTIFS(開通管理!$B$5:$B$604,B259,開通管理!$O$5:$O$604,"&lt;&gt;キャンセル"))</f>
        <v/>
      </c>
      <c r="R259" s="18" t="str">
        <f aca="false">IF(B259="","",COUNTIFS(開通管理!$B$5:$B$604,B259,開通管理!$O$5:$O$604,"開通済"))</f>
        <v/>
      </c>
      <c r="S259" s="19" t="str">
        <f aca="false">IF(B259="","",IF(Q259=0,"未申込",IF(R259&lt;Q259,"開通待ち（"&amp;R259&amp;"/"&amp;Q259&amp;"）","全開通")))</f>
        <v/>
      </c>
      <c r="T259" s="20" t="str">
        <f aca="false">IF(S259&lt;&gt;"全開通","",_xlfn.MAXIFS(開通管理!$Q$5:$Q$604,開通管理!$B$5:$B$604,B259))</f>
        <v/>
      </c>
      <c r="U259" s="21" t="str">
        <f aca="false">IF(B259="","",SUMIFS(開通管理!$J$5:$J$604,開通管理!$B$5:$B$604,B259,開通管理!$O$5:$O$604,"&lt;&gt;キャンセル"))</f>
        <v/>
      </c>
      <c r="V259" s="22"/>
      <c r="W259" s="12" t="str">
        <f aca="false">IF(OR(B259="",設定!$B$14=""),"",SUBSTITUTE(設定!$B$14,"__ID__",B259))</f>
        <v/>
      </c>
      <c r="X259" s="22"/>
      <c r="Y259" s="22"/>
      <c r="Z259" s="22"/>
      <c r="AA259" s="20" t="str">
        <f aca="false">IF(Z259="","",WORKDAY(Z259,設定!$B$5,設定!$F$5:$F$120))</f>
        <v/>
      </c>
      <c r="AB259" s="17"/>
      <c r="AC259" s="17"/>
      <c r="AD259" s="17"/>
      <c r="AE259" s="17"/>
      <c r="AF259" s="22"/>
      <c r="AG259" s="17"/>
      <c r="AH259" s="20" t="str">
        <f aca="false">IF(T259="","",EDATE(T259,設定!$B$8))</f>
        <v/>
      </c>
      <c r="AI259" s="17"/>
      <c r="AJ259" s="17"/>
      <c r="AK259" s="22"/>
      <c r="AL259" s="23" t="str">
        <f aca="true">IF(C259="","",IF(N259="失注","―",IF(AND(AK259&lt;&gt;"",AK259&lt;TODAY()),"対応期限超過",IF(AND(AF259="",AA259&lt;&gt;"",IF(AA259="",FALSE(),AA259&lt;TODAY())),"納品遅延",IF(AND(AK259&lt;&gt;"",AK259=TODAY()),"本日対応",IF(AND(S259="全開通",X259="",AF259=""),"ヒアリング依頼待ち",IF(AND(X259&lt;&gt;"",Y259="",Z259="",TODAY()-X259&gt;=設定!$B$6),"ヒアリング未回収",IF(AND(Y259&lt;&gt;"",Z259=""),"素材確認待ち",IF(AND(AF259="",AA259&lt;&gt;"",IF(AA259="",FALSE(),AA259-TODAY()&lt;=設定!$B$7)),"納品間近",IF(AND(AH259&lt;&gt;"",IF(AH259="",FALSE(),AH259&lt;=TODAY()),AI259=""),"解約チェック",IF(AF259&lt;&gt;"","納品済","")))))))))))</f>
        <v/>
      </c>
      <c r="AM259" s="17"/>
    </row>
    <row r="260" customFormat="false" ht="15" hidden="false" customHeight="false" outlineLevel="0" collapsed="false">
      <c r="A260" s="12" t="str">
        <f aca="false">IF(C260="","",ROW()-4)</f>
        <v/>
      </c>
      <c r="B260" s="17"/>
      <c r="C260" s="17"/>
      <c r="D260" s="17"/>
      <c r="E260" s="17"/>
      <c r="F260" s="24"/>
      <c r="G260" s="17"/>
      <c r="H260" s="17"/>
      <c r="I260" s="17"/>
      <c r="J260" s="17"/>
      <c r="K260" s="17"/>
      <c r="L260" s="22"/>
      <c r="M260" s="22"/>
      <c r="N260" s="17"/>
      <c r="O260" s="17"/>
      <c r="P260" s="17"/>
      <c r="Q260" s="18" t="str">
        <f aca="false">IF(B260="","",COUNTIFS(開通管理!$B$5:$B$604,B260,開通管理!$O$5:$O$604,"&lt;&gt;キャンセル"))</f>
        <v/>
      </c>
      <c r="R260" s="18" t="str">
        <f aca="false">IF(B260="","",COUNTIFS(開通管理!$B$5:$B$604,B260,開通管理!$O$5:$O$604,"開通済"))</f>
        <v/>
      </c>
      <c r="S260" s="19" t="str">
        <f aca="false">IF(B260="","",IF(Q260=0,"未申込",IF(R260&lt;Q260,"開通待ち（"&amp;R260&amp;"/"&amp;Q260&amp;"）","全開通")))</f>
        <v/>
      </c>
      <c r="T260" s="20" t="str">
        <f aca="false">IF(S260&lt;&gt;"全開通","",_xlfn.MAXIFS(開通管理!$Q$5:$Q$604,開通管理!$B$5:$B$604,B260))</f>
        <v/>
      </c>
      <c r="U260" s="21" t="str">
        <f aca="false">IF(B260="","",SUMIFS(開通管理!$J$5:$J$604,開通管理!$B$5:$B$604,B260,開通管理!$O$5:$O$604,"&lt;&gt;キャンセル"))</f>
        <v/>
      </c>
      <c r="V260" s="22"/>
      <c r="W260" s="12" t="str">
        <f aca="false">IF(OR(B260="",設定!$B$14=""),"",SUBSTITUTE(設定!$B$14,"__ID__",B260))</f>
        <v/>
      </c>
      <c r="X260" s="22"/>
      <c r="Y260" s="22"/>
      <c r="Z260" s="22"/>
      <c r="AA260" s="20" t="str">
        <f aca="false">IF(Z260="","",WORKDAY(Z260,設定!$B$5,設定!$F$5:$F$120))</f>
        <v/>
      </c>
      <c r="AB260" s="17"/>
      <c r="AC260" s="17"/>
      <c r="AD260" s="17"/>
      <c r="AE260" s="17"/>
      <c r="AF260" s="22"/>
      <c r="AG260" s="17"/>
      <c r="AH260" s="20" t="str">
        <f aca="false">IF(T260="","",EDATE(T260,設定!$B$8))</f>
        <v/>
      </c>
      <c r="AI260" s="17"/>
      <c r="AJ260" s="17"/>
      <c r="AK260" s="22"/>
      <c r="AL260" s="23" t="str">
        <f aca="true">IF(C260="","",IF(N260="失注","―",IF(AND(AK260&lt;&gt;"",AK260&lt;TODAY()),"対応期限超過",IF(AND(AF260="",AA260&lt;&gt;"",IF(AA260="",FALSE(),AA260&lt;TODAY())),"納品遅延",IF(AND(AK260&lt;&gt;"",AK260=TODAY()),"本日対応",IF(AND(S260="全開通",X260="",AF260=""),"ヒアリング依頼待ち",IF(AND(X260&lt;&gt;"",Y260="",Z260="",TODAY()-X260&gt;=設定!$B$6),"ヒアリング未回収",IF(AND(Y260&lt;&gt;"",Z260=""),"素材確認待ち",IF(AND(AF260="",AA260&lt;&gt;"",IF(AA260="",FALSE(),AA260-TODAY()&lt;=設定!$B$7)),"納品間近",IF(AND(AH260&lt;&gt;"",IF(AH260="",FALSE(),AH260&lt;=TODAY()),AI260=""),"解約チェック",IF(AF260&lt;&gt;"","納品済","")))))))))))</f>
        <v/>
      </c>
      <c r="AM260" s="17"/>
    </row>
    <row r="261" customFormat="false" ht="15" hidden="false" customHeight="false" outlineLevel="0" collapsed="false">
      <c r="A261" s="12" t="str">
        <f aca="false">IF(C261="","",ROW()-4)</f>
        <v/>
      </c>
      <c r="B261" s="17"/>
      <c r="C261" s="17"/>
      <c r="D261" s="17"/>
      <c r="E261" s="17"/>
      <c r="F261" s="24"/>
      <c r="G261" s="17"/>
      <c r="H261" s="17"/>
      <c r="I261" s="17"/>
      <c r="J261" s="17"/>
      <c r="K261" s="17"/>
      <c r="L261" s="22"/>
      <c r="M261" s="22"/>
      <c r="N261" s="17"/>
      <c r="O261" s="17"/>
      <c r="P261" s="17"/>
      <c r="Q261" s="18" t="str">
        <f aca="false">IF(B261="","",COUNTIFS(開通管理!$B$5:$B$604,B261,開通管理!$O$5:$O$604,"&lt;&gt;キャンセル"))</f>
        <v/>
      </c>
      <c r="R261" s="18" t="str">
        <f aca="false">IF(B261="","",COUNTIFS(開通管理!$B$5:$B$604,B261,開通管理!$O$5:$O$604,"開通済"))</f>
        <v/>
      </c>
      <c r="S261" s="19" t="str">
        <f aca="false">IF(B261="","",IF(Q261=0,"未申込",IF(R261&lt;Q261,"開通待ち（"&amp;R261&amp;"/"&amp;Q261&amp;"）","全開通")))</f>
        <v/>
      </c>
      <c r="T261" s="20" t="str">
        <f aca="false">IF(S261&lt;&gt;"全開通","",_xlfn.MAXIFS(開通管理!$Q$5:$Q$604,開通管理!$B$5:$B$604,B261))</f>
        <v/>
      </c>
      <c r="U261" s="21" t="str">
        <f aca="false">IF(B261="","",SUMIFS(開通管理!$J$5:$J$604,開通管理!$B$5:$B$604,B261,開通管理!$O$5:$O$604,"&lt;&gt;キャンセル"))</f>
        <v/>
      </c>
      <c r="V261" s="22"/>
      <c r="W261" s="12" t="str">
        <f aca="false">IF(OR(B261="",設定!$B$14=""),"",SUBSTITUTE(設定!$B$14,"__ID__",B261))</f>
        <v/>
      </c>
      <c r="X261" s="22"/>
      <c r="Y261" s="22"/>
      <c r="Z261" s="22"/>
      <c r="AA261" s="20" t="str">
        <f aca="false">IF(Z261="","",WORKDAY(Z261,設定!$B$5,設定!$F$5:$F$120))</f>
        <v/>
      </c>
      <c r="AB261" s="17"/>
      <c r="AC261" s="17"/>
      <c r="AD261" s="17"/>
      <c r="AE261" s="17"/>
      <c r="AF261" s="22"/>
      <c r="AG261" s="17"/>
      <c r="AH261" s="20" t="str">
        <f aca="false">IF(T261="","",EDATE(T261,設定!$B$8))</f>
        <v/>
      </c>
      <c r="AI261" s="17"/>
      <c r="AJ261" s="17"/>
      <c r="AK261" s="22"/>
      <c r="AL261" s="23" t="str">
        <f aca="true">IF(C261="","",IF(N261="失注","―",IF(AND(AK261&lt;&gt;"",AK261&lt;TODAY()),"対応期限超過",IF(AND(AF261="",AA261&lt;&gt;"",IF(AA261="",FALSE(),AA261&lt;TODAY())),"納品遅延",IF(AND(AK261&lt;&gt;"",AK261=TODAY()),"本日対応",IF(AND(S261="全開通",X261="",AF261=""),"ヒアリング依頼待ち",IF(AND(X261&lt;&gt;"",Y261="",Z261="",TODAY()-X261&gt;=設定!$B$6),"ヒアリング未回収",IF(AND(Y261&lt;&gt;"",Z261=""),"素材確認待ち",IF(AND(AF261="",AA261&lt;&gt;"",IF(AA261="",FALSE(),AA261-TODAY()&lt;=設定!$B$7)),"納品間近",IF(AND(AH261&lt;&gt;"",IF(AH261="",FALSE(),AH261&lt;=TODAY()),AI261=""),"解約チェック",IF(AF261&lt;&gt;"","納品済","")))))))))))</f>
        <v/>
      </c>
      <c r="AM261" s="17"/>
    </row>
    <row r="262" customFormat="false" ht="15" hidden="false" customHeight="false" outlineLevel="0" collapsed="false">
      <c r="A262" s="12" t="str">
        <f aca="false">IF(C262="","",ROW()-4)</f>
        <v/>
      </c>
      <c r="B262" s="17"/>
      <c r="C262" s="17"/>
      <c r="D262" s="17"/>
      <c r="E262" s="17"/>
      <c r="F262" s="24"/>
      <c r="G262" s="17"/>
      <c r="H262" s="17"/>
      <c r="I262" s="17"/>
      <c r="J262" s="17"/>
      <c r="K262" s="17"/>
      <c r="L262" s="22"/>
      <c r="M262" s="22"/>
      <c r="N262" s="17"/>
      <c r="O262" s="17"/>
      <c r="P262" s="17"/>
      <c r="Q262" s="18" t="str">
        <f aca="false">IF(B262="","",COUNTIFS(開通管理!$B$5:$B$604,B262,開通管理!$O$5:$O$604,"&lt;&gt;キャンセル"))</f>
        <v/>
      </c>
      <c r="R262" s="18" t="str">
        <f aca="false">IF(B262="","",COUNTIFS(開通管理!$B$5:$B$604,B262,開通管理!$O$5:$O$604,"開通済"))</f>
        <v/>
      </c>
      <c r="S262" s="19" t="str">
        <f aca="false">IF(B262="","",IF(Q262=0,"未申込",IF(R262&lt;Q262,"開通待ち（"&amp;R262&amp;"/"&amp;Q262&amp;"）","全開通")))</f>
        <v/>
      </c>
      <c r="T262" s="20" t="str">
        <f aca="false">IF(S262&lt;&gt;"全開通","",_xlfn.MAXIFS(開通管理!$Q$5:$Q$604,開通管理!$B$5:$B$604,B262))</f>
        <v/>
      </c>
      <c r="U262" s="21" t="str">
        <f aca="false">IF(B262="","",SUMIFS(開通管理!$J$5:$J$604,開通管理!$B$5:$B$604,B262,開通管理!$O$5:$O$604,"&lt;&gt;キャンセル"))</f>
        <v/>
      </c>
      <c r="V262" s="22"/>
      <c r="W262" s="12" t="str">
        <f aca="false">IF(OR(B262="",設定!$B$14=""),"",SUBSTITUTE(設定!$B$14,"__ID__",B262))</f>
        <v/>
      </c>
      <c r="X262" s="22"/>
      <c r="Y262" s="22"/>
      <c r="Z262" s="22"/>
      <c r="AA262" s="20" t="str">
        <f aca="false">IF(Z262="","",WORKDAY(Z262,設定!$B$5,設定!$F$5:$F$120))</f>
        <v/>
      </c>
      <c r="AB262" s="17"/>
      <c r="AC262" s="17"/>
      <c r="AD262" s="17"/>
      <c r="AE262" s="17"/>
      <c r="AF262" s="22"/>
      <c r="AG262" s="17"/>
      <c r="AH262" s="20" t="str">
        <f aca="false">IF(T262="","",EDATE(T262,設定!$B$8))</f>
        <v/>
      </c>
      <c r="AI262" s="17"/>
      <c r="AJ262" s="17"/>
      <c r="AK262" s="22"/>
      <c r="AL262" s="23" t="str">
        <f aca="true">IF(C262="","",IF(N262="失注","―",IF(AND(AK262&lt;&gt;"",AK262&lt;TODAY()),"対応期限超過",IF(AND(AF262="",AA262&lt;&gt;"",IF(AA262="",FALSE(),AA262&lt;TODAY())),"納品遅延",IF(AND(AK262&lt;&gt;"",AK262=TODAY()),"本日対応",IF(AND(S262="全開通",X262="",AF262=""),"ヒアリング依頼待ち",IF(AND(X262&lt;&gt;"",Y262="",Z262="",TODAY()-X262&gt;=設定!$B$6),"ヒアリング未回収",IF(AND(Y262&lt;&gt;"",Z262=""),"素材確認待ち",IF(AND(AF262="",AA262&lt;&gt;"",IF(AA262="",FALSE(),AA262-TODAY()&lt;=設定!$B$7)),"納品間近",IF(AND(AH262&lt;&gt;"",IF(AH262="",FALSE(),AH262&lt;=TODAY()),AI262=""),"解約チェック",IF(AF262&lt;&gt;"","納品済","")))))))))))</f>
        <v/>
      </c>
      <c r="AM262" s="17"/>
    </row>
    <row r="263" customFormat="false" ht="15" hidden="false" customHeight="false" outlineLevel="0" collapsed="false">
      <c r="A263" s="12" t="str">
        <f aca="false">IF(C263="","",ROW()-4)</f>
        <v/>
      </c>
      <c r="B263" s="17"/>
      <c r="C263" s="17"/>
      <c r="D263" s="17"/>
      <c r="E263" s="17"/>
      <c r="F263" s="24"/>
      <c r="G263" s="17"/>
      <c r="H263" s="17"/>
      <c r="I263" s="17"/>
      <c r="J263" s="17"/>
      <c r="K263" s="17"/>
      <c r="L263" s="22"/>
      <c r="M263" s="22"/>
      <c r="N263" s="17"/>
      <c r="O263" s="17"/>
      <c r="P263" s="17"/>
      <c r="Q263" s="18" t="str">
        <f aca="false">IF(B263="","",COUNTIFS(開通管理!$B$5:$B$604,B263,開通管理!$O$5:$O$604,"&lt;&gt;キャンセル"))</f>
        <v/>
      </c>
      <c r="R263" s="18" t="str">
        <f aca="false">IF(B263="","",COUNTIFS(開通管理!$B$5:$B$604,B263,開通管理!$O$5:$O$604,"開通済"))</f>
        <v/>
      </c>
      <c r="S263" s="19" t="str">
        <f aca="false">IF(B263="","",IF(Q263=0,"未申込",IF(R263&lt;Q263,"開通待ち（"&amp;R263&amp;"/"&amp;Q263&amp;"）","全開通")))</f>
        <v/>
      </c>
      <c r="T263" s="20" t="str">
        <f aca="false">IF(S263&lt;&gt;"全開通","",_xlfn.MAXIFS(開通管理!$Q$5:$Q$604,開通管理!$B$5:$B$604,B263))</f>
        <v/>
      </c>
      <c r="U263" s="21" t="str">
        <f aca="false">IF(B263="","",SUMIFS(開通管理!$J$5:$J$604,開通管理!$B$5:$B$604,B263,開通管理!$O$5:$O$604,"&lt;&gt;キャンセル"))</f>
        <v/>
      </c>
      <c r="V263" s="22"/>
      <c r="W263" s="12" t="str">
        <f aca="false">IF(OR(B263="",設定!$B$14=""),"",SUBSTITUTE(設定!$B$14,"__ID__",B263))</f>
        <v/>
      </c>
      <c r="X263" s="22"/>
      <c r="Y263" s="22"/>
      <c r="Z263" s="22"/>
      <c r="AA263" s="20" t="str">
        <f aca="false">IF(Z263="","",WORKDAY(Z263,設定!$B$5,設定!$F$5:$F$120))</f>
        <v/>
      </c>
      <c r="AB263" s="17"/>
      <c r="AC263" s="17"/>
      <c r="AD263" s="17"/>
      <c r="AE263" s="17"/>
      <c r="AF263" s="22"/>
      <c r="AG263" s="17"/>
      <c r="AH263" s="20" t="str">
        <f aca="false">IF(T263="","",EDATE(T263,設定!$B$8))</f>
        <v/>
      </c>
      <c r="AI263" s="17"/>
      <c r="AJ263" s="17"/>
      <c r="AK263" s="22"/>
      <c r="AL263" s="23" t="str">
        <f aca="true">IF(C263="","",IF(N263="失注","―",IF(AND(AK263&lt;&gt;"",AK263&lt;TODAY()),"対応期限超過",IF(AND(AF263="",AA263&lt;&gt;"",IF(AA263="",FALSE(),AA263&lt;TODAY())),"納品遅延",IF(AND(AK263&lt;&gt;"",AK263=TODAY()),"本日対応",IF(AND(S263="全開通",X263="",AF263=""),"ヒアリング依頼待ち",IF(AND(X263&lt;&gt;"",Y263="",Z263="",TODAY()-X263&gt;=設定!$B$6),"ヒアリング未回収",IF(AND(Y263&lt;&gt;"",Z263=""),"素材確認待ち",IF(AND(AF263="",AA263&lt;&gt;"",IF(AA263="",FALSE(),AA263-TODAY()&lt;=設定!$B$7)),"納品間近",IF(AND(AH263&lt;&gt;"",IF(AH263="",FALSE(),AH263&lt;=TODAY()),AI263=""),"解約チェック",IF(AF263&lt;&gt;"","納品済","")))))))))))</f>
        <v/>
      </c>
      <c r="AM263" s="17"/>
    </row>
    <row r="264" customFormat="false" ht="15" hidden="false" customHeight="false" outlineLevel="0" collapsed="false">
      <c r="A264" s="12" t="str">
        <f aca="false">IF(C264="","",ROW()-4)</f>
        <v/>
      </c>
      <c r="B264" s="17"/>
      <c r="C264" s="17"/>
      <c r="D264" s="17"/>
      <c r="E264" s="17"/>
      <c r="F264" s="24"/>
      <c r="G264" s="17"/>
      <c r="H264" s="17"/>
      <c r="I264" s="17"/>
      <c r="J264" s="17"/>
      <c r="K264" s="17"/>
      <c r="L264" s="22"/>
      <c r="M264" s="22"/>
      <c r="N264" s="17"/>
      <c r="O264" s="17"/>
      <c r="P264" s="17"/>
      <c r="Q264" s="18" t="str">
        <f aca="false">IF(B264="","",COUNTIFS(開通管理!$B$5:$B$604,B264,開通管理!$O$5:$O$604,"&lt;&gt;キャンセル"))</f>
        <v/>
      </c>
      <c r="R264" s="18" t="str">
        <f aca="false">IF(B264="","",COUNTIFS(開通管理!$B$5:$B$604,B264,開通管理!$O$5:$O$604,"開通済"))</f>
        <v/>
      </c>
      <c r="S264" s="19" t="str">
        <f aca="false">IF(B264="","",IF(Q264=0,"未申込",IF(R264&lt;Q264,"開通待ち（"&amp;R264&amp;"/"&amp;Q264&amp;"）","全開通")))</f>
        <v/>
      </c>
      <c r="T264" s="20" t="str">
        <f aca="false">IF(S264&lt;&gt;"全開通","",_xlfn.MAXIFS(開通管理!$Q$5:$Q$604,開通管理!$B$5:$B$604,B264))</f>
        <v/>
      </c>
      <c r="U264" s="21" t="str">
        <f aca="false">IF(B264="","",SUMIFS(開通管理!$J$5:$J$604,開通管理!$B$5:$B$604,B264,開通管理!$O$5:$O$604,"&lt;&gt;キャンセル"))</f>
        <v/>
      </c>
      <c r="V264" s="22"/>
      <c r="W264" s="12" t="str">
        <f aca="false">IF(OR(B264="",設定!$B$14=""),"",SUBSTITUTE(設定!$B$14,"__ID__",B264))</f>
        <v/>
      </c>
      <c r="X264" s="22"/>
      <c r="Y264" s="22"/>
      <c r="Z264" s="22"/>
      <c r="AA264" s="20" t="str">
        <f aca="false">IF(Z264="","",WORKDAY(Z264,設定!$B$5,設定!$F$5:$F$120))</f>
        <v/>
      </c>
      <c r="AB264" s="17"/>
      <c r="AC264" s="17"/>
      <c r="AD264" s="17"/>
      <c r="AE264" s="17"/>
      <c r="AF264" s="22"/>
      <c r="AG264" s="17"/>
      <c r="AH264" s="20" t="str">
        <f aca="false">IF(T264="","",EDATE(T264,設定!$B$8))</f>
        <v/>
      </c>
      <c r="AI264" s="17"/>
      <c r="AJ264" s="17"/>
      <c r="AK264" s="22"/>
      <c r="AL264" s="23" t="str">
        <f aca="true">IF(C264="","",IF(N264="失注","―",IF(AND(AK264&lt;&gt;"",AK264&lt;TODAY()),"対応期限超過",IF(AND(AF264="",AA264&lt;&gt;"",IF(AA264="",FALSE(),AA264&lt;TODAY())),"納品遅延",IF(AND(AK264&lt;&gt;"",AK264=TODAY()),"本日対応",IF(AND(S264="全開通",X264="",AF264=""),"ヒアリング依頼待ち",IF(AND(X264&lt;&gt;"",Y264="",Z264="",TODAY()-X264&gt;=設定!$B$6),"ヒアリング未回収",IF(AND(Y264&lt;&gt;"",Z264=""),"素材確認待ち",IF(AND(AF264="",AA264&lt;&gt;"",IF(AA264="",FALSE(),AA264-TODAY()&lt;=設定!$B$7)),"納品間近",IF(AND(AH264&lt;&gt;"",IF(AH264="",FALSE(),AH264&lt;=TODAY()),AI264=""),"解約チェック",IF(AF264&lt;&gt;"","納品済","")))))))))))</f>
        <v/>
      </c>
      <c r="AM264" s="17"/>
    </row>
    <row r="265" customFormat="false" ht="15" hidden="false" customHeight="false" outlineLevel="0" collapsed="false">
      <c r="A265" s="12" t="str">
        <f aca="false">IF(C265="","",ROW()-4)</f>
        <v/>
      </c>
      <c r="B265" s="17"/>
      <c r="C265" s="17"/>
      <c r="D265" s="17"/>
      <c r="E265" s="17"/>
      <c r="F265" s="24"/>
      <c r="G265" s="17"/>
      <c r="H265" s="17"/>
      <c r="I265" s="17"/>
      <c r="J265" s="17"/>
      <c r="K265" s="17"/>
      <c r="L265" s="22"/>
      <c r="M265" s="22"/>
      <c r="N265" s="17"/>
      <c r="O265" s="17"/>
      <c r="P265" s="17"/>
      <c r="Q265" s="18" t="str">
        <f aca="false">IF(B265="","",COUNTIFS(開通管理!$B$5:$B$604,B265,開通管理!$O$5:$O$604,"&lt;&gt;キャンセル"))</f>
        <v/>
      </c>
      <c r="R265" s="18" t="str">
        <f aca="false">IF(B265="","",COUNTIFS(開通管理!$B$5:$B$604,B265,開通管理!$O$5:$O$604,"開通済"))</f>
        <v/>
      </c>
      <c r="S265" s="19" t="str">
        <f aca="false">IF(B265="","",IF(Q265=0,"未申込",IF(R265&lt;Q265,"開通待ち（"&amp;R265&amp;"/"&amp;Q265&amp;"）","全開通")))</f>
        <v/>
      </c>
      <c r="T265" s="20" t="str">
        <f aca="false">IF(S265&lt;&gt;"全開通","",_xlfn.MAXIFS(開通管理!$Q$5:$Q$604,開通管理!$B$5:$B$604,B265))</f>
        <v/>
      </c>
      <c r="U265" s="21" t="str">
        <f aca="false">IF(B265="","",SUMIFS(開通管理!$J$5:$J$604,開通管理!$B$5:$B$604,B265,開通管理!$O$5:$O$604,"&lt;&gt;キャンセル"))</f>
        <v/>
      </c>
      <c r="V265" s="22"/>
      <c r="W265" s="12" t="str">
        <f aca="false">IF(OR(B265="",設定!$B$14=""),"",SUBSTITUTE(設定!$B$14,"__ID__",B265))</f>
        <v/>
      </c>
      <c r="X265" s="22"/>
      <c r="Y265" s="22"/>
      <c r="Z265" s="22"/>
      <c r="AA265" s="20" t="str">
        <f aca="false">IF(Z265="","",WORKDAY(Z265,設定!$B$5,設定!$F$5:$F$120))</f>
        <v/>
      </c>
      <c r="AB265" s="17"/>
      <c r="AC265" s="17"/>
      <c r="AD265" s="17"/>
      <c r="AE265" s="17"/>
      <c r="AF265" s="22"/>
      <c r="AG265" s="17"/>
      <c r="AH265" s="20" t="str">
        <f aca="false">IF(T265="","",EDATE(T265,設定!$B$8))</f>
        <v/>
      </c>
      <c r="AI265" s="17"/>
      <c r="AJ265" s="17"/>
      <c r="AK265" s="22"/>
      <c r="AL265" s="23" t="str">
        <f aca="true">IF(C265="","",IF(N265="失注","―",IF(AND(AK265&lt;&gt;"",AK265&lt;TODAY()),"対応期限超過",IF(AND(AF265="",AA265&lt;&gt;"",IF(AA265="",FALSE(),AA265&lt;TODAY())),"納品遅延",IF(AND(AK265&lt;&gt;"",AK265=TODAY()),"本日対応",IF(AND(S265="全開通",X265="",AF265=""),"ヒアリング依頼待ち",IF(AND(X265&lt;&gt;"",Y265="",Z265="",TODAY()-X265&gt;=設定!$B$6),"ヒアリング未回収",IF(AND(Y265&lt;&gt;"",Z265=""),"素材確認待ち",IF(AND(AF265="",AA265&lt;&gt;"",IF(AA265="",FALSE(),AA265-TODAY()&lt;=設定!$B$7)),"納品間近",IF(AND(AH265&lt;&gt;"",IF(AH265="",FALSE(),AH265&lt;=TODAY()),AI265=""),"解約チェック",IF(AF265&lt;&gt;"","納品済","")))))))))))</f>
        <v/>
      </c>
      <c r="AM265" s="17"/>
    </row>
    <row r="266" customFormat="false" ht="15" hidden="false" customHeight="false" outlineLevel="0" collapsed="false">
      <c r="A266" s="12" t="str">
        <f aca="false">IF(C266="","",ROW()-4)</f>
        <v/>
      </c>
      <c r="B266" s="17"/>
      <c r="C266" s="17"/>
      <c r="D266" s="17"/>
      <c r="E266" s="17"/>
      <c r="F266" s="24"/>
      <c r="G266" s="17"/>
      <c r="H266" s="17"/>
      <c r="I266" s="17"/>
      <c r="J266" s="17"/>
      <c r="K266" s="17"/>
      <c r="L266" s="22"/>
      <c r="M266" s="22"/>
      <c r="N266" s="17"/>
      <c r="O266" s="17"/>
      <c r="P266" s="17"/>
      <c r="Q266" s="18" t="str">
        <f aca="false">IF(B266="","",COUNTIFS(開通管理!$B$5:$B$604,B266,開通管理!$O$5:$O$604,"&lt;&gt;キャンセル"))</f>
        <v/>
      </c>
      <c r="R266" s="18" t="str">
        <f aca="false">IF(B266="","",COUNTIFS(開通管理!$B$5:$B$604,B266,開通管理!$O$5:$O$604,"開通済"))</f>
        <v/>
      </c>
      <c r="S266" s="19" t="str">
        <f aca="false">IF(B266="","",IF(Q266=0,"未申込",IF(R266&lt;Q266,"開通待ち（"&amp;R266&amp;"/"&amp;Q266&amp;"）","全開通")))</f>
        <v/>
      </c>
      <c r="T266" s="20" t="str">
        <f aca="false">IF(S266&lt;&gt;"全開通","",_xlfn.MAXIFS(開通管理!$Q$5:$Q$604,開通管理!$B$5:$B$604,B266))</f>
        <v/>
      </c>
      <c r="U266" s="21" t="str">
        <f aca="false">IF(B266="","",SUMIFS(開通管理!$J$5:$J$604,開通管理!$B$5:$B$604,B266,開通管理!$O$5:$O$604,"&lt;&gt;キャンセル"))</f>
        <v/>
      </c>
      <c r="V266" s="22"/>
      <c r="W266" s="12" t="str">
        <f aca="false">IF(OR(B266="",設定!$B$14=""),"",SUBSTITUTE(設定!$B$14,"__ID__",B266))</f>
        <v/>
      </c>
      <c r="X266" s="22"/>
      <c r="Y266" s="22"/>
      <c r="Z266" s="22"/>
      <c r="AA266" s="20" t="str">
        <f aca="false">IF(Z266="","",WORKDAY(Z266,設定!$B$5,設定!$F$5:$F$120))</f>
        <v/>
      </c>
      <c r="AB266" s="17"/>
      <c r="AC266" s="17"/>
      <c r="AD266" s="17"/>
      <c r="AE266" s="17"/>
      <c r="AF266" s="22"/>
      <c r="AG266" s="17"/>
      <c r="AH266" s="20" t="str">
        <f aca="false">IF(T266="","",EDATE(T266,設定!$B$8))</f>
        <v/>
      </c>
      <c r="AI266" s="17"/>
      <c r="AJ266" s="17"/>
      <c r="AK266" s="22"/>
      <c r="AL266" s="23" t="str">
        <f aca="true">IF(C266="","",IF(N266="失注","―",IF(AND(AK266&lt;&gt;"",AK266&lt;TODAY()),"対応期限超過",IF(AND(AF266="",AA266&lt;&gt;"",IF(AA266="",FALSE(),AA266&lt;TODAY())),"納品遅延",IF(AND(AK266&lt;&gt;"",AK266=TODAY()),"本日対応",IF(AND(S266="全開通",X266="",AF266=""),"ヒアリング依頼待ち",IF(AND(X266&lt;&gt;"",Y266="",Z266="",TODAY()-X266&gt;=設定!$B$6),"ヒアリング未回収",IF(AND(Y266&lt;&gt;"",Z266=""),"素材確認待ち",IF(AND(AF266="",AA266&lt;&gt;"",IF(AA266="",FALSE(),AA266-TODAY()&lt;=設定!$B$7)),"納品間近",IF(AND(AH266&lt;&gt;"",IF(AH266="",FALSE(),AH266&lt;=TODAY()),AI266=""),"解約チェック",IF(AF266&lt;&gt;"","納品済","")))))))))))</f>
        <v/>
      </c>
      <c r="AM266" s="17"/>
    </row>
    <row r="267" customFormat="false" ht="15" hidden="false" customHeight="false" outlineLevel="0" collapsed="false">
      <c r="A267" s="12" t="str">
        <f aca="false">IF(C267="","",ROW()-4)</f>
        <v/>
      </c>
      <c r="B267" s="17"/>
      <c r="C267" s="17"/>
      <c r="D267" s="17"/>
      <c r="E267" s="17"/>
      <c r="F267" s="24"/>
      <c r="G267" s="17"/>
      <c r="H267" s="17"/>
      <c r="I267" s="17"/>
      <c r="J267" s="17"/>
      <c r="K267" s="17"/>
      <c r="L267" s="22"/>
      <c r="M267" s="22"/>
      <c r="N267" s="17"/>
      <c r="O267" s="17"/>
      <c r="P267" s="17"/>
      <c r="Q267" s="18" t="str">
        <f aca="false">IF(B267="","",COUNTIFS(開通管理!$B$5:$B$604,B267,開通管理!$O$5:$O$604,"&lt;&gt;キャンセル"))</f>
        <v/>
      </c>
      <c r="R267" s="18" t="str">
        <f aca="false">IF(B267="","",COUNTIFS(開通管理!$B$5:$B$604,B267,開通管理!$O$5:$O$604,"開通済"))</f>
        <v/>
      </c>
      <c r="S267" s="19" t="str">
        <f aca="false">IF(B267="","",IF(Q267=0,"未申込",IF(R267&lt;Q267,"開通待ち（"&amp;R267&amp;"/"&amp;Q267&amp;"）","全開通")))</f>
        <v/>
      </c>
      <c r="T267" s="20" t="str">
        <f aca="false">IF(S267&lt;&gt;"全開通","",_xlfn.MAXIFS(開通管理!$Q$5:$Q$604,開通管理!$B$5:$B$604,B267))</f>
        <v/>
      </c>
      <c r="U267" s="21" t="str">
        <f aca="false">IF(B267="","",SUMIFS(開通管理!$J$5:$J$604,開通管理!$B$5:$B$604,B267,開通管理!$O$5:$O$604,"&lt;&gt;キャンセル"))</f>
        <v/>
      </c>
      <c r="V267" s="22"/>
      <c r="W267" s="12" t="str">
        <f aca="false">IF(OR(B267="",設定!$B$14=""),"",SUBSTITUTE(設定!$B$14,"__ID__",B267))</f>
        <v/>
      </c>
      <c r="X267" s="22"/>
      <c r="Y267" s="22"/>
      <c r="Z267" s="22"/>
      <c r="AA267" s="20" t="str">
        <f aca="false">IF(Z267="","",WORKDAY(Z267,設定!$B$5,設定!$F$5:$F$120))</f>
        <v/>
      </c>
      <c r="AB267" s="17"/>
      <c r="AC267" s="17"/>
      <c r="AD267" s="17"/>
      <c r="AE267" s="17"/>
      <c r="AF267" s="22"/>
      <c r="AG267" s="17"/>
      <c r="AH267" s="20" t="str">
        <f aca="false">IF(T267="","",EDATE(T267,設定!$B$8))</f>
        <v/>
      </c>
      <c r="AI267" s="17"/>
      <c r="AJ267" s="17"/>
      <c r="AK267" s="22"/>
      <c r="AL267" s="23" t="str">
        <f aca="true">IF(C267="","",IF(N267="失注","―",IF(AND(AK267&lt;&gt;"",AK267&lt;TODAY()),"対応期限超過",IF(AND(AF267="",AA267&lt;&gt;"",IF(AA267="",FALSE(),AA267&lt;TODAY())),"納品遅延",IF(AND(AK267&lt;&gt;"",AK267=TODAY()),"本日対応",IF(AND(S267="全開通",X267="",AF267=""),"ヒアリング依頼待ち",IF(AND(X267&lt;&gt;"",Y267="",Z267="",TODAY()-X267&gt;=設定!$B$6),"ヒアリング未回収",IF(AND(Y267&lt;&gt;"",Z267=""),"素材確認待ち",IF(AND(AF267="",AA267&lt;&gt;"",IF(AA267="",FALSE(),AA267-TODAY()&lt;=設定!$B$7)),"納品間近",IF(AND(AH267&lt;&gt;"",IF(AH267="",FALSE(),AH267&lt;=TODAY()),AI267=""),"解約チェック",IF(AF267&lt;&gt;"","納品済","")))))))))))</f>
        <v/>
      </c>
      <c r="AM267" s="17"/>
    </row>
    <row r="268" customFormat="false" ht="15" hidden="false" customHeight="false" outlineLevel="0" collapsed="false">
      <c r="A268" s="12" t="str">
        <f aca="false">IF(C268="","",ROW()-4)</f>
        <v/>
      </c>
      <c r="B268" s="17"/>
      <c r="C268" s="17"/>
      <c r="D268" s="17"/>
      <c r="E268" s="17"/>
      <c r="F268" s="24"/>
      <c r="G268" s="17"/>
      <c r="H268" s="17"/>
      <c r="I268" s="17"/>
      <c r="J268" s="17"/>
      <c r="K268" s="17"/>
      <c r="L268" s="22"/>
      <c r="M268" s="22"/>
      <c r="N268" s="17"/>
      <c r="O268" s="17"/>
      <c r="P268" s="17"/>
      <c r="Q268" s="18" t="str">
        <f aca="false">IF(B268="","",COUNTIFS(開通管理!$B$5:$B$604,B268,開通管理!$O$5:$O$604,"&lt;&gt;キャンセル"))</f>
        <v/>
      </c>
      <c r="R268" s="18" t="str">
        <f aca="false">IF(B268="","",COUNTIFS(開通管理!$B$5:$B$604,B268,開通管理!$O$5:$O$604,"開通済"))</f>
        <v/>
      </c>
      <c r="S268" s="19" t="str">
        <f aca="false">IF(B268="","",IF(Q268=0,"未申込",IF(R268&lt;Q268,"開通待ち（"&amp;R268&amp;"/"&amp;Q268&amp;"）","全開通")))</f>
        <v/>
      </c>
      <c r="T268" s="20" t="str">
        <f aca="false">IF(S268&lt;&gt;"全開通","",_xlfn.MAXIFS(開通管理!$Q$5:$Q$604,開通管理!$B$5:$B$604,B268))</f>
        <v/>
      </c>
      <c r="U268" s="21" t="str">
        <f aca="false">IF(B268="","",SUMIFS(開通管理!$J$5:$J$604,開通管理!$B$5:$B$604,B268,開通管理!$O$5:$O$604,"&lt;&gt;キャンセル"))</f>
        <v/>
      </c>
      <c r="V268" s="22"/>
      <c r="W268" s="12" t="str">
        <f aca="false">IF(OR(B268="",設定!$B$14=""),"",SUBSTITUTE(設定!$B$14,"__ID__",B268))</f>
        <v/>
      </c>
      <c r="X268" s="22"/>
      <c r="Y268" s="22"/>
      <c r="Z268" s="22"/>
      <c r="AA268" s="20" t="str">
        <f aca="false">IF(Z268="","",WORKDAY(Z268,設定!$B$5,設定!$F$5:$F$120))</f>
        <v/>
      </c>
      <c r="AB268" s="17"/>
      <c r="AC268" s="17"/>
      <c r="AD268" s="17"/>
      <c r="AE268" s="17"/>
      <c r="AF268" s="22"/>
      <c r="AG268" s="17"/>
      <c r="AH268" s="20" t="str">
        <f aca="false">IF(T268="","",EDATE(T268,設定!$B$8))</f>
        <v/>
      </c>
      <c r="AI268" s="17"/>
      <c r="AJ268" s="17"/>
      <c r="AK268" s="22"/>
      <c r="AL268" s="23" t="str">
        <f aca="true">IF(C268="","",IF(N268="失注","―",IF(AND(AK268&lt;&gt;"",AK268&lt;TODAY()),"対応期限超過",IF(AND(AF268="",AA268&lt;&gt;"",IF(AA268="",FALSE(),AA268&lt;TODAY())),"納品遅延",IF(AND(AK268&lt;&gt;"",AK268=TODAY()),"本日対応",IF(AND(S268="全開通",X268="",AF268=""),"ヒアリング依頼待ち",IF(AND(X268&lt;&gt;"",Y268="",Z268="",TODAY()-X268&gt;=設定!$B$6),"ヒアリング未回収",IF(AND(Y268&lt;&gt;"",Z268=""),"素材確認待ち",IF(AND(AF268="",AA268&lt;&gt;"",IF(AA268="",FALSE(),AA268-TODAY()&lt;=設定!$B$7)),"納品間近",IF(AND(AH268&lt;&gt;"",IF(AH268="",FALSE(),AH268&lt;=TODAY()),AI268=""),"解約チェック",IF(AF268&lt;&gt;"","納品済","")))))))))))</f>
        <v/>
      </c>
      <c r="AM268" s="17"/>
    </row>
    <row r="269" customFormat="false" ht="15" hidden="false" customHeight="false" outlineLevel="0" collapsed="false">
      <c r="A269" s="12" t="str">
        <f aca="false">IF(C269="","",ROW()-4)</f>
        <v/>
      </c>
      <c r="B269" s="17"/>
      <c r="C269" s="17"/>
      <c r="D269" s="17"/>
      <c r="E269" s="17"/>
      <c r="F269" s="24"/>
      <c r="G269" s="17"/>
      <c r="H269" s="17"/>
      <c r="I269" s="17"/>
      <c r="J269" s="17"/>
      <c r="K269" s="17"/>
      <c r="L269" s="22"/>
      <c r="M269" s="22"/>
      <c r="N269" s="17"/>
      <c r="O269" s="17"/>
      <c r="P269" s="17"/>
      <c r="Q269" s="18" t="str">
        <f aca="false">IF(B269="","",COUNTIFS(開通管理!$B$5:$B$604,B269,開通管理!$O$5:$O$604,"&lt;&gt;キャンセル"))</f>
        <v/>
      </c>
      <c r="R269" s="18" t="str">
        <f aca="false">IF(B269="","",COUNTIFS(開通管理!$B$5:$B$604,B269,開通管理!$O$5:$O$604,"開通済"))</f>
        <v/>
      </c>
      <c r="S269" s="19" t="str">
        <f aca="false">IF(B269="","",IF(Q269=0,"未申込",IF(R269&lt;Q269,"開通待ち（"&amp;R269&amp;"/"&amp;Q269&amp;"）","全開通")))</f>
        <v/>
      </c>
      <c r="T269" s="20" t="str">
        <f aca="false">IF(S269&lt;&gt;"全開通","",_xlfn.MAXIFS(開通管理!$Q$5:$Q$604,開通管理!$B$5:$B$604,B269))</f>
        <v/>
      </c>
      <c r="U269" s="21" t="str">
        <f aca="false">IF(B269="","",SUMIFS(開通管理!$J$5:$J$604,開通管理!$B$5:$B$604,B269,開通管理!$O$5:$O$604,"&lt;&gt;キャンセル"))</f>
        <v/>
      </c>
      <c r="V269" s="22"/>
      <c r="W269" s="12" t="str">
        <f aca="false">IF(OR(B269="",設定!$B$14=""),"",SUBSTITUTE(設定!$B$14,"__ID__",B269))</f>
        <v/>
      </c>
      <c r="X269" s="22"/>
      <c r="Y269" s="22"/>
      <c r="Z269" s="22"/>
      <c r="AA269" s="20" t="str">
        <f aca="false">IF(Z269="","",WORKDAY(Z269,設定!$B$5,設定!$F$5:$F$120))</f>
        <v/>
      </c>
      <c r="AB269" s="17"/>
      <c r="AC269" s="17"/>
      <c r="AD269" s="17"/>
      <c r="AE269" s="17"/>
      <c r="AF269" s="22"/>
      <c r="AG269" s="17"/>
      <c r="AH269" s="20" t="str">
        <f aca="false">IF(T269="","",EDATE(T269,設定!$B$8))</f>
        <v/>
      </c>
      <c r="AI269" s="17"/>
      <c r="AJ269" s="17"/>
      <c r="AK269" s="22"/>
      <c r="AL269" s="23" t="str">
        <f aca="true">IF(C269="","",IF(N269="失注","―",IF(AND(AK269&lt;&gt;"",AK269&lt;TODAY()),"対応期限超過",IF(AND(AF269="",AA269&lt;&gt;"",IF(AA269="",FALSE(),AA269&lt;TODAY())),"納品遅延",IF(AND(AK269&lt;&gt;"",AK269=TODAY()),"本日対応",IF(AND(S269="全開通",X269="",AF269=""),"ヒアリング依頼待ち",IF(AND(X269&lt;&gt;"",Y269="",Z269="",TODAY()-X269&gt;=設定!$B$6),"ヒアリング未回収",IF(AND(Y269&lt;&gt;"",Z269=""),"素材確認待ち",IF(AND(AF269="",AA269&lt;&gt;"",IF(AA269="",FALSE(),AA269-TODAY()&lt;=設定!$B$7)),"納品間近",IF(AND(AH269&lt;&gt;"",IF(AH269="",FALSE(),AH269&lt;=TODAY()),AI269=""),"解約チェック",IF(AF269&lt;&gt;"","納品済","")))))))))))</f>
        <v/>
      </c>
      <c r="AM269" s="17"/>
    </row>
    <row r="270" customFormat="false" ht="15" hidden="false" customHeight="false" outlineLevel="0" collapsed="false">
      <c r="A270" s="12" t="str">
        <f aca="false">IF(C270="","",ROW()-4)</f>
        <v/>
      </c>
      <c r="B270" s="17"/>
      <c r="C270" s="17"/>
      <c r="D270" s="17"/>
      <c r="E270" s="17"/>
      <c r="F270" s="24"/>
      <c r="G270" s="17"/>
      <c r="H270" s="17"/>
      <c r="I270" s="17"/>
      <c r="J270" s="17"/>
      <c r="K270" s="17"/>
      <c r="L270" s="22"/>
      <c r="M270" s="22"/>
      <c r="N270" s="17"/>
      <c r="O270" s="17"/>
      <c r="P270" s="17"/>
      <c r="Q270" s="18" t="str">
        <f aca="false">IF(B270="","",COUNTIFS(開通管理!$B$5:$B$604,B270,開通管理!$O$5:$O$604,"&lt;&gt;キャンセル"))</f>
        <v/>
      </c>
      <c r="R270" s="18" t="str">
        <f aca="false">IF(B270="","",COUNTIFS(開通管理!$B$5:$B$604,B270,開通管理!$O$5:$O$604,"開通済"))</f>
        <v/>
      </c>
      <c r="S270" s="19" t="str">
        <f aca="false">IF(B270="","",IF(Q270=0,"未申込",IF(R270&lt;Q270,"開通待ち（"&amp;R270&amp;"/"&amp;Q270&amp;"）","全開通")))</f>
        <v/>
      </c>
      <c r="T270" s="20" t="str">
        <f aca="false">IF(S270&lt;&gt;"全開通","",_xlfn.MAXIFS(開通管理!$Q$5:$Q$604,開通管理!$B$5:$B$604,B270))</f>
        <v/>
      </c>
      <c r="U270" s="21" t="str">
        <f aca="false">IF(B270="","",SUMIFS(開通管理!$J$5:$J$604,開通管理!$B$5:$B$604,B270,開通管理!$O$5:$O$604,"&lt;&gt;キャンセル"))</f>
        <v/>
      </c>
      <c r="V270" s="22"/>
      <c r="W270" s="12" t="str">
        <f aca="false">IF(OR(B270="",設定!$B$14=""),"",SUBSTITUTE(設定!$B$14,"__ID__",B270))</f>
        <v/>
      </c>
      <c r="X270" s="22"/>
      <c r="Y270" s="22"/>
      <c r="Z270" s="22"/>
      <c r="AA270" s="20" t="str">
        <f aca="false">IF(Z270="","",WORKDAY(Z270,設定!$B$5,設定!$F$5:$F$120))</f>
        <v/>
      </c>
      <c r="AB270" s="17"/>
      <c r="AC270" s="17"/>
      <c r="AD270" s="17"/>
      <c r="AE270" s="17"/>
      <c r="AF270" s="22"/>
      <c r="AG270" s="17"/>
      <c r="AH270" s="20" t="str">
        <f aca="false">IF(T270="","",EDATE(T270,設定!$B$8))</f>
        <v/>
      </c>
      <c r="AI270" s="17"/>
      <c r="AJ270" s="17"/>
      <c r="AK270" s="22"/>
      <c r="AL270" s="23" t="str">
        <f aca="true">IF(C270="","",IF(N270="失注","―",IF(AND(AK270&lt;&gt;"",AK270&lt;TODAY()),"対応期限超過",IF(AND(AF270="",AA270&lt;&gt;"",IF(AA270="",FALSE(),AA270&lt;TODAY())),"納品遅延",IF(AND(AK270&lt;&gt;"",AK270=TODAY()),"本日対応",IF(AND(S270="全開通",X270="",AF270=""),"ヒアリング依頼待ち",IF(AND(X270&lt;&gt;"",Y270="",Z270="",TODAY()-X270&gt;=設定!$B$6),"ヒアリング未回収",IF(AND(Y270&lt;&gt;"",Z270=""),"素材確認待ち",IF(AND(AF270="",AA270&lt;&gt;"",IF(AA270="",FALSE(),AA270-TODAY()&lt;=設定!$B$7)),"納品間近",IF(AND(AH270&lt;&gt;"",IF(AH270="",FALSE(),AH270&lt;=TODAY()),AI270=""),"解約チェック",IF(AF270&lt;&gt;"","納品済","")))))))))))</f>
        <v/>
      </c>
      <c r="AM270" s="17"/>
    </row>
    <row r="271" customFormat="false" ht="15" hidden="false" customHeight="false" outlineLevel="0" collapsed="false">
      <c r="A271" s="12" t="str">
        <f aca="false">IF(C271="","",ROW()-4)</f>
        <v/>
      </c>
      <c r="B271" s="17"/>
      <c r="C271" s="17"/>
      <c r="D271" s="17"/>
      <c r="E271" s="17"/>
      <c r="F271" s="24"/>
      <c r="G271" s="17"/>
      <c r="H271" s="17"/>
      <c r="I271" s="17"/>
      <c r="J271" s="17"/>
      <c r="K271" s="17"/>
      <c r="L271" s="22"/>
      <c r="M271" s="22"/>
      <c r="N271" s="17"/>
      <c r="O271" s="17"/>
      <c r="P271" s="17"/>
      <c r="Q271" s="18" t="str">
        <f aca="false">IF(B271="","",COUNTIFS(開通管理!$B$5:$B$604,B271,開通管理!$O$5:$O$604,"&lt;&gt;キャンセル"))</f>
        <v/>
      </c>
      <c r="R271" s="18" t="str">
        <f aca="false">IF(B271="","",COUNTIFS(開通管理!$B$5:$B$604,B271,開通管理!$O$5:$O$604,"開通済"))</f>
        <v/>
      </c>
      <c r="S271" s="19" t="str">
        <f aca="false">IF(B271="","",IF(Q271=0,"未申込",IF(R271&lt;Q271,"開通待ち（"&amp;R271&amp;"/"&amp;Q271&amp;"）","全開通")))</f>
        <v/>
      </c>
      <c r="T271" s="20" t="str">
        <f aca="false">IF(S271&lt;&gt;"全開通","",_xlfn.MAXIFS(開通管理!$Q$5:$Q$604,開通管理!$B$5:$B$604,B271))</f>
        <v/>
      </c>
      <c r="U271" s="21" t="str">
        <f aca="false">IF(B271="","",SUMIFS(開通管理!$J$5:$J$604,開通管理!$B$5:$B$604,B271,開通管理!$O$5:$O$604,"&lt;&gt;キャンセル"))</f>
        <v/>
      </c>
      <c r="V271" s="22"/>
      <c r="W271" s="12" t="str">
        <f aca="false">IF(OR(B271="",設定!$B$14=""),"",SUBSTITUTE(設定!$B$14,"__ID__",B271))</f>
        <v/>
      </c>
      <c r="X271" s="22"/>
      <c r="Y271" s="22"/>
      <c r="Z271" s="22"/>
      <c r="AA271" s="20" t="str">
        <f aca="false">IF(Z271="","",WORKDAY(Z271,設定!$B$5,設定!$F$5:$F$120))</f>
        <v/>
      </c>
      <c r="AB271" s="17"/>
      <c r="AC271" s="17"/>
      <c r="AD271" s="17"/>
      <c r="AE271" s="17"/>
      <c r="AF271" s="22"/>
      <c r="AG271" s="17"/>
      <c r="AH271" s="20" t="str">
        <f aca="false">IF(T271="","",EDATE(T271,設定!$B$8))</f>
        <v/>
      </c>
      <c r="AI271" s="17"/>
      <c r="AJ271" s="17"/>
      <c r="AK271" s="22"/>
      <c r="AL271" s="23" t="str">
        <f aca="true">IF(C271="","",IF(N271="失注","―",IF(AND(AK271&lt;&gt;"",AK271&lt;TODAY()),"対応期限超過",IF(AND(AF271="",AA271&lt;&gt;"",IF(AA271="",FALSE(),AA271&lt;TODAY())),"納品遅延",IF(AND(AK271&lt;&gt;"",AK271=TODAY()),"本日対応",IF(AND(S271="全開通",X271="",AF271=""),"ヒアリング依頼待ち",IF(AND(X271&lt;&gt;"",Y271="",Z271="",TODAY()-X271&gt;=設定!$B$6),"ヒアリング未回収",IF(AND(Y271&lt;&gt;"",Z271=""),"素材確認待ち",IF(AND(AF271="",AA271&lt;&gt;"",IF(AA271="",FALSE(),AA271-TODAY()&lt;=設定!$B$7)),"納品間近",IF(AND(AH271&lt;&gt;"",IF(AH271="",FALSE(),AH271&lt;=TODAY()),AI271=""),"解約チェック",IF(AF271&lt;&gt;"","納品済","")))))))))))</f>
        <v/>
      </c>
      <c r="AM271" s="17"/>
    </row>
    <row r="272" customFormat="false" ht="15" hidden="false" customHeight="false" outlineLevel="0" collapsed="false">
      <c r="A272" s="12" t="str">
        <f aca="false">IF(C272="","",ROW()-4)</f>
        <v/>
      </c>
      <c r="B272" s="17"/>
      <c r="C272" s="17"/>
      <c r="D272" s="17"/>
      <c r="E272" s="17"/>
      <c r="F272" s="24"/>
      <c r="G272" s="17"/>
      <c r="H272" s="17"/>
      <c r="I272" s="17"/>
      <c r="J272" s="17"/>
      <c r="K272" s="17"/>
      <c r="L272" s="22"/>
      <c r="M272" s="22"/>
      <c r="N272" s="17"/>
      <c r="O272" s="17"/>
      <c r="P272" s="17"/>
      <c r="Q272" s="18" t="str">
        <f aca="false">IF(B272="","",COUNTIFS(開通管理!$B$5:$B$604,B272,開通管理!$O$5:$O$604,"&lt;&gt;キャンセル"))</f>
        <v/>
      </c>
      <c r="R272" s="18" t="str">
        <f aca="false">IF(B272="","",COUNTIFS(開通管理!$B$5:$B$604,B272,開通管理!$O$5:$O$604,"開通済"))</f>
        <v/>
      </c>
      <c r="S272" s="19" t="str">
        <f aca="false">IF(B272="","",IF(Q272=0,"未申込",IF(R272&lt;Q272,"開通待ち（"&amp;R272&amp;"/"&amp;Q272&amp;"）","全開通")))</f>
        <v/>
      </c>
      <c r="T272" s="20" t="str">
        <f aca="false">IF(S272&lt;&gt;"全開通","",_xlfn.MAXIFS(開通管理!$Q$5:$Q$604,開通管理!$B$5:$B$604,B272))</f>
        <v/>
      </c>
      <c r="U272" s="21" t="str">
        <f aca="false">IF(B272="","",SUMIFS(開通管理!$J$5:$J$604,開通管理!$B$5:$B$604,B272,開通管理!$O$5:$O$604,"&lt;&gt;キャンセル"))</f>
        <v/>
      </c>
      <c r="V272" s="22"/>
      <c r="W272" s="12" t="str">
        <f aca="false">IF(OR(B272="",設定!$B$14=""),"",SUBSTITUTE(設定!$B$14,"__ID__",B272))</f>
        <v/>
      </c>
      <c r="X272" s="22"/>
      <c r="Y272" s="22"/>
      <c r="Z272" s="22"/>
      <c r="AA272" s="20" t="str">
        <f aca="false">IF(Z272="","",WORKDAY(Z272,設定!$B$5,設定!$F$5:$F$120))</f>
        <v/>
      </c>
      <c r="AB272" s="17"/>
      <c r="AC272" s="17"/>
      <c r="AD272" s="17"/>
      <c r="AE272" s="17"/>
      <c r="AF272" s="22"/>
      <c r="AG272" s="17"/>
      <c r="AH272" s="20" t="str">
        <f aca="false">IF(T272="","",EDATE(T272,設定!$B$8))</f>
        <v/>
      </c>
      <c r="AI272" s="17"/>
      <c r="AJ272" s="17"/>
      <c r="AK272" s="22"/>
      <c r="AL272" s="23" t="str">
        <f aca="true">IF(C272="","",IF(N272="失注","―",IF(AND(AK272&lt;&gt;"",AK272&lt;TODAY()),"対応期限超過",IF(AND(AF272="",AA272&lt;&gt;"",IF(AA272="",FALSE(),AA272&lt;TODAY())),"納品遅延",IF(AND(AK272&lt;&gt;"",AK272=TODAY()),"本日対応",IF(AND(S272="全開通",X272="",AF272=""),"ヒアリング依頼待ち",IF(AND(X272&lt;&gt;"",Y272="",Z272="",TODAY()-X272&gt;=設定!$B$6),"ヒアリング未回収",IF(AND(Y272&lt;&gt;"",Z272=""),"素材確認待ち",IF(AND(AF272="",AA272&lt;&gt;"",IF(AA272="",FALSE(),AA272-TODAY()&lt;=設定!$B$7)),"納品間近",IF(AND(AH272&lt;&gt;"",IF(AH272="",FALSE(),AH272&lt;=TODAY()),AI272=""),"解約チェック",IF(AF272&lt;&gt;"","納品済","")))))))))))</f>
        <v/>
      </c>
      <c r="AM272" s="17"/>
    </row>
    <row r="273" customFormat="false" ht="15" hidden="false" customHeight="false" outlineLevel="0" collapsed="false">
      <c r="A273" s="12" t="str">
        <f aca="false">IF(C273="","",ROW()-4)</f>
        <v/>
      </c>
      <c r="B273" s="17"/>
      <c r="C273" s="17"/>
      <c r="D273" s="17"/>
      <c r="E273" s="17"/>
      <c r="F273" s="24"/>
      <c r="G273" s="17"/>
      <c r="H273" s="17"/>
      <c r="I273" s="17"/>
      <c r="J273" s="17"/>
      <c r="K273" s="17"/>
      <c r="L273" s="22"/>
      <c r="M273" s="22"/>
      <c r="N273" s="17"/>
      <c r="O273" s="17"/>
      <c r="P273" s="17"/>
      <c r="Q273" s="18" t="str">
        <f aca="false">IF(B273="","",COUNTIFS(開通管理!$B$5:$B$604,B273,開通管理!$O$5:$O$604,"&lt;&gt;キャンセル"))</f>
        <v/>
      </c>
      <c r="R273" s="18" t="str">
        <f aca="false">IF(B273="","",COUNTIFS(開通管理!$B$5:$B$604,B273,開通管理!$O$5:$O$604,"開通済"))</f>
        <v/>
      </c>
      <c r="S273" s="19" t="str">
        <f aca="false">IF(B273="","",IF(Q273=0,"未申込",IF(R273&lt;Q273,"開通待ち（"&amp;R273&amp;"/"&amp;Q273&amp;"）","全開通")))</f>
        <v/>
      </c>
      <c r="T273" s="20" t="str">
        <f aca="false">IF(S273&lt;&gt;"全開通","",_xlfn.MAXIFS(開通管理!$Q$5:$Q$604,開通管理!$B$5:$B$604,B273))</f>
        <v/>
      </c>
      <c r="U273" s="21" t="str">
        <f aca="false">IF(B273="","",SUMIFS(開通管理!$J$5:$J$604,開通管理!$B$5:$B$604,B273,開通管理!$O$5:$O$604,"&lt;&gt;キャンセル"))</f>
        <v/>
      </c>
      <c r="V273" s="22"/>
      <c r="W273" s="12" t="str">
        <f aca="false">IF(OR(B273="",設定!$B$14=""),"",SUBSTITUTE(設定!$B$14,"__ID__",B273))</f>
        <v/>
      </c>
      <c r="X273" s="22"/>
      <c r="Y273" s="22"/>
      <c r="Z273" s="22"/>
      <c r="AA273" s="20" t="str">
        <f aca="false">IF(Z273="","",WORKDAY(Z273,設定!$B$5,設定!$F$5:$F$120))</f>
        <v/>
      </c>
      <c r="AB273" s="17"/>
      <c r="AC273" s="17"/>
      <c r="AD273" s="17"/>
      <c r="AE273" s="17"/>
      <c r="AF273" s="22"/>
      <c r="AG273" s="17"/>
      <c r="AH273" s="20" t="str">
        <f aca="false">IF(T273="","",EDATE(T273,設定!$B$8))</f>
        <v/>
      </c>
      <c r="AI273" s="17"/>
      <c r="AJ273" s="17"/>
      <c r="AK273" s="22"/>
      <c r="AL273" s="23" t="str">
        <f aca="true">IF(C273="","",IF(N273="失注","―",IF(AND(AK273&lt;&gt;"",AK273&lt;TODAY()),"対応期限超過",IF(AND(AF273="",AA273&lt;&gt;"",IF(AA273="",FALSE(),AA273&lt;TODAY())),"納品遅延",IF(AND(AK273&lt;&gt;"",AK273=TODAY()),"本日対応",IF(AND(S273="全開通",X273="",AF273=""),"ヒアリング依頼待ち",IF(AND(X273&lt;&gt;"",Y273="",Z273="",TODAY()-X273&gt;=設定!$B$6),"ヒアリング未回収",IF(AND(Y273&lt;&gt;"",Z273=""),"素材確認待ち",IF(AND(AF273="",AA273&lt;&gt;"",IF(AA273="",FALSE(),AA273-TODAY()&lt;=設定!$B$7)),"納品間近",IF(AND(AH273&lt;&gt;"",IF(AH273="",FALSE(),AH273&lt;=TODAY()),AI273=""),"解約チェック",IF(AF273&lt;&gt;"","納品済","")))))))))))</f>
        <v/>
      </c>
      <c r="AM273" s="17"/>
    </row>
    <row r="274" customFormat="false" ht="15" hidden="false" customHeight="false" outlineLevel="0" collapsed="false">
      <c r="A274" s="12" t="str">
        <f aca="false">IF(C274="","",ROW()-4)</f>
        <v/>
      </c>
      <c r="B274" s="17"/>
      <c r="C274" s="17"/>
      <c r="D274" s="17"/>
      <c r="E274" s="17"/>
      <c r="F274" s="24"/>
      <c r="G274" s="17"/>
      <c r="H274" s="17"/>
      <c r="I274" s="17"/>
      <c r="J274" s="17"/>
      <c r="K274" s="17"/>
      <c r="L274" s="22"/>
      <c r="M274" s="22"/>
      <c r="N274" s="17"/>
      <c r="O274" s="17"/>
      <c r="P274" s="17"/>
      <c r="Q274" s="18" t="str">
        <f aca="false">IF(B274="","",COUNTIFS(開通管理!$B$5:$B$604,B274,開通管理!$O$5:$O$604,"&lt;&gt;キャンセル"))</f>
        <v/>
      </c>
      <c r="R274" s="18" t="str">
        <f aca="false">IF(B274="","",COUNTIFS(開通管理!$B$5:$B$604,B274,開通管理!$O$5:$O$604,"開通済"))</f>
        <v/>
      </c>
      <c r="S274" s="19" t="str">
        <f aca="false">IF(B274="","",IF(Q274=0,"未申込",IF(R274&lt;Q274,"開通待ち（"&amp;R274&amp;"/"&amp;Q274&amp;"）","全開通")))</f>
        <v/>
      </c>
      <c r="T274" s="20" t="str">
        <f aca="false">IF(S274&lt;&gt;"全開通","",_xlfn.MAXIFS(開通管理!$Q$5:$Q$604,開通管理!$B$5:$B$604,B274))</f>
        <v/>
      </c>
      <c r="U274" s="21" t="str">
        <f aca="false">IF(B274="","",SUMIFS(開通管理!$J$5:$J$604,開通管理!$B$5:$B$604,B274,開通管理!$O$5:$O$604,"&lt;&gt;キャンセル"))</f>
        <v/>
      </c>
      <c r="V274" s="22"/>
      <c r="W274" s="12" t="str">
        <f aca="false">IF(OR(B274="",設定!$B$14=""),"",SUBSTITUTE(設定!$B$14,"__ID__",B274))</f>
        <v/>
      </c>
      <c r="X274" s="22"/>
      <c r="Y274" s="22"/>
      <c r="Z274" s="22"/>
      <c r="AA274" s="20" t="str">
        <f aca="false">IF(Z274="","",WORKDAY(Z274,設定!$B$5,設定!$F$5:$F$120))</f>
        <v/>
      </c>
      <c r="AB274" s="17"/>
      <c r="AC274" s="17"/>
      <c r="AD274" s="17"/>
      <c r="AE274" s="17"/>
      <c r="AF274" s="22"/>
      <c r="AG274" s="17"/>
      <c r="AH274" s="20" t="str">
        <f aca="false">IF(T274="","",EDATE(T274,設定!$B$8))</f>
        <v/>
      </c>
      <c r="AI274" s="17"/>
      <c r="AJ274" s="17"/>
      <c r="AK274" s="22"/>
      <c r="AL274" s="23" t="str">
        <f aca="true">IF(C274="","",IF(N274="失注","―",IF(AND(AK274&lt;&gt;"",AK274&lt;TODAY()),"対応期限超過",IF(AND(AF274="",AA274&lt;&gt;"",IF(AA274="",FALSE(),AA274&lt;TODAY())),"納品遅延",IF(AND(AK274&lt;&gt;"",AK274=TODAY()),"本日対応",IF(AND(S274="全開通",X274="",AF274=""),"ヒアリング依頼待ち",IF(AND(X274&lt;&gt;"",Y274="",Z274="",TODAY()-X274&gt;=設定!$B$6),"ヒアリング未回収",IF(AND(Y274&lt;&gt;"",Z274=""),"素材確認待ち",IF(AND(AF274="",AA274&lt;&gt;"",IF(AA274="",FALSE(),AA274-TODAY()&lt;=設定!$B$7)),"納品間近",IF(AND(AH274&lt;&gt;"",IF(AH274="",FALSE(),AH274&lt;=TODAY()),AI274=""),"解約チェック",IF(AF274&lt;&gt;"","納品済","")))))))))))</f>
        <v/>
      </c>
      <c r="AM274" s="17"/>
    </row>
    <row r="275" customFormat="false" ht="15" hidden="false" customHeight="false" outlineLevel="0" collapsed="false">
      <c r="A275" s="12" t="str">
        <f aca="false">IF(C275="","",ROW()-4)</f>
        <v/>
      </c>
      <c r="B275" s="17"/>
      <c r="C275" s="17"/>
      <c r="D275" s="17"/>
      <c r="E275" s="17"/>
      <c r="F275" s="24"/>
      <c r="G275" s="17"/>
      <c r="H275" s="17"/>
      <c r="I275" s="17"/>
      <c r="J275" s="17"/>
      <c r="K275" s="17"/>
      <c r="L275" s="22"/>
      <c r="M275" s="22"/>
      <c r="N275" s="17"/>
      <c r="O275" s="17"/>
      <c r="P275" s="17"/>
      <c r="Q275" s="18" t="str">
        <f aca="false">IF(B275="","",COUNTIFS(開通管理!$B$5:$B$604,B275,開通管理!$O$5:$O$604,"&lt;&gt;キャンセル"))</f>
        <v/>
      </c>
      <c r="R275" s="18" t="str">
        <f aca="false">IF(B275="","",COUNTIFS(開通管理!$B$5:$B$604,B275,開通管理!$O$5:$O$604,"開通済"))</f>
        <v/>
      </c>
      <c r="S275" s="19" t="str">
        <f aca="false">IF(B275="","",IF(Q275=0,"未申込",IF(R275&lt;Q275,"開通待ち（"&amp;R275&amp;"/"&amp;Q275&amp;"）","全開通")))</f>
        <v/>
      </c>
      <c r="T275" s="20" t="str">
        <f aca="false">IF(S275&lt;&gt;"全開通","",_xlfn.MAXIFS(開通管理!$Q$5:$Q$604,開通管理!$B$5:$B$604,B275))</f>
        <v/>
      </c>
      <c r="U275" s="21" t="str">
        <f aca="false">IF(B275="","",SUMIFS(開通管理!$J$5:$J$604,開通管理!$B$5:$B$604,B275,開通管理!$O$5:$O$604,"&lt;&gt;キャンセル"))</f>
        <v/>
      </c>
      <c r="V275" s="22"/>
      <c r="W275" s="12" t="str">
        <f aca="false">IF(OR(B275="",設定!$B$14=""),"",SUBSTITUTE(設定!$B$14,"__ID__",B275))</f>
        <v/>
      </c>
      <c r="X275" s="22"/>
      <c r="Y275" s="22"/>
      <c r="Z275" s="22"/>
      <c r="AA275" s="20" t="str">
        <f aca="false">IF(Z275="","",WORKDAY(Z275,設定!$B$5,設定!$F$5:$F$120))</f>
        <v/>
      </c>
      <c r="AB275" s="17"/>
      <c r="AC275" s="17"/>
      <c r="AD275" s="17"/>
      <c r="AE275" s="17"/>
      <c r="AF275" s="22"/>
      <c r="AG275" s="17"/>
      <c r="AH275" s="20" t="str">
        <f aca="false">IF(T275="","",EDATE(T275,設定!$B$8))</f>
        <v/>
      </c>
      <c r="AI275" s="17"/>
      <c r="AJ275" s="17"/>
      <c r="AK275" s="22"/>
      <c r="AL275" s="23" t="str">
        <f aca="true">IF(C275="","",IF(N275="失注","―",IF(AND(AK275&lt;&gt;"",AK275&lt;TODAY()),"対応期限超過",IF(AND(AF275="",AA275&lt;&gt;"",IF(AA275="",FALSE(),AA275&lt;TODAY())),"納品遅延",IF(AND(AK275&lt;&gt;"",AK275=TODAY()),"本日対応",IF(AND(S275="全開通",X275="",AF275=""),"ヒアリング依頼待ち",IF(AND(X275&lt;&gt;"",Y275="",Z275="",TODAY()-X275&gt;=設定!$B$6),"ヒアリング未回収",IF(AND(Y275&lt;&gt;"",Z275=""),"素材確認待ち",IF(AND(AF275="",AA275&lt;&gt;"",IF(AA275="",FALSE(),AA275-TODAY()&lt;=設定!$B$7)),"納品間近",IF(AND(AH275&lt;&gt;"",IF(AH275="",FALSE(),AH275&lt;=TODAY()),AI275=""),"解約チェック",IF(AF275&lt;&gt;"","納品済","")))))))))))</f>
        <v/>
      </c>
      <c r="AM275" s="17"/>
    </row>
    <row r="276" customFormat="false" ht="15" hidden="false" customHeight="false" outlineLevel="0" collapsed="false">
      <c r="A276" s="12" t="str">
        <f aca="false">IF(C276="","",ROW()-4)</f>
        <v/>
      </c>
      <c r="B276" s="17"/>
      <c r="C276" s="17"/>
      <c r="D276" s="17"/>
      <c r="E276" s="17"/>
      <c r="F276" s="24"/>
      <c r="G276" s="17"/>
      <c r="H276" s="17"/>
      <c r="I276" s="17"/>
      <c r="J276" s="17"/>
      <c r="K276" s="17"/>
      <c r="L276" s="22"/>
      <c r="M276" s="22"/>
      <c r="N276" s="17"/>
      <c r="O276" s="17"/>
      <c r="P276" s="17"/>
      <c r="Q276" s="18" t="str">
        <f aca="false">IF(B276="","",COUNTIFS(開通管理!$B$5:$B$604,B276,開通管理!$O$5:$O$604,"&lt;&gt;キャンセル"))</f>
        <v/>
      </c>
      <c r="R276" s="18" t="str">
        <f aca="false">IF(B276="","",COUNTIFS(開通管理!$B$5:$B$604,B276,開通管理!$O$5:$O$604,"開通済"))</f>
        <v/>
      </c>
      <c r="S276" s="19" t="str">
        <f aca="false">IF(B276="","",IF(Q276=0,"未申込",IF(R276&lt;Q276,"開通待ち（"&amp;R276&amp;"/"&amp;Q276&amp;"）","全開通")))</f>
        <v/>
      </c>
      <c r="T276" s="20" t="str">
        <f aca="false">IF(S276&lt;&gt;"全開通","",_xlfn.MAXIFS(開通管理!$Q$5:$Q$604,開通管理!$B$5:$B$604,B276))</f>
        <v/>
      </c>
      <c r="U276" s="21" t="str">
        <f aca="false">IF(B276="","",SUMIFS(開通管理!$J$5:$J$604,開通管理!$B$5:$B$604,B276,開通管理!$O$5:$O$604,"&lt;&gt;キャンセル"))</f>
        <v/>
      </c>
      <c r="V276" s="22"/>
      <c r="W276" s="12" t="str">
        <f aca="false">IF(OR(B276="",設定!$B$14=""),"",SUBSTITUTE(設定!$B$14,"__ID__",B276))</f>
        <v/>
      </c>
      <c r="X276" s="22"/>
      <c r="Y276" s="22"/>
      <c r="Z276" s="22"/>
      <c r="AA276" s="20" t="str">
        <f aca="false">IF(Z276="","",WORKDAY(Z276,設定!$B$5,設定!$F$5:$F$120))</f>
        <v/>
      </c>
      <c r="AB276" s="17"/>
      <c r="AC276" s="17"/>
      <c r="AD276" s="17"/>
      <c r="AE276" s="17"/>
      <c r="AF276" s="22"/>
      <c r="AG276" s="17"/>
      <c r="AH276" s="20" t="str">
        <f aca="false">IF(T276="","",EDATE(T276,設定!$B$8))</f>
        <v/>
      </c>
      <c r="AI276" s="17"/>
      <c r="AJ276" s="17"/>
      <c r="AK276" s="22"/>
      <c r="AL276" s="23" t="str">
        <f aca="true">IF(C276="","",IF(N276="失注","―",IF(AND(AK276&lt;&gt;"",AK276&lt;TODAY()),"対応期限超過",IF(AND(AF276="",AA276&lt;&gt;"",IF(AA276="",FALSE(),AA276&lt;TODAY())),"納品遅延",IF(AND(AK276&lt;&gt;"",AK276=TODAY()),"本日対応",IF(AND(S276="全開通",X276="",AF276=""),"ヒアリング依頼待ち",IF(AND(X276&lt;&gt;"",Y276="",Z276="",TODAY()-X276&gt;=設定!$B$6),"ヒアリング未回収",IF(AND(Y276&lt;&gt;"",Z276=""),"素材確認待ち",IF(AND(AF276="",AA276&lt;&gt;"",IF(AA276="",FALSE(),AA276-TODAY()&lt;=設定!$B$7)),"納品間近",IF(AND(AH276&lt;&gt;"",IF(AH276="",FALSE(),AH276&lt;=TODAY()),AI276=""),"解約チェック",IF(AF276&lt;&gt;"","納品済","")))))))))))</f>
        <v/>
      </c>
      <c r="AM276" s="17"/>
    </row>
    <row r="277" customFormat="false" ht="15" hidden="false" customHeight="false" outlineLevel="0" collapsed="false">
      <c r="A277" s="12" t="str">
        <f aca="false">IF(C277="","",ROW()-4)</f>
        <v/>
      </c>
      <c r="B277" s="17"/>
      <c r="C277" s="17"/>
      <c r="D277" s="17"/>
      <c r="E277" s="17"/>
      <c r="F277" s="24"/>
      <c r="G277" s="17"/>
      <c r="H277" s="17"/>
      <c r="I277" s="17"/>
      <c r="J277" s="17"/>
      <c r="K277" s="17"/>
      <c r="L277" s="22"/>
      <c r="M277" s="22"/>
      <c r="N277" s="17"/>
      <c r="O277" s="17"/>
      <c r="P277" s="17"/>
      <c r="Q277" s="18" t="str">
        <f aca="false">IF(B277="","",COUNTIFS(開通管理!$B$5:$B$604,B277,開通管理!$O$5:$O$604,"&lt;&gt;キャンセル"))</f>
        <v/>
      </c>
      <c r="R277" s="18" t="str">
        <f aca="false">IF(B277="","",COUNTIFS(開通管理!$B$5:$B$604,B277,開通管理!$O$5:$O$604,"開通済"))</f>
        <v/>
      </c>
      <c r="S277" s="19" t="str">
        <f aca="false">IF(B277="","",IF(Q277=0,"未申込",IF(R277&lt;Q277,"開通待ち（"&amp;R277&amp;"/"&amp;Q277&amp;"）","全開通")))</f>
        <v/>
      </c>
      <c r="T277" s="20" t="str">
        <f aca="false">IF(S277&lt;&gt;"全開通","",_xlfn.MAXIFS(開通管理!$Q$5:$Q$604,開通管理!$B$5:$B$604,B277))</f>
        <v/>
      </c>
      <c r="U277" s="21" t="str">
        <f aca="false">IF(B277="","",SUMIFS(開通管理!$J$5:$J$604,開通管理!$B$5:$B$604,B277,開通管理!$O$5:$O$604,"&lt;&gt;キャンセル"))</f>
        <v/>
      </c>
      <c r="V277" s="22"/>
      <c r="W277" s="12" t="str">
        <f aca="false">IF(OR(B277="",設定!$B$14=""),"",SUBSTITUTE(設定!$B$14,"__ID__",B277))</f>
        <v/>
      </c>
      <c r="X277" s="22"/>
      <c r="Y277" s="22"/>
      <c r="Z277" s="22"/>
      <c r="AA277" s="20" t="str">
        <f aca="false">IF(Z277="","",WORKDAY(Z277,設定!$B$5,設定!$F$5:$F$120))</f>
        <v/>
      </c>
      <c r="AB277" s="17"/>
      <c r="AC277" s="17"/>
      <c r="AD277" s="17"/>
      <c r="AE277" s="17"/>
      <c r="AF277" s="22"/>
      <c r="AG277" s="17"/>
      <c r="AH277" s="20" t="str">
        <f aca="false">IF(T277="","",EDATE(T277,設定!$B$8))</f>
        <v/>
      </c>
      <c r="AI277" s="17"/>
      <c r="AJ277" s="17"/>
      <c r="AK277" s="22"/>
      <c r="AL277" s="23" t="str">
        <f aca="true">IF(C277="","",IF(N277="失注","―",IF(AND(AK277&lt;&gt;"",AK277&lt;TODAY()),"対応期限超過",IF(AND(AF277="",AA277&lt;&gt;"",IF(AA277="",FALSE(),AA277&lt;TODAY())),"納品遅延",IF(AND(AK277&lt;&gt;"",AK277=TODAY()),"本日対応",IF(AND(S277="全開通",X277="",AF277=""),"ヒアリング依頼待ち",IF(AND(X277&lt;&gt;"",Y277="",Z277="",TODAY()-X277&gt;=設定!$B$6),"ヒアリング未回収",IF(AND(Y277&lt;&gt;"",Z277=""),"素材確認待ち",IF(AND(AF277="",AA277&lt;&gt;"",IF(AA277="",FALSE(),AA277-TODAY()&lt;=設定!$B$7)),"納品間近",IF(AND(AH277&lt;&gt;"",IF(AH277="",FALSE(),AH277&lt;=TODAY()),AI277=""),"解約チェック",IF(AF277&lt;&gt;"","納品済","")))))))))))</f>
        <v/>
      </c>
      <c r="AM277" s="17"/>
    </row>
    <row r="278" customFormat="false" ht="15" hidden="false" customHeight="false" outlineLevel="0" collapsed="false">
      <c r="A278" s="12" t="str">
        <f aca="false">IF(C278="","",ROW()-4)</f>
        <v/>
      </c>
      <c r="B278" s="17"/>
      <c r="C278" s="17"/>
      <c r="D278" s="17"/>
      <c r="E278" s="17"/>
      <c r="F278" s="24"/>
      <c r="G278" s="17"/>
      <c r="H278" s="17"/>
      <c r="I278" s="17"/>
      <c r="J278" s="17"/>
      <c r="K278" s="17"/>
      <c r="L278" s="22"/>
      <c r="M278" s="22"/>
      <c r="N278" s="17"/>
      <c r="O278" s="17"/>
      <c r="P278" s="17"/>
      <c r="Q278" s="18" t="str">
        <f aca="false">IF(B278="","",COUNTIFS(開通管理!$B$5:$B$604,B278,開通管理!$O$5:$O$604,"&lt;&gt;キャンセル"))</f>
        <v/>
      </c>
      <c r="R278" s="18" t="str">
        <f aca="false">IF(B278="","",COUNTIFS(開通管理!$B$5:$B$604,B278,開通管理!$O$5:$O$604,"開通済"))</f>
        <v/>
      </c>
      <c r="S278" s="19" t="str">
        <f aca="false">IF(B278="","",IF(Q278=0,"未申込",IF(R278&lt;Q278,"開通待ち（"&amp;R278&amp;"/"&amp;Q278&amp;"）","全開通")))</f>
        <v/>
      </c>
      <c r="T278" s="20" t="str">
        <f aca="false">IF(S278&lt;&gt;"全開通","",_xlfn.MAXIFS(開通管理!$Q$5:$Q$604,開通管理!$B$5:$B$604,B278))</f>
        <v/>
      </c>
      <c r="U278" s="21" t="str">
        <f aca="false">IF(B278="","",SUMIFS(開通管理!$J$5:$J$604,開通管理!$B$5:$B$604,B278,開通管理!$O$5:$O$604,"&lt;&gt;キャンセル"))</f>
        <v/>
      </c>
      <c r="V278" s="22"/>
      <c r="W278" s="12" t="str">
        <f aca="false">IF(OR(B278="",設定!$B$14=""),"",SUBSTITUTE(設定!$B$14,"__ID__",B278))</f>
        <v/>
      </c>
      <c r="X278" s="22"/>
      <c r="Y278" s="22"/>
      <c r="Z278" s="22"/>
      <c r="AA278" s="20" t="str">
        <f aca="false">IF(Z278="","",WORKDAY(Z278,設定!$B$5,設定!$F$5:$F$120))</f>
        <v/>
      </c>
      <c r="AB278" s="17"/>
      <c r="AC278" s="17"/>
      <c r="AD278" s="17"/>
      <c r="AE278" s="17"/>
      <c r="AF278" s="22"/>
      <c r="AG278" s="17"/>
      <c r="AH278" s="20" t="str">
        <f aca="false">IF(T278="","",EDATE(T278,設定!$B$8))</f>
        <v/>
      </c>
      <c r="AI278" s="17"/>
      <c r="AJ278" s="17"/>
      <c r="AK278" s="22"/>
      <c r="AL278" s="23" t="str">
        <f aca="true">IF(C278="","",IF(N278="失注","―",IF(AND(AK278&lt;&gt;"",AK278&lt;TODAY()),"対応期限超過",IF(AND(AF278="",AA278&lt;&gt;"",IF(AA278="",FALSE(),AA278&lt;TODAY())),"納品遅延",IF(AND(AK278&lt;&gt;"",AK278=TODAY()),"本日対応",IF(AND(S278="全開通",X278="",AF278=""),"ヒアリング依頼待ち",IF(AND(X278&lt;&gt;"",Y278="",Z278="",TODAY()-X278&gt;=設定!$B$6),"ヒアリング未回収",IF(AND(Y278&lt;&gt;"",Z278=""),"素材確認待ち",IF(AND(AF278="",AA278&lt;&gt;"",IF(AA278="",FALSE(),AA278-TODAY()&lt;=設定!$B$7)),"納品間近",IF(AND(AH278&lt;&gt;"",IF(AH278="",FALSE(),AH278&lt;=TODAY()),AI278=""),"解約チェック",IF(AF278&lt;&gt;"","納品済","")))))))))))</f>
        <v/>
      </c>
      <c r="AM278" s="17"/>
    </row>
    <row r="279" customFormat="false" ht="15" hidden="false" customHeight="false" outlineLevel="0" collapsed="false">
      <c r="A279" s="12" t="str">
        <f aca="false">IF(C279="","",ROW()-4)</f>
        <v/>
      </c>
      <c r="B279" s="17"/>
      <c r="C279" s="17"/>
      <c r="D279" s="17"/>
      <c r="E279" s="17"/>
      <c r="F279" s="24"/>
      <c r="G279" s="17"/>
      <c r="H279" s="17"/>
      <c r="I279" s="17"/>
      <c r="J279" s="17"/>
      <c r="K279" s="17"/>
      <c r="L279" s="22"/>
      <c r="M279" s="22"/>
      <c r="N279" s="17"/>
      <c r="O279" s="17"/>
      <c r="P279" s="17"/>
      <c r="Q279" s="18" t="str">
        <f aca="false">IF(B279="","",COUNTIFS(開通管理!$B$5:$B$604,B279,開通管理!$O$5:$O$604,"&lt;&gt;キャンセル"))</f>
        <v/>
      </c>
      <c r="R279" s="18" t="str">
        <f aca="false">IF(B279="","",COUNTIFS(開通管理!$B$5:$B$604,B279,開通管理!$O$5:$O$604,"開通済"))</f>
        <v/>
      </c>
      <c r="S279" s="19" t="str">
        <f aca="false">IF(B279="","",IF(Q279=0,"未申込",IF(R279&lt;Q279,"開通待ち（"&amp;R279&amp;"/"&amp;Q279&amp;"）","全開通")))</f>
        <v/>
      </c>
      <c r="T279" s="20" t="str">
        <f aca="false">IF(S279&lt;&gt;"全開通","",_xlfn.MAXIFS(開通管理!$Q$5:$Q$604,開通管理!$B$5:$B$604,B279))</f>
        <v/>
      </c>
      <c r="U279" s="21" t="str">
        <f aca="false">IF(B279="","",SUMIFS(開通管理!$J$5:$J$604,開通管理!$B$5:$B$604,B279,開通管理!$O$5:$O$604,"&lt;&gt;キャンセル"))</f>
        <v/>
      </c>
      <c r="V279" s="22"/>
      <c r="W279" s="12" t="str">
        <f aca="false">IF(OR(B279="",設定!$B$14=""),"",SUBSTITUTE(設定!$B$14,"__ID__",B279))</f>
        <v/>
      </c>
      <c r="X279" s="22"/>
      <c r="Y279" s="22"/>
      <c r="Z279" s="22"/>
      <c r="AA279" s="20" t="str">
        <f aca="false">IF(Z279="","",WORKDAY(Z279,設定!$B$5,設定!$F$5:$F$120))</f>
        <v/>
      </c>
      <c r="AB279" s="17"/>
      <c r="AC279" s="17"/>
      <c r="AD279" s="17"/>
      <c r="AE279" s="17"/>
      <c r="AF279" s="22"/>
      <c r="AG279" s="17"/>
      <c r="AH279" s="20" t="str">
        <f aca="false">IF(T279="","",EDATE(T279,設定!$B$8))</f>
        <v/>
      </c>
      <c r="AI279" s="17"/>
      <c r="AJ279" s="17"/>
      <c r="AK279" s="22"/>
      <c r="AL279" s="23" t="str">
        <f aca="true">IF(C279="","",IF(N279="失注","―",IF(AND(AK279&lt;&gt;"",AK279&lt;TODAY()),"対応期限超過",IF(AND(AF279="",AA279&lt;&gt;"",IF(AA279="",FALSE(),AA279&lt;TODAY())),"納品遅延",IF(AND(AK279&lt;&gt;"",AK279=TODAY()),"本日対応",IF(AND(S279="全開通",X279="",AF279=""),"ヒアリング依頼待ち",IF(AND(X279&lt;&gt;"",Y279="",Z279="",TODAY()-X279&gt;=設定!$B$6),"ヒアリング未回収",IF(AND(Y279&lt;&gt;"",Z279=""),"素材確認待ち",IF(AND(AF279="",AA279&lt;&gt;"",IF(AA279="",FALSE(),AA279-TODAY()&lt;=設定!$B$7)),"納品間近",IF(AND(AH279&lt;&gt;"",IF(AH279="",FALSE(),AH279&lt;=TODAY()),AI279=""),"解約チェック",IF(AF279&lt;&gt;"","納品済","")))))))))))</f>
        <v/>
      </c>
      <c r="AM279" s="17"/>
    </row>
    <row r="280" customFormat="false" ht="15" hidden="false" customHeight="false" outlineLevel="0" collapsed="false">
      <c r="A280" s="12" t="str">
        <f aca="false">IF(C280="","",ROW()-4)</f>
        <v/>
      </c>
      <c r="B280" s="17"/>
      <c r="C280" s="17"/>
      <c r="D280" s="17"/>
      <c r="E280" s="17"/>
      <c r="F280" s="24"/>
      <c r="G280" s="17"/>
      <c r="H280" s="17"/>
      <c r="I280" s="17"/>
      <c r="J280" s="17"/>
      <c r="K280" s="17"/>
      <c r="L280" s="22"/>
      <c r="M280" s="22"/>
      <c r="N280" s="17"/>
      <c r="O280" s="17"/>
      <c r="P280" s="17"/>
      <c r="Q280" s="18" t="str">
        <f aca="false">IF(B280="","",COUNTIFS(開通管理!$B$5:$B$604,B280,開通管理!$O$5:$O$604,"&lt;&gt;キャンセル"))</f>
        <v/>
      </c>
      <c r="R280" s="18" t="str">
        <f aca="false">IF(B280="","",COUNTIFS(開通管理!$B$5:$B$604,B280,開通管理!$O$5:$O$604,"開通済"))</f>
        <v/>
      </c>
      <c r="S280" s="19" t="str">
        <f aca="false">IF(B280="","",IF(Q280=0,"未申込",IF(R280&lt;Q280,"開通待ち（"&amp;R280&amp;"/"&amp;Q280&amp;"）","全開通")))</f>
        <v/>
      </c>
      <c r="T280" s="20" t="str">
        <f aca="false">IF(S280&lt;&gt;"全開通","",_xlfn.MAXIFS(開通管理!$Q$5:$Q$604,開通管理!$B$5:$B$604,B280))</f>
        <v/>
      </c>
      <c r="U280" s="21" t="str">
        <f aca="false">IF(B280="","",SUMIFS(開通管理!$J$5:$J$604,開通管理!$B$5:$B$604,B280,開通管理!$O$5:$O$604,"&lt;&gt;キャンセル"))</f>
        <v/>
      </c>
      <c r="V280" s="22"/>
      <c r="W280" s="12" t="str">
        <f aca="false">IF(OR(B280="",設定!$B$14=""),"",SUBSTITUTE(設定!$B$14,"__ID__",B280))</f>
        <v/>
      </c>
      <c r="X280" s="22"/>
      <c r="Y280" s="22"/>
      <c r="Z280" s="22"/>
      <c r="AA280" s="20" t="str">
        <f aca="false">IF(Z280="","",WORKDAY(Z280,設定!$B$5,設定!$F$5:$F$120))</f>
        <v/>
      </c>
      <c r="AB280" s="17"/>
      <c r="AC280" s="17"/>
      <c r="AD280" s="17"/>
      <c r="AE280" s="17"/>
      <c r="AF280" s="22"/>
      <c r="AG280" s="17"/>
      <c r="AH280" s="20" t="str">
        <f aca="false">IF(T280="","",EDATE(T280,設定!$B$8))</f>
        <v/>
      </c>
      <c r="AI280" s="17"/>
      <c r="AJ280" s="17"/>
      <c r="AK280" s="22"/>
      <c r="AL280" s="23" t="str">
        <f aca="true">IF(C280="","",IF(N280="失注","―",IF(AND(AK280&lt;&gt;"",AK280&lt;TODAY()),"対応期限超過",IF(AND(AF280="",AA280&lt;&gt;"",IF(AA280="",FALSE(),AA280&lt;TODAY())),"納品遅延",IF(AND(AK280&lt;&gt;"",AK280=TODAY()),"本日対応",IF(AND(S280="全開通",X280="",AF280=""),"ヒアリング依頼待ち",IF(AND(X280&lt;&gt;"",Y280="",Z280="",TODAY()-X280&gt;=設定!$B$6),"ヒアリング未回収",IF(AND(Y280&lt;&gt;"",Z280=""),"素材確認待ち",IF(AND(AF280="",AA280&lt;&gt;"",IF(AA280="",FALSE(),AA280-TODAY()&lt;=設定!$B$7)),"納品間近",IF(AND(AH280&lt;&gt;"",IF(AH280="",FALSE(),AH280&lt;=TODAY()),AI280=""),"解約チェック",IF(AF280&lt;&gt;"","納品済","")))))))))))</f>
        <v/>
      </c>
      <c r="AM280" s="17"/>
    </row>
    <row r="281" customFormat="false" ht="15" hidden="false" customHeight="false" outlineLevel="0" collapsed="false">
      <c r="A281" s="12" t="str">
        <f aca="false">IF(C281="","",ROW()-4)</f>
        <v/>
      </c>
      <c r="B281" s="17"/>
      <c r="C281" s="17"/>
      <c r="D281" s="17"/>
      <c r="E281" s="17"/>
      <c r="F281" s="24"/>
      <c r="G281" s="17"/>
      <c r="H281" s="17"/>
      <c r="I281" s="17"/>
      <c r="J281" s="17"/>
      <c r="K281" s="17"/>
      <c r="L281" s="22"/>
      <c r="M281" s="22"/>
      <c r="N281" s="17"/>
      <c r="O281" s="17"/>
      <c r="P281" s="17"/>
      <c r="Q281" s="18" t="str">
        <f aca="false">IF(B281="","",COUNTIFS(開通管理!$B$5:$B$604,B281,開通管理!$O$5:$O$604,"&lt;&gt;キャンセル"))</f>
        <v/>
      </c>
      <c r="R281" s="18" t="str">
        <f aca="false">IF(B281="","",COUNTIFS(開通管理!$B$5:$B$604,B281,開通管理!$O$5:$O$604,"開通済"))</f>
        <v/>
      </c>
      <c r="S281" s="19" t="str">
        <f aca="false">IF(B281="","",IF(Q281=0,"未申込",IF(R281&lt;Q281,"開通待ち（"&amp;R281&amp;"/"&amp;Q281&amp;"）","全開通")))</f>
        <v/>
      </c>
      <c r="T281" s="20" t="str">
        <f aca="false">IF(S281&lt;&gt;"全開通","",_xlfn.MAXIFS(開通管理!$Q$5:$Q$604,開通管理!$B$5:$B$604,B281))</f>
        <v/>
      </c>
      <c r="U281" s="21" t="str">
        <f aca="false">IF(B281="","",SUMIFS(開通管理!$J$5:$J$604,開通管理!$B$5:$B$604,B281,開通管理!$O$5:$O$604,"&lt;&gt;キャンセル"))</f>
        <v/>
      </c>
      <c r="V281" s="22"/>
      <c r="W281" s="12" t="str">
        <f aca="false">IF(OR(B281="",設定!$B$14=""),"",SUBSTITUTE(設定!$B$14,"__ID__",B281))</f>
        <v/>
      </c>
      <c r="X281" s="22"/>
      <c r="Y281" s="22"/>
      <c r="Z281" s="22"/>
      <c r="AA281" s="20" t="str">
        <f aca="false">IF(Z281="","",WORKDAY(Z281,設定!$B$5,設定!$F$5:$F$120))</f>
        <v/>
      </c>
      <c r="AB281" s="17"/>
      <c r="AC281" s="17"/>
      <c r="AD281" s="17"/>
      <c r="AE281" s="17"/>
      <c r="AF281" s="22"/>
      <c r="AG281" s="17"/>
      <c r="AH281" s="20" t="str">
        <f aca="false">IF(T281="","",EDATE(T281,設定!$B$8))</f>
        <v/>
      </c>
      <c r="AI281" s="17"/>
      <c r="AJ281" s="17"/>
      <c r="AK281" s="22"/>
      <c r="AL281" s="23" t="str">
        <f aca="true">IF(C281="","",IF(N281="失注","―",IF(AND(AK281&lt;&gt;"",AK281&lt;TODAY()),"対応期限超過",IF(AND(AF281="",AA281&lt;&gt;"",IF(AA281="",FALSE(),AA281&lt;TODAY())),"納品遅延",IF(AND(AK281&lt;&gt;"",AK281=TODAY()),"本日対応",IF(AND(S281="全開通",X281="",AF281=""),"ヒアリング依頼待ち",IF(AND(X281&lt;&gt;"",Y281="",Z281="",TODAY()-X281&gt;=設定!$B$6),"ヒアリング未回収",IF(AND(Y281&lt;&gt;"",Z281=""),"素材確認待ち",IF(AND(AF281="",AA281&lt;&gt;"",IF(AA281="",FALSE(),AA281-TODAY()&lt;=設定!$B$7)),"納品間近",IF(AND(AH281&lt;&gt;"",IF(AH281="",FALSE(),AH281&lt;=TODAY()),AI281=""),"解約チェック",IF(AF281&lt;&gt;"","納品済","")))))))))))</f>
        <v/>
      </c>
      <c r="AM281" s="17"/>
    </row>
    <row r="282" customFormat="false" ht="15" hidden="false" customHeight="false" outlineLevel="0" collapsed="false">
      <c r="A282" s="12" t="str">
        <f aca="false">IF(C282="","",ROW()-4)</f>
        <v/>
      </c>
      <c r="B282" s="17"/>
      <c r="C282" s="17"/>
      <c r="D282" s="17"/>
      <c r="E282" s="17"/>
      <c r="F282" s="24"/>
      <c r="G282" s="17"/>
      <c r="H282" s="17"/>
      <c r="I282" s="17"/>
      <c r="J282" s="17"/>
      <c r="K282" s="17"/>
      <c r="L282" s="22"/>
      <c r="M282" s="22"/>
      <c r="N282" s="17"/>
      <c r="O282" s="17"/>
      <c r="P282" s="17"/>
      <c r="Q282" s="18" t="str">
        <f aca="false">IF(B282="","",COUNTIFS(開通管理!$B$5:$B$604,B282,開通管理!$O$5:$O$604,"&lt;&gt;キャンセル"))</f>
        <v/>
      </c>
      <c r="R282" s="18" t="str">
        <f aca="false">IF(B282="","",COUNTIFS(開通管理!$B$5:$B$604,B282,開通管理!$O$5:$O$604,"開通済"))</f>
        <v/>
      </c>
      <c r="S282" s="19" t="str">
        <f aca="false">IF(B282="","",IF(Q282=0,"未申込",IF(R282&lt;Q282,"開通待ち（"&amp;R282&amp;"/"&amp;Q282&amp;"）","全開通")))</f>
        <v/>
      </c>
      <c r="T282" s="20" t="str">
        <f aca="false">IF(S282&lt;&gt;"全開通","",_xlfn.MAXIFS(開通管理!$Q$5:$Q$604,開通管理!$B$5:$B$604,B282))</f>
        <v/>
      </c>
      <c r="U282" s="21" t="str">
        <f aca="false">IF(B282="","",SUMIFS(開通管理!$J$5:$J$604,開通管理!$B$5:$B$604,B282,開通管理!$O$5:$O$604,"&lt;&gt;キャンセル"))</f>
        <v/>
      </c>
      <c r="V282" s="22"/>
      <c r="W282" s="12" t="str">
        <f aca="false">IF(OR(B282="",設定!$B$14=""),"",SUBSTITUTE(設定!$B$14,"__ID__",B282))</f>
        <v/>
      </c>
      <c r="X282" s="22"/>
      <c r="Y282" s="22"/>
      <c r="Z282" s="22"/>
      <c r="AA282" s="20" t="str">
        <f aca="false">IF(Z282="","",WORKDAY(Z282,設定!$B$5,設定!$F$5:$F$120))</f>
        <v/>
      </c>
      <c r="AB282" s="17"/>
      <c r="AC282" s="17"/>
      <c r="AD282" s="17"/>
      <c r="AE282" s="17"/>
      <c r="AF282" s="22"/>
      <c r="AG282" s="17"/>
      <c r="AH282" s="20" t="str">
        <f aca="false">IF(T282="","",EDATE(T282,設定!$B$8))</f>
        <v/>
      </c>
      <c r="AI282" s="17"/>
      <c r="AJ282" s="17"/>
      <c r="AK282" s="22"/>
      <c r="AL282" s="23" t="str">
        <f aca="true">IF(C282="","",IF(N282="失注","―",IF(AND(AK282&lt;&gt;"",AK282&lt;TODAY()),"対応期限超過",IF(AND(AF282="",AA282&lt;&gt;"",IF(AA282="",FALSE(),AA282&lt;TODAY())),"納品遅延",IF(AND(AK282&lt;&gt;"",AK282=TODAY()),"本日対応",IF(AND(S282="全開通",X282="",AF282=""),"ヒアリング依頼待ち",IF(AND(X282&lt;&gt;"",Y282="",Z282="",TODAY()-X282&gt;=設定!$B$6),"ヒアリング未回収",IF(AND(Y282&lt;&gt;"",Z282=""),"素材確認待ち",IF(AND(AF282="",AA282&lt;&gt;"",IF(AA282="",FALSE(),AA282-TODAY()&lt;=設定!$B$7)),"納品間近",IF(AND(AH282&lt;&gt;"",IF(AH282="",FALSE(),AH282&lt;=TODAY()),AI282=""),"解約チェック",IF(AF282&lt;&gt;"","納品済","")))))))))))</f>
        <v/>
      </c>
      <c r="AM282" s="17"/>
    </row>
    <row r="283" customFormat="false" ht="15" hidden="false" customHeight="false" outlineLevel="0" collapsed="false">
      <c r="A283" s="12" t="str">
        <f aca="false">IF(C283="","",ROW()-4)</f>
        <v/>
      </c>
      <c r="B283" s="17"/>
      <c r="C283" s="17"/>
      <c r="D283" s="17"/>
      <c r="E283" s="17"/>
      <c r="F283" s="24"/>
      <c r="G283" s="17"/>
      <c r="H283" s="17"/>
      <c r="I283" s="17"/>
      <c r="J283" s="17"/>
      <c r="K283" s="17"/>
      <c r="L283" s="22"/>
      <c r="M283" s="22"/>
      <c r="N283" s="17"/>
      <c r="O283" s="17"/>
      <c r="P283" s="17"/>
      <c r="Q283" s="18" t="str">
        <f aca="false">IF(B283="","",COUNTIFS(開通管理!$B$5:$B$604,B283,開通管理!$O$5:$O$604,"&lt;&gt;キャンセル"))</f>
        <v/>
      </c>
      <c r="R283" s="18" t="str">
        <f aca="false">IF(B283="","",COUNTIFS(開通管理!$B$5:$B$604,B283,開通管理!$O$5:$O$604,"開通済"))</f>
        <v/>
      </c>
      <c r="S283" s="19" t="str">
        <f aca="false">IF(B283="","",IF(Q283=0,"未申込",IF(R283&lt;Q283,"開通待ち（"&amp;R283&amp;"/"&amp;Q283&amp;"）","全開通")))</f>
        <v/>
      </c>
      <c r="T283" s="20" t="str">
        <f aca="false">IF(S283&lt;&gt;"全開通","",_xlfn.MAXIFS(開通管理!$Q$5:$Q$604,開通管理!$B$5:$B$604,B283))</f>
        <v/>
      </c>
      <c r="U283" s="21" t="str">
        <f aca="false">IF(B283="","",SUMIFS(開通管理!$J$5:$J$604,開通管理!$B$5:$B$604,B283,開通管理!$O$5:$O$604,"&lt;&gt;キャンセル"))</f>
        <v/>
      </c>
      <c r="V283" s="22"/>
      <c r="W283" s="12" t="str">
        <f aca="false">IF(OR(B283="",設定!$B$14=""),"",SUBSTITUTE(設定!$B$14,"__ID__",B283))</f>
        <v/>
      </c>
      <c r="X283" s="22"/>
      <c r="Y283" s="22"/>
      <c r="Z283" s="22"/>
      <c r="AA283" s="20" t="str">
        <f aca="false">IF(Z283="","",WORKDAY(Z283,設定!$B$5,設定!$F$5:$F$120))</f>
        <v/>
      </c>
      <c r="AB283" s="17"/>
      <c r="AC283" s="17"/>
      <c r="AD283" s="17"/>
      <c r="AE283" s="17"/>
      <c r="AF283" s="22"/>
      <c r="AG283" s="17"/>
      <c r="AH283" s="20" t="str">
        <f aca="false">IF(T283="","",EDATE(T283,設定!$B$8))</f>
        <v/>
      </c>
      <c r="AI283" s="17"/>
      <c r="AJ283" s="17"/>
      <c r="AK283" s="22"/>
      <c r="AL283" s="23" t="str">
        <f aca="true">IF(C283="","",IF(N283="失注","―",IF(AND(AK283&lt;&gt;"",AK283&lt;TODAY()),"対応期限超過",IF(AND(AF283="",AA283&lt;&gt;"",IF(AA283="",FALSE(),AA283&lt;TODAY())),"納品遅延",IF(AND(AK283&lt;&gt;"",AK283=TODAY()),"本日対応",IF(AND(S283="全開通",X283="",AF283=""),"ヒアリング依頼待ち",IF(AND(X283&lt;&gt;"",Y283="",Z283="",TODAY()-X283&gt;=設定!$B$6),"ヒアリング未回収",IF(AND(Y283&lt;&gt;"",Z283=""),"素材確認待ち",IF(AND(AF283="",AA283&lt;&gt;"",IF(AA283="",FALSE(),AA283-TODAY()&lt;=設定!$B$7)),"納品間近",IF(AND(AH283&lt;&gt;"",IF(AH283="",FALSE(),AH283&lt;=TODAY()),AI283=""),"解約チェック",IF(AF283&lt;&gt;"","納品済","")))))))))))</f>
        <v/>
      </c>
      <c r="AM283" s="17"/>
    </row>
    <row r="284" customFormat="false" ht="15" hidden="false" customHeight="false" outlineLevel="0" collapsed="false">
      <c r="A284" s="12" t="str">
        <f aca="false">IF(C284="","",ROW()-4)</f>
        <v/>
      </c>
      <c r="B284" s="17"/>
      <c r="C284" s="17"/>
      <c r="D284" s="17"/>
      <c r="E284" s="17"/>
      <c r="F284" s="24"/>
      <c r="G284" s="17"/>
      <c r="H284" s="17"/>
      <c r="I284" s="17"/>
      <c r="J284" s="17"/>
      <c r="K284" s="17"/>
      <c r="L284" s="22"/>
      <c r="M284" s="22"/>
      <c r="N284" s="17"/>
      <c r="O284" s="17"/>
      <c r="P284" s="17"/>
      <c r="Q284" s="18" t="str">
        <f aca="false">IF(B284="","",COUNTIFS(開通管理!$B$5:$B$604,B284,開通管理!$O$5:$O$604,"&lt;&gt;キャンセル"))</f>
        <v/>
      </c>
      <c r="R284" s="18" t="str">
        <f aca="false">IF(B284="","",COUNTIFS(開通管理!$B$5:$B$604,B284,開通管理!$O$5:$O$604,"開通済"))</f>
        <v/>
      </c>
      <c r="S284" s="19" t="str">
        <f aca="false">IF(B284="","",IF(Q284=0,"未申込",IF(R284&lt;Q284,"開通待ち（"&amp;R284&amp;"/"&amp;Q284&amp;"）","全開通")))</f>
        <v/>
      </c>
      <c r="T284" s="20" t="str">
        <f aca="false">IF(S284&lt;&gt;"全開通","",_xlfn.MAXIFS(開通管理!$Q$5:$Q$604,開通管理!$B$5:$B$604,B284))</f>
        <v/>
      </c>
      <c r="U284" s="21" t="str">
        <f aca="false">IF(B284="","",SUMIFS(開通管理!$J$5:$J$604,開通管理!$B$5:$B$604,B284,開通管理!$O$5:$O$604,"&lt;&gt;キャンセル"))</f>
        <v/>
      </c>
      <c r="V284" s="22"/>
      <c r="W284" s="12" t="str">
        <f aca="false">IF(OR(B284="",設定!$B$14=""),"",SUBSTITUTE(設定!$B$14,"__ID__",B284))</f>
        <v/>
      </c>
      <c r="X284" s="22"/>
      <c r="Y284" s="22"/>
      <c r="Z284" s="22"/>
      <c r="AA284" s="20" t="str">
        <f aca="false">IF(Z284="","",WORKDAY(Z284,設定!$B$5,設定!$F$5:$F$120))</f>
        <v/>
      </c>
      <c r="AB284" s="17"/>
      <c r="AC284" s="17"/>
      <c r="AD284" s="17"/>
      <c r="AE284" s="17"/>
      <c r="AF284" s="22"/>
      <c r="AG284" s="17"/>
      <c r="AH284" s="20" t="str">
        <f aca="false">IF(T284="","",EDATE(T284,設定!$B$8))</f>
        <v/>
      </c>
      <c r="AI284" s="17"/>
      <c r="AJ284" s="17"/>
      <c r="AK284" s="22"/>
      <c r="AL284" s="23" t="str">
        <f aca="true">IF(C284="","",IF(N284="失注","―",IF(AND(AK284&lt;&gt;"",AK284&lt;TODAY()),"対応期限超過",IF(AND(AF284="",AA284&lt;&gt;"",IF(AA284="",FALSE(),AA284&lt;TODAY())),"納品遅延",IF(AND(AK284&lt;&gt;"",AK284=TODAY()),"本日対応",IF(AND(S284="全開通",X284="",AF284=""),"ヒアリング依頼待ち",IF(AND(X284&lt;&gt;"",Y284="",Z284="",TODAY()-X284&gt;=設定!$B$6),"ヒアリング未回収",IF(AND(Y284&lt;&gt;"",Z284=""),"素材確認待ち",IF(AND(AF284="",AA284&lt;&gt;"",IF(AA284="",FALSE(),AA284-TODAY()&lt;=設定!$B$7)),"納品間近",IF(AND(AH284&lt;&gt;"",IF(AH284="",FALSE(),AH284&lt;=TODAY()),AI284=""),"解約チェック",IF(AF284&lt;&gt;"","納品済","")))))))))))</f>
        <v/>
      </c>
      <c r="AM284" s="17"/>
    </row>
    <row r="285" customFormat="false" ht="15" hidden="false" customHeight="false" outlineLevel="0" collapsed="false">
      <c r="A285" s="12" t="str">
        <f aca="false">IF(C285="","",ROW()-4)</f>
        <v/>
      </c>
      <c r="B285" s="17"/>
      <c r="C285" s="17"/>
      <c r="D285" s="17"/>
      <c r="E285" s="17"/>
      <c r="F285" s="24"/>
      <c r="G285" s="17"/>
      <c r="H285" s="17"/>
      <c r="I285" s="17"/>
      <c r="J285" s="17"/>
      <c r="K285" s="17"/>
      <c r="L285" s="22"/>
      <c r="M285" s="22"/>
      <c r="N285" s="17"/>
      <c r="O285" s="17"/>
      <c r="P285" s="17"/>
      <c r="Q285" s="18" t="str">
        <f aca="false">IF(B285="","",COUNTIFS(開通管理!$B$5:$B$604,B285,開通管理!$O$5:$O$604,"&lt;&gt;キャンセル"))</f>
        <v/>
      </c>
      <c r="R285" s="18" t="str">
        <f aca="false">IF(B285="","",COUNTIFS(開通管理!$B$5:$B$604,B285,開通管理!$O$5:$O$604,"開通済"))</f>
        <v/>
      </c>
      <c r="S285" s="19" t="str">
        <f aca="false">IF(B285="","",IF(Q285=0,"未申込",IF(R285&lt;Q285,"開通待ち（"&amp;R285&amp;"/"&amp;Q285&amp;"）","全開通")))</f>
        <v/>
      </c>
      <c r="T285" s="20" t="str">
        <f aca="false">IF(S285&lt;&gt;"全開通","",_xlfn.MAXIFS(開通管理!$Q$5:$Q$604,開通管理!$B$5:$B$604,B285))</f>
        <v/>
      </c>
      <c r="U285" s="21" t="str">
        <f aca="false">IF(B285="","",SUMIFS(開通管理!$J$5:$J$604,開通管理!$B$5:$B$604,B285,開通管理!$O$5:$O$604,"&lt;&gt;キャンセル"))</f>
        <v/>
      </c>
      <c r="V285" s="22"/>
      <c r="W285" s="12" t="str">
        <f aca="false">IF(OR(B285="",設定!$B$14=""),"",SUBSTITUTE(設定!$B$14,"__ID__",B285))</f>
        <v/>
      </c>
      <c r="X285" s="22"/>
      <c r="Y285" s="22"/>
      <c r="Z285" s="22"/>
      <c r="AA285" s="20" t="str">
        <f aca="false">IF(Z285="","",WORKDAY(Z285,設定!$B$5,設定!$F$5:$F$120))</f>
        <v/>
      </c>
      <c r="AB285" s="17"/>
      <c r="AC285" s="17"/>
      <c r="AD285" s="17"/>
      <c r="AE285" s="17"/>
      <c r="AF285" s="22"/>
      <c r="AG285" s="17"/>
      <c r="AH285" s="20" t="str">
        <f aca="false">IF(T285="","",EDATE(T285,設定!$B$8))</f>
        <v/>
      </c>
      <c r="AI285" s="17"/>
      <c r="AJ285" s="17"/>
      <c r="AK285" s="22"/>
      <c r="AL285" s="23" t="str">
        <f aca="true">IF(C285="","",IF(N285="失注","―",IF(AND(AK285&lt;&gt;"",AK285&lt;TODAY()),"対応期限超過",IF(AND(AF285="",AA285&lt;&gt;"",IF(AA285="",FALSE(),AA285&lt;TODAY())),"納品遅延",IF(AND(AK285&lt;&gt;"",AK285=TODAY()),"本日対応",IF(AND(S285="全開通",X285="",AF285=""),"ヒアリング依頼待ち",IF(AND(X285&lt;&gt;"",Y285="",Z285="",TODAY()-X285&gt;=設定!$B$6),"ヒアリング未回収",IF(AND(Y285&lt;&gt;"",Z285=""),"素材確認待ち",IF(AND(AF285="",AA285&lt;&gt;"",IF(AA285="",FALSE(),AA285-TODAY()&lt;=設定!$B$7)),"納品間近",IF(AND(AH285&lt;&gt;"",IF(AH285="",FALSE(),AH285&lt;=TODAY()),AI285=""),"解約チェック",IF(AF285&lt;&gt;"","納品済","")))))))))))</f>
        <v/>
      </c>
      <c r="AM285" s="17"/>
    </row>
    <row r="286" customFormat="false" ht="15" hidden="false" customHeight="false" outlineLevel="0" collapsed="false">
      <c r="A286" s="12" t="str">
        <f aca="false">IF(C286="","",ROW()-4)</f>
        <v/>
      </c>
      <c r="B286" s="17"/>
      <c r="C286" s="17"/>
      <c r="D286" s="17"/>
      <c r="E286" s="17"/>
      <c r="F286" s="24"/>
      <c r="G286" s="17"/>
      <c r="H286" s="17"/>
      <c r="I286" s="17"/>
      <c r="J286" s="17"/>
      <c r="K286" s="17"/>
      <c r="L286" s="22"/>
      <c r="M286" s="22"/>
      <c r="N286" s="17"/>
      <c r="O286" s="17"/>
      <c r="P286" s="17"/>
      <c r="Q286" s="18" t="str">
        <f aca="false">IF(B286="","",COUNTIFS(開通管理!$B$5:$B$604,B286,開通管理!$O$5:$O$604,"&lt;&gt;キャンセル"))</f>
        <v/>
      </c>
      <c r="R286" s="18" t="str">
        <f aca="false">IF(B286="","",COUNTIFS(開通管理!$B$5:$B$604,B286,開通管理!$O$5:$O$604,"開通済"))</f>
        <v/>
      </c>
      <c r="S286" s="19" t="str">
        <f aca="false">IF(B286="","",IF(Q286=0,"未申込",IF(R286&lt;Q286,"開通待ち（"&amp;R286&amp;"/"&amp;Q286&amp;"）","全開通")))</f>
        <v/>
      </c>
      <c r="T286" s="20" t="str">
        <f aca="false">IF(S286&lt;&gt;"全開通","",_xlfn.MAXIFS(開通管理!$Q$5:$Q$604,開通管理!$B$5:$B$604,B286))</f>
        <v/>
      </c>
      <c r="U286" s="21" t="str">
        <f aca="false">IF(B286="","",SUMIFS(開通管理!$J$5:$J$604,開通管理!$B$5:$B$604,B286,開通管理!$O$5:$O$604,"&lt;&gt;キャンセル"))</f>
        <v/>
      </c>
      <c r="V286" s="22"/>
      <c r="W286" s="12" t="str">
        <f aca="false">IF(OR(B286="",設定!$B$14=""),"",SUBSTITUTE(設定!$B$14,"__ID__",B286))</f>
        <v/>
      </c>
      <c r="X286" s="22"/>
      <c r="Y286" s="22"/>
      <c r="Z286" s="22"/>
      <c r="AA286" s="20" t="str">
        <f aca="false">IF(Z286="","",WORKDAY(Z286,設定!$B$5,設定!$F$5:$F$120))</f>
        <v/>
      </c>
      <c r="AB286" s="17"/>
      <c r="AC286" s="17"/>
      <c r="AD286" s="17"/>
      <c r="AE286" s="17"/>
      <c r="AF286" s="22"/>
      <c r="AG286" s="17"/>
      <c r="AH286" s="20" t="str">
        <f aca="false">IF(T286="","",EDATE(T286,設定!$B$8))</f>
        <v/>
      </c>
      <c r="AI286" s="17"/>
      <c r="AJ286" s="17"/>
      <c r="AK286" s="22"/>
      <c r="AL286" s="23" t="str">
        <f aca="true">IF(C286="","",IF(N286="失注","―",IF(AND(AK286&lt;&gt;"",AK286&lt;TODAY()),"対応期限超過",IF(AND(AF286="",AA286&lt;&gt;"",IF(AA286="",FALSE(),AA286&lt;TODAY())),"納品遅延",IF(AND(AK286&lt;&gt;"",AK286=TODAY()),"本日対応",IF(AND(S286="全開通",X286="",AF286=""),"ヒアリング依頼待ち",IF(AND(X286&lt;&gt;"",Y286="",Z286="",TODAY()-X286&gt;=設定!$B$6),"ヒアリング未回収",IF(AND(Y286&lt;&gt;"",Z286=""),"素材確認待ち",IF(AND(AF286="",AA286&lt;&gt;"",IF(AA286="",FALSE(),AA286-TODAY()&lt;=設定!$B$7)),"納品間近",IF(AND(AH286&lt;&gt;"",IF(AH286="",FALSE(),AH286&lt;=TODAY()),AI286=""),"解約チェック",IF(AF286&lt;&gt;"","納品済","")))))))))))</f>
        <v/>
      </c>
      <c r="AM286" s="17"/>
    </row>
    <row r="287" customFormat="false" ht="15" hidden="false" customHeight="false" outlineLevel="0" collapsed="false">
      <c r="A287" s="12" t="str">
        <f aca="false">IF(C287="","",ROW()-4)</f>
        <v/>
      </c>
      <c r="B287" s="17"/>
      <c r="C287" s="17"/>
      <c r="D287" s="17"/>
      <c r="E287" s="17"/>
      <c r="F287" s="24"/>
      <c r="G287" s="17"/>
      <c r="H287" s="17"/>
      <c r="I287" s="17"/>
      <c r="J287" s="17"/>
      <c r="K287" s="17"/>
      <c r="L287" s="22"/>
      <c r="M287" s="22"/>
      <c r="N287" s="17"/>
      <c r="O287" s="17"/>
      <c r="P287" s="17"/>
      <c r="Q287" s="18" t="str">
        <f aca="false">IF(B287="","",COUNTIFS(開通管理!$B$5:$B$604,B287,開通管理!$O$5:$O$604,"&lt;&gt;キャンセル"))</f>
        <v/>
      </c>
      <c r="R287" s="18" t="str">
        <f aca="false">IF(B287="","",COUNTIFS(開通管理!$B$5:$B$604,B287,開通管理!$O$5:$O$604,"開通済"))</f>
        <v/>
      </c>
      <c r="S287" s="19" t="str">
        <f aca="false">IF(B287="","",IF(Q287=0,"未申込",IF(R287&lt;Q287,"開通待ち（"&amp;R287&amp;"/"&amp;Q287&amp;"）","全開通")))</f>
        <v/>
      </c>
      <c r="T287" s="20" t="str">
        <f aca="false">IF(S287&lt;&gt;"全開通","",_xlfn.MAXIFS(開通管理!$Q$5:$Q$604,開通管理!$B$5:$B$604,B287))</f>
        <v/>
      </c>
      <c r="U287" s="21" t="str">
        <f aca="false">IF(B287="","",SUMIFS(開通管理!$J$5:$J$604,開通管理!$B$5:$B$604,B287,開通管理!$O$5:$O$604,"&lt;&gt;キャンセル"))</f>
        <v/>
      </c>
      <c r="V287" s="22"/>
      <c r="W287" s="12" t="str">
        <f aca="false">IF(OR(B287="",設定!$B$14=""),"",SUBSTITUTE(設定!$B$14,"__ID__",B287))</f>
        <v/>
      </c>
      <c r="X287" s="22"/>
      <c r="Y287" s="22"/>
      <c r="Z287" s="22"/>
      <c r="AA287" s="20" t="str">
        <f aca="false">IF(Z287="","",WORKDAY(Z287,設定!$B$5,設定!$F$5:$F$120))</f>
        <v/>
      </c>
      <c r="AB287" s="17"/>
      <c r="AC287" s="17"/>
      <c r="AD287" s="17"/>
      <c r="AE287" s="17"/>
      <c r="AF287" s="22"/>
      <c r="AG287" s="17"/>
      <c r="AH287" s="20" t="str">
        <f aca="false">IF(T287="","",EDATE(T287,設定!$B$8))</f>
        <v/>
      </c>
      <c r="AI287" s="17"/>
      <c r="AJ287" s="17"/>
      <c r="AK287" s="22"/>
      <c r="AL287" s="23" t="str">
        <f aca="true">IF(C287="","",IF(N287="失注","―",IF(AND(AK287&lt;&gt;"",AK287&lt;TODAY()),"対応期限超過",IF(AND(AF287="",AA287&lt;&gt;"",IF(AA287="",FALSE(),AA287&lt;TODAY())),"納品遅延",IF(AND(AK287&lt;&gt;"",AK287=TODAY()),"本日対応",IF(AND(S287="全開通",X287="",AF287=""),"ヒアリング依頼待ち",IF(AND(X287&lt;&gt;"",Y287="",Z287="",TODAY()-X287&gt;=設定!$B$6),"ヒアリング未回収",IF(AND(Y287&lt;&gt;"",Z287=""),"素材確認待ち",IF(AND(AF287="",AA287&lt;&gt;"",IF(AA287="",FALSE(),AA287-TODAY()&lt;=設定!$B$7)),"納品間近",IF(AND(AH287&lt;&gt;"",IF(AH287="",FALSE(),AH287&lt;=TODAY()),AI287=""),"解約チェック",IF(AF287&lt;&gt;"","納品済","")))))))))))</f>
        <v/>
      </c>
      <c r="AM287" s="17"/>
    </row>
    <row r="288" customFormat="false" ht="15" hidden="false" customHeight="false" outlineLevel="0" collapsed="false">
      <c r="A288" s="12" t="str">
        <f aca="false">IF(C288="","",ROW()-4)</f>
        <v/>
      </c>
      <c r="B288" s="17"/>
      <c r="C288" s="17"/>
      <c r="D288" s="17"/>
      <c r="E288" s="17"/>
      <c r="F288" s="24"/>
      <c r="G288" s="17"/>
      <c r="H288" s="17"/>
      <c r="I288" s="17"/>
      <c r="J288" s="17"/>
      <c r="K288" s="17"/>
      <c r="L288" s="22"/>
      <c r="M288" s="22"/>
      <c r="N288" s="17"/>
      <c r="O288" s="17"/>
      <c r="P288" s="17"/>
      <c r="Q288" s="18" t="str">
        <f aca="false">IF(B288="","",COUNTIFS(開通管理!$B$5:$B$604,B288,開通管理!$O$5:$O$604,"&lt;&gt;キャンセル"))</f>
        <v/>
      </c>
      <c r="R288" s="18" t="str">
        <f aca="false">IF(B288="","",COUNTIFS(開通管理!$B$5:$B$604,B288,開通管理!$O$5:$O$604,"開通済"))</f>
        <v/>
      </c>
      <c r="S288" s="19" t="str">
        <f aca="false">IF(B288="","",IF(Q288=0,"未申込",IF(R288&lt;Q288,"開通待ち（"&amp;R288&amp;"/"&amp;Q288&amp;"）","全開通")))</f>
        <v/>
      </c>
      <c r="T288" s="20" t="str">
        <f aca="false">IF(S288&lt;&gt;"全開通","",_xlfn.MAXIFS(開通管理!$Q$5:$Q$604,開通管理!$B$5:$B$604,B288))</f>
        <v/>
      </c>
      <c r="U288" s="21" t="str">
        <f aca="false">IF(B288="","",SUMIFS(開通管理!$J$5:$J$604,開通管理!$B$5:$B$604,B288,開通管理!$O$5:$O$604,"&lt;&gt;キャンセル"))</f>
        <v/>
      </c>
      <c r="V288" s="22"/>
      <c r="W288" s="12" t="str">
        <f aca="false">IF(OR(B288="",設定!$B$14=""),"",SUBSTITUTE(設定!$B$14,"__ID__",B288))</f>
        <v/>
      </c>
      <c r="X288" s="22"/>
      <c r="Y288" s="22"/>
      <c r="Z288" s="22"/>
      <c r="AA288" s="20" t="str">
        <f aca="false">IF(Z288="","",WORKDAY(Z288,設定!$B$5,設定!$F$5:$F$120))</f>
        <v/>
      </c>
      <c r="AB288" s="17"/>
      <c r="AC288" s="17"/>
      <c r="AD288" s="17"/>
      <c r="AE288" s="17"/>
      <c r="AF288" s="22"/>
      <c r="AG288" s="17"/>
      <c r="AH288" s="20" t="str">
        <f aca="false">IF(T288="","",EDATE(T288,設定!$B$8))</f>
        <v/>
      </c>
      <c r="AI288" s="17"/>
      <c r="AJ288" s="17"/>
      <c r="AK288" s="22"/>
      <c r="AL288" s="23" t="str">
        <f aca="true">IF(C288="","",IF(N288="失注","―",IF(AND(AK288&lt;&gt;"",AK288&lt;TODAY()),"対応期限超過",IF(AND(AF288="",AA288&lt;&gt;"",IF(AA288="",FALSE(),AA288&lt;TODAY())),"納品遅延",IF(AND(AK288&lt;&gt;"",AK288=TODAY()),"本日対応",IF(AND(S288="全開通",X288="",AF288=""),"ヒアリング依頼待ち",IF(AND(X288&lt;&gt;"",Y288="",Z288="",TODAY()-X288&gt;=設定!$B$6),"ヒアリング未回収",IF(AND(Y288&lt;&gt;"",Z288=""),"素材確認待ち",IF(AND(AF288="",AA288&lt;&gt;"",IF(AA288="",FALSE(),AA288-TODAY()&lt;=設定!$B$7)),"納品間近",IF(AND(AH288&lt;&gt;"",IF(AH288="",FALSE(),AH288&lt;=TODAY()),AI288=""),"解約チェック",IF(AF288&lt;&gt;"","納品済","")))))))))))</f>
        <v/>
      </c>
      <c r="AM288" s="17"/>
    </row>
    <row r="289" customFormat="false" ht="15" hidden="false" customHeight="false" outlineLevel="0" collapsed="false">
      <c r="A289" s="12" t="str">
        <f aca="false">IF(C289="","",ROW()-4)</f>
        <v/>
      </c>
      <c r="B289" s="17"/>
      <c r="C289" s="17"/>
      <c r="D289" s="17"/>
      <c r="E289" s="17"/>
      <c r="F289" s="24"/>
      <c r="G289" s="17"/>
      <c r="H289" s="17"/>
      <c r="I289" s="17"/>
      <c r="J289" s="17"/>
      <c r="K289" s="17"/>
      <c r="L289" s="22"/>
      <c r="M289" s="22"/>
      <c r="N289" s="17"/>
      <c r="O289" s="17"/>
      <c r="P289" s="17"/>
      <c r="Q289" s="18" t="str">
        <f aca="false">IF(B289="","",COUNTIFS(開通管理!$B$5:$B$604,B289,開通管理!$O$5:$O$604,"&lt;&gt;キャンセル"))</f>
        <v/>
      </c>
      <c r="R289" s="18" t="str">
        <f aca="false">IF(B289="","",COUNTIFS(開通管理!$B$5:$B$604,B289,開通管理!$O$5:$O$604,"開通済"))</f>
        <v/>
      </c>
      <c r="S289" s="19" t="str">
        <f aca="false">IF(B289="","",IF(Q289=0,"未申込",IF(R289&lt;Q289,"開通待ち（"&amp;R289&amp;"/"&amp;Q289&amp;"）","全開通")))</f>
        <v/>
      </c>
      <c r="T289" s="20" t="str">
        <f aca="false">IF(S289&lt;&gt;"全開通","",_xlfn.MAXIFS(開通管理!$Q$5:$Q$604,開通管理!$B$5:$B$604,B289))</f>
        <v/>
      </c>
      <c r="U289" s="21" t="str">
        <f aca="false">IF(B289="","",SUMIFS(開通管理!$J$5:$J$604,開通管理!$B$5:$B$604,B289,開通管理!$O$5:$O$604,"&lt;&gt;キャンセル"))</f>
        <v/>
      </c>
      <c r="V289" s="22"/>
      <c r="W289" s="12" t="str">
        <f aca="false">IF(OR(B289="",設定!$B$14=""),"",SUBSTITUTE(設定!$B$14,"__ID__",B289))</f>
        <v/>
      </c>
      <c r="X289" s="22"/>
      <c r="Y289" s="22"/>
      <c r="Z289" s="22"/>
      <c r="AA289" s="20" t="str">
        <f aca="false">IF(Z289="","",WORKDAY(Z289,設定!$B$5,設定!$F$5:$F$120))</f>
        <v/>
      </c>
      <c r="AB289" s="17"/>
      <c r="AC289" s="17"/>
      <c r="AD289" s="17"/>
      <c r="AE289" s="17"/>
      <c r="AF289" s="22"/>
      <c r="AG289" s="17"/>
      <c r="AH289" s="20" t="str">
        <f aca="false">IF(T289="","",EDATE(T289,設定!$B$8))</f>
        <v/>
      </c>
      <c r="AI289" s="17"/>
      <c r="AJ289" s="17"/>
      <c r="AK289" s="22"/>
      <c r="AL289" s="23" t="str">
        <f aca="true">IF(C289="","",IF(N289="失注","―",IF(AND(AK289&lt;&gt;"",AK289&lt;TODAY()),"対応期限超過",IF(AND(AF289="",AA289&lt;&gt;"",IF(AA289="",FALSE(),AA289&lt;TODAY())),"納品遅延",IF(AND(AK289&lt;&gt;"",AK289=TODAY()),"本日対応",IF(AND(S289="全開通",X289="",AF289=""),"ヒアリング依頼待ち",IF(AND(X289&lt;&gt;"",Y289="",Z289="",TODAY()-X289&gt;=設定!$B$6),"ヒアリング未回収",IF(AND(Y289&lt;&gt;"",Z289=""),"素材確認待ち",IF(AND(AF289="",AA289&lt;&gt;"",IF(AA289="",FALSE(),AA289-TODAY()&lt;=設定!$B$7)),"納品間近",IF(AND(AH289&lt;&gt;"",IF(AH289="",FALSE(),AH289&lt;=TODAY()),AI289=""),"解約チェック",IF(AF289&lt;&gt;"","納品済","")))))))))))</f>
        <v/>
      </c>
      <c r="AM289" s="17"/>
    </row>
    <row r="290" customFormat="false" ht="15" hidden="false" customHeight="false" outlineLevel="0" collapsed="false">
      <c r="A290" s="12" t="str">
        <f aca="false">IF(C290="","",ROW()-4)</f>
        <v/>
      </c>
      <c r="B290" s="17"/>
      <c r="C290" s="17"/>
      <c r="D290" s="17"/>
      <c r="E290" s="17"/>
      <c r="F290" s="24"/>
      <c r="G290" s="17"/>
      <c r="H290" s="17"/>
      <c r="I290" s="17"/>
      <c r="J290" s="17"/>
      <c r="K290" s="17"/>
      <c r="L290" s="22"/>
      <c r="M290" s="22"/>
      <c r="N290" s="17"/>
      <c r="O290" s="17"/>
      <c r="P290" s="17"/>
      <c r="Q290" s="18" t="str">
        <f aca="false">IF(B290="","",COUNTIFS(開通管理!$B$5:$B$604,B290,開通管理!$O$5:$O$604,"&lt;&gt;キャンセル"))</f>
        <v/>
      </c>
      <c r="R290" s="18" t="str">
        <f aca="false">IF(B290="","",COUNTIFS(開通管理!$B$5:$B$604,B290,開通管理!$O$5:$O$604,"開通済"))</f>
        <v/>
      </c>
      <c r="S290" s="19" t="str">
        <f aca="false">IF(B290="","",IF(Q290=0,"未申込",IF(R290&lt;Q290,"開通待ち（"&amp;R290&amp;"/"&amp;Q290&amp;"）","全開通")))</f>
        <v/>
      </c>
      <c r="T290" s="20" t="str">
        <f aca="false">IF(S290&lt;&gt;"全開通","",_xlfn.MAXIFS(開通管理!$Q$5:$Q$604,開通管理!$B$5:$B$604,B290))</f>
        <v/>
      </c>
      <c r="U290" s="21" t="str">
        <f aca="false">IF(B290="","",SUMIFS(開通管理!$J$5:$J$604,開通管理!$B$5:$B$604,B290,開通管理!$O$5:$O$604,"&lt;&gt;キャンセル"))</f>
        <v/>
      </c>
      <c r="V290" s="22"/>
      <c r="W290" s="12" t="str">
        <f aca="false">IF(OR(B290="",設定!$B$14=""),"",SUBSTITUTE(設定!$B$14,"__ID__",B290))</f>
        <v/>
      </c>
      <c r="X290" s="22"/>
      <c r="Y290" s="22"/>
      <c r="Z290" s="22"/>
      <c r="AA290" s="20" t="str">
        <f aca="false">IF(Z290="","",WORKDAY(Z290,設定!$B$5,設定!$F$5:$F$120))</f>
        <v/>
      </c>
      <c r="AB290" s="17"/>
      <c r="AC290" s="17"/>
      <c r="AD290" s="17"/>
      <c r="AE290" s="17"/>
      <c r="AF290" s="22"/>
      <c r="AG290" s="17"/>
      <c r="AH290" s="20" t="str">
        <f aca="false">IF(T290="","",EDATE(T290,設定!$B$8))</f>
        <v/>
      </c>
      <c r="AI290" s="17"/>
      <c r="AJ290" s="17"/>
      <c r="AK290" s="22"/>
      <c r="AL290" s="23" t="str">
        <f aca="true">IF(C290="","",IF(N290="失注","―",IF(AND(AK290&lt;&gt;"",AK290&lt;TODAY()),"対応期限超過",IF(AND(AF290="",AA290&lt;&gt;"",IF(AA290="",FALSE(),AA290&lt;TODAY())),"納品遅延",IF(AND(AK290&lt;&gt;"",AK290=TODAY()),"本日対応",IF(AND(S290="全開通",X290="",AF290=""),"ヒアリング依頼待ち",IF(AND(X290&lt;&gt;"",Y290="",Z290="",TODAY()-X290&gt;=設定!$B$6),"ヒアリング未回収",IF(AND(Y290&lt;&gt;"",Z290=""),"素材確認待ち",IF(AND(AF290="",AA290&lt;&gt;"",IF(AA290="",FALSE(),AA290-TODAY()&lt;=設定!$B$7)),"納品間近",IF(AND(AH290&lt;&gt;"",IF(AH290="",FALSE(),AH290&lt;=TODAY()),AI290=""),"解約チェック",IF(AF290&lt;&gt;"","納品済","")))))))))))</f>
        <v/>
      </c>
      <c r="AM290" s="17"/>
    </row>
    <row r="291" customFormat="false" ht="15" hidden="false" customHeight="false" outlineLevel="0" collapsed="false">
      <c r="A291" s="12" t="str">
        <f aca="false">IF(C291="","",ROW()-4)</f>
        <v/>
      </c>
      <c r="B291" s="17"/>
      <c r="C291" s="17"/>
      <c r="D291" s="17"/>
      <c r="E291" s="17"/>
      <c r="F291" s="24"/>
      <c r="G291" s="17"/>
      <c r="H291" s="17"/>
      <c r="I291" s="17"/>
      <c r="J291" s="17"/>
      <c r="K291" s="17"/>
      <c r="L291" s="22"/>
      <c r="M291" s="22"/>
      <c r="N291" s="17"/>
      <c r="O291" s="17"/>
      <c r="P291" s="17"/>
      <c r="Q291" s="18" t="str">
        <f aca="false">IF(B291="","",COUNTIFS(開通管理!$B$5:$B$604,B291,開通管理!$O$5:$O$604,"&lt;&gt;キャンセル"))</f>
        <v/>
      </c>
      <c r="R291" s="18" t="str">
        <f aca="false">IF(B291="","",COUNTIFS(開通管理!$B$5:$B$604,B291,開通管理!$O$5:$O$604,"開通済"))</f>
        <v/>
      </c>
      <c r="S291" s="19" t="str">
        <f aca="false">IF(B291="","",IF(Q291=0,"未申込",IF(R291&lt;Q291,"開通待ち（"&amp;R291&amp;"/"&amp;Q291&amp;"）","全開通")))</f>
        <v/>
      </c>
      <c r="T291" s="20" t="str">
        <f aca="false">IF(S291&lt;&gt;"全開通","",_xlfn.MAXIFS(開通管理!$Q$5:$Q$604,開通管理!$B$5:$B$604,B291))</f>
        <v/>
      </c>
      <c r="U291" s="21" t="str">
        <f aca="false">IF(B291="","",SUMIFS(開通管理!$J$5:$J$604,開通管理!$B$5:$B$604,B291,開通管理!$O$5:$O$604,"&lt;&gt;キャンセル"))</f>
        <v/>
      </c>
      <c r="V291" s="22"/>
      <c r="W291" s="12" t="str">
        <f aca="false">IF(OR(B291="",設定!$B$14=""),"",SUBSTITUTE(設定!$B$14,"__ID__",B291))</f>
        <v/>
      </c>
      <c r="X291" s="22"/>
      <c r="Y291" s="22"/>
      <c r="Z291" s="22"/>
      <c r="AA291" s="20" t="str">
        <f aca="false">IF(Z291="","",WORKDAY(Z291,設定!$B$5,設定!$F$5:$F$120))</f>
        <v/>
      </c>
      <c r="AB291" s="17"/>
      <c r="AC291" s="17"/>
      <c r="AD291" s="17"/>
      <c r="AE291" s="17"/>
      <c r="AF291" s="22"/>
      <c r="AG291" s="17"/>
      <c r="AH291" s="20" t="str">
        <f aca="false">IF(T291="","",EDATE(T291,設定!$B$8))</f>
        <v/>
      </c>
      <c r="AI291" s="17"/>
      <c r="AJ291" s="17"/>
      <c r="AK291" s="22"/>
      <c r="AL291" s="23" t="str">
        <f aca="true">IF(C291="","",IF(N291="失注","―",IF(AND(AK291&lt;&gt;"",AK291&lt;TODAY()),"対応期限超過",IF(AND(AF291="",AA291&lt;&gt;"",IF(AA291="",FALSE(),AA291&lt;TODAY())),"納品遅延",IF(AND(AK291&lt;&gt;"",AK291=TODAY()),"本日対応",IF(AND(S291="全開通",X291="",AF291=""),"ヒアリング依頼待ち",IF(AND(X291&lt;&gt;"",Y291="",Z291="",TODAY()-X291&gt;=設定!$B$6),"ヒアリング未回収",IF(AND(Y291&lt;&gt;"",Z291=""),"素材確認待ち",IF(AND(AF291="",AA291&lt;&gt;"",IF(AA291="",FALSE(),AA291-TODAY()&lt;=設定!$B$7)),"納品間近",IF(AND(AH291&lt;&gt;"",IF(AH291="",FALSE(),AH291&lt;=TODAY()),AI291=""),"解約チェック",IF(AF291&lt;&gt;"","納品済","")))))))))))</f>
        <v/>
      </c>
      <c r="AM291" s="17"/>
    </row>
    <row r="292" customFormat="false" ht="15" hidden="false" customHeight="false" outlineLevel="0" collapsed="false">
      <c r="A292" s="12" t="str">
        <f aca="false">IF(C292="","",ROW()-4)</f>
        <v/>
      </c>
      <c r="B292" s="17"/>
      <c r="C292" s="17"/>
      <c r="D292" s="17"/>
      <c r="E292" s="17"/>
      <c r="F292" s="24"/>
      <c r="G292" s="17"/>
      <c r="H292" s="17"/>
      <c r="I292" s="17"/>
      <c r="J292" s="17"/>
      <c r="K292" s="17"/>
      <c r="L292" s="22"/>
      <c r="M292" s="22"/>
      <c r="N292" s="17"/>
      <c r="O292" s="17"/>
      <c r="P292" s="17"/>
      <c r="Q292" s="18" t="str">
        <f aca="false">IF(B292="","",COUNTIFS(開通管理!$B$5:$B$604,B292,開通管理!$O$5:$O$604,"&lt;&gt;キャンセル"))</f>
        <v/>
      </c>
      <c r="R292" s="18" t="str">
        <f aca="false">IF(B292="","",COUNTIFS(開通管理!$B$5:$B$604,B292,開通管理!$O$5:$O$604,"開通済"))</f>
        <v/>
      </c>
      <c r="S292" s="19" t="str">
        <f aca="false">IF(B292="","",IF(Q292=0,"未申込",IF(R292&lt;Q292,"開通待ち（"&amp;R292&amp;"/"&amp;Q292&amp;"）","全開通")))</f>
        <v/>
      </c>
      <c r="T292" s="20" t="str">
        <f aca="false">IF(S292&lt;&gt;"全開通","",_xlfn.MAXIFS(開通管理!$Q$5:$Q$604,開通管理!$B$5:$B$604,B292))</f>
        <v/>
      </c>
      <c r="U292" s="21" t="str">
        <f aca="false">IF(B292="","",SUMIFS(開通管理!$J$5:$J$604,開通管理!$B$5:$B$604,B292,開通管理!$O$5:$O$604,"&lt;&gt;キャンセル"))</f>
        <v/>
      </c>
      <c r="V292" s="22"/>
      <c r="W292" s="12" t="str">
        <f aca="false">IF(OR(B292="",設定!$B$14=""),"",SUBSTITUTE(設定!$B$14,"__ID__",B292))</f>
        <v/>
      </c>
      <c r="X292" s="22"/>
      <c r="Y292" s="22"/>
      <c r="Z292" s="22"/>
      <c r="AA292" s="20" t="str">
        <f aca="false">IF(Z292="","",WORKDAY(Z292,設定!$B$5,設定!$F$5:$F$120))</f>
        <v/>
      </c>
      <c r="AB292" s="17"/>
      <c r="AC292" s="17"/>
      <c r="AD292" s="17"/>
      <c r="AE292" s="17"/>
      <c r="AF292" s="22"/>
      <c r="AG292" s="17"/>
      <c r="AH292" s="20" t="str">
        <f aca="false">IF(T292="","",EDATE(T292,設定!$B$8))</f>
        <v/>
      </c>
      <c r="AI292" s="17"/>
      <c r="AJ292" s="17"/>
      <c r="AK292" s="22"/>
      <c r="AL292" s="23" t="str">
        <f aca="true">IF(C292="","",IF(N292="失注","―",IF(AND(AK292&lt;&gt;"",AK292&lt;TODAY()),"対応期限超過",IF(AND(AF292="",AA292&lt;&gt;"",IF(AA292="",FALSE(),AA292&lt;TODAY())),"納品遅延",IF(AND(AK292&lt;&gt;"",AK292=TODAY()),"本日対応",IF(AND(S292="全開通",X292="",AF292=""),"ヒアリング依頼待ち",IF(AND(X292&lt;&gt;"",Y292="",Z292="",TODAY()-X292&gt;=設定!$B$6),"ヒアリング未回収",IF(AND(Y292&lt;&gt;"",Z292=""),"素材確認待ち",IF(AND(AF292="",AA292&lt;&gt;"",IF(AA292="",FALSE(),AA292-TODAY()&lt;=設定!$B$7)),"納品間近",IF(AND(AH292&lt;&gt;"",IF(AH292="",FALSE(),AH292&lt;=TODAY()),AI292=""),"解約チェック",IF(AF292&lt;&gt;"","納品済","")))))))))))</f>
        <v/>
      </c>
      <c r="AM292" s="17"/>
    </row>
    <row r="293" customFormat="false" ht="15" hidden="false" customHeight="false" outlineLevel="0" collapsed="false">
      <c r="A293" s="12" t="str">
        <f aca="false">IF(C293="","",ROW()-4)</f>
        <v/>
      </c>
      <c r="B293" s="17"/>
      <c r="C293" s="17"/>
      <c r="D293" s="17"/>
      <c r="E293" s="17"/>
      <c r="F293" s="24"/>
      <c r="G293" s="17"/>
      <c r="H293" s="17"/>
      <c r="I293" s="17"/>
      <c r="J293" s="17"/>
      <c r="K293" s="17"/>
      <c r="L293" s="22"/>
      <c r="M293" s="22"/>
      <c r="N293" s="17"/>
      <c r="O293" s="17"/>
      <c r="P293" s="17"/>
      <c r="Q293" s="18" t="str">
        <f aca="false">IF(B293="","",COUNTIFS(開通管理!$B$5:$B$604,B293,開通管理!$O$5:$O$604,"&lt;&gt;キャンセル"))</f>
        <v/>
      </c>
      <c r="R293" s="18" t="str">
        <f aca="false">IF(B293="","",COUNTIFS(開通管理!$B$5:$B$604,B293,開通管理!$O$5:$O$604,"開通済"))</f>
        <v/>
      </c>
      <c r="S293" s="19" t="str">
        <f aca="false">IF(B293="","",IF(Q293=0,"未申込",IF(R293&lt;Q293,"開通待ち（"&amp;R293&amp;"/"&amp;Q293&amp;"）","全開通")))</f>
        <v/>
      </c>
      <c r="T293" s="20" t="str">
        <f aca="false">IF(S293&lt;&gt;"全開通","",_xlfn.MAXIFS(開通管理!$Q$5:$Q$604,開通管理!$B$5:$B$604,B293))</f>
        <v/>
      </c>
      <c r="U293" s="21" t="str">
        <f aca="false">IF(B293="","",SUMIFS(開通管理!$J$5:$J$604,開通管理!$B$5:$B$604,B293,開通管理!$O$5:$O$604,"&lt;&gt;キャンセル"))</f>
        <v/>
      </c>
      <c r="V293" s="22"/>
      <c r="W293" s="12" t="str">
        <f aca="false">IF(OR(B293="",設定!$B$14=""),"",SUBSTITUTE(設定!$B$14,"__ID__",B293))</f>
        <v/>
      </c>
      <c r="X293" s="22"/>
      <c r="Y293" s="22"/>
      <c r="Z293" s="22"/>
      <c r="AA293" s="20" t="str">
        <f aca="false">IF(Z293="","",WORKDAY(Z293,設定!$B$5,設定!$F$5:$F$120))</f>
        <v/>
      </c>
      <c r="AB293" s="17"/>
      <c r="AC293" s="17"/>
      <c r="AD293" s="17"/>
      <c r="AE293" s="17"/>
      <c r="AF293" s="22"/>
      <c r="AG293" s="17"/>
      <c r="AH293" s="20" t="str">
        <f aca="false">IF(T293="","",EDATE(T293,設定!$B$8))</f>
        <v/>
      </c>
      <c r="AI293" s="17"/>
      <c r="AJ293" s="17"/>
      <c r="AK293" s="22"/>
      <c r="AL293" s="23" t="str">
        <f aca="true">IF(C293="","",IF(N293="失注","―",IF(AND(AK293&lt;&gt;"",AK293&lt;TODAY()),"対応期限超過",IF(AND(AF293="",AA293&lt;&gt;"",IF(AA293="",FALSE(),AA293&lt;TODAY())),"納品遅延",IF(AND(AK293&lt;&gt;"",AK293=TODAY()),"本日対応",IF(AND(S293="全開通",X293="",AF293=""),"ヒアリング依頼待ち",IF(AND(X293&lt;&gt;"",Y293="",Z293="",TODAY()-X293&gt;=設定!$B$6),"ヒアリング未回収",IF(AND(Y293&lt;&gt;"",Z293=""),"素材確認待ち",IF(AND(AF293="",AA293&lt;&gt;"",IF(AA293="",FALSE(),AA293-TODAY()&lt;=設定!$B$7)),"納品間近",IF(AND(AH293&lt;&gt;"",IF(AH293="",FALSE(),AH293&lt;=TODAY()),AI293=""),"解約チェック",IF(AF293&lt;&gt;"","納品済","")))))))))))</f>
        <v/>
      </c>
      <c r="AM293" s="17"/>
    </row>
    <row r="294" customFormat="false" ht="15" hidden="false" customHeight="false" outlineLevel="0" collapsed="false">
      <c r="A294" s="12" t="str">
        <f aca="false">IF(C294="","",ROW()-4)</f>
        <v/>
      </c>
      <c r="B294" s="17"/>
      <c r="C294" s="17"/>
      <c r="D294" s="17"/>
      <c r="E294" s="17"/>
      <c r="F294" s="24"/>
      <c r="G294" s="17"/>
      <c r="H294" s="17"/>
      <c r="I294" s="17"/>
      <c r="J294" s="17"/>
      <c r="K294" s="17"/>
      <c r="L294" s="22"/>
      <c r="M294" s="22"/>
      <c r="N294" s="17"/>
      <c r="O294" s="17"/>
      <c r="P294" s="17"/>
      <c r="Q294" s="18" t="str">
        <f aca="false">IF(B294="","",COUNTIFS(開通管理!$B$5:$B$604,B294,開通管理!$O$5:$O$604,"&lt;&gt;キャンセル"))</f>
        <v/>
      </c>
      <c r="R294" s="18" t="str">
        <f aca="false">IF(B294="","",COUNTIFS(開通管理!$B$5:$B$604,B294,開通管理!$O$5:$O$604,"開通済"))</f>
        <v/>
      </c>
      <c r="S294" s="19" t="str">
        <f aca="false">IF(B294="","",IF(Q294=0,"未申込",IF(R294&lt;Q294,"開通待ち（"&amp;R294&amp;"/"&amp;Q294&amp;"）","全開通")))</f>
        <v/>
      </c>
      <c r="T294" s="20" t="str">
        <f aca="false">IF(S294&lt;&gt;"全開通","",_xlfn.MAXIFS(開通管理!$Q$5:$Q$604,開通管理!$B$5:$B$604,B294))</f>
        <v/>
      </c>
      <c r="U294" s="21" t="str">
        <f aca="false">IF(B294="","",SUMIFS(開通管理!$J$5:$J$604,開通管理!$B$5:$B$604,B294,開通管理!$O$5:$O$604,"&lt;&gt;キャンセル"))</f>
        <v/>
      </c>
      <c r="V294" s="22"/>
      <c r="W294" s="12" t="str">
        <f aca="false">IF(OR(B294="",設定!$B$14=""),"",SUBSTITUTE(設定!$B$14,"__ID__",B294))</f>
        <v/>
      </c>
      <c r="X294" s="22"/>
      <c r="Y294" s="22"/>
      <c r="Z294" s="22"/>
      <c r="AA294" s="20" t="str">
        <f aca="false">IF(Z294="","",WORKDAY(Z294,設定!$B$5,設定!$F$5:$F$120))</f>
        <v/>
      </c>
      <c r="AB294" s="17"/>
      <c r="AC294" s="17"/>
      <c r="AD294" s="17"/>
      <c r="AE294" s="17"/>
      <c r="AF294" s="22"/>
      <c r="AG294" s="17"/>
      <c r="AH294" s="20" t="str">
        <f aca="false">IF(T294="","",EDATE(T294,設定!$B$8))</f>
        <v/>
      </c>
      <c r="AI294" s="17"/>
      <c r="AJ294" s="17"/>
      <c r="AK294" s="22"/>
      <c r="AL294" s="23" t="str">
        <f aca="true">IF(C294="","",IF(N294="失注","―",IF(AND(AK294&lt;&gt;"",AK294&lt;TODAY()),"対応期限超過",IF(AND(AF294="",AA294&lt;&gt;"",IF(AA294="",FALSE(),AA294&lt;TODAY())),"納品遅延",IF(AND(AK294&lt;&gt;"",AK294=TODAY()),"本日対応",IF(AND(S294="全開通",X294="",AF294=""),"ヒアリング依頼待ち",IF(AND(X294&lt;&gt;"",Y294="",Z294="",TODAY()-X294&gt;=設定!$B$6),"ヒアリング未回収",IF(AND(Y294&lt;&gt;"",Z294=""),"素材確認待ち",IF(AND(AF294="",AA294&lt;&gt;"",IF(AA294="",FALSE(),AA294-TODAY()&lt;=設定!$B$7)),"納品間近",IF(AND(AH294&lt;&gt;"",IF(AH294="",FALSE(),AH294&lt;=TODAY()),AI294=""),"解約チェック",IF(AF294&lt;&gt;"","納品済","")))))))))))</f>
        <v/>
      </c>
      <c r="AM294" s="17"/>
    </row>
    <row r="295" customFormat="false" ht="15" hidden="false" customHeight="false" outlineLevel="0" collapsed="false">
      <c r="A295" s="12" t="str">
        <f aca="false">IF(C295="","",ROW()-4)</f>
        <v/>
      </c>
      <c r="B295" s="17"/>
      <c r="C295" s="17"/>
      <c r="D295" s="17"/>
      <c r="E295" s="17"/>
      <c r="F295" s="24"/>
      <c r="G295" s="17"/>
      <c r="H295" s="17"/>
      <c r="I295" s="17"/>
      <c r="J295" s="17"/>
      <c r="K295" s="17"/>
      <c r="L295" s="22"/>
      <c r="M295" s="22"/>
      <c r="N295" s="17"/>
      <c r="O295" s="17"/>
      <c r="P295" s="17"/>
      <c r="Q295" s="18" t="str">
        <f aca="false">IF(B295="","",COUNTIFS(開通管理!$B$5:$B$604,B295,開通管理!$O$5:$O$604,"&lt;&gt;キャンセル"))</f>
        <v/>
      </c>
      <c r="R295" s="18" t="str">
        <f aca="false">IF(B295="","",COUNTIFS(開通管理!$B$5:$B$604,B295,開通管理!$O$5:$O$604,"開通済"))</f>
        <v/>
      </c>
      <c r="S295" s="19" t="str">
        <f aca="false">IF(B295="","",IF(Q295=0,"未申込",IF(R295&lt;Q295,"開通待ち（"&amp;R295&amp;"/"&amp;Q295&amp;"）","全開通")))</f>
        <v/>
      </c>
      <c r="T295" s="20" t="str">
        <f aca="false">IF(S295&lt;&gt;"全開通","",_xlfn.MAXIFS(開通管理!$Q$5:$Q$604,開通管理!$B$5:$B$604,B295))</f>
        <v/>
      </c>
      <c r="U295" s="21" t="str">
        <f aca="false">IF(B295="","",SUMIFS(開通管理!$J$5:$J$604,開通管理!$B$5:$B$604,B295,開通管理!$O$5:$O$604,"&lt;&gt;キャンセル"))</f>
        <v/>
      </c>
      <c r="V295" s="22"/>
      <c r="W295" s="12" t="str">
        <f aca="false">IF(OR(B295="",設定!$B$14=""),"",SUBSTITUTE(設定!$B$14,"__ID__",B295))</f>
        <v/>
      </c>
      <c r="X295" s="22"/>
      <c r="Y295" s="22"/>
      <c r="Z295" s="22"/>
      <c r="AA295" s="20" t="str">
        <f aca="false">IF(Z295="","",WORKDAY(Z295,設定!$B$5,設定!$F$5:$F$120))</f>
        <v/>
      </c>
      <c r="AB295" s="17"/>
      <c r="AC295" s="17"/>
      <c r="AD295" s="17"/>
      <c r="AE295" s="17"/>
      <c r="AF295" s="22"/>
      <c r="AG295" s="17"/>
      <c r="AH295" s="20" t="str">
        <f aca="false">IF(T295="","",EDATE(T295,設定!$B$8))</f>
        <v/>
      </c>
      <c r="AI295" s="17"/>
      <c r="AJ295" s="17"/>
      <c r="AK295" s="22"/>
      <c r="AL295" s="23" t="str">
        <f aca="true">IF(C295="","",IF(N295="失注","―",IF(AND(AK295&lt;&gt;"",AK295&lt;TODAY()),"対応期限超過",IF(AND(AF295="",AA295&lt;&gt;"",IF(AA295="",FALSE(),AA295&lt;TODAY())),"納品遅延",IF(AND(AK295&lt;&gt;"",AK295=TODAY()),"本日対応",IF(AND(S295="全開通",X295="",AF295=""),"ヒアリング依頼待ち",IF(AND(X295&lt;&gt;"",Y295="",Z295="",TODAY()-X295&gt;=設定!$B$6),"ヒアリング未回収",IF(AND(Y295&lt;&gt;"",Z295=""),"素材確認待ち",IF(AND(AF295="",AA295&lt;&gt;"",IF(AA295="",FALSE(),AA295-TODAY()&lt;=設定!$B$7)),"納品間近",IF(AND(AH295&lt;&gt;"",IF(AH295="",FALSE(),AH295&lt;=TODAY()),AI295=""),"解約チェック",IF(AF295&lt;&gt;"","納品済","")))))))))))</f>
        <v/>
      </c>
      <c r="AM295" s="17"/>
    </row>
    <row r="296" customFormat="false" ht="15" hidden="false" customHeight="false" outlineLevel="0" collapsed="false">
      <c r="A296" s="12" t="str">
        <f aca="false">IF(C296="","",ROW()-4)</f>
        <v/>
      </c>
      <c r="B296" s="17"/>
      <c r="C296" s="17"/>
      <c r="D296" s="17"/>
      <c r="E296" s="17"/>
      <c r="F296" s="24"/>
      <c r="G296" s="17"/>
      <c r="H296" s="17"/>
      <c r="I296" s="17"/>
      <c r="J296" s="17"/>
      <c r="K296" s="17"/>
      <c r="L296" s="22"/>
      <c r="M296" s="22"/>
      <c r="N296" s="17"/>
      <c r="O296" s="17"/>
      <c r="P296" s="17"/>
      <c r="Q296" s="18" t="str">
        <f aca="false">IF(B296="","",COUNTIFS(開通管理!$B$5:$B$604,B296,開通管理!$O$5:$O$604,"&lt;&gt;キャンセル"))</f>
        <v/>
      </c>
      <c r="R296" s="18" t="str">
        <f aca="false">IF(B296="","",COUNTIFS(開通管理!$B$5:$B$604,B296,開通管理!$O$5:$O$604,"開通済"))</f>
        <v/>
      </c>
      <c r="S296" s="19" t="str">
        <f aca="false">IF(B296="","",IF(Q296=0,"未申込",IF(R296&lt;Q296,"開通待ち（"&amp;R296&amp;"/"&amp;Q296&amp;"）","全開通")))</f>
        <v/>
      </c>
      <c r="T296" s="20" t="str">
        <f aca="false">IF(S296&lt;&gt;"全開通","",_xlfn.MAXIFS(開通管理!$Q$5:$Q$604,開通管理!$B$5:$B$604,B296))</f>
        <v/>
      </c>
      <c r="U296" s="21" t="str">
        <f aca="false">IF(B296="","",SUMIFS(開通管理!$J$5:$J$604,開通管理!$B$5:$B$604,B296,開通管理!$O$5:$O$604,"&lt;&gt;キャンセル"))</f>
        <v/>
      </c>
      <c r="V296" s="22"/>
      <c r="W296" s="12" t="str">
        <f aca="false">IF(OR(B296="",設定!$B$14=""),"",SUBSTITUTE(設定!$B$14,"__ID__",B296))</f>
        <v/>
      </c>
      <c r="X296" s="22"/>
      <c r="Y296" s="22"/>
      <c r="Z296" s="22"/>
      <c r="AA296" s="20" t="str">
        <f aca="false">IF(Z296="","",WORKDAY(Z296,設定!$B$5,設定!$F$5:$F$120))</f>
        <v/>
      </c>
      <c r="AB296" s="17"/>
      <c r="AC296" s="17"/>
      <c r="AD296" s="17"/>
      <c r="AE296" s="17"/>
      <c r="AF296" s="22"/>
      <c r="AG296" s="17"/>
      <c r="AH296" s="20" t="str">
        <f aca="false">IF(T296="","",EDATE(T296,設定!$B$8))</f>
        <v/>
      </c>
      <c r="AI296" s="17"/>
      <c r="AJ296" s="17"/>
      <c r="AK296" s="22"/>
      <c r="AL296" s="23" t="str">
        <f aca="true">IF(C296="","",IF(N296="失注","―",IF(AND(AK296&lt;&gt;"",AK296&lt;TODAY()),"対応期限超過",IF(AND(AF296="",AA296&lt;&gt;"",IF(AA296="",FALSE(),AA296&lt;TODAY())),"納品遅延",IF(AND(AK296&lt;&gt;"",AK296=TODAY()),"本日対応",IF(AND(S296="全開通",X296="",AF296=""),"ヒアリング依頼待ち",IF(AND(X296&lt;&gt;"",Y296="",Z296="",TODAY()-X296&gt;=設定!$B$6),"ヒアリング未回収",IF(AND(Y296&lt;&gt;"",Z296=""),"素材確認待ち",IF(AND(AF296="",AA296&lt;&gt;"",IF(AA296="",FALSE(),AA296-TODAY()&lt;=設定!$B$7)),"納品間近",IF(AND(AH296&lt;&gt;"",IF(AH296="",FALSE(),AH296&lt;=TODAY()),AI296=""),"解約チェック",IF(AF296&lt;&gt;"","納品済","")))))))))))</f>
        <v/>
      </c>
      <c r="AM296" s="17"/>
    </row>
    <row r="297" customFormat="false" ht="15" hidden="false" customHeight="false" outlineLevel="0" collapsed="false">
      <c r="A297" s="12" t="str">
        <f aca="false">IF(C297="","",ROW()-4)</f>
        <v/>
      </c>
      <c r="B297" s="17"/>
      <c r="C297" s="17"/>
      <c r="D297" s="17"/>
      <c r="E297" s="17"/>
      <c r="F297" s="24"/>
      <c r="G297" s="17"/>
      <c r="H297" s="17"/>
      <c r="I297" s="17"/>
      <c r="J297" s="17"/>
      <c r="K297" s="17"/>
      <c r="L297" s="22"/>
      <c r="M297" s="22"/>
      <c r="N297" s="17"/>
      <c r="O297" s="17"/>
      <c r="P297" s="17"/>
      <c r="Q297" s="18" t="str">
        <f aca="false">IF(B297="","",COUNTIFS(開通管理!$B$5:$B$604,B297,開通管理!$O$5:$O$604,"&lt;&gt;キャンセル"))</f>
        <v/>
      </c>
      <c r="R297" s="18" t="str">
        <f aca="false">IF(B297="","",COUNTIFS(開通管理!$B$5:$B$604,B297,開通管理!$O$5:$O$604,"開通済"))</f>
        <v/>
      </c>
      <c r="S297" s="19" t="str">
        <f aca="false">IF(B297="","",IF(Q297=0,"未申込",IF(R297&lt;Q297,"開通待ち（"&amp;R297&amp;"/"&amp;Q297&amp;"）","全開通")))</f>
        <v/>
      </c>
      <c r="T297" s="20" t="str">
        <f aca="false">IF(S297&lt;&gt;"全開通","",_xlfn.MAXIFS(開通管理!$Q$5:$Q$604,開通管理!$B$5:$B$604,B297))</f>
        <v/>
      </c>
      <c r="U297" s="21" t="str">
        <f aca="false">IF(B297="","",SUMIFS(開通管理!$J$5:$J$604,開通管理!$B$5:$B$604,B297,開通管理!$O$5:$O$604,"&lt;&gt;キャンセル"))</f>
        <v/>
      </c>
      <c r="V297" s="22"/>
      <c r="W297" s="12" t="str">
        <f aca="false">IF(OR(B297="",設定!$B$14=""),"",SUBSTITUTE(設定!$B$14,"__ID__",B297))</f>
        <v/>
      </c>
      <c r="X297" s="22"/>
      <c r="Y297" s="22"/>
      <c r="Z297" s="22"/>
      <c r="AA297" s="20" t="str">
        <f aca="false">IF(Z297="","",WORKDAY(Z297,設定!$B$5,設定!$F$5:$F$120))</f>
        <v/>
      </c>
      <c r="AB297" s="17"/>
      <c r="AC297" s="17"/>
      <c r="AD297" s="17"/>
      <c r="AE297" s="17"/>
      <c r="AF297" s="22"/>
      <c r="AG297" s="17"/>
      <c r="AH297" s="20" t="str">
        <f aca="false">IF(T297="","",EDATE(T297,設定!$B$8))</f>
        <v/>
      </c>
      <c r="AI297" s="17"/>
      <c r="AJ297" s="17"/>
      <c r="AK297" s="22"/>
      <c r="AL297" s="23" t="str">
        <f aca="true">IF(C297="","",IF(N297="失注","―",IF(AND(AK297&lt;&gt;"",AK297&lt;TODAY()),"対応期限超過",IF(AND(AF297="",AA297&lt;&gt;"",IF(AA297="",FALSE(),AA297&lt;TODAY())),"納品遅延",IF(AND(AK297&lt;&gt;"",AK297=TODAY()),"本日対応",IF(AND(S297="全開通",X297="",AF297=""),"ヒアリング依頼待ち",IF(AND(X297&lt;&gt;"",Y297="",Z297="",TODAY()-X297&gt;=設定!$B$6),"ヒアリング未回収",IF(AND(Y297&lt;&gt;"",Z297=""),"素材確認待ち",IF(AND(AF297="",AA297&lt;&gt;"",IF(AA297="",FALSE(),AA297-TODAY()&lt;=設定!$B$7)),"納品間近",IF(AND(AH297&lt;&gt;"",IF(AH297="",FALSE(),AH297&lt;=TODAY()),AI297=""),"解約チェック",IF(AF297&lt;&gt;"","納品済","")))))))))))</f>
        <v/>
      </c>
      <c r="AM297" s="17"/>
    </row>
    <row r="298" customFormat="false" ht="15" hidden="false" customHeight="false" outlineLevel="0" collapsed="false">
      <c r="A298" s="12" t="str">
        <f aca="false">IF(C298="","",ROW()-4)</f>
        <v/>
      </c>
      <c r="B298" s="17"/>
      <c r="C298" s="17"/>
      <c r="D298" s="17"/>
      <c r="E298" s="17"/>
      <c r="F298" s="24"/>
      <c r="G298" s="17"/>
      <c r="H298" s="17"/>
      <c r="I298" s="17"/>
      <c r="J298" s="17"/>
      <c r="K298" s="17"/>
      <c r="L298" s="22"/>
      <c r="M298" s="22"/>
      <c r="N298" s="17"/>
      <c r="O298" s="17"/>
      <c r="P298" s="17"/>
      <c r="Q298" s="18" t="str">
        <f aca="false">IF(B298="","",COUNTIFS(開通管理!$B$5:$B$604,B298,開通管理!$O$5:$O$604,"&lt;&gt;キャンセル"))</f>
        <v/>
      </c>
      <c r="R298" s="18" t="str">
        <f aca="false">IF(B298="","",COUNTIFS(開通管理!$B$5:$B$604,B298,開通管理!$O$5:$O$604,"開通済"))</f>
        <v/>
      </c>
      <c r="S298" s="19" t="str">
        <f aca="false">IF(B298="","",IF(Q298=0,"未申込",IF(R298&lt;Q298,"開通待ち（"&amp;R298&amp;"/"&amp;Q298&amp;"）","全開通")))</f>
        <v/>
      </c>
      <c r="T298" s="20" t="str">
        <f aca="false">IF(S298&lt;&gt;"全開通","",_xlfn.MAXIFS(開通管理!$Q$5:$Q$604,開通管理!$B$5:$B$604,B298))</f>
        <v/>
      </c>
      <c r="U298" s="21" t="str">
        <f aca="false">IF(B298="","",SUMIFS(開通管理!$J$5:$J$604,開通管理!$B$5:$B$604,B298,開通管理!$O$5:$O$604,"&lt;&gt;キャンセル"))</f>
        <v/>
      </c>
      <c r="V298" s="22"/>
      <c r="W298" s="12" t="str">
        <f aca="false">IF(OR(B298="",設定!$B$14=""),"",SUBSTITUTE(設定!$B$14,"__ID__",B298))</f>
        <v/>
      </c>
      <c r="X298" s="22"/>
      <c r="Y298" s="22"/>
      <c r="Z298" s="22"/>
      <c r="AA298" s="20" t="str">
        <f aca="false">IF(Z298="","",WORKDAY(Z298,設定!$B$5,設定!$F$5:$F$120))</f>
        <v/>
      </c>
      <c r="AB298" s="17"/>
      <c r="AC298" s="17"/>
      <c r="AD298" s="17"/>
      <c r="AE298" s="17"/>
      <c r="AF298" s="22"/>
      <c r="AG298" s="17"/>
      <c r="AH298" s="20" t="str">
        <f aca="false">IF(T298="","",EDATE(T298,設定!$B$8))</f>
        <v/>
      </c>
      <c r="AI298" s="17"/>
      <c r="AJ298" s="17"/>
      <c r="AK298" s="22"/>
      <c r="AL298" s="23" t="str">
        <f aca="true">IF(C298="","",IF(N298="失注","―",IF(AND(AK298&lt;&gt;"",AK298&lt;TODAY()),"対応期限超過",IF(AND(AF298="",AA298&lt;&gt;"",IF(AA298="",FALSE(),AA298&lt;TODAY())),"納品遅延",IF(AND(AK298&lt;&gt;"",AK298=TODAY()),"本日対応",IF(AND(S298="全開通",X298="",AF298=""),"ヒアリング依頼待ち",IF(AND(X298&lt;&gt;"",Y298="",Z298="",TODAY()-X298&gt;=設定!$B$6),"ヒアリング未回収",IF(AND(Y298&lt;&gt;"",Z298=""),"素材確認待ち",IF(AND(AF298="",AA298&lt;&gt;"",IF(AA298="",FALSE(),AA298-TODAY()&lt;=設定!$B$7)),"納品間近",IF(AND(AH298&lt;&gt;"",IF(AH298="",FALSE(),AH298&lt;=TODAY()),AI298=""),"解約チェック",IF(AF298&lt;&gt;"","納品済","")))))))))))</f>
        <v/>
      </c>
      <c r="AM298" s="17"/>
    </row>
    <row r="299" customFormat="false" ht="15" hidden="false" customHeight="false" outlineLevel="0" collapsed="false">
      <c r="A299" s="12" t="str">
        <f aca="false">IF(C299="","",ROW()-4)</f>
        <v/>
      </c>
      <c r="B299" s="17"/>
      <c r="C299" s="17"/>
      <c r="D299" s="17"/>
      <c r="E299" s="17"/>
      <c r="F299" s="24"/>
      <c r="G299" s="17"/>
      <c r="H299" s="17"/>
      <c r="I299" s="17"/>
      <c r="J299" s="17"/>
      <c r="K299" s="17"/>
      <c r="L299" s="22"/>
      <c r="M299" s="22"/>
      <c r="N299" s="17"/>
      <c r="O299" s="17"/>
      <c r="P299" s="17"/>
      <c r="Q299" s="18" t="str">
        <f aca="false">IF(B299="","",COUNTIFS(開通管理!$B$5:$B$604,B299,開通管理!$O$5:$O$604,"&lt;&gt;キャンセル"))</f>
        <v/>
      </c>
      <c r="R299" s="18" t="str">
        <f aca="false">IF(B299="","",COUNTIFS(開通管理!$B$5:$B$604,B299,開通管理!$O$5:$O$604,"開通済"))</f>
        <v/>
      </c>
      <c r="S299" s="19" t="str">
        <f aca="false">IF(B299="","",IF(Q299=0,"未申込",IF(R299&lt;Q299,"開通待ち（"&amp;R299&amp;"/"&amp;Q299&amp;"）","全開通")))</f>
        <v/>
      </c>
      <c r="T299" s="20" t="str">
        <f aca="false">IF(S299&lt;&gt;"全開通","",_xlfn.MAXIFS(開通管理!$Q$5:$Q$604,開通管理!$B$5:$B$604,B299))</f>
        <v/>
      </c>
      <c r="U299" s="21" t="str">
        <f aca="false">IF(B299="","",SUMIFS(開通管理!$J$5:$J$604,開通管理!$B$5:$B$604,B299,開通管理!$O$5:$O$604,"&lt;&gt;キャンセル"))</f>
        <v/>
      </c>
      <c r="V299" s="22"/>
      <c r="W299" s="12" t="str">
        <f aca="false">IF(OR(B299="",設定!$B$14=""),"",SUBSTITUTE(設定!$B$14,"__ID__",B299))</f>
        <v/>
      </c>
      <c r="X299" s="22"/>
      <c r="Y299" s="22"/>
      <c r="Z299" s="22"/>
      <c r="AA299" s="20" t="str">
        <f aca="false">IF(Z299="","",WORKDAY(Z299,設定!$B$5,設定!$F$5:$F$120))</f>
        <v/>
      </c>
      <c r="AB299" s="17"/>
      <c r="AC299" s="17"/>
      <c r="AD299" s="17"/>
      <c r="AE299" s="17"/>
      <c r="AF299" s="22"/>
      <c r="AG299" s="17"/>
      <c r="AH299" s="20" t="str">
        <f aca="false">IF(T299="","",EDATE(T299,設定!$B$8))</f>
        <v/>
      </c>
      <c r="AI299" s="17"/>
      <c r="AJ299" s="17"/>
      <c r="AK299" s="22"/>
      <c r="AL299" s="23" t="str">
        <f aca="true">IF(C299="","",IF(N299="失注","―",IF(AND(AK299&lt;&gt;"",AK299&lt;TODAY()),"対応期限超過",IF(AND(AF299="",AA299&lt;&gt;"",IF(AA299="",FALSE(),AA299&lt;TODAY())),"納品遅延",IF(AND(AK299&lt;&gt;"",AK299=TODAY()),"本日対応",IF(AND(S299="全開通",X299="",AF299=""),"ヒアリング依頼待ち",IF(AND(X299&lt;&gt;"",Y299="",Z299="",TODAY()-X299&gt;=設定!$B$6),"ヒアリング未回収",IF(AND(Y299&lt;&gt;"",Z299=""),"素材確認待ち",IF(AND(AF299="",AA299&lt;&gt;"",IF(AA299="",FALSE(),AA299-TODAY()&lt;=設定!$B$7)),"納品間近",IF(AND(AH299&lt;&gt;"",IF(AH299="",FALSE(),AH299&lt;=TODAY()),AI299=""),"解約チェック",IF(AF299&lt;&gt;"","納品済","")))))))))))</f>
        <v/>
      </c>
      <c r="AM299" s="17"/>
    </row>
    <row r="300" customFormat="false" ht="15" hidden="false" customHeight="false" outlineLevel="0" collapsed="false">
      <c r="A300" s="12" t="str">
        <f aca="false">IF(C300="","",ROW()-4)</f>
        <v/>
      </c>
      <c r="B300" s="17"/>
      <c r="C300" s="17"/>
      <c r="D300" s="17"/>
      <c r="E300" s="17"/>
      <c r="F300" s="24"/>
      <c r="G300" s="17"/>
      <c r="H300" s="17"/>
      <c r="I300" s="17"/>
      <c r="J300" s="17"/>
      <c r="K300" s="17"/>
      <c r="L300" s="22"/>
      <c r="M300" s="22"/>
      <c r="N300" s="17"/>
      <c r="O300" s="17"/>
      <c r="P300" s="17"/>
      <c r="Q300" s="18" t="str">
        <f aca="false">IF(B300="","",COUNTIFS(開通管理!$B$5:$B$604,B300,開通管理!$O$5:$O$604,"&lt;&gt;キャンセル"))</f>
        <v/>
      </c>
      <c r="R300" s="18" t="str">
        <f aca="false">IF(B300="","",COUNTIFS(開通管理!$B$5:$B$604,B300,開通管理!$O$5:$O$604,"開通済"))</f>
        <v/>
      </c>
      <c r="S300" s="19" t="str">
        <f aca="false">IF(B300="","",IF(Q300=0,"未申込",IF(R300&lt;Q300,"開通待ち（"&amp;R300&amp;"/"&amp;Q300&amp;"）","全開通")))</f>
        <v/>
      </c>
      <c r="T300" s="20" t="str">
        <f aca="false">IF(S300&lt;&gt;"全開通","",_xlfn.MAXIFS(開通管理!$Q$5:$Q$604,開通管理!$B$5:$B$604,B300))</f>
        <v/>
      </c>
      <c r="U300" s="21" t="str">
        <f aca="false">IF(B300="","",SUMIFS(開通管理!$J$5:$J$604,開通管理!$B$5:$B$604,B300,開通管理!$O$5:$O$604,"&lt;&gt;キャンセル"))</f>
        <v/>
      </c>
      <c r="V300" s="22"/>
      <c r="W300" s="12" t="str">
        <f aca="false">IF(OR(B300="",設定!$B$14=""),"",SUBSTITUTE(設定!$B$14,"__ID__",B300))</f>
        <v/>
      </c>
      <c r="X300" s="22"/>
      <c r="Y300" s="22"/>
      <c r="Z300" s="22"/>
      <c r="AA300" s="20" t="str">
        <f aca="false">IF(Z300="","",WORKDAY(Z300,設定!$B$5,設定!$F$5:$F$120))</f>
        <v/>
      </c>
      <c r="AB300" s="17"/>
      <c r="AC300" s="17"/>
      <c r="AD300" s="17"/>
      <c r="AE300" s="17"/>
      <c r="AF300" s="22"/>
      <c r="AG300" s="17"/>
      <c r="AH300" s="20" t="str">
        <f aca="false">IF(T300="","",EDATE(T300,設定!$B$8))</f>
        <v/>
      </c>
      <c r="AI300" s="17"/>
      <c r="AJ300" s="17"/>
      <c r="AK300" s="22"/>
      <c r="AL300" s="23" t="str">
        <f aca="true">IF(C300="","",IF(N300="失注","―",IF(AND(AK300&lt;&gt;"",AK300&lt;TODAY()),"対応期限超過",IF(AND(AF300="",AA300&lt;&gt;"",IF(AA300="",FALSE(),AA300&lt;TODAY())),"納品遅延",IF(AND(AK300&lt;&gt;"",AK300=TODAY()),"本日対応",IF(AND(S300="全開通",X300="",AF300=""),"ヒアリング依頼待ち",IF(AND(X300&lt;&gt;"",Y300="",Z300="",TODAY()-X300&gt;=設定!$B$6),"ヒアリング未回収",IF(AND(Y300&lt;&gt;"",Z300=""),"素材確認待ち",IF(AND(AF300="",AA300&lt;&gt;"",IF(AA300="",FALSE(),AA300-TODAY()&lt;=設定!$B$7)),"納品間近",IF(AND(AH300&lt;&gt;"",IF(AH300="",FALSE(),AH300&lt;=TODAY()),AI300=""),"解約チェック",IF(AF300&lt;&gt;"","納品済","")))))))))))</f>
        <v/>
      </c>
      <c r="AM300" s="17"/>
    </row>
    <row r="301" customFormat="false" ht="15" hidden="false" customHeight="false" outlineLevel="0" collapsed="false">
      <c r="A301" s="12" t="str">
        <f aca="false">IF(C301="","",ROW()-4)</f>
        <v/>
      </c>
      <c r="B301" s="17"/>
      <c r="C301" s="17"/>
      <c r="D301" s="17"/>
      <c r="E301" s="17"/>
      <c r="F301" s="24"/>
      <c r="G301" s="17"/>
      <c r="H301" s="17"/>
      <c r="I301" s="17"/>
      <c r="J301" s="17"/>
      <c r="K301" s="17"/>
      <c r="L301" s="22"/>
      <c r="M301" s="22"/>
      <c r="N301" s="17"/>
      <c r="O301" s="17"/>
      <c r="P301" s="17"/>
      <c r="Q301" s="18" t="str">
        <f aca="false">IF(B301="","",COUNTIFS(開通管理!$B$5:$B$604,B301,開通管理!$O$5:$O$604,"&lt;&gt;キャンセル"))</f>
        <v/>
      </c>
      <c r="R301" s="18" t="str">
        <f aca="false">IF(B301="","",COUNTIFS(開通管理!$B$5:$B$604,B301,開通管理!$O$5:$O$604,"開通済"))</f>
        <v/>
      </c>
      <c r="S301" s="19" t="str">
        <f aca="false">IF(B301="","",IF(Q301=0,"未申込",IF(R301&lt;Q301,"開通待ち（"&amp;R301&amp;"/"&amp;Q301&amp;"）","全開通")))</f>
        <v/>
      </c>
      <c r="T301" s="20" t="str">
        <f aca="false">IF(S301&lt;&gt;"全開通","",_xlfn.MAXIFS(開通管理!$Q$5:$Q$604,開通管理!$B$5:$B$604,B301))</f>
        <v/>
      </c>
      <c r="U301" s="21" t="str">
        <f aca="false">IF(B301="","",SUMIFS(開通管理!$J$5:$J$604,開通管理!$B$5:$B$604,B301,開通管理!$O$5:$O$604,"&lt;&gt;キャンセル"))</f>
        <v/>
      </c>
      <c r="V301" s="22"/>
      <c r="W301" s="12" t="str">
        <f aca="false">IF(OR(B301="",設定!$B$14=""),"",SUBSTITUTE(設定!$B$14,"__ID__",B301))</f>
        <v/>
      </c>
      <c r="X301" s="22"/>
      <c r="Y301" s="22"/>
      <c r="Z301" s="22"/>
      <c r="AA301" s="20" t="str">
        <f aca="false">IF(Z301="","",WORKDAY(Z301,設定!$B$5,設定!$F$5:$F$120))</f>
        <v/>
      </c>
      <c r="AB301" s="17"/>
      <c r="AC301" s="17"/>
      <c r="AD301" s="17"/>
      <c r="AE301" s="17"/>
      <c r="AF301" s="22"/>
      <c r="AG301" s="17"/>
      <c r="AH301" s="20" t="str">
        <f aca="false">IF(T301="","",EDATE(T301,設定!$B$8))</f>
        <v/>
      </c>
      <c r="AI301" s="17"/>
      <c r="AJ301" s="17"/>
      <c r="AK301" s="22"/>
      <c r="AL301" s="23" t="str">
        <f aca="true">IF(C301="","",IF(N301="失注","―",IF(AND(AK301&lt;&gt;"",AK301&lt;TODAY()),"対応期限超過",IF(AND(AF301="",AA301&lt;&gt;"",IF(AA301="",FALSE(),AA301&lt;TODAY())),"納品遅延",IF(AND(AK301&lt;&gt;"",AK301=TODAY()),"本日対応",IF(AND(S301="全開通",X301="",AF301=""),"ヒアリング依頼待ち",IF(AND(X301&lt;&gt;"",Y301="",Z301="",TODAY()-X301&gt;=設定!$B$6),"ヒアリング未回収",IF(AND(Y301&lt;&gt;"",Z301=""),"素材確認待ち",IF(AND(AF301="",AA301&lt;&gt;"",IF(AA301="",FALSE(),AA301-TODAY()&lt;=設定!$B$7)),"納品間近",IF(AND(AH301&lt;&gt;"",IF(AH301="",FALSE(),AH301&lt;=TODAY()),AI301=""),"解約チェック",IF(AF301&lt;&gt;"","納品済","")))))))))))</f>
        <v/>
      </c>
      <c r="AM301" s="17"/>
    </row>
    <row r="302" customFormat="false" ht="15" hidden="false" customHeight="false" outlineLevel="0" collapsed="false">
      <c r="A302" s="12" t="str">
        <f aca="false">IF(C302="","",ROW()-4)</f>
        <v/>
      </c>
      <c r="B302" s="17"/>
      <c r="C302" s="17"/>
      <c r="D302" s="17"/>
      <c r="E302" s="17"/>
      <c r="F302" s="24"/>
      <c r="G302" s="17"/>
      <c r="H302" s="17"/>
      <c r="I302" s="17"/>
      <c r="J302" s="17"/>
      <c r="K302" s="17"/>
      <c r="L302" s="22"/>
      <c r="M302" s="22"/>
      <c r="N302" s="17"/>
      <c r="O302" s="17"/>
      <c r="P302" s="17"/>
      <c r="Q302" s="18" t="str">
        <f aca="false">IF(B302="","",COUNTIFS(開通管理!$B$5:$B$604,B302,開通管理!$O$5:$O$604,"&lt;&gt;キャンセル"))</f>
        <v/>
      </c>
      <c r="R302" s="18" t="str">
        <f aca="false">IF(B302="","",COUNTIFS(開通管理!$B$5:$B$604,B302,開通管理!$O$5:$O$604,"開通済"))</f>
        <v/>
      </c>
      <c r="S302" s="19" t="str">
        <f aca="false">IF(B302="","",IF(Q302=0,"未申込",IF(R302&lt;Q302,"開通待ち（"&amp;R302&amp;"/"&amp;Q302&amp;"）","全開通")))</f>
        <v/>
      </c>
      <c r="T302" s="20" t="str">
        <f aca="false">IF(S302&lt;&gt;"全開通","",_xlfn.MAXIFS(開通管理!$Q$5:$Q$604,開通管理!$B$5:$B$604,B302))</f>
        <v/>
      </c>
      <c r="U302" s="21" t="str">
        <f aca="false">IF(B302="","",SUMIFS(開通管理!$J$5:$J$604,開通管理!$B$5:$B$604,B302,開通管理!$O$5:$O$604,"&lt;&gt;キャンセル"))</f>
        <v/>
      </c>
      <c r="V302" s="22"/>
      <c r="W302" s="12" t="str">
        <f aca="false">IF(OR(B302="",設定!$B$14=""),"",SUBSTITUTE(設定!$B$14,"__ID__",B302))</f>
        <v/>
      </c>
      <c r="X302" s="22"/>
      <c r="Y302" s="22"/>
      <c r="Z302" s="22"/>
      <c r="AA302" s="20" t="str">
        <f aca="false">IF(Z302="","",WORKDAY(Z302,設定!$B$5,設定!$F$5:$F$120))</f>
        <v/>
      </c>
      <c r="AB302" s="17"/>
      <c r="AC302" s="17"/>
      <c r="AD302" s="17"/>
      <c r="AE302" s="17"/>
      <c r="AF302" s="22"/>
      <c r="AG302" s="17"/>
      <c r="AH302" s="20" t="str">
        <f aca="false">IF(T302="","",EDATE(T302,設定!$B$8))</f>
        <v/>
      </c>
      <c r="AI302" s="17"/>
      <c r="AJ302" s="17"/>
      <c r="AK302" s="22"/>
      <c r="AL302" s="23" t="str">
        <f aca="true">IF(C302="","",IF(N302="失注","―",IF(AND(AK302&lt;&gt;"",AK302&lt;TODAY()),"対応期限超過",IF(AND(AF302="",AA302&lt;&gt;"",IF(AA302="",FALSE(),AA302&lt;TODAY())),"納品遅延",IF(AND(AK302&lt;&gt;"",AK302=TODAY()),"本日対応",IF(AND(S302="全開通",X302="",AF302=""),"ヒアリング依頼待ち",IF(AND(X302&lt;&gt;"",Y302="",Z302="",TODAY()-X302&gt;=設定!$B$6),"ヒアリング未回収",IF(AND(Y302&lt;&gt;"",Z302=""),"素材確認待ち",IF(AND(AF302="",AA302&lt;&gt;"",IF(AA302="",FALSE(),AA302-TODAY()&lt;=設定!$B$7)),"納品間近",IF(AND(AH302&lt;&gt;"",IF(AH302="",FALSE(),AH302&lt;=TODAY()),AI302=""),"解約チェック",IF(AF302&lt;&gt;"","納品済","")))))))))))</f>
        <v/>
      </c>
      <c r="AM302" s="17"/>
    </row>
    <row r="303" customFormat="false" ht="15" hidden="false" customHeight="false" outlineLevel="0" collapsed="false">
      <c r="A303" s="12" t="str">
        <f aca="false">IF(C303="","",ROW()-4)</f>
        <v/>
      </c>
      <c r="B303" s="17"/>
      <c r="C303" s="17"/>
      <c r="D303" s="17"/>
      <c r="E303" s="17"/>
      <c r="F303" s="24"/>
      <c r="G303" s="17"/>
      <c r="H303" s="17"/>
      <c r="I303" s="17"/>
      <c r="J303" s="17"/>
      <c r="K303" s="17"/>
      <c r="L303" s="22"/>
      <c r="M303" s="22"/>
      <c r="N303" s="17"/>
      <c r="O303" s="17"/>
      <c r="P303" s="17"/>
      <c r="Q303" s="18" t="str">
        <f aca="false">IF(B303="","",COUNTIFS(開通管理!$B$5:$B$604,B303,開通管理!$O$5:$O$604,"&lt;&gt;キャンセル"))</f>
        <v/>
      </c>
      <c r="R303" s="18" t="str">
        <f aca="false">IF(B303="","",COUNTIFS(開通管理!$B$5:$B$604,B303,開通管理!$O$5:$O$604,"開通済"))</f>
        <v/>
      </c>
      <c r="S303" s="19" t="str">
        <f aca="false">IF(B303="","",IF(Q303=0,"未申込",IF(R303&lt;Q303,"開通待ち（"&amp;R303&amp;"/"&amp;Q303&amp;"）","全開通")))</f>
        <v/>
      </c>
      <c r="T303" s="20" t="str">
        <f aca="false">IF(S303&lt;&gt;"全開通","",_xlfn.MAXIFS(開通管理!$Q$5:$Q$604,開通管理!$B$5:$B$604,B303))</f>
        <v/>
      </c>
      <c r="U303" s="21" t="str">
        <f aca="false">IF(B303="","",SUMIFS(開通管理!$J$5:$J$604,開通管理!$B$5:$B$604,B303,開通管理!$O$5:$O$604,"&lt;&gt;キャンセル"))</f>
        <v/>
      </c>
      <c r="V303" s="22"/>
      <c r="W303" s="12" t="str">
        <f aca="false">IF(OR(B303="",設定!$B$14=""),"",SUBSTITUTE(設定!$B$14,"__ID__",B303))</f>
        <v/>
      </c>
      <c r="X303" s="22"/>
      <c r="Y303" s="22"/>
      <c r="Z303" s="22"/>
      <c r="AA303" s="20" t="str">
        <f aca="false">IF(Z303="","",WORKDAY(Z303,設定!$B$5,設定!$F$5:$F$120))</f>
        <v/>
      </c>
      <c r="AB303" s="17"/>
      <c r="AC303" s="17"/>
      <c r="AD303" s="17"/>
      <c r="AE303" s="17"/>
      <c r="AF303" s="22"/>
      <c r="AG303" s="17"/>
      <c r="AH303" s="20" t="str">
        <f aca="false">IF(T303="","",EDATE(T303,設定!$B$8))</f>
        <v/>
      </c>
      <c r="AI303" s="17"/>
      <c r="AJ303" s="17"/>
      <c r="AK303" s="22"/>
      <c r="AL303" s="23" t="str">
        <f aca="true">IF(C303="","",IF(N303="失注","―",IF(AND(AK303&lt;&gt;"",AK303&lt;TODAY()),"対応期限超過",IF(AND(AF303="",AA303&lt;&gt;"",IF(AA303="",FALSE(),AA303&lt;TODAY())),"納品遅延",IF(AND(AK303&lt;&gt;"",AK303=TODAY()),"本日対応",IF(AND(S303="全開通",X303="",AF303=""),"ヒアリング依頼待ち",IF(AND(X303&lt;&gt;"",Y303="",Z303="",TODAY()-X303&gt;=設定!$B$6),"ヒアリング未回収",IF(AND(Y303&lt;&gt;"",Z303=""),"素材確認待ち",IF(AND(AF303="",AA303&lt;&gt;"",IF(AA303="",FALSE(),AA303-TODAY()&lt;=設定!$B$7)),"納品間近",IF(AND(AH303&lt;&gt;"",IF(AH303="",FALSE(),AH303&lt;=TODAY()),AI303=""),"解約チェック",IF(AF303&lt;&gt;"","納品済","")))))))))))</f>
        <v/>
      </c>
      <c r="AM303" s="17"/>
    </row>
    <row r="304" customFormat="false" ht="15" hidden="false" customHeight="false" outlineLevel="0" collapsed="false">
      <c r="A304" s="12" t="str">
        <f aca="false">IF(C304="","",ROW()-4)</f>
        <v/>
      </c>
      <c r="B304" s="17"/>
      <c r="C304" s="17"/>
      <c r="D304" s="17"/>
      <c r="E304" s="17"/>
      <c r="F304" s="24"/>
      <c r="G304" s="17"/>
      <c r="H304" s="17"/>
      <c r="I304" s="17"/>
      <c r="J304" s="17"/>
      <c r="K304" s="17"/>
      <c r="L304" s="22"/>
      <c r="M304" s="22"/>
      <c r="N304" s="17"/>
      <c r="O304" s="17"/>
      <c r="P304" s="17"/>
      <c r="Q304" s="18" t="str">
        <f aca="false">IF(B304="","",COUNTIFS(開通管理!$B$5:$B$604,B304,開通管理!$O$5:$O$604,"&lt;&gt;キャンセル"))</f>
        <v/>
      </c>
      <c r="R304" s="18" t="str">
        <f aca="false">IF(B304="","",COUNTIFS(開通管理!$B$5:$B$604,B304,開通管理!$O$5:$O$604,"開通済"))</f>
        <v/>
      </c>
      <c r="S304" s="19" t="str">
        <f aca="false">IF(B304="","",IF(Q304=0,"未申込",IF(R304&lt;Q304,"開通待ち（"&amp;R304&amp;"/"&amp;Q304&amp;"）","全開通")))</f>
        <v/>
      </c>
      <c r="T304" s="20" t="str">
        <f aca="false">IF(S304&lt;&gt;"全開通","",_xlfn.MAXIFS(開通管理!$Q$5:$Q$604,開通管理!$B$5:$B$604,B304))</f>
        <v/>
      </c>
      <c r="U304" s="21" t="str">
        <f aca="false">IF(B304="","",SUMIFS(開通管理!$J$5:$J$604,開通管理!$B$5:$B$604,B304,開通管理!$O$5:$O$604,"&lt;&gt;キャンセル"))</f>
        <v/>
      </c>
      <c r="V304" s="22"/>
      <c r="W304" s="12" t="str">
        <f aca="false">IF(OR(B304="",設定!$B$14=""),"",SUBSTITUTE(設定!$B$14,"__ID__",B304))</f>
        <v/>
      </c>
      <c r="X304" s="22"/>
      <c r="Y304" s="22"/>
      <c r="Z304" s="22"/>
      <c r="AA304" s="20" t="str">
        <f aca="false">IF(Z304="","",WORKDAY(Z304,設定!$B$5,設定!$F$5:$F$120))</f>
        <v/>
      </c>
      <c r="AB304" s="17"/>
      <c r="AC304" s="17"/>
      <c r="AD304" s="17"/>
      <c r="AE304" s="17"/>
      <c r="AF304" s="22"/>
      <c r="AG304" s="17"/>
      <c r="AH304" s="20" t="str">
        <f aca="false">IF(T304="","",EDATE(T304,設定!$B$8))</f>
        <v/>
      </c>
      <c r="AI304" s="17"/>
      <c r="AJ304" s="17"/>
      <c r="AK304" s="22"/>
      <c r="AL304" s="23" t="str">
        <f aca="true">IF(C304="","",IF(N304="失注","―",IF(AND(AK304&lt;&gt;"",AK304&lt;TODAY()),"対応期限超過",IF(AND(AF304="",AA304&lt;&gt;"",IF(AA304="",FALSE(),AA304&lt;TODAY())),"納品遅延",IF(AND(AK304&lt;&gt;"",AK304=TODAY()),"本日対応",IF(AND(S304="全開通",X304="",AF304=""),"ヒアリング依頼待ち",IF(AND(X304&lt;&gt;"",Y304="",Z304="",TODAY()-X304&gt;=設定!$B$6),"ヒアリング未回収",IF(AND(Y304&lt;&gt;"",Z304=""),"素材確認待ち",IF(AND(AF304="",AA304&lt;&gt;"",IF(AA304="",FALSE(),AA304-TODAY()&lt;=設定!$B$7)),"納品間近",IF(AND(AH304&lt;&gt;"",IF(AH304="",FALSE(),AH304&lt;=TODAY()),AI304=""),"解約チェック",IF(AF304&lt;&gt;"","納品済","")))))))))))</f>
        <v/>
      </c>
      <c r="AM304" s="17"/>
    </row>
  </sheetData>
  <autoFilter ref="A4:AM304"/>
  <mergeCells count="6">
    <mergeCell ref="A3:I3"/>
    <mergeCell ref="J3:P3"/>
    <mergeCell ref="Q3:U3"/>
    <mergeCell ref="V3:AG3"/>
    <mergeCell ref="AH3:AI3"/>
    <mergeCell ref="AJ3:AM3"/>
  </mergeCells>
  <conditionalFormatting sqref="AL5:AL304">
    <cfRule type="expression" priority="2" aboveAverage="0" equalAverage="0" bottom="0" percent="0" rank="0" text="" dxfId="8">
      <formula>AL5="対応期限超過"</formula>
    </cfRule>
    <cfRule type="expression" priority="3" aboveAverage="0" equalAverage="0" bottom="0" percent="0" rank="0" text="" dxfId="9">
      <formula>AL5="納品遅延"</formula>
    </cfRule>
    <cfRule type="expression" priority="4" aboveAverage="0" equalAverage="0" bottom="0" percent="0" rank="0" text="" dxfId="10">
      <formula>AL5="本日対応"</formula>
    </cfRule>
    <cfRule type="expression" priority="5" aboveAverage="0" equalAverage="0" bottom="0" percent="0" rank="0" text="" dxfId="11">
      <formula>AL5="ヒアリング依頼待ち"</formula>
    </cfRule>
    <cfRule type="expression" priority="6" aboveAverage="0" equalAverage="0" bottom="0" percent="0" rank="0" text="" dxfId="12">
      <formula>AL5="ヒアリング未回収"</formula>
    </cfRule>
    <cfRule type="expression" priority="7" aboveAverage="0" equalAverage="0" bottom="0" percent="0" rank="0" text="" dxfId="13">
      <formula>AL5="素材確認待ち"</formula>
    </cfRule>
    <cfRule type="expression" priority="8" aboveAverage="0" equalAverage="0" bottom="0" percent="0" rank="0" text="" dxfId="14">
      <formula>AL5="納品間近"</formula>
    </cfRule>
    <cfRule type="expression" priority="9" aboveAverage="0" equalAverage="0" bottom="0" percent="0" rank="0" text="" dxfId="15">
      <formula>AL5="解約チェック"</formula>
    </cfRule>
    <cfRule type="expression" priority="10" aboveAverage="0" equalAverage="0" bottom="0" percent="0" rank="0" text="" dxfId="16">
      <formula>AL5="納品済"</formula>
    </cfRule>
  </conditionalFormatting>
  <conditionalFormatting sqref="S5:S304">
    <cfRule type="expression" priority="11" aboveAverage="0" equalAverage="0" bottom="0" percent="0" rank="0" text="" dxfId="17">
      <formula>S5="全開通"</formula>
    </cfRule>
    <cfRule type="expression" priority="12" aboveAverage="0" equalAverage="0" bottom="0" percent="0" rank="0" text="" dxfId="18">
      <formula>S5="未申込"</formula>
    </cfRule>
    <cfRule type="expression" priority="13" aboveAverage="0" equalAverage="0" bottom="0" percent="0" rank="0" text="" dxfId="19">
      <formula>LEFT(S5,4)="開通待ち"</formula>
    </cfRule>
  </conditionalFormatting>
  <conditionalFormatting sqref="A5:AM304">
    <cfRule type="expression" priority="14" aboveAverage="0" equalAverage="0" bottom="0" percent="0" rank="0" text="" dxfId="20">
      <formula>$N5="失注"</formula>
    </cfRule>
  </conditionalFormatting>
  <dataValidations count="10">
    <dataValidation allowBlank="true" errorStyle="stop" operator="between" showDropDown="false" showErrorMessage="false" showInputMessage="false" sqref="E5:E304" type="list">
      <formula1>マスタ!$H$2:$H$30</formula1>
      <formula2>0</formula2>
    </dataValidation>
    <dataValidation allowBlank="true" errorStyle="stop" operator="between" showDropDown="false" showErrorMessage="false" showInputMessage="false" sqref="J5:J304" type="list">
      <formula1>マスタ!$G$2:$G$30</formula1>
      <formula2>0</formula2>
    </dataValidation>
    <dataValidation allowBlank="true" errorStyle="stop" operator="between" showDropDown="false" showErrorMessage="false" showInputMessage="false" sqref="K5:K304" type="list">
      <formula1>マスタ!$F$2:$F$30</formula1>
      <formula2>0</formula2>
    </dataValidation>
    <dataValidation allowBlank="true" errorStyle="stop" operator="between" showDropDown="false" showErrorMessage="false" showInputMessage="false" sqref="N5:N304" type="list">
      <formula1>マスタ!$A$2:$A$30</formula1>
      <formula2>0</formula2>
    </dataValidation>
    <dataValidation allowBlank="true" errorStyle="stop" operator="between" showDropDown="false" showErrorMessage="false" showInputMessage="false" sqref="P5:P304" type="list">
      <formula1>マスタ!$E$2:$E$30</formula1>
      <formula2>0</formula2>
    </dataValidation>
    <dataValidation allowBlank="true" errorStyle="stop" operator="between" showDropDown="false" showErrorMessage="false" showInputMessage="false" sqref="AB5:AB304" type="list">
      <formula1>マスタ!$C$2:$C$30</formula1>
      <formula2>0</formula2>
    </dataValidation>
    <dataValidation allowBlank="true" errorStyle="stop" operator="between" showDropDown="false" showErrorMessage="false" showInputMessage="false" sqref="AC5:AC304" type="list">
      <formula1>マスタ!$F$2:$F$30</formula1>
      <formula2>0</formula2>
    </dataValidation>
    <dataValidation allowBlank="true" errorStyle="stop" operator="between" showDropDown="false" showErrorMessage="false" showInputMessage="false" sqref="AI5:AI304" type="list">
      <formula1>マスタ!$I$2:$I$30</formula1>
      <formula2>0</formula2>
    </dataValidation>
    <dataValidation allowBlank="true" errorStyle="stop" operator="between" showDropDown="false" showErrorMessage="false" showInputMessage="false" sqref="AE5:AE304" type="list">
      <formula1>マスタ!$J$2:$J$30</formula1>
      <formula2>0</formula2>
    </dataValidation>
    <dataValidation allowBlank="true" error="日付を入力してください（例：2026/11/01）" errorStyle="stop" errorTitle="入力エラー" operator="greaterThan" showDropDown="false" showErrorMessage="false" showInputMessage="false" sqref="L5:M304 V5:V304 X5:Z304 AF5:AF304 AK5:AK304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20" min="19" style="0" width="11"/>
    <col collapsed="false" customWidth="true" hidden="false" outlineLevel="0" max="21" min="21" style="0" width="22"/>
    <col collapsed="false" customWidth="true" hidden="false" outlineLevel="0" max="22" min="22" style="0" width="11"/>
    <col collapsed="false" customWidth="true" hidden="false" outlineLevel="0" max="23" min="23" style="0" width="14"/>
    <col collapsed="false" customWidth="true" hidden="false" outlineLevel="0" max="24" min="24" style="0" width="24"/>
  </cols>
  <sheetData>
    <row r="1" customFormat="false" ht="20.85" hidden="false" customHeight="false" outlineLevel="0" collapsed="false">
      <c r="A1" s="1" t="s">
        <v>98</v>
      </c>
    </row>
    <row r="2" customFormat="false" ht="15" hidden="false" customHeight="false" outlineLevel="0" collapsed="false">
      <c r="A2" s="6" t="s">
        <v>99</v>
      </c>
    </row>
    <row r="3" customFormat="false" ht="15" hidden="false" customHeight="true" outlineLevel="0" collapsed="false">
      <c r="A3" s="7" t="s">
        <v>100</v>
      </c>
      <c r="B3" s="7"/>
      <c r="C3" s="7"/>
      <c r="D3" s="7"/>
      <c r="E3" s="7"/>
      <c r="F3" s="7" t="s">
        <v>101</v>
      </c>
      <c r="G3" s="7"/>
      <c r="H3" s="7"/>
      <c r="I3" s="7"/>
      <c r="J3" s="7"/>
      <c r="K3" s="7"/>
      <c r="L3" s="7"/>
      <c r="M3" s="7"/>
      <c r="N3" s="7" t="s">
        <v>102</v>
      </c>
      <c r="O3" s="7"/>
      <c r="P3" s="7"/>
      <c r="Q3" s="7"/>
      <c r="R3" s="7"/>
      <c r="S3" s="7" t="s">
        <v>103</v>
      </c>
      <c r="T3" s="7"/>
      <c r="U3" s="7" t="s">
        <v>41</v>
      </c>
      <c r="V3" s="7"/>
      <c r="W3" s="7"/>
      <c r="X3" s="7"/>
    </row>
    <row r="4" customFormat="false" ht="33.75" hidden="false" customHeight="true" outlineLevel="0" collapsed="false">
      <c r="A4" s="8" t="s">
        <v>42</v>
      </c>
      <c r="B4" s="9" t="s">
        <v>43</v>
      </c>
      <c r="C4" s="10" t="s">
        <v>44</v>
      </c>
      <c r="D4" s="10" t="s">
        <v>52</v>
      </c>
      <c r="E4" s="9" t="s">
        <v>104</v>
      </c>
      <c r="F4" s="9" t="s">
        <v>105</v>
      </c>
      <c r="G4" s="9" t="s">
        <v>106</v>
      </c>
      <c r="H4" s="9" t="s">
        <v>107</v>
      </c>
      <c r="I4" s="9" t="s">
        <v>108</v>
      </c>
      <c r="J4" s="10" t="s">
        <v>62</v>
      </c>
      <c r="K4" s="10" t="s">
        <v>109</v>
      </c>
      <c r="L4" s="9" t="s">
        <v>110</v>
      </c>
      <c r="M4" s="10" t="s">
        <v>111</v>
      </c>
      <c r="N4" s="9" t="s">
        <v>112</v>
      </c>
      <c r="O4" s="9" t="s">
        <v>113</v>
      </c>
      <c r="P4" s="9" t="s">
        <v>114</v>
      </c>
      <c r="Q4" s="9" t="s">
        <v>115</v>
      </c>
      <c r="R4" s="10" t="s">
        <v>116</v>
      </c>
      <c r="S4" s="9" t="s">
        <v>117</v>
      </c>
      <c r="T4" s="9" t="s">
        <v>118</v>
      </c>
      <c r="U4" s="9" t="s">
        <v>77</v>
      </c>
      <c r="V4" s="9" t="s">
        <v>78</v>
      </c>
      <c r="W4" s="10" t="s">
        <v>79</v>
      </c>
      <c r="X4" s="9" t="s">
        <v>80</v>
      </c>
    </row>
    <row r="5" customFormat="false" ht="15" hidden="false" customHeight="false" outlineLevel="0" collapsed="false">
      <c r="A5" s="12" t="n">
        <f aca="false">IF(B5="","",ROW()-4)</f>
        <v>1</v>
      </c>
      <c r="B5" s="13" t="s">
        <v>81</v>
      </c>
      <c r="C5" s="19" t="str">
        <f aca="false">IF(B5="","",IFERROR(INDEX(顧客一覧!$C$5:$C$304,MATCH(B5,顧客一覧!$B$5:$B$304,0)),"※ID未登録"))</f>
        <v>（記入例）〇〇整骨院</v>
      </c>
      <c r="D5" s="12" t="str">
        <f aca="false">IF(B5="","",IFERROR(INDEX(顧客一覧!$K$5:$K$304,MATCH(B5,顧客一覧!$B$5:$B$304,0))&amp;"",""))</f>
        <v>山田</v>
      </c>
      <c r="E5" s="14" t="s">
        <v>119</v>
      </c>
      <c r="F5" s="14" t="s">
        <v>120</v>
      </c>
      <c r="G5" s="25" t="n">
        <v>18500</v>
      </c>
      <c r="H5" s="14" t="s">
        <v>121</v>
      </c>
      <c r="I5" s="25" t="n">
        <v>16200</v>
      </c>
      <c r="J5" s="26" t="n">
        <f aca="false">IF(OR(G5="",I5=""),"",G5-I5)</f>
        <v>2300</v>
      </c>
      <c r="K5" s="26" t="n">
        <f aca="false">IF(J5="","",J5*12)</f>
        <v>27600</v>
      </c>
      <c r="L5" s="25" t="n">
        <v>0</v>
      </c>
      <c r="M5" s="27" t="n">
        <f aca="false">IF(OR(L5="",J5=""),"",IF(J5&lt;=0,"回収不可",L5/J5))</f>
        <v>0</v>
      </c>
      <c r="N5" s="16" t="n">
        <v>46302</v>
      </c>
      <c r="O5" s="14" t="s">
        <v>122</v>
      </c>
      <c r="P5" s="16" t="n">
        <v>46315</v>
      </c>
      <c r="Q5" s="16" t="n">
        <v>46315</v>
      </c>
      <c r="R5" s="28" t="str">
        <f aca="true">IF(OR(P5="",Q5&lt;&gt;"",O5="キャンセル"),"",P5-TODAY())</f>
        <v/>
      </c>
      <c r="S5" s="25" t="n">
        <v>15000</v>
      </c>
      <c r="T5" s="22"/>
      <c r="U5" s="17"/>
      <c r="V5" s="22"/>
      <c r="W5" s="19" t="str">
        <f aca="true">IF(B5="","",IF(OR(O5="開通済",Q5&lt;&gt;""),"完了",IF(O5="キャンセル","―",IF(AND(V5&lt;&gt;"",V5&lt;TODAY()),"対応期限超過",IF(AND(P5&lt;&gt;"",P5&lt;TODAY()),"開通予定日超過",IF(AND(V5&lt;&gt;"",V5=TODAY()),"本日対応",IF(AND(P5&lt;&gt;"",P5-TODAY()&lt;=3),"開通間近","")))))))</f>
        <v>完了</v>
      </c>
      <c r="X5" s="17"/>
    </row>
    <row r="6" customFormat="false" ht="15" hidden="false" customHeight="false" outlineLevel="0" collapsed="false">
      <c r="A6" s="12" t="n">
        <f aca="false">IF(B6="","",ROW()-4)</f>
        <v>2</v>
      </c>
      <c r="B6" s="13" t="s">
        <v>81</v>
      </c>
      <c r="C6" s="19" t="str">
        <f aca="false">IF(B6="","",IFERROR(INDEX(顧客一覧!$C$5:$C$304,MATCH(B6,顧客一覧!$B$5:$B$304,0)),"※ID未登録"))</f>
        <v>（記入例）〇〇整骨院</v>
      </c>
      <c r="D6" s="12" t="str">
        <f aca="false">IF(B6="","",IFERROR(INDEX(顧客一覧!$K$5:$K$304,MATCH(B6,顧客一覧!$B$5:$B$304,0))&amp;"",""))</f>
        <v>山田</v>
      </c>
      <c r="E6" s="13" t="s">
        <v>123</v>
      </c>
      <c r="F6" s="14" t="s">
        <v>124</v>
      </c>
      <c r="G6" s="25" t="n">
        <v>6380</v>
      </c>
      <c r="H6" s="14" t="s">
        <v>125</v>
      </c>
      <c r="I6" s="25" t="n">
        <v>4950</v>
      </c>
      <c r="J6" s="26" t="n">
        <f aca="false">IF(OR(G6="",I6=""),"",G6-I6)</f>
        <v>1430</v>
      </c>
      <c r="K6" s="26" t="n">
        <f aca="false">IF(J6="","",J6*12)</f>
        <v>17160</v>
      </c>
      <c r="L6" s="25" t="n">
        <v>4500</v>
      </c>
      <c r="M6" s="27" t="n">
        <f aca="false">IF(OR(L6="",J6=""),"",IF(J6&lt;=0,"回収不可",L6/J6))</f>
        <v>3.14685314685315</v>
      </c>
      <c r="N6" s="16" t="n">
        <v>46302</v>
      </c>
      <c r="O6" s="14" t="s">
        <v>126</v>
      </c>
      <c r="P6" s="16" t="n">
        <v>46331</v>
      </c>
      <c r="Q6" s="22"/>
      <c r="R6" s="28" t="n">
        <f aca="true">IF(OR(P6="",Q6&lt;&gt;"",O6="キャンセル"),"",P6-TODAY())</f>
        <v>10</v>
      </c>
      <c r="S6" s="25" t="n">
        <v>30000</v>
      </c>
      <c r="T6" s="22"/>
      <c r="U6" s="14" t="s">
        <v>127</v>
      </c>
      <c r="V6" s="16" t="n">
        <v>46331</v>
      </c>
      <c r="W6" s="19" t="str">
        <f aca="true">IF(B6="","",IF(OR(O6="開通済",Q6&lt;&gt;""),"完了",IF(O6="キャンセル","―",IF(AND(V6&lt;&gt;"",V6&lt;TODAY()),"対応期限超過",IF(AND(P6&lt;&gt;"",P6&lt;TODAY()),"開通予定日超過",IF(AND(V6&lt;&gt;"",V6=TODAY()),"本日対応",IF(AND(P6&lt;&gt;"",P6-TODAY()&lt;=3),"開通間近","")))))))</f>
        <v/>
      </c>
      <c r="X6" s="17"/>
    </row>
    <row r="7" customFormat="false" ht="15" hidden="false" customHeight="false" outlineLevel="0" collapsed="false">
      <c r="A7" s="12" t="str">
        <f aca="false">IF(B7="","",ROW()-4)</f>
        <v/>
      </c>
      <c r="B7" s="17"/>
      <c r="C7" s="19" t="str">
        <f aca="false">IF(B7="","",IFERROR(INDEX(顧客一覧!$C$5:$C$304,MATCH(B7,顧客一覧!$B$5:$B$304,0)),"※ID未登録"))</f>
        <v/>
      </c>
      <c r="D7" s="12" t="str">
        <f aca="false">IF(B7="","",IFERROR(INDEX(顧客一覧!$K$5:$K$304,MATCH(B7,顧客一覧!$B$5:$B$304,0))&amp;"",""))</f>
        <v/>
      </c>
      <c r="E7" s="17"/>
      <c r="F7" s="17"/>
      <c r="G7" s="29"/>
      <c r="H7" s="17"/>
      <c r="I7" s="29"/>
      <c r="J7" s="26" t="str">
        <f aca="false">IF(OR(G7="",I7=""),"",G7-I7)</f>
        <v/>
      </c>
      <c r="K7" s="26" t="str">
        <f aca="false">IF(J7="","",J7*12)</f>
        <v/>
      </c>
      <c r="L7" s="29"/>
      <c r="M7" s="27" t="str">
        <f aca="false">IF(OR(L7="",J7=""),"",IF(J7&lt;=0,"回収不可",L7/J7))</f>
        <v/>
      </c>
      <c r="N7" s="22"/>
      <c r="O7" s="17"/>
      <c r="P7" s="22"/>
      <c r="Q7" s="22"/>
      <c r="R7" s="28" t="str">
        <f aca="true">IF(OR(P7="",Q7&lt;&gt;"",O7="キャンセル"),"",P7-TODAY())</f>
        <v/>
      </c>
      <c r="S7" s="29"/>
      <c r="T7" s="22"/>
      <c r="U7" s="17"/>
      <c r="V7" s="22"/>
      <c r="W7" s="19" t="str">
        <f aca="true">IF(B7="","",IF(OR(O7="開通済",Q7&lt;&gt;""),"完了",IF(O7="キャンセル","―",IF(AND(V7&lt;&gt;"",V7&lt;TODAY()),"対応期限超過",IF(AND(P7&lt;&gt;"",P7&lt;TODAY()),"開通予定日超過",IF(AND(V7&lt;&gt;"",V7=TODAY()),"本日対応",IF(AND(P7&lt;&gt;"",P7-TODAY()&lt;=3),"開通間近","")))))))</f>
        <v/>
      </c>
      <c r="X7" s="17"/>
    </row>
    <row r="8" customFormat="false" ht="15" hidden="false" customHeight="false" outlineLevel="0" collapsed="false">
      <c r="A8" s="12" t="str">
        <f aca="false">IF(B8="","",ROW()-4)</f>
        <v/>
      </c>
      <c r="B8" s="17"/>
      <c r="C8" s="19" t="str">
        <f aca="false">IF(B8="","",IFERROR(INDEX(顧客一覧!$C$5:$C$304,MATCH(B8,顧客一覧!$B$5:$B$304,0)),"※ID未登録"))</f>
        <v/>
      </c>
      <c r="D8" s="12" t="str">
        <f aca="false">IF(B8="","",IFERROR(INDEX(顧客一覧!$K$5:$K$304,MATCH(B8,顧客一覧!$B$5:$B$304,0))&amp;"",""))</f>
        <v/>
      </c>
      <c r="E8" s="17"/>
      <c r="F8" s="17"/>
      <c r="G8" s="29"/>
      <c r="H8" s="17"/>
      <c r="I8" s="29"/>
      <c r="J8" s="26" t="str">
        <f aca="false">IF(OR(G8="",I8=""),"",G8-I8)</f>
        <v/>
      </c>
      <c r="K8" s="26" t="str">
        <f aca="false">IF(J8="","",J8*12)</f>
        <v/>
      </c>
      <c r="L8" s="29"/>
      <c r="M8" s="27" t="str">
        <f aca="false">IF(OR(L8="",J8=""),"",IF(J8&lt;=0,"回収不可",L8/J8))</f>
        <v/>
      </c>
      <c r="N8" s="22"/>
      <c r="O8" s="17"/>
      <c r="P8" s="22"/>
      <c r="Q8" s="22"/>
      <c r="R8" s="28" t="str">
        <f aca="true">IF(OR(P8="",Q8&lt;&gt;"",O8="キャンセル"),"",P8-TODAY())</f>
        <v/>
      </c>
      <c r="S8" s="29"/>
      <c r="T8" s="22"/>
      <c r="U8" s="17"/>
      <c r="V8" s="22"/>
      <c r="W8" s="19" t="str">
        <f aca="true">IF(B8="","",IF(OR(O8="開通済",Q8&lt;&gt;""),"完了",IF(O8="キャンセル","―",IF(AND(V8&lt;&gt;"",V8&lt;TODAY()),"対応期限超過",IF(AND(P8&lt;&gt;"",P8&lt;TODAY()),"開通予定日超過",IF(AND(V8&lt;&gt;"",V8=TODAY()),"本日対応",IF(AND(P8&lt;&gt;"",P8-TODAY()&lt;=3),"開通間近","")))))))</f>
        <v/>
      </c>
      <c r="X8" s="17"/>
    </row>
    <row r="9" customFormat="false" ht="15" hidden="false" customHeight="false" outlineLevel="0" collapsed="false">
      <c r="A9" s="12" t="str">
        <f aca="false">IF(B9="","",ROW()-4)</f>
        <v/>
      </c>
      <c r="B9" s="17"/>
      <c r="C9" s="19" t="str">
        <f aca="false">IF(B9="","",IFERROR(INDEX(顧客一覧!$C$5:$C$304,MATCH(B9,顧客一覧!$B$5:$B$304,0)),"※ID未登録"))</f>
        <v/>
      </c>
      <c r="D9" s="12" t="str">
        <f aca="false">IF(B9="","",IFERROR(INDEX(顧客一覧!$K$5:$K$304,MATCH(B9,顧客一覧!$B$5:$B$304,0))&amp;"",""))</f>
        <v/>
      </c>
      <c r="E9" s="17"/>
      <c r="F9" s="17"/>
      <c r="G9" s="29"/>
      <c r="H9" s="17"/>
      <c r="I9" s="29"/>
      <c r="J9" s="26" t="str">
        <f aca="false">IF(OR(G9="",I9=""),"",G9-I9)</f>
        <v/>
      </c>
      <c r="K9" s="26" t="str">
        <f aca="false">IF(J9="","",J9*12)</f>
        <v/>
      </c>
      <c r="L9" s="29"/>
      <c r="M9" s="27" t="str">
        <f aca="false">IF(OR(L9="",J9=""),"",IF(J9&lt;=0,"回収不可",L9/J9))</f>
        <v/>
      </c>
      <c r="N9" s="22"/>
      <c r="O9" s="17"/>
      <c r="P9" s="22"/>
      <c r="Q9" s="22"/>
      <c r="R9" s="28" t="str">
        <f aca="true">IF(OR(P9="",Q9&lt;&gt;"",O9="キャンセル"),"",P9-TODAY())</f>
        <v/>
      </c>
      <c r="S9" s="29"/>
      <c r="T9" s="22"/>
      <c r="U9" s="17"/>
      <c r="V9" s="22"/>
      <c r="W9" s="19" t="str">
        <f aca="true">IF(B9="","",IF(OR(O9="開通済",Q9&lt;&gt;""),"完了",IF(O9="キャンセル","―",IF(AND(V9&lt;&gt;"",V9&lt;TODAY()),"対応期限超過",IF(AND(P9&lt;&gt;"",P9&lt;TODAY()),"開通予定日超過",IF(AND(V9&lt;&gt;"",V9=TODAY()),"本日対応",IF(AND(P9&lt;&gt;"",P9-TODAY()&lt;=3),"開通間近","")))))))</f>
        <v/>
      </c>
      <c r="X9" s="17"/>
    </row>
    <row r="10" customFormat="false" ht="15" hidden="false" customHeight="false" outlineLevel="0" collapsed="false">
      <c r="A10" s="12" t="str">
        <f aca="false">IF(B10="","",ROW()-4)</f>
        <v/>
      </c>
      <c r="B10" s="17"/>
      <c r="C10" s="19" t="str">
        <f aca="false">IF(B10="","",IFERROR(INDEX(顧客一覧!$C$5:$C$304,MATCH(B10,顧客一覧!$B$5:$B$304,0)),"※ID未登録"))</f>
        <v/>
      </c>
      <c r="D10" s="12" t="str">
        <f aca="false">IF(B10="","",IFERROR(INDEX(顧客一覧!$K$5:$K$304,MATCH(B10,顧客一覧!$B$5:$B$304,0))&amp;"",""))</f>
        <v/>
      </c>
      <c r="E10" s="17"/>
      <c r="F10" s="17"/>
      <c r="G10" s="29"/>
      <c r="H10" s="17"/>
      <c r="I10" s="29"/>
      <c r="J10" s="26" t="str">
        <f aca="false">IF(OR(G10="",I10=""),"",G10-I10)</f>
        <v/>
      </c>
      <c r="K10" s="26" t="str">
        <f aca="false">IF(J10="","",J10*12)</f>
        <v/>
      </c>
      <c r="L10" s="29"/>
      <c r="M10" s="27" t="str">
        <f aca="false">IF(OR(L10="",J10=""),"",IF(J10&lt;=0,"回収不可",L10/J10))</f>
        <v/>
      </c>
      <c r="N10" s="22"/>
      <c r="O10" s="17"/>
      <c r="P10" s="22"/>
      <c r="Q10" s="22"/>
      <c r="R10" s="28" t="str">
        <f aca="true">IF(OR(P10="",Q10&lt;&gt;"",O10="キャンセル"),"",P10-TODAY())</f>
        <v/>
      </c>
      <c r="S10" s="29"/>
      <c r="T10" s="22"/>
      <c r="U10" s="17"/>
      <c r="V10" s="22"/>
      <c r="W10" s="19" t="str">
        <f aca="true">IF(B10="","",IF(OR(O10="開通済",Q10&lt;&gt;""),"完了",IF(O10="キャンセル","―",IF(AND(V10&lt;&gt;"",V10&lt;TODAY()),"対応期限超過",IF(AND(P10&lt;&gt;"",P10&lt;TODAY()),"開通予定日超過",IF(AND(V10&lt;&gt;"",V10=TODAY()),"本日対応",IF(AND(P10&lt;&gt;"",P10-TODAY()&lt;=3),"開通間近","")))))))</f>
        <v/>
      </c>
      <c r="X10" s="17"/>
    </row>
    <row r="11" customFormat="false" ht="15" hidden="false" customHeight="false" outlineLevel="0" collapsed="false">
      <c r="A11" s="12" t="str">
        <f aca="false">IF(B11="","",ROW()-4)</f>
        <v/>
      </c>
      <c r="B11" s="17"/>
      <c r="C11" s="19" t="str">
        <f aca="false">IF(B11="","",IFERROR(INDEX(顧客一覧!$C$5:$C$304,MATCH(B11,顧客一覧!$B$5:$B$304,0)),"※ID未登録"))</f>
        <v/>
      </c>
      <c r="D11" s="12" t="str">
        <f aca="false">IF(B11="","",IFERROR(INDEX(顧客一覧!$K$5:$K$304,MATCH(B11,顧客一覧!$B$5:$B$304,0))&amp;"",""))</f>
        <v/>
      </c>
      <c r="E11" s="17"/>
      <c r="F11" s="17"/>
      <c r="G11" s="29"/>
      <c r="H11" s="17"/>
      <c r="I11" s="29"/>
      <c r="J11" s="26" t="str">
        <f aca="false">IF(OR(G11="",I11=""),"",G11-I11)</f>
        <v/>
      </c>
      <c r="K11" s="26" t="str">
        <f aca="false">IF(J11="","",J11*12)</f>
        <v/>
      </c>
      <c r="L11" s="29"/>
      <c r="M11" s="27" t="str">
        <f aca="false">IF(OR(L11="",J11=""),"",IF(J11&lt;=0,"回収不可",L11/J11))</f>
        <v/>
      </c>
      <c r="N11" s="22"/>
      <c r="O11" s="17"/>
      <c r="P11" s="22"/>
      <c r="Q11" s="22"/>
      <c r="R11" s="28" t="str">
        <f aca="true">IF(OR(P11="",Q11&lt;&gt;"",O11="キャンセル"),"",P11-TODAY())</f>
        <v/>
      </c>
      <c r="S11" s="29"/>
      <c r="T11" s="22"/>
      <c r="U11" s="17"/>
      <c r="V11" s="22"/>
      <c r="W11" s="19" t="str">
        <f aca="true">IF(B11="","",IF(OR(O11="開通済",Q11&lt;&gt;""),"完了",IF(O11="キャンセル","―",IF(AND(V11&lt;&gt;"",V11&lt;TODAY()),"対応期限超過",IF(AND(P11&lt;&gt;"",P11&lt;TODAY()),"開通予定日超過",IF(AND(V11&lt;&gt;"",V11=TODAY()),"本日対応",IF(AND(P11&lt;&gt;"",P11-TODAY()&lt;=3),"開通間近","")))))))</f>
        <v/>
      </c>
      <c r="X11" s="17"/>
    </row>
    <row r="12" customFormat="false" ht="15" hidden="false" customHeight="false" outlineLevel="0" collapsed="false">
      <c r="A12" s="12" t="str">
        <f aca="false">IF(B12="","",ROW()-4)</f>
        <v/>
      </c>
      <c r="B12" s="17"/>
      <c r="C12" s="19" t="str">
        <f aca="false">IF(B12="","",IFERROR(INDEX(顧客一覧!$C$5:$C$304,MATCH(B12,顧客一覧!$B$5:$B$304,0)),"※ID未登録"))</f>
        <v/>
      </c>
      <c r="D12" s="12" t="str">
        <f aca="false">IF(B12="","",IFERROR(INDEX(顧客一覧!$K$5:$K$304,MATCH(B12,顧客一覧!$B$5:$B$304,0))&amp;"",""))</f>
        <v/>
      </c>
      <c r="E12" s="17"/>
      <c r="F12" s="17"/>
      <c r="G12" s="29"/>
      <c r="H12" s="17"/>
      <c r="I12" s="29"/>
      <c r="J12" s="26" t="str">
        <f aca="false">IF(OR(G12="",I12=""),"",G12-I12)</f>
        <v/>
      </c>
      <c r="K12" s="26" t="str">
        <f aca="false">IF(J12="","",J12*12)</f>
        <v/>
      </c>
      <c r="L12" s="29"/>
      <c r="M12" s="27" t="str">
        <f aca="false">IF(OR(L12="",J12=""),"",IF(J12&lt;=0,"回収不可",L12/J12))</f>
        <v/>
      </c>
      <c r="N12" s="22"/>
      <c r="O12" s="17"/>
      <c r="P12" s="22"/>
      <c r="Q12" s="22"/>
      <c r="R12" s="28" t="str">
        <f aca="true">IF(OR(P12="",Q12&lt;&gt;"",O12="キャンセル"),"",P12-TODAY())</f>
        <v/>
      </c>
      <c r="S12" s="29"/>
      <c r="T12" s="22"/>
      <c r="U12" s="17"/>
      <c r="V12" s="22"/>
      <c r="W12" s="19" t="str">
        <f aca="true">IF(B12="","",IF(OR(O12="開通済",Q12&lt;&gt;""),"完了",IF(O12="キャンセル","―",IF(AND(V12&lt;&gt;"",V12&lt;TODAY()),"対応期限超過",IF(AND(P12&lt;&gt;"",P12&lt;TODAY()),"開通予定日超過",IF(AND(V12&lt;&gt;"",V12=TODAY()),"本日対応",IF(AND(P12&lt;&gt;"",P12-TODAY()&lt;=3),"開通間近","")))))))</f>
        <v/>
      </c>
      <c r="X12" s="17"/>
    </row>
    <row r="13" customFormat="false" ht="15" hidden="false" customHeight="false" outlineLevel="0" collapsed="false">
      <c r="A13" s="12" t="str">
        <f aca="false">IF(B13="","",ROW()-4)</f>
        <v/>
      </c>
      <c r="B13" s="17"/>
      <c r="C13" s="19" t="str">
        <f aca="false">IF(B13="","",IFERROR(INDEX(顧客一覧!$C$5:$C$304,MATCH(B13,顧客一覧!$B$5:$B$304,0)),"※ID未登録"))</f>
        <v/>
      </c>
      <c r="D13" s="12" t="str">
        <f aca="false">IF(B13="","",IFERROR(INDEX(顧客一覧!$K$5:$K$304,MATCH(B13,顧客一覧!$B$5:$B$304,0))&amp;"",""))</f>
        <v/>
      </c>
      <c r="E13" s="17"/>
      <c r="F13" s="17"/>
      <c r="G13" s="29"/>
      <c r="H13" s="17"/>
      <c r="I13" s="29"/>
      <c r="J13" s="26" t="str">
        <f aca="false">IF(OR(G13="",I13=""),"",G13-I13)</f>
        <v/>
      </c>
      <c r="K13" s="26" t="str">
        <f aca="false">IF(J13="","",J13*12)</f>
        <v/>
      </c>
      <c r="L13" s="29"/>
      <c r="M13" s="27" t="str">
        <f aca="false">IF(OR(L13="",J13=""),"",IF(J13&lt;=0,"回収不可",L13/J13))</f>
        <v/>
      </c>
      <c r="N13" s="22"/>
      <c r="O13" s="17"/>
      <c r="P13" s="22"/>
      <c r="Q13" s="22"/>
      <c r="R13" s="28" t="str">
        <f aca="true">IF(OR(P13="",Q13&lt;&gt;"",O13="キャンセル"),"",P13-TODAY())</f>
        <v/>
      </c>
      <c r="S13" s="29"/>
      <c r="T13" s="22"/>
      <c r="U13" s="17"/>
      <c r="V13" s="22"/>
      <c r="W13" s="19" t="str">
        <f aca="true">IF(B13="","",IF(OR(O13="開通済",Q13&lt;&gt;""),"完了",IF(O13="キャンセル","―",IF(AND(V13&lt;&gt;"",V13&lt;TODAY()),"対応期限超過",IF(AND(P13&lt;&gt;"",P13&lt;TODAY()),"開通予定日超過",IF(AND(V13&lt;&gt;"",V13=TODAY()),"本日対応",IF(AND(P13&lt;&gt;"",P13-TODAY()&lt;=3),"開通間近","")))))))</f>
        <v/>
      </c>
      <c r="X13" s="17"/>
    </row>
    <row r="14" customFormat="false" ht="15" hidden="false" customHeight="false" outlineLevel="0" collapsed="false">
      <c r="A14" s="12" t="str">
        <f aca="false">IF(B14="","",ROW()-4)</f>
        <v/>
      </c>
      <c r="B14" s="17"/>
      <c r="C14" s="19" t="str">
        <f aca="false">IF(B14="","",IFERROR(INDEX(顧客一覧!$C$5:$C$304,MATCH(B14,顧客一覧!$B$5:$B$304,0)),"※ID未登録"))</f>
        <v/>
      </c>
      <c r="D14" s="12" t="str">
        <f aca="false">IF(B14="","",IFERROR(INDEX(顧客一覧!$K$5:$K$304,MATCH(B14,顧客一覧!$B$5:$B$304,0))&amp;"",""))</f>
        <v/>
      </c>
      <c r="E14" s="17"/>
      <c r="F14" s="17"/>
      <c r="G14" s="29"/>
      <c r="H14" s="17"/>
      <c r="I14" s="29"/>
      <c r="J14" s="26" t="str">
        <f aca="false">IF(OR(G14="",I14=""),"",G14-I14)</f>
        <v/>
      </c>
      <c r="K14" s="26" t="str">
        <f aca="false">IF(J14="","",J14*12)</f>
        <v/>
      </c>
      <c r="L14" s="29"/>
      <c r="M14" s="27" t="str">
        <f aca="false">IF(OR(L14="",J14=""),"",IF(J14&lt;=0,"回収不可",L14/J14))</f>
        <v/>
      </c>
      <c r="N14" s="22"/>
      <c r="O14" s="17"/>
      <c r="P14" s="22"/>
      <c r="Q14" s="22"/>
      <c r="R14" s="28" t="str">
        <f aca="true">IF(OR(P14="",Q14&lt;&gt;"",O14="キャンセル"),"",P14-TODAY())</f>
        <v/>
      </c>
      <c r="S14" s="29"/>
      <c r="T14" s="22"/>
      <c r="U14" s="17"/>
      <c r="V14" s="22"/>
      <c r="W14" s="19" t="str">
        <f aca="true">IF(B14="","",IF(OR(O14="開通済",Q14&lt;&gt;""),"完了",IF(O14="キャンセル","―",IF(AND(V14&lt;&gt;"",V14&lt;TODAY()),"対応期限超過",IF(AND(P14&lt;&gt;"",P14&lt;TODAY()),"開通予定日超過",IF(AND(V14&lt;&gt;"",V14=TODAY()),"本日対応",IF(AND(P14&lt;&gt;"",P14-TODAY()&lt;=3),"開通間近","")))))))</f>
        <v/>
      </c>
      <c r="X14" s="17"/>
    </row>
    <row r="15" customFormat="false" ht="15" hidden="false" customHeight="false" outlineLevel="0" collapsed="false">
      <c r="A15" s="12" t="str">
        <f aca="false">IF(B15="","",ROW()-4)</f>
        <v/>
      </c>
      <c r="B15" s="17"/>
      <c r="C15" s="19" t="str">
        <f aca="false">IF(B15="","",IFERROR(INDEX(顧客一覧!$C$5:$C$304,MATCH(B15,顧客一覧!$B$5:$B$304,0)),"※ID未登録"))</f>
        <v/>
      </c>
      <c r="D15" s="12" t="str">
        <f aca="false">IF(B15="","",IFERROR(INDEX(顧客一覧!$K$5:$K$304,MATCH(B15,顧客一覧!$B$5:$B$304,0))&amp;"",""))</f>
        <v/>
      </c>
      <c r="E15" s="17"/>
      <c r="F15" s="17"/>
      <c r="G15" s="29"/>
      <c r="H15" s="17"/>
      <c r="I15" s="29"/>
      <c r="J15" s="26" t="str">
        <f aca="false">IF(OR(G15="",I15=""),"",G15-I15)</f>
        <v/>
      </c>
      <c r="K15" s="26" t="str">
        <f aca="false">IF(J15="","",J15*12)</f>
        <v/>
      </c>
      <c r="L15" s="29"/>
      <c r="M15" s="27" t="str">
        <f aca="false">IF(OR(L15="",J15=""),"",IF(J15&lt;=0,"回収不可",L15/J15))</f>
        <v/>
      </c>
      <c r="N15" s="22"/>
      <c r="O15" s="17"/>
      <c r="P15" s="22"/>
      <c r="Q15" s="22"/>
      <c r="R15" s="28" t="str">
        <f aca="true">IF(OR(P15="",Q15&lt;&gt;"",O15="キャンセル"),"",P15-TODAY())</f>
        <v/>
      </c>
      <c r="S15" s="29"/>
      <c r="T15" s="22"/>
      <c r="U15" s="17"/>
      <c r="V15" s="22"/>
      <c r="W15" s="19" t="str">
        <f aca="true">IF(B15="","",IF(OR(O15="開通済",Q15&lt;&gt;""),"完了",IF(O15="キャンセル","―",IF(AND(V15&lt;&gt;"",V15&lt;TODAY()),"対応期限超過",IF(AND(P15&lt;&gt;"",P15&lt;TODAY()),"開通予定日超過",IF(AND(V15&lt;&gt;"",V15=TODAY()),"本日対応",IF(AND(P15&lt;&gt;"",P15-TODAY()&lt;=3),"開通間近","")))))))</f>
        <v/>
      </c>
      <c r="X15" s="17"/>
    </row>
    <row r="16" customFormat="false" ht="15" hidden="false" customHeight="false" outlineLevel="0" collapsed="false">
      <c r="A16" s="12" t="str">
        <f aca="false">IF(B16="","",ROW()-4)</f>
        <v/>
      </c>
      <c r="B16" s="17"/>
      <c r="C16" s="19" t="str">
        <f aca="false">IF(B16="","",IFERROR(INDEX(顧客一覧!$C$5:$C$304,MATCH(B16,顧客一覧!$B$5:$B$304,0)),"※ID未登録"))</f>
        <v/>
      </c>
      <c r="D16" s="12" t="str">
        <f aca="false">IF(B16="","",IFERROR(INDEX(顧客一覧!$K$5:$K$304,MATCH(B16,顧客一覧!$B$5:$B$304,0))&amp;"",""))</f>
        <v/>
      </c>
      <c r="E16" s="17"/>
      <c r="F16" s="17"/>
      <c r="G16" s="29"/>
      <c r="H16" s="17"/>
      <c r="I16" s="29"/>
      <c r="J16" s="26" t="str">
        <f aca="false">IF(OR(G16="",I16=""),"",G16-I16)</f>
        <v/>
      </c>
      <c r="K16" s="26" t="str">
        <f aca="false">IF(J16="","",J16*12)</f>
        <v/>
      </c>
      <c r="L16" s="29"/>
      <c r="M16" s="27" t="str">
        <f aca="false">IF(OR(L16="",J16=""),"",IF(J16&lt;=0,"回収不可",L16/J16))</f>
        <v/>
      </c>
      <c r="N16" s="22"/>
      <c r="O16" s="17"/>
      <c r="P16" s="22"/>
      <c r="Q16" s="22"/>
      <c r="R16" s="28" t="str">
        <f aca="true">IF(OR(P16="",Q16&lt;&gt;"",O16="キャンセル"),"",P16-TODAY())</f>
        <v/>
      </c>
      <c r="S16" s="29"/>
      <c r="T16" s="22"/>
      <c r="U16" s="17"/>
      <c r="V16" s="22"/>
      <c r="W16" s="19" t="str">
        <f aca="true">IF(B16="","",IF(OR(O16="開通済",Q16&lt;&gt;""),"完了",IF(O16="キャンセル","―",IF(AND(V16&lt;&gt;"",V16&lt;TODAY()),"対応期限超過",IF(AND(P16&lt;&gt;"",P16&lt;TODAY()),"開通予定日超過",IF(AND(V16&lt;&gt;"",V16=TODAY()),"本日対応",IF(AND(P16&lt;&gt;"",P16-TODAY()&lt;=3),"開通間近","")))))))</f>
        <v/>
      </c>
      <c r="X16" s="17"/>
    </row>
    <row r="17" customFormat="false" ht="15" hidden="false" customHeight="false" outlineLevel="0" collapsed="false">
      <c r="A17" s="12" t="str">
        <f aca="false">IF(B17="","",ROW()-4)</f>
        <v/>
      </c>
      <c r="B17" s="17"/>
      <c r="C17" s="19" t="str">
        <f aca="false">IF(B17="","",IFERROR(INDEX(顧客一覧!$C$5:$C$304,MATCH(B17,顧客一覧!$B$5:$B$304,0)),"※ID未登録"))</f>
        <v/>
      </c>
      <c r="D17" s="12" t="str">
        <f aca="false">IF(B17="","",IFERROR(INDEX(顧客一覧!$K$5:$K$304,MATCH(B17,顧客一覧!$B$5:$B$304,0))&amp;"",""))</f>
        <v/>
      </c>
      <c r="E17" s="17"/>
      <c r="F17" s="17"/>
      <c r="G17" s="29"/>
      <c r="H17" s="17"/>
      <c r="I17" s="29"/>
      <c r="J17" s="26" t="str">
        <f aca="false">IF(OR(G17="",I17=""),"",G17-I17)</f>
        <v/>
      </c>
      <c r="K17" s="26" t="str">
        <f aca="false">IF(J17="","",J17*12)</f>
        <v/>
      </c>
      <c r="L17" s="29"/>
      <c r="M17" s="27" t="str">
        <f aca="false">IF(OR(L17="",J17=""),"",IF(J17&lt;=0,"回収不可",L17/J17))</f>
        <v/>
      </c>
      <c r="N17" s="22"/>
      <c r="O17" s="17"/>
      <c r="P17" s="22"/>
      <c r="Q17" s="22"/>
      <c r="R17" s="28" t="str">
        <f aca="true">IF(OR(P17="",Q17&lt;&gt;"",O17="キャンセル"),"",P17-TODAY())</f>
        <v/>
      </c>
      <c r="S17" s="29"/>
      <c r="T17" s="22"/>
      <c r="U17" s="17"/>
      <c r="V17" s="22"/>
      <c r="W17" s="19" t="str">
        <f aca="true">IF(B17="","",IF(OR(O17="開通済",Q17&lt;&gt;""),"完了",IF(O17="キャンセル","―",IF(AND(V17&lt;&gt;"",V17&lt;TODAY()),"対応期限超過",IF(AND(P17&lt;&gt;"",P17&lt;TODAY()),"開通予定日超過",IF(AND(V17&lt;&gt;"",V17=TODAY()),"本日対応",IF(AND(P17&lt;&gt;"",P17-TODAY()&lt;=3),"開通間近","")))))))</f>
        <v/>
      </c>
      <c r="X17" s="17"/>
    </row>
    <row r="18" customFormat="false" ht="15" hidden="false" customHeight="false" outlineLevel="0" collapsed="false">
      <c r="A18" s="12" t="str">
        <f aca="false">IF(B18="","",ROW()-4)</f>
        <v/>
      </c>
      <c r="B18" s="17"/>
      <c r="C18" s="19" t="str">
        <f aca="false">IF(B18="","",IFERROR(INDEX(顧客一覧!$C$5:$C$304,MATCH(B18,顧客一覧!$B$5:$B$304,0)),"※ID未登録"))</f>
        <v/>
      </c>
      <c r="D18" s="12" t="str">
        <f aca="false">IF(B18="","",IFERROR(INDEX(顧客一覧!$K$5:$K$304,MATCH(B18,顧客一覧!$B$5:$B$304,0))&amp;"",""))</f>
        <v/>
      </c>
      <c r="E18" s="17"/>
      <c r="F18" s="17"/>
      <c r="G18" s="29"/>
      <c r="H18" s="17"/>
      <c r="I18" s="29"/>
      <c r="J18" s="26" t="str">
        <f aca="false">IF(OR(G18="",I18=""),"",G18-I18)</f>
        <v/>
      </c>
      <c r="K18" s="26" t="str">
        <f aca="false">IF(J18="","",J18*12)</f>
        <v/>
      </c>
      <c r="L18" s="29"/>
      <c r="M18" s="27" t="str">
        <f aca="false">IF(OR(L18="",J18=""),"",IF(J18&lt;=0,"回収不可",L18/J18))</f>
        <v/>
      </c>
      <c r="N18" s="22"/>
      <c r="O18" s="17"/>
      <c r="P18" s="22"/>
      <c r="Q18" s="22"/>
      <c r="R18" s="28" t="str">
        <f aca="true">IF(OR(P18="",Q18&lt;&gt;"",O18="キャンセル"),"",P18-TODAY())</f>
        <v/>
      </c>
      <c r="S18" s="29"/>
      <c r="T18" s="22"/>
      <c r="U18" s="17"/>
      <c r="V18" s="22"/>
      <c r="W18" s="19" t="str">
        <f aca="true">IF(B18="","",IF(OR(O18="開通済",Q18&lt;&gt;""),"完了",IF(O18="キャンセル","―",IF(AND(V18&lt;&gt;"",V18&lt;TODAY()),"対応期限超過",IF(AND(P18&lt;&gt;"",P18&lt;TODAY()),"開通予定日超過",IF(AND(V18&lt;&gt;"",V18=TODAY()),"本日対応",IF(AND(P18&lt;&gt;"",P18-TODAY()&lt;=3),"開通間近","")))))))</f>
        <v/>
      </c>
      <c r="X18" s="17"/>
    </row>
    <row r="19" customFormat="false" ht="15" hidden="false" customHeight="false" outlineLevel="0" collapsed="false">
      <c r="A19" s="12" t="str">
        <f aca="false">IF(B19="","",ROW()-4)</f>
        <v/>
      </c>
      <c r="B19" s="17"/>
      <c r="C19" s="19" t="str">
        <f aca="false">IF(B19="","",IFERROR(INDEX(顧客一覧!$C$5:$C$304,MATCH(B19,顧客一覧!$B$5:$B$304,0)),"※ID未登録"))</f>
        <v/>
      </c>
      <c r="D19" s="12" t="str">
        <f aca="false">IF(B19="","",IFERROR(INDEX(顧客一覧!$K$5:$K$304,MATCH(B19,顧客一覧!$B$5:$B$304,0))&amp;"",""))</f>
        <v/>
      </c>
      <c r="E19" s="17"/>
      <c r="F19" s="17"/>
      <c r="G19" s="29"/>
      <c r="H19" s="17"/>
      <c r="I19" s="29"/>
      <c r="J19" s="26" t="str">
        <f aca="false">IF(OR(G19="",I19=""),"",G19-I19)</f>
        <v/>
      </c>
      <c r="K19" s="26" t="str">
        <f aca="false">IF(J19="","",J19*12)</f>
        <v/>
      </c>
      <c r="L19" s="29"/>
      <c r="M19" s="27" t="str">
        <f aca="false">IF(OR(L19="",J19=""),"",IF(J19&lt;=0,"回収不可",L19/J19))</f>
        <v/>
      </c>
      <c r="N19" s="22"/>
      <c r="O19" s="17"/>
      <c r="P19" s="22"/>
      <c r="Q19" s="22"/>
      <c r="R19" s="28" t="str">
        <f aca="true">IF(OR(P19="",Q19&lt;&gt;"",O19="キャンセル"),"",P19-TODAY())</f>
        <v/>
      </c>
      <c r="S19" s="29"/>
      <c r="T19" s="22"/>
      <c r="U19" s="17"/>
      <c r="V19" s="22"/>
      <c r="W19" s="19" t="str">
        <f aca="true">IF(B19="","",IF(OR(O19="開通済",Q19&lt;&gt;""),"完了",IF(O19="キャンセル","―",IF(AND(V19&lt;&gt;"",V19&lt;TODAY()),"対応期限超過",IF(AND(P19&lt;&gt;"",P19&lt;TODAY()),"開通予定日超過",IF(AND(V19&lt;&gt;"",V19=TODAY()),"本日対応",IF(AND(P19&lt;&gt;"",P19-TODAY()&lt;=3),"開通間近","")))))))</f>
        <v/>
      </c>
      <c r="X19" s="17"/>
    </row>
    <row r="20" customFormat="false" ht="15" hidden="false" customHeight="false" outlineLevel="0" collapsed="false">
      <c r="A20" s="12" t="str">
        <f aca="false">IF(B20="","",ROW()-4)</f>
        <v/>
      </c>
      <c r="B20" s="17"/>
      <c r="C20" s="19" t="str">
        <f aca="false">IF(B20="","",IFERROR(INDEX(顧客一覧!$C$5:$C$304,MATCH(B20,顧客一覧!$B$5:$B$304,0)),"※ID未登録"))</f>
        <v/>
      </c>
      <c r="D20" s="12" t="str">
        <f aca="false">IF(B20="","",IFERROR(INDEX(顧客一覧!$K$5:$K$304,MATCH(B20,顧客一覧!$B$5:$B$304,0))&amp;"",""))</f>
        <v/>
      </c>
      <c r="E20" s="17"/>
      <c r="F20" s="17"/>
      <c r="G20" s="29"/>
      <c r="H20" s="17"/>
      <c r="I20" s="29"/>
      <c r="J20" s="26" t="str">
        <f aca="false">IF(OR(G20="",I20=""),"",G20-I20)</f>
        <v/>
      </c>
      <c r="K20" s="26" t="str">
        <f aca="false">IF(J20="","",J20*12)</f>
        <v/>
      </c>
      <c r="L20" s="29"/>
      <c r="M20" s="27" t="str">
        <f aca="false">IF(OR(L20="",J20=""),"",IF(J20&lt;=0,"回収不可",L20/J20))</f>
        <v/>
      </c>
      <c r="N20" s="22"/>
      <c r="O20" s="17"/>
      <c r="P20" s="22"/>
      <c r="Q20" s="22"/>
      <c r="R20" s="28" t="str">
        <f aca="true">IF(OR(P20="",Q20&lt;&gt;"",O20="キャンセル"),"",P20-TODAY())</f>
        <v/>
      </c>
      <c r="S20" s="29"/>
      <c r="T20" s="22"/>
      <c r="U20" s="17"/>
      <c r="V20" s="22"/>
      <c r="W20" s="19" t="str">
        <f aca="true">IF(B20="","",IF(OR(O20="開通済",Q20&lt;&gt;""),"完了",IF(O20="キャンセル","―",IF(AND(V20&lt;&gt;"",V20&lt;TODAY()),"対応期限超過",IF(AND(P20&lt;&gt;"",P20&lt;TODAY()),"開通予定日超過",IF(AND(V20&lt;&gt;"",V20=TODAY()),"本日対応",IF(AND(P20&lt;&gt;"",P20-TODAY()&lt;=3),"開通間近","")))))))</f>
        <v/>
      </c>
      <c r="X20" s="17"/>
    </row>
    <row r="21" customFormat="false" ht="15" hidden="false" customHeight="false" outlineLevel="0" collapsed="false">
      <c r="A21" s="12" t="str">
        <f aca="false">IF(B21="","",ROW()-4)</f>
        <v/>
      </c>
      <c r="B21" s="17"/>
      <c r="C21" s="19" t="str">
        <f aca="false">IF(B21="","",IFERROR(INDEX(顧客一覧!$C$5:$C$304,MATCH(B21,顧客一覧!$B$5:$B$304,0)),"※ID未登録"))</f>
        <v/>
      </c>
      <c r="D21" s="12" t="str">
        <f aca="false">IF(B21="","",IFERROR(INDEX(顧客一覧!$K$5:$K$304,MATCH(B21,顧客一覧!$B$5:$B$304,0))&amp;"",""))</f>
        <v/>
      </c>
      <c r="E21" s="17"/>
      <c r="F21" s="17"/>
      <c r="G21" s="29"/>
      <c r="H21" s="17"/>
      <c r="I21" s="29"/>
      <c r="J21" s="26" t="str">
        <f aca="false">IF(OR(G21="",I21=""),"",G21-I21)</f>
        <v/>
      </c>
      <c r="K21" s="26" t="str">
        <f aca="false">IF(J21="","",J21*12)</f>
        <v/>
      </c>
      <c r="L21" s="29"/>
      <c r="M21" s="27" t="str">
        <f aca="false">IF(OR(L21="",J21=""),"",IF(J21&lt;=0,"回収不可",L21/J21))</f>
        <v/>
      </c>
      <c r="N21" s="22"/>
      <c r="O21" s="17"/>
      <c r="P21" s="22"/>
      <c r="Q21" s="22"/>
      <c r="R21" s="28" t="str">
        <f aca="true">IF(OR(P21="",Q21&lt;&gt;"",O21="キャンセル"),"",P21-TODAY())</f>
        <v/>
      </c>
      <c r="S21" s="29"/>
      <c r="T21" s="22"/>
      <c r="U21" s="17"/>
      <c r="V21" s="22"/>
      <c r="W21" s="19" t="str">
        <f aca="true">IF(B21="","",IF(OR(O21="開通済",Q21&lt;&gt;""),"完了",IF(O21="キャンセル","―",IF(AND(V21&lt;&gt;"",V21&lt;TODAY()),"対応期限超過",IF(AND(P21&lt;&gt;"",P21&lt;TODAY()),"開通予定日超過",IF(AND(V21&lt;&gt;"",V21=TODAY()),"本日対応",IF(AND(P21&lt;&gt;"",P21-TODAY()&lt;=3),"開通間近","")))))))</f>
        <v/>
      </c>
      <c r="X21" s="17"/>
    </row>
    <row r="22" customFormat="false" ht="15" hidden="false" customHeight="false" outlineLevel="0" collapsed="false">
      <c r="A22" s="12" t="str">
        <f aca="false">IF(B22="","",ROW()-4)</f>
        <v/>
      </c>
      <c r="B22" s="17"/>
      <c r="C22" s="19" t="str">
        <f aca="false">IF(B22="","",IFERROR(INDEX(顧客一覧!$C$5:$C$304,MATCH(B22,顧客一覧!$B$5:$B$304,0)),"※ID未登録"))</f>
        <v/>
      </c>
      <c r="D22" s="12" t="str">
        <f aca="false">IF(B22="","",IFERROR(INDEX(顧客一覧!$K$5:$K$304,MATCH(B22,顧客一覧!$B$5:$B$304,0))&amp;"",""))</f>
        <v/>
      </c>
      <c r="E22" s="17"/>
      <c r="F22" s="17"/>
      <c r="G22" s="29"/>
      <c r="H22" s="17"/>
      <c r="I22" s="29"/>
      <c r="J22" s="26" t="str">
        <f aca="false">IF(OR(G22="",I22=""),"",G22-I22)</f>
        <v/>
      </c>
      <c r="K22" s="26" t="str">
        <f aca="false">IF(J22="","",J22*12)</f>
        <v/>
      </c>
      <c r="L22" s="29"/>
      <c r="M22" s="27" t="str">
        <f aca="false">IF(OR(L22="",J22=""),"",IF(J22&lt;=0,"回収不可",L22/J22))</f>
        <v/>
      </c>
      <c r="N22" s="22"/>
      <c r="O22" s="17"/>
      <c r="P22" s="22"/>
      <c r="Q22" s="22"/>
      <c r="R22" s="28" t="str">
        <f aca="true">IF(OR(P22="",Q22&lt;&gt;"",O22="キャンセル"),"",P22-TODAY())</f>
        <v/>
      </c>
      <c r="S22" s="29"/>
      <c r="T22" s="22"/>
      <c r="U22" s="17"/>
      <c r="V22" s="22"/>
      <c r="W22" s="19" t="str">
        <f aca="true">IF(B22="","",IF(OR(O22="開通済",Q22&lt;&gt;""),"完了",IF(O22="キャンセル","―",IF(AND(V22&lt;&gt;"",V22&lt;TODAY()),"対応期限超過",IF(AND(P22&lt;&gt;"",P22&lt;TODAY()),"開通予定日超過",IF(AND(V22&lt;&gt;"",V22=TODAY()),"本日対応",IF(AND(P22&lt;&gt;"",P22-TODAY()&lt;=3),"開通間近","")))))))</f>
        <v/>
      </c>
      <c r="X22" s="17"/>
    </row>
    <row r="23" customFormat="false" ht="15" hidden="false" customHeight="false" outlineLevel="0" collapsed="false">
      <c r="A23" s="12" t="str">
        <f aca="false">IF(B23="","",ROW()-4)</f>
        <v/>
      </c>
      <c r="B23" s="17"/>
      <c r="C23" s="19" t="str">
        <f aca="false">IF(B23="","",IFERROR(INDEX(顧客一覧!$C$5:$C$304,MATCH(B23,顧客一覧!$B$5:$B$304,0)),"※ID未登録"))</f>
        <v/>
      </c>
      <c r="D23" s="12" t="str">
        <f aca="false">IF(B23="","",IFERROR(INDEX(顧客一覧!$K$5:$K$304,MATCH(B23,顧客一覧!$B$5:$B$304,0))&amp;"",""))</f>
        <v/>
      </c>
      <c r="E23" s="17"/>
      <c r="F23" s="17"/>
      <c r="G23" s="29"/>
      <c r="H23" s="17"/>
      <c r="I23" s="29"/>
      <c r="J23" s="26" t="str">
        <f aca="false">IF(OR(G23="",I23=""),"",G23-I23)</f>
        <v/>
      </c>
      <c r="K23" s="26" t="str">
        <f aca="false">IF(J23="","",J23*12)</f>
        <v/>
      </c>
      <c r="L23" s="29"/>
      <c r="M23" s="27" t="str">
        <f aca="false">IF(OR(L23="",J23=""),"",IF(J23&lt;=0,"回収不可",L23/J23))</f>
        <v/>
      </c>
      <c r="N23" s="22"/>
      <c r="O23" s="17"/>
      <c r="P23" s="22"/>
      <c r="Q23" s="22"/>
      <c r="R23" s="28" t="str">
        <f aca="true">IF(OR(P23="",Q23&lt;&gt;"",O23="キャンセル"),"",P23-TODAY())</f>
        <v/>
      </c>
      <c r="S23" s="29"/>
      <c r="T23" s="22"/>
      <c r="U23" s="17"/>
      <c r="V23" s="22"/>
      <c r="W23" s="19" t="str">
        <f aca="true">IF(B23="","",IF(OR(O23="開通済",Q23&lt;&gt;""),"完了",IF(O23="キャンセル","―",IF(AND(V23&lt;&gt;"",V23&lt;TODAY()),"対応期限超過",IF(AND(P23&lt;&gt;"",P23&lt;TODAY()),"開通予定日超過",IF(AND(V23&lt;&gt;"",V23=TODAY()),"本日対応",IF(AND(P23&lt;&gt;"",P23-TODAY()&lt;=3),"開通間近","")))))))</f>
        <v/>
      </c>
      <c r="X23" s="17"/>
    </row>
    <row r="24" customFormat="false" ht="15" hidden="false" customHeight="false" outlineLevel="0" collapsed="false">
      <c r="A24" s="12" t="str">
        <f aca="false">IF(B24="","",ROW()-4)</f>
        <v/>
      </c>
      <c r="B24" s="17"/>
      <c r="C24" s="19" t="str">
        <f aca="false">IF(B24="","",IFERROR(INDEX(顧客一覧!$C$5:$C$304,MATCH(B24,顧客一覧!$B$5:$B$304,0)),"※ID未登録"))</f>
        <v/>
      </c>
      <c r="D24" s="12" t="str">
        <f aca="false">IF(B24="","",IFERROR(INDEX(顧客一覧!$K$5:$K$304,MATCH(B24,顧客一覧!$B$5:$B$304,0))&amp;"",""))</f>
        <v/>
      </c>
      <c r="E24" s="17"/>
      <c r="F24" s="17"/>
      <c r="G24" s="29"/>
      <c r="H24" s="17"/>
      <c r="I24" s="29"/>
      <c r="J24" s="26" t="str">
        <f aca="false">IF(OR(G24="",I24=""),"",G24-I24)</f>
        <v/>
      </c>
      <c r="K24" s="26" t="str">
        <f aca="false">IF(J24="","",J24*12)</f>
        <v/>
      </c>
      <c r="L24" s="29"/>
      <c r="M24" s="27" t="str">
        <f aca="false">IF(OR(L24="",J24=""),"",IF(J24&lt;=0,"回収不可",L24/J24))</f>
        <v/>
      </c>
      <c r="N24" s="22"/>
      <c r="O24" s="17"/>
      <c r="P24" s="22"/>
      <c r="Q24" s="22"/>
      <c r="R24" s="28" t="str">
        <f aca="true">IF(OR(P24="",Q24&lt;&gt;"",O24="キャンセル"),"",P24-TODAY())</f>
        <v/>
      </c>
      <c r="S24" s="29"/>
      <c r="T24" s="22"/>
      <c r="U24" s="17"/>
      <c r="V24" s="22"/>
      <c r="W24" s="19" t="str">
        <f aca="true">IF(B24="","",IF(OR(O24="開通済",Q24&lt;&gt;""),"完了",IF(O24="キャンセル","―",IF(AND(V24&lt;&gt;"",V24&lt;TODAY()),"対応期限超過",IF(AND(P24&lt;&gt;"",P24&lt;TODAY()),"開通予定日超過",IF(AND(V24&lt;&gt;"",V24=TODAY()),"本日対応",IF(AND(P24&lt;&gt;"",P24-TODAY()&lt;=3),"開通間近","")))))))</f>
        <v/>
      </c>
      <c r="X24" s="17"/>
    </row>
    <row r="25" customFormat="false" ht="15" hidden="false" customHeight="false" outlineLevel="0" collapsed="false">
      <c r="A25" s="12" t="str">
        <f aca="false">IF(B25="","",ROW()-4)</f>
        <v/>
      </c>
      <c r="B25" s="17"/>
      <c r="C25" s="19" t="str">
        <f aca="false">IF(B25="","",IFERROR(INDEX(顧客一覧!$C$5:$C$304,MATCH(B25,顧客一覧!$B$5:$B$304,0)),"※ID未登録"))</f>
        <v/>
      </c>
      <c r="D25" s="12" t="str">
        <f aca="false">IF(B25="","",IFERROR(INDEX(顧客一覧!$K$5:$K$304,MATCH(B25,顧客一覧!$B$5:$B$304,0))&amp;"",""))</f>
        <v/>
      </c>
      <c r="E25" s="17"/>
      <c r="F25" s="17"/>
      <c r="G25" s="29"/>
      <c r="H25" s="17"/>
      <c r="I25" s="29"/>
      <c r="J25" s="26" t="str">
        <f aca="false">IF(OR(G25="",I25=""),"",G25-I25)</f>
        <v/>
      </c>
      <c r="K25" s="26" t="str">
        <f aca="false">IF(J25="","",J25*12)</f>
        <v/>
      </c>
      <c r="L25" s="29"/>
      <c r="M25" s="27" t="str">
        <f aca="false">IF(OR(L25="",J25=""),"",IF(J25&lt;=0,"回収不可",L25/J25))</f>
        <v/>
      </c>
      <c r="N25" s="22"/>
      <c r="O25" s="17"/>
      <c r="P25" s="22"/>
      <c r="Q25" s="22"/>
      <c r="R25" s="28" t="str">
        <f aca="true">IF(OR(P25="",Q25&lt;&gt;"",O25="キャンセル"),"",P25-TODAY())</f>
        <v/>
      </c>
      <c r="S25" s="29"/>
      <c r="T25" s="22"/>
      <c r="U25" s="17"/>
      <c r="V25" s="22"/>
      <c r="W25" s="19" t="str">
        <f aca="true">IF(B25="","",IF(OR(O25="開通済",Q25&lt;&gt;""),"完了",IF(O25="キャンセル","―",IF(AND(V25&lt;&gt;"",V25&lt;TODAY()),"対応期限超過",IF(AND(P25&lt;&gt;"",P25&lt;TODAY()),"開通予定日超過",IF(AND(V25&lt;&gt;"",V25=TODAY()),"本日対応",IF(AND(P25&lt;&gt;"",P25-TODAY()&lt;=3),"開通間近","")))))))</f>
        <v/>
      </c>
      <c r="X25" s="17"/>
    </row>
    <row r="26" customFormat="false" ht="15" hidden="false" customHeight="false" outlineLevel="0" collapsed="false">
      <c r="A26" s="12" t="str">
        <f aca="false">IF(B26="","",ROW()-4)</f>
        <v/>
      </c>
      <c r="B26" s="17"/>
      <c r="C26" s="19" t="str">
        <f aca="false">IF(B26="","",IFERROR(INDEX(顧客一覧!$C$5:$C$304,MATCH(B26,顧客一覧!$B$5:$B$304,0)),"※ID未登録"))</f>
        <v/>
      </c>
      <c r="D26" s="12" t="str">
        <f aca="false">IF(B26="","",IFERROR(INDEX(顧客一覧!$K$5:$K$304,MATCH(B26,顧客一覧!$B$5:$B$304,0))&amp;"",""))</f>
        <v/>
      </c>
      <c r="E26" s="17"/>
      <c r="F26" s="17"/>
      <c r="G26" s="29"/>
      <c r="H26" s="17"/>
      <c r="I26" s="29"/>
      <c r="J26" s="26" t="str">
        <f aca="false">IF(OR(G26="",I26=""),"",G26-I26)</f>
        <v/>
      </c>
      <c r="K26" s="26" t="str">
        <f aca="false">IF(J26="","",J26*12)</f>
        <v/>
      </c>
      <c r="L26" s="29"/>
      <c r="M26" s="27" t="str">
        <f aca="false">IF(OR(L26="",J26=""),"",IF(J26&lt;=0,"回収不可",L26/J26))</f>
        <v/>
      </c>
      <c r="N26" s="22"/>
      <c r="O26" s="17"/>
      <c r="P26" s="22"/>
      <c r="Q26" s="22"/>
      <c r="R26" s="28" t="str">
        <f aca="true">IF(OR(P26="",Q26&lt;&gt;"",O26="キャンセル"),"",P26-TODAY())</f>
        <v/>
      </c>
      <c r="S26" s="29"/>
      <c r="T26" s="22"/>
      <c r="U26" s="17"/>
      <c r="V26" s="22"/>
      <c r="W26" s="19" t="str">
        <f aca="true">IF(B26="","",IF(OR(O26="開通済",Q26&lt;&gt;""),"完了",IF(O26="キャンセル","―",IF(AND(V26&lt;&gt;"",V26&lt;TODAY()),"対応期限超過",IF(AND(P26&lt;&gt;"",P26&lt;TODAY()),"開通予定日超過",IF(AND(V26&lt;&gt;"",V26=TODAY()),"本日対応",IF(AND(P26&lt;&gt;"",P26-TODAY()&lt;=3),"開通間近","")))))))</f>
        <v/>
      </c>
      <c r="X26" s="17"/>
    </row>
    <row r="27" customFormat="false" ht="15" hidden="false" customHeight="false" outlineLevel="0" collapsed="false">
      <c r="A27" s="12" t="str">
        <f aca="false">IF(B27="","",ROW()-4)</f>
        <v/>
      </c>
      <c r="B27" s="17"/>
      <c r="C27" s="19" t="str">
        <f aca="false">IF(B27="","",IFERROR(INDEX(顧客一覧!$C$5:$C$304,MATCH(B27,顧客一覧!$B$5:$B$304,0)),"※ID未登録"))</f>
        <v/>
      </c>
      <c r="D27" s="12" t="str">
        <f aca="false">IF(B27="","",IFERROR(INDEX(顧客一覧!$K$5:$K$304,MATCH(B27,顧客一覧!$B$5:$B$304,0))&amp;"",""))</f>
        <v/>
      </c>
      <c r="E27" s="17"/>
      <c r="F27" s="17"/>
      <c r="G27" s="29"/>
      <c r="H27" s="17"/>
      <c r="I27" s="29"/>
      <c r="J27" s="26" t="str">
        <f aca="false">IF(OR(G27="",I27=""),"",G27-I27)</f>
        <v/>
      </c>
      <c r="K27" s="26" t="str">
        <f aca="false">IF(J27="","",J27*12)</f>
        <v/>
      </c>
      <c r="L27" s="29"/>
      <c r="M27" s="27" t="str">
        <f aca="false">IF(OR(L27="",J27=""),"",IF(J27&lt;=0,"回収不可",L27/J27))</f>
        <v/>
      </c>
      <c r="N27" s="22"/>
      <c r="O27" s="17"/>
      <c r="P27" s="22"/>
      <c r="Q27" s="22"/>
      <c r="R27" s="28" t="str">
        <f aca="true">IF(OR(P27="",Q27&lt;&gt;"",O27="キャンセル"),"",P27-TODAY())</f>
        <v/>
      </c>
      <c r="S27" s="29"/>
      <c r="T27" s="22"/>
      <c r="U27" s="17"/>
      <c r="V27" s="22"/>
      <c r="W27" s="19" t="str">
        <f aca="true">IF(B27="","",IF(OR(O27="開通済",Q27&lt;&gt;""),"完了",IF(O27="キャンセル","―",IF(AND(V27&lt;&gt;"",V27&lt;TODAY()),"対応期限超過",IF(AND(P27&lt;&gt;"",P27&lt;TODAY()),"開通予定日超過",IF(AND(V27&lt;&gt;"",V27=TODAY()),"本日対応",IF(AND(P27&lt;&gt;"",P27-TODAY()&lt;=3),"開通間近","")))))))</f>
        <v/>
      </c>
      <c r="X27" s="17"/>
    </row>
    <row r="28" customFormat="false" ht="15" hidden="false" customHeight="false" outlineLevel="0" collapsed="false">
      <c r="A28" s="12" t="str">
        <f aca="false">IF(B28="","",ROW()-4)</f>
        <v/>
      </c>
      <c r="B28" s="17"/>
      <c r="C28" s="19" t="str">
        <f aca="false">IF(B28="","",IFERROR(INDEX(顧客一覧!$C$5:$C$304,MATCH(B28,顧客一覧!$B$5:$B$304,0)),"※ID未登録"))</f>
        <v/>
      </c>
      <c r="D28" s="12" t="str">
        <f aca="false">IF(B28="","",IFERROR(INDEX(顧客一覧!$K$5:$K$304,MATCH(B28,顧客一覧!$B$5:$B$304,0))&amp;"",""))</f>
        <v/>
      </c>
      <c r="E28" s="17"/>
      <c r="F28" s="17"/>
      <c r="G28" s="29"/>
      <c r="H28" s="17"/>
      <c r="I28" s="29"/>
      <c r="J28" s="26" t="str">
        <f aca="false">IF(OR(G28="",I28=""),"",G28-I28)</f>
        <v/>
      </c>
      <c r="K28" s="26" t="str">
        <f aca="false">IF(J28="","",J28*12)</f>
        <v/>
      </c>
      <c r="L28" s="29"/>
      <c r="M28" s="27" t="str">
        <f aca="false">IF(OR(L28="",J28=""),"",IF(J28&lt;=0,"回収不可",L28/J28))</f>
        <v/>
      </c>
      <c r="N28" s="22"/>
      <c r="O28" s="17"/>
      <c r="P28" s="22"/>
      <c r="Q28" s="22"/>
      <c r="R28" s="28" t="str">
        <f aca="true">IF(OR(P28="",Q28&lt;&gt;"",O28="キャンセル"),"",P28-TODAY())</f>
        <v/>
      </c>
      <c r="S28" s="29"/>
      <c r="T28" s="22"/>
      <c r="U28" s="17"/>
      <c r="V28" s="22"/>
      <c r="W28" s="19" t="str">
        <f aca="true">IF(B28="","",IF(OR(O28="開通済",Q28&lt;&gt;""),"完了",IF(O28="キャンセル","―",IF(AND(V28&lt;&gt;"",V28&lt;TODAY()),"対応期限超過",IF(AND(P28&lt;&gt;"",P28&lt;TODAY()),"開通予定日超過",IF(AND(V28&lt;&gt;"",V28=TODAY()),"本日対応",IF(AND(P28&lt;&gt;"",P28-TODAY()&lt;=3),"開通間近","")))))))</f>
        <v/>
      </c>
      <c r="X28" s="17"/>
    </row>
    <row r="29" customFormat="false" ht="15" hidden="false" customHeight="false" outlineLevel="0" collapsed="false">
      <c r="A29" s="12" t="str">
        <f aca="false">IF(B29="","",ROW()-4)</f>
        <v/>
      </c>
      <c r="B29" s="17"/>
      <c r="C29" s="19" t="str">
        <f aca="false">IF(B29="","",IFERROR(INDEX(顧客一覧!$C$5:$C$304,MATCH(B29,顧客一覧!$B$5:$B$304,0)),"※ID未登録"))</f>
        <v/>
      </c>
      <c r="D29" s="12" t="str">
        <f aca="false">IF(B29="","",IFERROR(INDEX(顧客一覧!$K$5:$K$304,MATCH(B29,顧客一覧!$B$5:$B$304,0))&amp;"",""))</f>
        <v/>
      </c>
      <c r="E29" s="17"/>
      <c r="F29" s="17"/>
      <c r="G29" s="29"/>
      <c r="H29" s="17"/>
      <c r="I29" s="29"/>
      <c r="J29" s="26" t="str">
        <f aca="false">IF(OR(G29="",I29=""),"",G29-I29)</f>
        <v/>
      </c>
      <c r="K29" s="26" t="str">
        <f aca="false">IF(J29="","",J29*12)</f>
        <v/>
      </c>
      <c r="L29" s="29"/>
      <c r="M29" s="27" t="str">
        <f aca="false">IF(OR(L29="",J29=""),"",IF(J29&lt;=0,"回収不可",L29/J29))</f>
        <v/>
      </c>
      <c r="N29" s="22"/>
      <c r="O29" s="17"/>
      <c r="P29" s="22"/>
      <c r="Q29" s="22"/>
      <c r="R29" s="28" t="str">
        <f aca="true">IF(OR(P29="",Q29&lt;&gt;"",O29="キャンセル"),"",P29-TODAY())</f>
        <v/>
      </c>
      <c r="S29" s="29"/>
      <c r="T29" s="22"/>
      <c r="U29" s="17"/>
      <c r="V29" s="22"/>
      <c r="W29" s="19" t="str">
        <f aca="true">IF(B29="","",IF(OR(O29="開通済",Q29&lt;&gt;""),"完了",IF(O29="キャンセル","―",IF(AND(V29&lt;&gt;"",V29&lt;TODAY()),"対応期限超過",IF(AND(P29&lt;&gt;"",P29&lt;TODAY()),"開通予定日超過",IF(AND(V29&lt;&gt;"",V29=TODAY()),"本日対応",IF(AND(P29&lt;&gt;"",P29-TODAY()&lt;=3),"開通間近","")))))))</f>
        <v/>
      </c>
      <c r="X29" s="17"/>
    </row>
    <row r="30" customFormat="false" ht="15" hidden="false" customHeight="false" outlineLevel="0" collapsed="false">
      <c r="A30" s="12" t="str">
        <f aca="false">IF(B30="","",ROW()-4)</f>
        <v/>
      </c>
      <c r="B30" s="17"/>
      <c r="C30" s="19" t="str">
        <f aca="false">IF(B30="","",IFERROR(INDEX(顧客一覧!$C$5:$C$304,MATCH(B30,顧客一覧!$B$5:$B$304,0)),"※ID未登録"))</f>
        <v/>
      </c>
      <c r="D30" s="12" t="str">
        <f aca="false">IF(B30="","",IFERROR(INDEX(顧客一覧!$K$5:$K$304,MATCH(B30,顧客一覧!$B$5:$B$304,0))&amp;"",""))</f>
        <v/>
      </c>
      <c r="E30" s="17"/>
      <c r="F30" s="17"/>
      <c r="G30" s="29"/>
      <c r="H30" s="17"/>
      <c r="I30" s="29"/>
      <c r="J30" s="26" t="str">
        <f aca="false">IF(OR(G30="",I30=""),"",G30-I30)</f>
        <v/>
      </c>
      <c r="K30" s="26" t="str">
        <f aca="false">IF(J30="","",J30*12)</f>
        <v/>
      </c>
      <c r="L30" s="29"/>
      <c r="M30" s="27" t="str">
        <f aca="false">IF(OR(L30="",J30=""),"",IF(J30&lt;=0,"回収不可",L30/J30))</f>
        <v/>
      </c>
      <c r="N30" s="22"/>
      <c r="O30" s="17"/>
      <c r="P30" s="22"/>
      <c r="Q30" s="22"/>
      <c r="R30" s="28" t="str">
        <f aca="true">IF(OR(P30="",Q30&lt;&gt;"",O30="キャンセル"),"",P30-TODAY())</f>
        <v/>
      </c>
      <c r="S30" s="29"/>
      <c r="T30" s="22"/>
      <c r="U30" s="17"/>
      <c r="V30" s="22"/>
      <c r="W30" s="19" t="str">
        <f aca="true">IF(B30="","",IF(OR(O30="開通済",Q30&lt;&gt;""),"完了",IF(O30="キャンセル","―",IF(AND(V30&lt;&gt;"",V30&lt;TODAY()),"対応期限超過",IF(AND(P30&lt;&gt;"",P30&lt;TODAY()),"開通予定日超過",IF(AND(V30&lt;&gt;"",V30=TODAY()),"本日対応",IF(AND(P30&lt;&gt;"",P30-TODAY()&lt;=3),"開通間近","")))))))</f>
        <v/>
      </c>
      <c r="X30" s="17"/>
    </row>
    <row r="31" customFormat="false" ht="15" hidden="false" customHeight="false" outlineLevel="0" collapsed="false">
      <c r="A31" s="12" t="str">
        <f aca="false">IF(B31="","",ROW()-4)</f>
        <v/>
      </c>
      <c r="B31" s="17"/>
      <c r="C31" s="19" t="str">
        <f aca="false">IF(B31="","",IFERROR(INDEX(顧客一覧!$C$5:$C$304,MATCH(B31,顧客一覧!$B$5:$B$304,0)),"※ID未登録"))</f>
        <v/>
      </c>
      <c r="D31" s="12" t="str">
        <f aca="false">IF(B31="","",IFERROR(INDEX(顧客一覧!$K$5:$K$304,MATCH(B31,顧客一覧!$B$5:$B$304,0))&amp;"",""))</f>
        <v/>
      </c>
      <c r="E31" s="17"/>
      <c r="F31" s="17"/>
      <c r="G31" s="29"/>
      <c r="H31" s="17"/>
      <c r="I31" s="29"/>
      <c r="J31" s="26" t="str">
        <f aca="false">IF(OR(G31="",I31=""),"",G31-I31)</f>
        <v/>
      </c>
      <c r="K31" s="26" t="str">
        <f aca="false">IF(J31="","",J31*12)</f>
        <v/>
      </c>
      <c r="L31" s="29"/>
      <c r="M31" s="27" t="str">
        <f aca="false">IF(OR(L31="",J31=""),"",IF(J31&lt;=0,"回収不可",L31/J31))</f>
        <v/>
      </c>
      <c r="N31" s="22"/>
      <c r="O31" s="17"/>
      <c r="P31" s="22"/>
      <c r="Q31" s="22"/>
      <c r="R31" s="28" t="str">
        <f aca="true">IF(OR(P31="",Q31&lt;&gt;"",O31="キャンセル"),"",P31-TODAY())</f>
        <v/>
      </c>
      <c r="S31" s="29"/>
      <c r="T31" s="22"/>
      <c r="U31" s="17"/>
      <c r="V31" s="22"/>
      <c r="W31" s="19" t="str">
        <f aca="true">IF(B31="","",IF(OR(O31="開通済",Q31&lt;&gt;""),"完了",IF(O31="キャンセル","―",IF(AND(V31&lt;&gt;"",V31&lt;TODAY()),"対応期限超過",IF(AND(P31&lt;&gt;"",P31&lt;TODAY()),"開通予定日超過",IF(AND(V31&lt;&gt;"",V31=TODAY()),"本日対応",IF(AND(P31&lt;&gt;"",P31-TODAY()&lt;=3),"開通間近","")))))))</f>
        <v/>
      </c>
      <c r="X31" s="17"/>
    </row>
    <row r="32" customFormat="false" ht="15" hidden="false" customHeight="false" outlineLevel="0" collapsed="false">
      <c r="A32" s="12" t="str">
        <f aca="false">IF(B32="","",ROW()-4)</f>
        <v/>
      </c>
      <c r="B32" s="17"/>
      <c r="C32" s="19" t="str">
        <f aca="false">IF(B32="","",IFERROR(INDEX(顧客一覧!$C$5:$C$304,MATCH(B32,顧客一覧!$B$5:$B$304,0)),"※ID未登録"))</f>
        <v/>
      </c>
      <c r="D32" s="12" t="str">
        <f aca="false">IF(B32="","",IFERROR(INDEX(顧客一覧!$K$5:$K$304,MATCH(B32,顧客一覧!$B$5:$B$304,0))&amp;"",""))</f>
        <v/>
      </c>
      <c r="E32" s="17"/>
      <c r="F32" s="17"/>
      <c r="G32" s="29"/>
      <c r="H32" s="17"/>
      <c r="I32" s="29"/>
      <c r="J32" s="26" t="str">
        <f aca="false">IF(OR(G32="",I32=""),"",G32-I32)</f>
        <v/>
      </c>
      <c r="K32" s="26" t="str">
        <f aca="false">IF(J32="","",J32*12)</f>
        <v/>
      </c>
      <c r="L32" s="29"/>
      <c r="M32" s="27" t="str">
        <f aca="false">IF(OR(L32="",J32=""),"",IF(J32&lt;=0,"回収不可",L32/J32))</f>
        <v/>
      </c>
      <c r="N32" s="22"/>
      <c r="O32" s="17"/>
      <c r="P32" s="22"/>
      <c r="Q32" s="22"/>
      <c r="R32" s="28" t="str">
        <f aca="true">IF(OR(P32="",Q32&lt;&gt;"",O32="キャンセル"),"",P32-TODAY())</f>
        <v/>
      </c>
      <c r="S32" s="29"/>
      <c r="T32" s="22"/>
      <c r="U32" s="17"/>
      <c r="V32" s="22"/>
      <c r="W32" s="19" t="str">
        <f aca="true">IF(B32="","",IF(OR(O32="開通済",Q32&lt;&gt;""),"完了",IF(O32="キャンセル","―",IF(AND(V32&lt;&gt;"",V32&lt;TODAY()),"対応期限超過",IF(AND(P32&lt;&gt;"",P32&lt;TODAY()),"開通予定日超過",IF(AND(V32&lt;&gt;"",V32=TODAY()),"本日対応",IF(AND(P32&lt;&gt;"",P32-TODAY()&lt;=3),"開通間近","")))))))</f>
        <v/>
      </c>
      <c r="X32" s="17"/>
    </row>
    <row r="33" customFormat="false" ht="15" hidden="false" customHeight="false" outlineLevel="0" collapsed="false">
      <c r="A33" s="12" t="str">
        <f aca="false">IF(B33="","",ROW()-4)</f>
        <v/>
      </c>
      <c r="B33" s="17"/>
      <c r="C33" s="19" t="str">
        <f aca="false">IF(B33="","",IFERROR(INDEX(顧客一覧!$C$5:$C$304,MATCH(B33,顧客一覧!$B$5:$B$304,0)),"※ID未登録"))</f>
        <v/>
      </c>
      <c r="D33" s="12" t="str">
        <f aca="false">IF(B33="","",IFERROR(INDEX(顧客一覧!$K$5:$K$304,MATCH(B33,顧客一覧!$B$5:$B$304,0))&amp;"",""))</f>
        <v/>
      </c>
      <c r="E33" s="17"/>
      <c r="F33" s="17"/>
      <c r="G33" s="29"/>
      <c r="H33" s="17"/>
      <c r="I33" s="29"/>
      <c r="J33" s="26" t="str">
        <f aca="false">IF(OR(G33="",I33=""),"",G33-I33)</f>
        <v/>
      </c>
      <c r="K33" s="26" t="str">
        <f aca="false">IF(J33="","",J33*12)</f>
        <v/>
      </c>
      <c r="L33" s="29"/>
      <c r="M33" s="27" t="str">
        <f aca="false">IF(OR(L33="",J33=""),"",IF(J33&lt;=0,"回収不可",L33/J33))</f>
        <v/>
      </c>
      <c r="N33" s="22"/>
      <c r="O33" s="17"/>
      <c r="P33" s="22"/>
      <c r="Q33" s="22"/>
      <c r="R33" s="28" t="str">
        <f aca="true">IF(OR(P33="",Q33&lt;&gt;"",O33="キャンセル"),"",P33-TODAY())</f>
        <v/>
      </c>
      <c r="S33" s="29"/>
      <c r="T33" s="22"/>
      <c r="U33" s="17"/>
      <c r="V33" s="22"/>
      <c r="W33" s="19" t="str">
        <f aca="true">IF(B33="","",IF(OR(O33="開通済",Q33&lt;&gt;""),"完了",IF(O33="キャンセル","―",IF(AND(V33&lt;&gt;"",V33&lt;TODAY()),"対応期限超過",IF(AND(P33&lt;&gt;"",P33&lt;TODAY()),"開通予定日超過",IF(AND(V33&lt;&gt;"",V33=TODAY()),"本日対応",IF(AND(P33&lt;&gt;"",P33-TODAY()&lt;=3),"開通間近","")))))))</f>
        <v/>
      </c>
      <c r="X33" s="17"/>
    </row>
    <row r="34" customFormat="false" ht="15" hidden="false" customHeight="false" outlineLevel="0" collapsed="false">
      <c r="A34" s="12" t="str">
        <f aca="false">IF(B34="","",ROW()-4)</f>
        <v/>
      </c>
      <c r="B34" s="17"/>
      <c r="C34" s="19" t="str">
        <f aca="false">IF(B34="","",IFERROR(INDEX(顧客一覧!$C$5:$C$304,MATCH(B34,顧客一覧!$B$5:$B$304,0)),"※ID未登録"))</f>
        <v/>
      </c>
      <c r="D34" s="12" t="str">
        <f aca="false">IF(B34="","",IFERROR(INDEX(顧客一覧!$K$5:$K$304,MATCH(B34,顧客一覧!$B$5:$B$304,0))&amp;"",""))</f>
        <v/>
      </c>
      <c r="E34" s="17"/>
      <c r="F34" s="17"/>
      <c r="G34" s="29"/>
      <c r="H34" s="17"/>
      <c r="I34" s="29"/>
      <c r="J34" s="26" t="str">
        <f aca="false">IF(OR(G34="",I34=""),"",G34-I34)</f>
        <v/>
      </c>
      <c r="K34" s="26" t="str">
        <f aca="false">IF(J34="","",J34*12)</f>
        <v/>
      </c>
      <c r="L34" s="29"/>
      <c r="M34" s="27" t="str">
        <f aca="false">IF(OR(L34="",J34=""),"",IF(J34&lt;=0,"回収不可",L34/J34))</f>
        <v/>
      </c>
      <c r="N34" s="22"/>
      <c r="O34" s="17"/>
      <c r="P34" s="22"/>
      <c r="Q34" s="22"/>
      <c r="R34" s="28" t="str">
        <f aca="true">IF(OR(P34="",Q34&lt;&gt;"",O34="キャンセル"),"",P34-TODAY())</f>
        <v/>
      </c>
      <c r="S34" s="29"/>
      <c r="T34" s="22"/>
      <c r="U34" s="17"/>
      <c r="V34" s="22"/>
      <c r="W34" s="19" t="str">
        <f aca="true">IF(B34="","",IF(OR(O34="開通済",Q34&lt;&gt;""),"完了",IF(O34="キャンセル","―",IF(AND(V34&lt;&gt;"",V34&lt;TODAY()),"対応期限超過",IF(AND(P34&lt;&gt;"",P34&lt;TODAY()),"開通予定日超過",IF(AND(V34&lt;&gt;"",V34=TODAY()),"本日対応",IF(AND(P34&lt;&gt;"",P34-TODAY()&lt;=3),"開通間近","")))))))</f>
        <v/>
      </c>
      <c r="X34" s="17"/>
    </row>
    <row r="35" customFormat="false" ht="15" hidden="false" customHeight="false" outlineLevel="0" collapsed="false">
      <c r="A35" s="12" t="str">
        <f aca="false">IF(B35="","",ROW()-4)</f>
        <v/>
      </c>
      <c r="B35" s="17"/>
      <c r="C35" s="19" t="str">
        <f aca="false">IF(B35="","",IFERROR(INDEX(顧客一覧!$C$5:$C$304,MATCH(B35,顧客一覧!$B$5:$B$304,0)),"※ID未登録"))</f>
        <v/>
      </c>
      <c r="D35" s="12" t="str">
        <f aca="false">IF(B35="","",IFERROR(INDEX(顧客一覧!$K$5:$K$304,MATCH(B35,顧客一覧!$B$5:$B$304,0))&amp;"",""))</f>
        <v/>
      </c>
      <c r="E35" s="17"/>
      <c r="F35" s="17"/>
      <c r="G35" s="29"/>
      <c r="H35" s="17"/>
      <c r="I35" s="29"/>
      <c r="J35" s="26" t="str">
        <f aca="false">IF(OR(G35="",I35=""),"",G35-I35)</f>
        <v/>
      </c>
      <c r="K35" s="26" t="str">
        <f aca="false">IF(J35="","",J35*12)</f>
        <v/>
      </c>
      <c r="L35" s="29"/>
      <c r="M35" s="27" t="str">
        <f aca="false">IF(OR(L35="",J35=""),"",IF(J35&lt;=0,"回収不可",L35/J35))</f>
        <v/>
      </c>
      <c r="N35" s="22"/>
      <c r="O35" s="17"/>
      <c r="P35" s="22"/>
      <c r="Q35" s="22"/>
      <c r="R35" s="28" t="str">
        <f aca="true">IF(OR(P35="",Q35&lt;&gt;"",O35="キャンセル"),"",P35-TODAY())</f>
        <v/>
      </c>
      <c r="S35" s="29"/>
      <c r="T35" s="22"/>
      <c r="U35" s="17"/>
      <c r="V35" s="22"/>
      <c r="W35" s="19" t="str">
        <f aca="true">IF(B35="","",IF(OR(O35="開通済",Q35&lt;&gt;""),"完了",IF(O35="キャンセル","―",IF(AND(V35&lt;&gt;"",V35&lt;TODAY()),"対応期限超過",IF(AND(P35&lt;&gt;"",P35&lt;TODAY()),"開通予定日超過",IF(AND(V35&lt;&gt;"",V35=TODAY()),"本日対応",IF(AND(P35&lt;&gt;"",P35-TODAY()&lt;=3),"開通間近","")))))))</f>
        <v/>
      </c>
      <c r="X35" s="17"/>
    </row>
    <row r="36" customFormat="false" ht="15" hidden="false" customHeight="false" outlineLevel="0" collapsed="false">
      <c r="A36" s="12" t="str">
        <f aca="false">IF(B36="","",ROW()-4)</f>
        <v/>
      </c>
      <c r="B36" s="17"/>
      <c r="C36" s="19" t="str">
        <f aca="false">IF(B36="","",IFERROR(INDEX(顧客一覧!$C$5:$C$304,MATCH(B36,顧客一覧!$B$5:$B$304,0)),"※ID未登録"))</f>
        <v/>
      </c>
      <c r="D36" s="12" t="str">
        <f aca="false">IF(B36="","",IFERROR(INDEX(顧客一覧!$K$5:$K$304,MATCH(B36,顧客一覧!$B$5:$B$304,0))&amp;"",""))</f>
        <v/>
      </c>
      <c r="E36" s="17"/>
      <c r="F36" s="17"/>
      <c r="G36" s="29"/>
      <c r="H36" s="17"/>
      <c r="I36" s="29"/>
      <c r="J36" s="26" t="str">
        <f aca="false">IF(OR(G36="",I36=""),"",G36-I36)</f>
        <v/>
      </c>
      <c r="K36" s="26" t="str">
        <f aca="false">IF(J36="","",J36*12)</f>
        <v/>
      </c>
      <c r="L36" s="29"/>
      <c r="M36" s="27" t="str">
        <f aca="false">IF(OR(L36="",J36=""),"",IF(J36&lt;=0,"回収不可",L36/J36))</f>
        <v/>
      </c>
      <c r="N36" s="22"/>
      <c r="O36" s="17"/>
      <c r="P36" s="22"/>
      <c r="Q36" s="22"/>
      <c r="R36" s="28" t="str">
        <f aca="true">IF(OR(P36="",Q36&lt;&gt;"",O36="キャンセル"),"",P36-TODAY())</f>
        <v/>
      </c>
      <c r="S36" s="29"/>
      <c r="T36" s="22"/>
      <c r="U36" s="17"/>
      <c r="V36" s="22"/>
      <c r="W36" s="19" t="str">
        <f aca="true">IF(B36="","",IF(OR(O36="開通済",Q36&lt;&gt;""),"完了",IF(O36="キャンセル","―",IF(AND(V36&lt;&gt;"",V36&lt;TODAY()),"対応期限超過",IF(AND(P36&lt;&gt;"",P36&lt;TODAY()),"開通予定日超過",IF(AND(V36&lt;&gt;"",V36=TODAY()),"本日対応",IF(AND(P36&lt;&gt;"",P36-TODAY()&lt;=3),"開通間近","")))))))</f>
        <v/>
      </c>
      <c r="X36" s="17"/>
    </row>
    <row r="37" customFormat="false" ht="15" hidden="false" customHeight="false" outlineLevel="0" collapsed="false">
      <c r="A37" s="12" t="str">
        <f aca="false">IF(B37="","",ROW()-4)</f>
        <v/>
      </c>
      <c r="B37" s="17"/>
      <c r="C37" s="19" t="str">
        <f aca="false">IF(B37="","",IFERROR(INDEX(顧客一覧!$C$5:$C$304,MATCH(B37,顧客一覧!$B$5:$B$304,0)),"※ID未登録"))</f>
        <v/>
      </c>
      <c r="D37" s="12" t="str">
        <f aca="false">IF(B37="","",IFERROR(INDEX(顧客一覧!$K$5:$K$304,MATCH(B37,顧客一覧!$B$5:$B$304,0))&amp;"",""))</f>
        <v/>
      </c>
      <c r="E37" s="17"/>
      <c r="F37" s="17"/>
      <c r="G37" s="29"/>
      <c r="H37" s="17"/>
      <c r="I37" s="29"/>
      <c r="J37" s="26" t="str">
        <f aca="false">IF(OR(G37="",I37=""),"",G37-I37)</f>
        <v/>
      </c>
      <c r="K37" s="26" t="str">
        <f aca="false">IF(J37="","",J37*12)</f>
        <v/>
      </c>
      <c r="L37" s="29"/>
      <c r="M37" s="27" t="str">
        <f aca="false">IF(OR(L37="",J37=""),"",IF(J37&lt;=0,"回収不可",L37/J37))</f>
        <v/>
      </c>
      <c r="N37" s="22"/>
      <c r="O37" s="17"/>
      <c r="P37" s="22"/>
      <c r="Q37" s="22"/>
      <c r="R37" s="28" t="str">
        <f aca="true">IF(OR(P37="",Q37&lt;&gt;"",O37="キャンセル"),"",P37-TODAY())</f>
        <v/>
      </c>
      <c r="S37" s="29"/>
      <c r="T37" s="22"/>
      <c r="U37" s="17"/>
      <c r="V37" s="22"/>
      <c r="W37" s="19" t="str">
        <f aca="true">IF(B37="","",IF(OR(O37="開通済",Q37&lt;&gt;""),"完了",IF(O37="キャンセル","―",IF(AND(V37&lt;&gt;"",V37&lt;TODAY()),"対応期限超過",IF(AND(P37&lt;&gt;"",P37&lt;TODAY()),"開通予定日超過",IF(AND(V37&lt;&gt;"",V37=TODAY()),"本日対応",IF(AND(P37&lt;&gt;"",P37-TODAY()&lt;=3),"開通間近","")))))))</f>
        <v/>
      </c>
      <c r="X37" s="17"/>
    </row>
    <row r="38" customFormat="false" ht="15" hidden="false" customHeight="false" outlineLevel="0" collapsed="false">
      <c r="A38" s="12" t="str">
        <f aca="false">IF(B38="","",ROW()-4)</f>
        <v/>
      </c>
      <c r="B38" s="17"/>
      <c r="C38" s="19" t="str">
        <f aca="false">IF(B38="","",IFERROR(INDEX(顧客一覧!$C$5:$C$304,MATCH(B38,顧客一覧!$B$5:$B$304,0)),"※ID未登録"))</f>
        <v/>
      </c>
      <c r="D38" s="12" t="str">
        <f aca="false">IF(B38="","",IFERROR(INDEX(顧客一覧!$K$5:$K$304,MATCH(B38,顧客一覧!$B$5:$B$304,0))&amp;"",""))</f>
        <v/>
      </c>
      <c r="E38" s="17"/>
      <c r="F38" s="17"/>
      <c r="G38" s="29"/>
      <c r="H38" s="17"/>
      <c r="I38" s="29"/>
      <c r="J38" s="26" t="str">
        <f aca="false">IF(OR(G38="",I38=""),"",G38-I38)</f>
        <v/>
      </c>
      <c r="K38" s="26" t="str">
        <f aca="false">IF(J38="","",J38*12)</f>
        <v/>
      </c>
      <c r="L38" s="29"/>
      <c r="M38" s="27" t="str">
        <f aca="false">IF(OR(L38="",J38=""),"",IF(J38&lt;=0,"回収不可",L38/J38))</f>
        <v/>
      </c>
      <c r="N38" s="22"/>
      <c r="O38" s="17"/>
      <c r="P38" s="22"/>
      <c r="Q38" s="22"/>
      <c r="R38" s="28" t="str">
        <f aca="true">IF(OR(P38="",Q38&lt;&gt;"",O38="キャンセル"),"",P38-TODAY())</f>
        <v/>
      </c>
      <c r="S38" s="29"/>
      <c r="T38" s="22"/>
      <c r="U38" s="17"/>
      <c r="V38" s="22"/>
      <c r="W38" s="19" t="str">
        <f aca="true">IF(B38="","",IF(OR(O38="開通済",Q38&lt;&gt;""),"完了",IF(O38="キャンセル","―",IF(AND(V38&lt;&gt;"",V38&lt;TODAY()),"対応期限超過",IF(AND(P38&lt;&gt;"",P38&lt;TODAY()),"開通予定日超過",IF(AND(V38&lt;&gt;"",V38=TODAY()),"本日対応",IF(AND(P38&lt;&gt;"",P38-TODAY()&lt;=3),"開通間近","")))))))</f>
        <v/>
      </c>
      <c r="X38" s="17"/>
    </row>
    <row r="39" customFormat="false" ht="15" hidden="false" customHeight="false" outlineLevel="0" collapsed="false">
      <c r="A39" s="12" t="str">
        <f aca="false">IF(B39="","",ROW()-4)</f>
        <v/>
      </c>
      <c r="B39" s="17"/>
      <c r="C39" s="19" t="str">
        <f aca="false">IF(B39="","",IFERROR(INDEX(顧客一覧!$C$5:$C$304,MATCH(B39,顧客一覧!$B$5:$B$304,0)),"※ID未登録"))</f>
        <v/>
      </c>
      <c r="D39" s="12" t="str">
        <f aca="false">IF(B39="","",IFERROR(INDEX(顧客一覧!$K$5:$K$304,MATCH(B39,顧客一覧!$B$5:$B$304,0))&amp;"",""))</f>
        <v/>
      </c>
      <c r="E39" s="17"/>
      <c r="F39" s="17"/>
      <c r="G39" s="29"/>
      <c r="H39" s="17"/>
      <c r="I39" s="29"/>
      <c r="J39" s="26" t="str">
        <f aca="false">IF(OR(G39="",I39=""),"",G39-I39)</f>
        <v/>
      </c>
      <c r="K39" s="26" t="str">
        <f aca="false">IF(J39="","",J39*12)</f>
        <v/>
      </c>
      <c r="L39" s="29"/>
      <c r="M39" s="27" t="str">
        <f aca="false">IF(OR(L39="",J39=""),"",IF(J39&lt;=0,"回収不可",L39/J39))</f>
        <v/>
      </c>
      <c r="N39" s="22"/>
      <c r="O39" s="17"/>
      <c r="P39" s="22"/>
      <c r="Q39" s="22"/>
      <c r="R39" s="28" t="str">
        <f aca="true">IF(OR(P39="",Q39&lt;&gt;"",O39="キャンセル"),"",P39-TODAY())</f>
        <v/>
      </c>
      <c r="S39" s="29"/>
      <c r="T39" s="22"/>
      <c r="U39" s="17"/>
      <c r="V39" s="22"/>
      <c r="W39" s="19" t="str">
        <f aca="true">IF(B39="","",IF(OR(O39="開通済",Q39&lt;&gt;""),"完了",IF(O39="キャンセル","―",IF(AND(V39&lt;&gt;"",V39&lt;TODAY()),"対応期限超過",IF(AND(P39&lt;&gt;"",P39&lt;TODAY()),"開通予定日超過",IF(AND(V39&lt;&gt;"",V39=TODAY()),"本日対応",IF(AND(P39&lt;&gt;"",P39-TODAY()&lt;=3),"開通間近","")))))))</f>
        <v/>
      </c>
      <c r="X39" s="17"/>
    </row>
    <row r="40" customFormat="false" ht="15" hidden="false" customHeight="false" outlineLevel="0" collapsed="false">
      <c r="A40" s="12" t="str">
        <f aca="false">IF(B40="","",ROW()-4)</f>
        <v/>
      </c>
      <c r="B40" s="17"/>
      <c r="C40" s="19" t="str">
        <f aca="false">IF(B40="","",IFERROR(INDEX(顧客一覧!$C$5:$C$304,MATCH(B40,顧客一覧!$B$5:$B$304,0)),"※ID未登録"))</f>
        <v/>
      </c>
      <c r="D40" s="12" t="str">
        <f aca="false">IF(B40="","",IFERROR(INDEX(顧客一覧!$K$5:$K$304,MATCH(B40,顧客一覧!$B$5:$B$304,0))&amp;"",""))</f>
        <v/>
      </c>
      <c r="E40" s="17"/>
      <c r="F40" s="17"/>
      <c r="G40" s="29"/>
      <c r="H40" s="17"/>
      <c r="I40" s="29"/>
      <c r="J40" s="26" t="str">
        <f aca="false">IF(OR(G40="",I40=""),"",G40-I40)</f>
        <v/>
      </c>
      <c r="K40" s="26" t="str">
        <f aca="false">IF(J40="","",J40*12)</f>
        <v/>
      </c>
      <c r="L40" s="29"/>
      <c r="M40" s="27" t="str">
        <f aca="false">IF(OR(L40="",J40=""),"",IF(J40&lt;=0,"回収不可",L40/J40))</f>
        <v/>
      </c>
      <c r="N40" s="22"/>
      <c r="O40" s="17"/>
      <c r="P40" s="22"/>
      <c r="Q40" s="22"/>
      <c r="R40" s="28" t="str">
        <f aca="true">IF(OR(P40="",Q40&lt;&gt;"",O40="キャンセル"),"",P40-TODAY())</f>
        <v/>
      </c>
      <c r="S40" s="29"/>
      <c r="T40" s="22"/>
      <c r="U40" s="17"/>
      <c r="V40" s="22"/>
      <c r="W40" s="19" t="str">
        <f aca="true">IF(B40="","",IF(OR(O40="開通済",Q40&lt;&gt;""),"完了",IF(O40="キャンセル","―",IF(AND(V40&lt;&gt;"",V40&lt;TODAY()),"対応期限超過",IF(AND(P40&lt;&gt;"",P40&lt;TODAY()),"開通予定日超過",IF(AND(V40&lt;&gt;"",V40=TODAY()),"本日対応",IF(AND(P40&lt;&gt;"",P40-TODAY()&lt;=3),"開通間近","")))))))</f>
        <v/>
      </c>
      <c r="X40" s="17"/>
    </row>
    <row r="41" customFormat="false" ht="15" hidden="false" customHeight="false" outlineLevel="0" collapsed="false">
      <c r="A41" s="12" t="str">
        <f aca="false">IF(B41="","",ROW()-4)</f>
        <v/>
      </c>
      <c r="B41" s="17"/>
      <c r="C41" s="19" t="str">
        <f aca="false">IF(B41="","",IFERROR(INDEX(顧客一覧!$C$5:$C$304,MATCH(B41,顧客一覧!$B$5:$B$304,0)),"※ID未登録"))</f>
        <v/>
      </c>
      <c r="D41" s="12" t="str">
        <f aca="false">IF(B41="","",IFERROR(INDEX(顧客一覧!$K$5:$K$304,MATCH(B41,顧客一覧!$B$5:$B$304,0))&amp;"",""))</f>
        <v/>
      </c>
      <c r="E41" s="17"/>
      <c r="F41" s="17"/>
      <c r="G41" s="29"/>
      <c r="H41" s="17"/>
      <c r="I41" s="29"/>
      <c r="J41" s="26" t="str">
        <f aca="false">IF(OR(G41="",I41=""),"",G41-I41)</f>
        <v/>
      </c>
      <c r="K41" s="26" t="str">
        <f aca="false">IF(J41="","",J41*12)</f>
        <v/>
      </c>
      <c r="L41" s="29"/>
      <c r="M41" s="27" t="str">
        <f aca="false">IF(OR(L41="",J41=""),"",IF(J41&lt;=0,"回収不可",L41/J41))</f>
        <v/>
      </c>
      <c r="N41" s="22"/>
      <c r="O41" s="17"/>
      <c r="P41" s="22"/>
      <c r="Q41" s="22"/>
      <c r="R41" s="28" t="str">
        <f aca="true">IF(OR(P41="",Q41&lt;&gt;"",O41="キャンセル"),"",P41-TODAY())</f>
        <v/>
      </c>
      <c r="S41" s="29"/>
      <c r="T41" s="22"/>
      <c r="U41" s="17"/>
      <c r="V41" s="22"/>
      <c r="W41" s="19" t="str">
        <f aca="true">IF(B41="","",IF(OR(O41="開通済",Q41&lt;&gt;""),"完了",IF(O41="キャンセル","―",IF(AND(V41&lt;&gt;"",V41&lt;TODAY()),"対応期限超過",IF(AND(P41&lt;&gt;"",P41&lt;TODAY()),"開通予定日超過",IF(AND(V41&lt;&gt;"",V41=TODAY()),"本日対応",IF(AND(P41&lt;&gt;"",P41-TODAY()&lt;=3),"開通間近","")))))))</f>
        <v/>
      </c>
      <c r="X41" s="17"/>
    </row>
    <row r="42" customFormat="false" ht="15" hidden="false" customHeight="false" outlineLevel="0" collapsed="false">
      <c r="A42" s="12" t="str">
        <f aca="false">IF(B42="","",ROW()-4)</f>
        <v/>
      </c>
      <c r="B42" s="17"/>
      <c r="C42" s="19" t="str">
        <f aca="false">IF(B42="","",IFERROR(INDEX(顧客一覧!$C$5:$C$304,MATCH(B42,顧客一覧!$B$5:$B$304,0)),"※ID未登録"))</f>
        <v/>
      </c>
      <c r="D42" s="12" t="str">
        <f aca="false">IF(B42="","",IFERROR(INDEX(顧客一覧!$K$5:$K$304,MATCH(B42,顧客一覧!$B$5:$B$304,0))&amp;"",""))</f>
        <v/>
      </c>
      <c r="E42" s="17"/>
      <c r="F42" s="17"/>
      <c r="G42" s="29"/>
      <c r="H42" s="17"/>
      <c r="I42" s="29"/>
      <c r="J42" s="26" t="str">
        <f aca="false">IF(OR(G42="",I42=""),"",G42-I42)</f>
        <v/>
      </c>
      <c r="K42" s="26" t="str">
        <f aca="false">IF(J42="","",J42*12)</f>
        <v/>
      </c>
      <c r="L42" s="29"/>
      <c r="M42" s="27" t="str">
        <f aca="false">IF(OR(L42="",J42=""),"",IF(J42&lt;=0,"回収不可",L42/J42))</f>
        <v/>
      </c>
      <c r="N42" s="22"/>
      <c r="O42" s="17"/>
      <c r="P42" s="22"/>
      <c r="Q42" s="22"/>
      <c r="R42" s="28" t="str">
        <f aca="true">IF(OR(P42="",Q42&lt;&gt;"",O42="キャンセル"),"",P42-TODAY())</f>
        <v/>
      </c>
      <c r="S42" s="29"/>
      <c r="T42" s="22"/>
      <c r="U42" s="17"/>
      <c r="V42" s="22"/>
      <c r="W42" s="19" t="str">
        <f aca="true">IF(B42="","",IF(OR(O42="開通済",Q42&lt;&gt;""),"完了",IF(O42="キャンセル","―",IF(AND(V42&lt;&gt;"",V42&lt;TODAY()),"対応期限超過",IF(AND(P42&lt;&gt;"",P42&lt;TODAY()),"開通予定日超過",IF(AND(V42&lt;&gt;"",V42=TODAY()),"本日対応",IF(AND(P42&lt;&gt;"",P42-TODAY()&lt;=3),"開通間近","")))))))</f>
        <v/>
      </c>
      <c r="X42" s="17"/>
    </row>
    <row r="43" customFormat="false" ht="15" hidden="false" customHeight="false" outlineLevel="0" collapsed="false">
      <c r="A43" s="12" t="str">
        <f aca="false">IF(B43="","",ROW()-4)</f>
        <v/>
      </c>
      <c r="B43" s="17"/>
      <c r="C43" s="19" t="str">
        <f aca="false">IF(B43="","",IFERROR(INDEX(顧客一覧!$C$5:$C$304,MATCH(B43,顧客一覧!$B$5:$B$304,0)),"※ID未登録"))</f>
        <v/>
      </c>
      <c r="D43" s="12" t="str">
        <f aca="false">IF(B43="","",IFERROR(INDEX(顧客一覧!$K$5:$K$304,MATCH(B43,顧客一覧!$B$5:$B$304,0))&amp;"",""))</f>
        <v/>
      </c>
      <c r="E43" s="17"/>
      <c r="F43" s="17"/>
      <c r="G43" s="29"/>
      <c r="H43" s="17"/>
      <c r="I43" s="29"/>
      <c r="J43" s="26" t="str">
        <f aca="false">IF(OR(G43="",I43=""),"",G43-I43)</f>
        <v/>
      </c>
      <c r="K43" s="26" t="str">
        <f aca="false">IF(J43="","",J43*12)</f>
        <v/>
      </c>
      <c r="L43" s="29"/>
      <c r="M43" s="27" t="str">
        <f aca="false">IF(OR(L43="",J43=""),"",IF(J43&lt;=0,"回収不可",L43/J43))</f>
        <v/>
      </c>
      <c r="N43" s="22"/>
      <c r="O43" s="17"/>
      <c r="P43" s="22"/>
      <c r="Q43" s="22"/>
      <c r="R43" s="28" t="str">
        <f aca="true">IF(OR(P43="",Q43&lt;&gt;"",O43="キャンセル"),"",P43-TODAY())</f>
        <v/>
      </c>
      <c r="S43" s="29"/>
      <c r="T43" s="22"/>
      <c r="U43" s="17"/>
      <c r="V43" s="22"/>
      <c r="W43" s="19" t="str">
        <f aca="true">IF(B43="","",IF(OR(O43="開通済",Q43&lt;&gt;""),"完了",IF(O43="キャンセル","―",IF(AND(V43&lt;&gt;"",V43&lt;TODAY()),"対応期限超過",IF(AND(P43&lt;&gt;"",P43&lt;TODAY()),"開通予定日超過",IF(AND(V43&lt;&gt;"",V43=TODAY()),"本日対応",IF(AND(P43&lt;&gt;"",P43-TODAY()&lt;=3),"開通間近","")))))))</f>
        <v/>
      </c>
      <c r="X43" s="17"/>
    </row>
    <row r="44" customFormat="false" ht="15" hidden="false" customHeight="false" outlineLevel="0" collapsed="false">
      <c r="A44" s="12" t="str">
        <f aca="false">IF(B44="","",ROW()-4)</f>
        <v/>
      </c>
      <c r="B44" s="17"/>
      <c r="C44" s="19" t="str">
        <f aca="false">IF(B44="","",IFERROR(INDEX(顧客一覧!$C$5:$C$304,MATCH(B44,顧客一覧!$B$5:$B$304,0)),"※ID未登録"))</f>
        <v/>
      </c>
      <c r="D44" s="12" t="str">
        <f aca="false">IF(B44="","",IFERROR(INDEX(顧客一覧!$K$5:$K$304,MATCH(B44,顧客一覧!$B$5:$B$304,0))&amp;"",""))</f>
        <v/>
      </c>
      <c r="E44" s="17"/>
      <c r="F44" s="17"/>
      <c r="G44" s="29"/>
      <c r="H44" s="17"/>
      <c r="I44" s="29"/>
      <c r="J44" s="26" t="str">
        <f aca="false">IF(OR(G44="",I44=""),"",G44-I44)</f>
        <v/>
      </c>
      <c r="K44" s="26" t="str">
        <f aca="false">IF(J44="","",J44*12)</f>
        <v/>
      </c>
      <c r="L44" s="29"/>
      <c r="M44" s="27" t="str">
        <f aca="false">IF(OR(L44="",J44=""),"",IF(J44&lt;=0,"回収不可",L44/J44))</f>
        <v/>
      </c>
      <c r="N44" s="22"/>
      <c r="O44" s="17"/>
      <c r="P44" s="22"/>
      <c r="Q44" s="22"/>
      <c r="R44" s="28" t="str">
        <f aca="true">IF(OR(P44="",Q44&lt;&gt;"",O44="キャンセル"),"",P44-TODAY())</f>
        <v/>
      </c>
      <c r="S44" s="29"/>
      <c r="T44" s="22"/>
      <c r="U44" s="17"/>
      <c r="V44" s="22"/>
      <c r="W44" s="19" t="str">
        <f aca="true">IF(B44="","",IF(OR(O44="開通済",Q44&lt;&gt;""),"完了",IF(O44="キャンセル","―",IF(AND(V44&lt;&gt;"",V44&lt;TODAY()),"対応期限超過",IF(AND(P44&lt;&gt;"",P44&lt;TODAY()),"開通予定日超過",IF(AND(V44&lt;&gt;"",V44=TODAY()),"本日対応",IF(AND(P44&lt;&gt;"",P44-TODAY()&lt;=3),"開通間近","")))))))</f>
        <v/>
      </c>
      <c r="X44" s="17"/>
    </row>
    <row r="45" customFormat="false" ht="15" hidden="false" customHeight="false" outlineLevel="0" collapsed="false">
      <c r="A45" s="12" t="str">
        <f aca="false">IF(B45="","",ROW()-4)</f>
        <v/>
      </c>
      <c r="B45" s="17"/>
      <c r="C45" s="19" t="str">
        <f aca="false">IF(B45="","",IFERROR(INDEX(顧客一覧!$C$5:$C$304,MATCH(B45,顧客一覧!$B$5:$B$304,0)),"※ID未登録"))</f>
        <v/>
      </c>
      <c r="D45" s="12" t="str">
        <f aca="false">IF(B45="","",IFERROR(INDEX(顧客一覧!$K$5:$K$304,MATCH(B45,顧客一覧!$B$5:$B$304,0))&amp;"",""))</f>
        <v/>
      </c>
      <c r="E45" s="17"/>
      <c r="F45" s="17"/>
      <c r="G45" s="29"/>
      <c r="H45" s="17"/>
      <c r="I45" s="29"/>
      <c r="J45" s="26" t="str">
        <f aca="false">IF(OR(G45="",I45=""),"",G45-I45)</f>
        <v/>
      </c>
      <c r="K45" s="26" t="str">
        <f aca="false">IF(J45="","",J45*12)</f>
        <v/>
      </c>
      <c r="L45" s="29"/>
      <c r="M45" s="27" t="str">
        <f aca="false">IF(OR(L45="",J45=""),"",IF(J45&lt;=0,"回収不可",L45/J45))</f>
        <v/>
      </c>
      <c r="N45" s="22"/>
      <c r="O45" s="17"/>
      <c r="P45" s="22"/>
      <c r="Q45" s="22"/>
      <c r="R45" s="28" t="str">
        <f aca="true">IF(OR(P45="",Q45&lt;&gt;"",O45="キャンセル"),"",P45-TODAY())</f>
        <v/>
      </c>
      <c r="S45" s="29"/>
      <c r="T45" s="22"/>
      <c r="U45" s="17"/>
      <c r="V45" s="22"/>
      <c r="W45" s="19" t="str">
        <f aca="true">IF(B45="","",IF(OR(O45="開通済",Q45&lt;&gt;""),"完了",IF(O45="キャンセル","―",IF(AND(V45&lt;&gt;"",V45&lt;TODAY()),"対応期限超過",IF(AND(P45&lt;&gt;"",P45&lt;TODAY()),"開通予定日超過",IF(AND(V45&lt;&gt;"",V45=TODAY()),"本日対応",IF(AND(P45&lt;&gt;"",P45-TODAY()&lt;=3),"開通間近","")))))))</f>
        <v/>
      </c>
      <c r="X45" s="17"/>
    </row>
    <row r="46" customFormat="false" ht="15" hidden="false" customHeight="false" outlineLevel="0" collapsed="false">
      <c r="A46" s="12" t="str">
        <f aca="false">IF(B46="","",ROW()-4)</f>
        <v/>
      </c>
      <c r="B46" s="17"/>
      <c r="C46" s="19" t="str">
        <f aca="false">IF(B46="","",IFERROR(INDEX(顧客一覧!$C$5:$C$304,MATCH(B46,顧客一覧!$B$5:$B$304,0)),"※ID未登録"))</f>
        <v/>
      </c>
      <c r="D46" s="12" t="str">
        <f aca="false">IF(B46="","",IFERROR(INDEX(顧客一覧!$K$5:$K$304,MATCH(B46,顧客一覧!$B$5:$B$304,0))&amp;"",""))</f>
        <v/>
      </c>
      <c r="E46" s="17"/>
      <c r="F46" s="17"/>
      <c r="G46" s="29"/>
      <c r="H46" s="17"/>
      <c r="I46" s="29"/>
      <c r="J46" s="26" t="str">
        <f aca="false">IF(OR(G46="",I46=""),"",G46-I46)</f>
        <v/>
      </c>
      <c r="K46" s="26" t="str">
        <f aca="false">IF(J46="","",J46*12)</f>
        <v/>
      </c>
      <c r="L46" s="29"/>
      <c r="M46" s="27" t="str">
        <f aca="false">IF(OR(L46="",J46=""),"",IF(J46&lt;=0,"回収不可",L46/J46))</f>
        <v/>
      </c>
      <c r="N46" s="22"/>
      <c r="O46" s="17"/>
      <c r="P46" s="22"/>
      <c r="Q46" s="22"/>
      <c r="R46" s="28" t="str">
        <f aca="true">IF(OR(P46="",Q46&lt;&gt;"",O46="キャンセル"),"",P46-TODAY())</f>
        <v/>
      </c>
      <c r="S46" s="29"/>
      <c r="T46" s="22"/>
      <c r="U46" s="17"/>
      <c r="V46" s="22"/>
      <c r="W46" s="19" t="str">
        <f aca="true">IF(B46="","",IF(OR(O46="開通済",Q46&lt;&gt;""),"完了",IF(O46="キャンセル","―",IF(AND(V46&lt;&gt;"",V46&lt;TODAY()),"対応期限超過",IF(AND(P46&lt;&gt;"",P46&lt;TODAY()),"開通予定日超過",IF(AND(V46&lt;&gt;"",V46=TODAY()),"本日対応",IF(AND(P46&lt;&gt;"",P46-TODAY()&lt;=3),"開通間近","")))))))</f>
        <v/>
      </c>
      <c r="X46" s="17"/>
    </row>
    <row r="47" customFormat="false" ht="15" hidden="false" customHeight="false" outlineLevel="0" collapsed="false">
      <c r="A47" s="12" t="str">
        <f aca="false">IF(B47="","",ROW()-4)</f>
        <v/>
      </c>
      <c r="B47" s="17"/>
      <c r="C47" s="19" t="str">
        <f aca="false">IF(B47="","",IFERROR(INDEX(顧客一覧!$C$5:$C$304,MATCH(B47,顧客一覧!$B$5:$B$304,0)),"※ID未登録"))</f>
        <v/>
      </c>
      <c r="D47" s="12" t="str">
        <f aca="false">IF(B47="","",IFERROR(INDEX(顧客一覧!$K$5:$K$304,MATCH(B47,顧客一覧!$B$5:$B$304,0))&amp;"",""))</f>
        <v/>
      </c>
      <c r="E47" s="17"/>
      <c r="F47" s="17"/>
      <c r="G47" s="29"/>
      <c r="H47" s="17"/>
      <c r="I47" s="29"/>
      <c r="J47" s="26" t="str">
        <f aca="false">IF(OR(G47="",I47=""),"",G47-I47)</f>
        <v/>
      </c>
      <c r="K47" s="26" t="str">
        <f aca="false">IF(J47="","",J47*12)</f>
        <v/>
      </c>
      <c r="L47" s="29"/>
      <c r="M47" s="27" t="str">
        <f aca="false">IF(OR(L47="",J47=""),"",IF(J47&lt;=0,"回収不可",L47/J47))</f>
        <v/>
      </c>
      <c r="N47" s="22"/>
      <c r="O47" s="17"/>
      <c r="P47" s="22"/>
      <c r="Q47" s="22"/>
      <c r="R47" s="28" t="str">
        <f aca="true">IF(OR(P47="",Q47&lt;&gt;"",O47="キャンセル"),"",P47-TODAY())</f>
        <v/>
      </c>
      <c r="S47" s="29"/>
      <c r="T47" s="22"/>
      <c r="U47" s="17"/>
      <c r="V47" s="22"/>
      <c r="W47" s="19" t="str">
        <f aca="true">IF(B47="","",IF(OR(O47="開通済",Q47&lt;&gt;""),"完了",IF(O47="キャンセル","―",IF(AND(V47&lt;&gt;"",V47&lt;TODAY()),"対応期限超過",IF(AND(P47&lt;&gt;"",P47&lt;TODAY()),"開通予定日超過",IF(AND(V47&lt;&gt;"",V47=TODAY()),"本日対応",IF(AND(P47&lt;&gt;"",P47-TODAY()&lt;=3),"開通間近","")))))))</f>
        <v/>
      </c>
      <c r="X47" s="17"/>
    </row>
    <row r="48" customFormat="false" ht="15" hidden="false" customHeight="false" outlineLevel="0" collapsed="false">
      <c r="A48" s="12" t="str">
        <f aca="false">IF(B48="","",ROW()-4)</f>
        <v/>
      </c>
      <c r="B48" s="17"/>
      <c r="C48" s="19" t="str">
        <f aca="false">IF(B48="","",IFERROR(INDEX(顧客一覧!$C$5:$C$304,MATCH(B48,顧客一覧!$B$5:$B$304,0)),"※ID未登録"))</f>
        <v/>
      </c>
      <c r="D48" s="12" t="str">
        <f aca="false">IF(B48="","",IFERROR(INDEX(顧客一覧!$K$5:$K$304,MATCH(B48,顧客一覧!$B$5:$B$304,0))&amp;"",""))</f>
        <v/>
      </c>
      <c r="E48" s="17"/>
      <c r="F48" s="17"/>
      <c r="G48" s="29"/>
      <c r="H48" s="17"/>
      <c r="I48" s="29"/>
      <c r="J48" s="26" t="str">
        <f aca="false">IF(OR(G48="",I48=""),"",G48-I48)</f>
        <v/>
      </c>
      <c r="K48" s="26" t="str">
        <f aca="false">IF(J48="","",J48*12)</f>
        <v/>
      </c>
      <c r="L48" s="29"/>
      <c r="M48" s="27" t="str">
        <f aca="false">IF(OR(L48="",J48=""),"",IF(J48&lt;=0,"回収不可",L48/J48))</f>
        <v/>
      </c>
      <c r="N48" s="22"/>
      <c r="O48" s="17"/>
      <c r="P48" s="22"/>
      <c r="Q48" s="22"/>
      <c r="R48" s="28" t="str">
        <f aca="true">IF(OR(P48="",Q48&lt;&gt;"",O48="キャンセル"),"",P48-TODAY())</f>
        <v/>
      </c>
      <c r="S48" s="29"/>
      <c r="T48" s="22"/>
      <c r="U48" s="17"/>
      <c r="V48" s="22"/>
      <c r="W48" s="19" t="str">
        <f aca="true">IF(B48="","",IF(OR(O48="開通済",Q48&lt;&gt;""),"完了",IF(O48="キャンセル","―",IF(AND(V48&lt;&gt;"",V48&lt;TODAY()),"対応期限超過",IF(AND(P48&lt;&gt;"",P48&lt;TODAY()),"開通予定日超過",IF(AND(V48&lt;&gt;"",V48=TODAY()),"本日対応",IF(AND(P48&lt;&gt;"",P48-TODAY()&lt;=3),"開通間近","")))))))</f>
        <v/>
      </c>
      <c r="X48" s="17"/>
    </row>
    <row r="49" customFormat="false" ht="15" hidden="false" customHeight="false" outlineLevel="0" collapsed="false">
      <c r="A49" s="12" t="str">
        <f aca="false">IF(B49="","",ROW()-4)</f>
        <v/>
      </c>
      <c r="B49" s="17"/>
      <c r="C49" s="19" t="str">
        <f aca="false">IF(B49="","",IFERROR(INDEX(顧客一覧!$C$5:$C$304,MATCH(B49,顧客一覧!$B$5:$B$304,0)),"※ID未登録"))</f>
        <v/>
      </c>
      <c r="D49" s="12" t="str">
        <f aca="false">IF(B49="","",IFERROR(INDEX(顧客一覧!$K$5:$K$304,MATCH(B49,顧客一覧!$B$5:$B$304,0))&amp;"",""))</f>
        <v/>
      </c>
      <c r="E49" s="17"/>
      <c r="F49" s="17"/>
      <c r="G49" s="29"/>
      <c r="H49" s="17"/>
      <c r="I49" s="29"/>
      <c r="J49" s="26" t="str">
        <f aca="false">IF(OR(G49="",I49=""),"",G49-I49)</f>
        <v/>
      </c>
      <c r="K49" s="26" t="str">
        <f aca="false">IF(J49="","",J49*12)</f>
        <v/>
      </c>
      <c r="L49" s="29"/>
      <c r="M49" s="27" t="str">
        <f aca="false">IF(OR(L49="",J49=""),"",IF(J49&lt;=0,"回収不可",L49/J49))</f>
        <v/>
      </c>
      <c r="N49" s="22"/>
      <c r="O49" s="17"/>
      <c r="P49" s="22"/>
      <c r="Q49" s="22"/>
      <c r="R49" s="28" t="str">
        <f aca="true">IF(OR(P49="",Q49&lt;&gt;"",O49="キャンセル"),"",P49-TODAY())</f>
        <v/>
      </c>
      <c r="S49" s="29"/>
      <c r="T49" s="22"/>
      <c r="U49" s="17"/>
      <c r="V49" s="22"/>
      <c r="W49" s="19" t="str">
        <f aca="true">IF(B49="","",IF(OR(O49="開通済",Q49&lt;&gt;""),"完了",IF(O49="キャンセル","―",IF(AND(V49&lt;&gt;"",V49&lt;TODAY()),"対応期限超過",IF(AND(P49&lt;&gt;"",P49&lt;TODAY()),"開通予定日超過",IF(AND(V49&lt;&gt;"",V49=TODAY()),"本日対応",IF(AND(P49&lt;&gt;"",P49-TODAY()&lt;=3),"開通間近","")))))))</f>
        <v/>
      </c>
      <c r="X49" s="17"/>
    </row>
    <row r="50" customFormat="false" ht="15" hidden="false" customHeight="false" outlineLevel="0" collapsed="false">
      <c r="A50" s="12" t="str">
        <f aca="false">IF(B50="","",ROW()-4)</f>
        <v/>
      </c>
      <c r="B50" s="17"/>
      <c r="C50" s="19" t="str">
        <f aca="false">IF(B50="","",IFERROR(INDEX(顧客一覧!$C$5:$C$304,MATCH(B50,顧客一覧!$B$5:$B$304,0)),"※ID未登録"))</f>
        <v/>
      </c>
      <c r="D50" s="12" t="str">
        <f aca="false">IF(B50="","",IFERROR(INDEX(顧客一覧!$K$5:$K$304,MATCH(B50,顧客一覧!$B$5:$B$304,0))&amp;"",""))</f>
        <v/>
      </c>
      <c r="E50" s="17"/>
      <c r="F50" s="17"/>
      <c r="G50" s="29"/>
      <c r="H50" s="17"/>
      <c r="I50" s="29"/>
      <c r="J50" s="26" t="str">
        <f aca="false">IF(OR(G50="",I50=""),"",G50-I50)</f>
        <v/>
      </c>
      <c r="K50" s="26" t="str">
        <f aca="false">IF(J50="","",J50*12)</f>
        <v/>
      </c>
      <c r="L50" s="29"/>
      <c r="M50" s="27" t="str">
        <f aca="false">IF(OR(L50="",J50=""),"",IF(J50&lt;=0,"回収不可",L50/J50))</f>
        <v/>
      </c>
      <c r="N50" s="22"/>
      <c r="O50" s="17"/>
      <c r="P50" s="22"/>
      <c r="Q50" s="22"/>
      <c r="R50" s="28" t="str">
        <f aca="true">IF(OR(P50="",Q50&lt;&gt;"",O50="キャンセル"),"",P50-TODAY())</f>
        <v/>
      </c>
      <c r="S50" s="29"/>
      <c r="T50" s="22"/>
      <c r="U50" s="17"/>
      <c r="V50" s="22"/>
      <c r="W50" s="19" t="str">
        <f aca="true">IF(B50="","",IF(OR(O50="開通済",Q50&lt;&gt;""),"完了",IF(O50="キャンセル","―",IF(AND(V50&lt;&gt;"",V50&lt;TODAY()),"対応期限超過",IF(AND(P50&lt;&gt;"",P50&lt;TODAY()),"開通予定日超過",IF(AND(V50&lt;&gt;"",V50=TODAY()),"本日対応",IF(AND(P50&lt;&gt;"",P50-TODAY()&lt;=3),"開通間近","")))))))</f>
        <v/>
      </c>
      <c r="X50" s="17"/>
    </row>
    <row r="51" customFormat="false" ht="15" hidden="false" customHeight="false" outlineLevel="0" collapsed="false">
      <c r="A51" s="12" t="str">
        <f aca="false">IF(B51="","",ROW()-4)</f>
        <v/>
      </c>
      <c r="B51" s="17"/>
      <c r="C51" s="19" t="str">
        <f aca="false">IF(B51="","",IFERROR(INDEX(顧客一覧!$C$5:$C$304,MATCH(B51,顧客一覧!$B$5:$B$304,0)),"※ID未登録"))</f>
        <v/>
      </c>
      <c r="D51" s="12" t="str">
        <f aca="false">IF(B51="","",IFERROR(INDEX(顧客一覧!$K$5:$K$304,MATCH(B51,顧客一覧!$B$5:$B$304,0))&amp;"",""))</f>
        <v/>
      </c>
      <c r="E51" s="17"/>
      <c r="F51" s="17"/>
      <c r="G51" s="29"/>
      <c r="H51" s="17"/>
      <c r="I51" s="29"/>
      <c r="J51" s="26" t="str">
        <f aca="false">IF(OR(G51="",I51=""),"",G51-I51)</f>
        <v/>
      </c>
      <c r="K51" s="26" t="str">
        <f aca="false">IF(J51="","",J51*12)</f>
        <v/>
      </c>
      <c r="L51" s="29"/>
      <c r="M51" s="27" t="str">
        <f aca="false">IF(OR(L51="",J51=""),"",IF(J51&lt;=0,"回収不可",L51/J51))</f>
        <v/>
      </c>
      <c r="N51" s="22"/>
      <c r="O51" s="17"/>
      <c r="P51" s="22"/>
      <c r="Q51" s="22"/>
      <c r="R51" s="28" t="str">
        <f aca="true">IF(OR(P51="",Q51&lt;&gt;"",O51="キャンセル"),"",P51-TODAY())</f>
        <v/>
      </c>
      <c r="S51" s="29"/>
      <c r="T51" s="22"/>
      <c r="U51" s="17"/>
      <c r="V51" s="22"/>
      <c r="W51" s="19" t="str">
        <f aca="true">IF(B51="","",IF(OR(O51="開通済",Q51&lt;&gt;""),"完了",IF(O51="キャンセル","―",IF(AND(V51&lt;&gt;"",V51&lt;TODAY()),"対応期限超過",IF(AND(P51&lt;&gt;"",P51&lt;TODAY()),"開通予定日超過",IF(AND(V51&lt;&gt;"",V51=TODAY()),"本日対応",IF(AND(P51&lt;&gt;"",P51-TODAY()&lt;=3),"開通間近","")))))))</f>
        <v/>
      </c>
      <c r="X51" s="17"/>
    </row>
    <row r="52" customFormat="false" ht="15" hidden="false" customHeight="false" outlineLevel="0" collapsed="false">
      <c r="A52" s="12" t="str">
        <f aca="false">IF(B52="","",ROW()-4)</f>
        <v/>
      </c>
      <c r="B52" s="17"/>
      <c r="C52" s="19" t="str">
        <f aca="false">IF(B52="","",IFERROR(INDEX(顧客一覧!$C$5:$C$304,MATCH(B52,顧客一覧!$B$5:$B$304,0)),"※ID未登録"))</f>
        <v/>
      </c>
      <c r="D52" s="12" t="str">
        <f aca="false">IF(B52="","",IFERROR(INDEX(顧客一覧!$K$5:$K$304,MATCH(B52,顧客一覧!$B$5:$B$304,0))&amp;"",""))</f>
        <v/>
      </c>
      <c r="E52" s="17"/>
      <c r="F52" s="17"/>
      <c r="G52" s="29"/>
      <c r="H52" s="17"/>
      <c r="I52" s="29"/>
      <c r="J52" s="26" t="str">
        <f aca="false">IF(OR(G52="",I52=""),"",G52-I52)</f>
        <v/>
      </c>
      <c r="K52" s="26" t="str">
        <f aca="false">IF(J52="","",J52*12)</f>
        <v/>
      </c>
      <c r="L52" s="29"/>
      <c r="M52" s="27" t="str">
        <f aca="false">IF(OR(L52="",J52=""),"",IF(J52&lt;=0,"回収不可",L52/J52))</f>
        <v/>
      </c>
      <c r="N52" s="22"/>
      <c r="O52" s="17"/>
      <c r="P52" s="22"/>
      <c r="Q52" s="22"/>
      <c r="R52" s="28" t="str">
        <f aca="true">IF(OR(P52="",Q52&lt;&gt;"",O52="キャンセル"),"",P52-TODAY())</f>
        <v/>
      </c>
      <c r="S52" s="29"/>
      <c r="T52" s="22"/>
      <c r="U52" s="17"/>
      <c r="V52" s="22"/>
      <c r="W52" s="19" t="str">
        <f aca="true">IF(B52="","",IF(OR(O52="開通済",Q52&lt;&gt;""),"完了",IF(O52="キャンセル","―",IF(AND(V52&lt;&gt;"",V52&lt;TODAY()),"対応期限超過",IF(AND(P52&lt;&gt;"",P52&lt;TODAY()),"開通予定日超過",IF(AND(V52&lt;&gt;"",V52=TODAY()),"本日対応",IF(AND(P52&lt;&gt;"",P52-TODAY()&lt;=3),"開通間近","")))))))</f>
        <v/>
      </c>
      <c r="X52" s="17"/>
    </row>
    <row r="53" customFormat="false" ht="15" hidden="false" customHeight="false" outlineLevel="0" collapsed="false">
      <c r="A53" s="12" t="str">
        <f aca="false">IF(B53="","",ROW()-4)</f>
        <v/>
      </c>
      <c r="B53" s="17"/>
      <c r="C53" s="19" t="str">
        <f aca="false">IF(B53="","",IFERROR(INDEX(顧客一覧!$C$5:$C$304,MATCH(B53,顧客一覧!$B$5:$B$304,0)),"※ID未登録"))</f>
        <v/>
      </c>
      <c r="D53" s="12" t="str">
        <f aca="false">IF(B53="","",IFERROR(INDEX(顧客一覧!$K$5:$K$304,MATCH(B53,顧客一覧!$B$5:$B$304,0))&amp;"",""))</f>
        <v/>
      </c>
      <c r="E53" s="17"/>
      <c r="F53" s="17"/>
      <c r="G53" s="29"/>
      <c r="H53" s="17"/>
      <c r="I53" s="29"/>
      <c r="J53" s="26" t="str">
        <f aca="false">IF(OR(G53="",I53=""),"",G53-I53)</f>
        <v/>
      </c>
      <c r="K53" s="26" t="str">
        <f aca="false">IF(J53="","",J53*12)</f>
        <v/>
      </c>
      <c r="L53" s="29"/>
      <c r="M53" s="27" t="str">
        <f aca="false">IF(OR(L53="",J53=""),"",IF(J53&lt;=0,"回収不可",L53/J53))</f>
        <v/>
      </c>
      <c r="N53" s="22"/>
      <c r="O53" s="17"/>
      <c r="P53" s="22"/>
      <c r="Q53" s="22"/>
      <c r="R53" s="28" t="str">
        <f aca="true">IF(OR(P53="",Q53&lt;&gt;"",O53="キャンセル"),"",P53-TODAY())</f>
        <v/>
      </c>
      <c r="S53" s="29"/>
      <c r="T53" s="22"/>
      <c r="U53" s="17"/>
      <c r="V53" s="22"/>
      <c r="W53" s="19" t="str">
        <f aca="true">IF(B53="","",IF(OR(O53="開通済",Q53&lt;&gt;""),"完了",IF(O53="キャンセル","―",IF(AND(V53&lt;&gt;"",V53&lt;TODAY()),"対応期限超過",IF(AND(P53&lt;&gt;"",P53&lt;TODAY()),"開通予定日超過",IF(AND(V53&lt;&gt;"",V53=TODAY()),"本日対応",IF(AND(P53&lt;&gt;"",P53-TODAY()&lt;=3),"開通間近","")))))))</f>
        <v/>
      </c>
      <c r="X53" s="17"/>
    </row>
    <row r="54" customFormat="false" ht="15" hidden="false" customHeight="false" outlineLevel="0" collapsed="false">
      <c r="A54" s="12" t="str">
        <f aca="false">IF(B54="","",ROW()-4)</f>
        <v/>
      </c>
      <c r="B54" s="17"/>
      <c r="C54" s="19" t="str">
        <f aca="false">IF(B54="","",IFERROR(INDEX(顧客一覧!$C$5:$C$304,MATCH(B54,顧客一覧!$B$5:$B$304,0)),"※ID未登録"))</f>
        <v/>
      </c>
      <c r="D54" s="12" t="str">
        <f aca="false">IF(B54="","",IFERROR(INDEX(顧客一覧!$K$5:$K$304,MATCH(B54,顧客一覧!$B$5:$B$304,0))&amp;"",""))</f>
        <v/>
      </c>
      <c r="E54" s="17"/>
      <c r="F54" s="17"/>
      <c r="G54" s="29"/>
      <c r="H54" s="17"/>
      <c r="I54" s="29"/>
      <c r="J54" s="26" t="str">
        <f aca="false">IF(OR(G54="",I54=""),"",G54-I54)</f>
        <v/>
      </c>
      <c r="K54" s="26" t="str">
        <f aca="false">IF(J54="","",J54*12)</f>
        <v/>
      </c>
      <c r="L54" s="29"/>
      <c r="M54" s="27" t="str">
        <f aca="false">IF(OR(L54="",J54=""),"",IF(J54&lt;=0,"回収不可",L54/J54))</f>
        <v/>
      </c>
      <c r="N54" s="22"/>
      <c r="O54" s="17"/>
      <c r="P54" s="22"/>
      <c r="Q54" s="22"/>
      <c r="R54" s="28" t="str">
        <f aca="true">IF(OR(P54="",Q54&lt;&gt;"",O54="キャンセル"),"",P54-TODAY())</f>
        <v/>
      </c>
      <c r="S54" s="29"/>
      <c r="T54" s="22"/>
      <c r="U54" s="17"/>
      <c r="V54" s="22"/>
      <c r="W54" s="19" t="str">
        <f aca="true">IF(B54="","",IF(OR(O54="開通済",Q54&lt;&gt;""),"完了",IF(O54="キャンセル","―",IF(AND(V54&lt;&gt;"",V54&lt;TODAY()),"対応期限超過",IF(AND(P54&lt;&gt;"",P54&lt;TODAY()),"開通予定日超過",IF(AND(V54&lt;&gt;"",V54=TODAY()),"本日対応",IF(AND(P54&lt;&gt;"",P54-TODAY()&lt;=3),"開通間近","")))))))</f>
        <v/>
      </c>
      <c r="X54" s="17"/>
    </row>
    <row r="55" customFormat="false" ht="15" hidden="false" customHeight="false" outlineLevel="0" collapsed="false">
      <c r="A55" s="12" t="str">
        <f aca="false">IF(B55="","",ROW()-4)</f>
        <v/>
      </c>
      <c r="B55" s="17"/>
      <c r="C55" s="19" t="str">
        <f aca="false">IF(B55="","",IFERROR(INDEX(顧客一覧!$C$5:$C$304,MATCH(B55,顧客一覧!$B$5:$B$304,0)),"※ID未登録"))</f>
        <v/>
      </c>
      <c r="D55" s="12" t="str">
        <f aca="false">IF(B55="","",IFERROR(INDEX(顧客一覧!$K$5:$K$304,MATCH(B55,顧客一覧!$B$5:$B$304,0))&amp;"",""))</f>
        <v/>
      </c>
      <c r="E55" s="17"/>
      <c r="F55" s="17"/>
      <c r="G55" s="29"/>
      <c r="H55" s="17"/>
      <c r="I55" s="29"/>
      <c r="J55" s="26" t="str">
        <f aca="false">IF(OR(G55="",I55=""),"",G55-I55)</f>
        <v/>
      </c>
      <c r="K55" s="26" t="str">
        <f aca="false">IF(J55="","",J55*12)</f>
        <v/>
      </c>
      <c r="L55" s="29"/>
      <c r="M55" s="27" t="str">
        <f aca="false">IF(OR(L55="",J55=""),"",IF(J55&lt;=0,"回収不可",L55/J55))</f>
        <v/>
      </c>
      <c r="N55" s="22"/>
      <c r="O55" s="17"/>
      <c r="P55" s="22"/>
      <c r="Q55" s="22"/>
      <c r="R55" s="28" t="str">
        <f aca="true">IF(OR(P55="",Q55&lt;&gt;"",O55="キャンセル"),"",P55-TODAY())</f>
        <v/>
      </c>
      <c r="S55" s="29"/>
      <c r="T55" s="22"/>
      <c r="U55" s="17"/>
      <c r="V55" s="22"/>
      <c r="W55" s="19" t="str">
        <f aca="true">IF(B55="","",IF(OR(O55="開通済",Q55&lt;&gt;""),"完了",IF(O55="キャンセル","―",IF(AND(V55&lt;&gt;"",V55&lt;TODAY()),"対応期限超過",IF(AND(P55&lt;&gt;"",P55&lt;TODAY()),"開通予定日超過",IF(AND(V55&lt;&gt;"",V55=TODAY()),"本日対応",IF(AND(P55&lt;&gt;"",P55-TODAY()&lt;=3),"開通間近","")))))))</f>
        <v/>
      </c>
      <c r="X55" s="17"/>
    </row>
    <row r="56" customFormat="false" ht="15" hidden="false" customHeight="false" outlineLevel="0" collapsed="false">
      <c r="A56" s="12" t="str">
        <f aca="false">IF(B56="","",ROW()-4)</f>
        <v/>
      </c>
      <c r="B56" s="17"/>
      <c r="C56" s="19" t="str">
        <f aca="false">IF(B56="","",IFERROR(INDEX(顧客一覧!$C$5:$C$304,MATCH(B56,顧客一覧!$B$5:$B$304,0)),"※ID未登録"))</f>
        <v/>
      </c>
      <c r="D56" s="12" t="str">
        <f aca="false">IF(B56="","",IFERROR(INDEX(顧客一覧!$K$5:$K$304,MATCH(B56,顧客一覧!$B$5:$B$304,0))&amp;"",""))</f>
        <v/>
      </c>
      <c r="E56" s="17"/>
      <c r="F56" s="17"/>
      <c r="G56" s="29"/>
      <c r="H56" s="17"/>
      <c r="I56" s="29"/>
      <c r="J56" s="26" t="str">
        <f aca="false">IF(OR(G56="",I56=""),"",G56-I56)</f>
        <v/>
      </c>
      <c r="K56" s="26" t="str">
        <f aca="false">IF(J56="","",J56*12)</f>
        <v/>
      </c>
      <c r="L56" s="29"/>
      <c r="M56" s="27" t="str">
        <f aca="false">IF(OR(L56="",J56=""),"",IF(J56&lt;=0,"回収不可",L56/J56))</f>
        <v/>
      </c>
      <c r="N56" s="22"/>
      <c r="O56" s="17"/>
      <c r="P56" s="22"/>
      <c r="Q56" s="22"/>
      <c r="R56" s="28" t="str">
        <f aca="true">IF(OR(P56="",Q56&lt;&gt;"",O56="キャンセル"),"",P56-TODAY())</f>
        <v/>
      </c>
      <c r="S56" s="29"/>
      <c r="T56" s="22"/>
      <c r="U56" s="17"/>
      <c r="V56" s="22"/>
      <c r="W56" s="19" t="str">
        <f aca="true">IF(B56="","",IF(OR(O56="開通済",Q56&lt;&gt;""),"完了",IF(O56="キャンセル","―",IF(AND(V56&lt;&gt;"",V56&lt;TODAY()),"対応期限超過",IF(AND(P56&lt;&gt;"",P56&lt;TODAY()),"開通予定日超過",IF(AND(V56&lt;&gt;"",V56=TODAY()),"本日対応",IF(AND(P56&lt;&gt;"",P56-TODAY()&lt;=3),"開通間近","")))))))</f>
        <v/>
      </c>
      <c r="X56" s="17"/>
    </row>
    <row r="57" customFormat="false" ht="15" hidden="false" customHeight="false" outlineLevel="0" collapsed="false">
      <c r="A57" s="12" t="str">
        <f aca="false">IF(B57="","",ROW()-4)</f>
        <v/>
      </c>
      <c r="B57" s="17"/>
      <c r="C57" s="19" t="str">
        <f aca="false">IF(B57="","",IFERROR(INDEX(顧客一覧!$C$5:$C$304,MATCH(B57,顧客一覧!$B$5:$B$304,0)),"※ID未登録"))</f>
        <v/>
      </c>
      <c r="D57" s="12" t="str">
        <f aca="false">IF(B57="","",IFERROR(INDEX(顧客一覧!$K$5:$K$304,MATCH(B57,顧客一覧!$B$5:$B$304,0))&amp;"",""))</f>
        <v/>
      </c>
      <c r="E57" s="17"/>
      <c r="F57" s="17"/>
      <c r="G57" s="29"/>
      <c r="H57" s="17"/>
      <c r="I57" s="29"/>
      <c r="J57" s="26" t="str">
        <f aca="false">IF(OR(G57="",I57=""),"",G57-I57)</f>
        <v/>
      </c>
      <c r="K57" s="26" t="str">
        <f aca="false">IF(J57="","",J57*12)</f>
        <v/>
      </c>
      <c r="L57" s="29"/>
      <c r="M57" s="27" t="str">
        <f aca="false">IF(OR(L57="",J57=""),"",IF(J57&lt;=0,"回収不可",L57/J57))</f>
        <v/>
      </c>
      <c r="N57" s="22"/>
      <c r="O57" s="17"/>
      <c r="P57" s="22"/>
      <c r="Q57" s="22"/>
      <c r="R57" s="28" t="str">
        <f aca="true">IF(OR(P57="",Q57&lt;&gt;"",O57="キャンセル"),"",P57-TODAY())</f>
        <v/>
      </c>
      <c r="S57" s="29"/>
      <c r="T57" s="22"/>
      <c r="U57" s="17"/>
      <c r="V57" s="22"/>
      <c r="W57" s="19" t="str">
        <f aca="true">IF(B57="","",IF(OR(O57="開通済",Q57&lt;&gt;""),"完了",IF(O57="キャンセル","―",IF(AND(V57&lt;&gt;"",V57&lt;TODAY()),"対応期限超過",IF(AND(P57&lt;&gt;"",P57&lt;TODAY()),"開通予定日超過",IF(AND(V57&lt;&gt;"",V57=TODAY()),"本日対応",IF(AND(P57&lt;&gt;"",P57-TODAY()&lt;=3),"開通間近","")))))))</f>
        <v/>
      </c>
      <c r="X57" s="17"/>
    </row>
    <row r="58" customFormat="false" ht="15" hidden="false" customHeight="false" outlineLevel="0" collapsed="false">
      <c r="A58" s="12" t="str">
        <f aca="false">IF(B58="","",ROW()-4)</f>
        <v/>
      </c>
      <c r="B58" s="17"/>
      <c r="C58" s="19" t="str">
        <f aca="false">IF(B58="","",IFERROR(INDEX(顧客一覧!$C$5:$C$304,MATCH(B58,顧客一覧!$B$5:$B$304,0)),"※ID未登録"))</f>
        <v/>
      </c>
      <c r="D58" s="12" t="str">
        <f aca="false">IF(B58="","",IFERROR(INDEX(顧客一覧!$K$5:$K$304,MATCH(B58,顧客一覧!$B$5:$B$304,0))&amp;"",""))</f>
        <v/>
      </c>
      <c r="E58" s="17"/>
      <c r="F58" s="17"/>
      <c r="G58" s="29"/>
      <c r="H58" s="17"/>
      <c r="I58" s="29"/>
      <c r="J58" s="26" t="str">
        <f aca="false">IF(OR(G58="",I58=""),"",G58-I58)</f>
        <v/>
      </c>
      <c r="K58" s="26" t="str">
        <f aca="false">IF(J58="","",J58*12)</f>
        <v/>
      </c>
      <c r="L58" s="29"/>
      <c r="M58" s="27" t="str">
        <f aca="false">IF(OR(L58="",J58=""),"",IF(J58&lt;=0,"回収不可",L58/J58))</f>
        <v/>
      </c>
      <c r="N58" s="22"/>
      <c r="O58" s="17"/>
      <c r="P58" s="22"/>
      <c r="Q58" s="22"/>
      <c r="R58" s="28" t="str">
        <f aca="true">IF(OR(P58="",Q58&lt;&gt;"",O58="キャンセル"),"",P58-TODAY())</f>
        <v/>
      </c>
      <c r="S58" s="29"/>
      <c r="T58" s="22"/>
      <c r="U58" s="17"/>
      <c r="V58" s="22"/>
      <c r="W58" s="19" t="str">
        <f aca="true">IF(B58="","",IF(OR(O58="開通済",Q58&lt;&gt;""),"完了",IF(O58="キャンセル","―",IF(AND(V58&lt;&gt;"",V58&lt;TODAY()),"対応期限超過",IF(AND(P58&lt;&gt;"",P58&lt;TODAY()),"開通予定日超過",IF(AND(V58&lt;&gt;"",V58=TODAY()),"本日対応",IF(AND(P58&lt;&gt;"",P58-TODAY()&lt;=3),"開通間近","")))))))</f>
        <v/>
      </c>
      <c r="X58" s="17"/>
    </row>
    <row r="59" customFormat="false" ht="15" hidden="false" customHeight="false" outlineLevel="0" collapsed="false">
      <c r="A59" s="12" t="str">
        <f aca="false">IF(B59="","",ROW()-4)</f>
        <v/>
      </c>
      <c r="B59" s="17"/>
      <c r="C59" s="19" t="str">
        <f aca="false">IF(B59="","",IFERROR(INDEX(顧客一覧!$C$5:$C$304,MATCH(B59,顧客一覧!$B$5:$B$304,0)),"※ID未登録"))</f>
        <v/>
      </c>
      <c r="D59" s="12" t="str">
        <f aca="false">IF(B59="","",IFERROR(INDEX(顧客一覧!$K$5:$K$304,MATCH(B59,顧客一覧!$B$5:$B$304,0))&amp;"",""))</f>
        <v/>
      </c>
      <c r="E59" s="17"/>
      <c r="F59" s="17"/>
      <c r="G59" s="29"/>
      <c r="H59" s="17"/>
      <c r="I59" s="29"/>
      <c r="J59" s="26" t="str">
        <f aca="false">IF(OR(G59="",I59=""),"",G59-I59)</f>
        <v/>
      </c>
      <c r="K59" s="26" t="str">
        <f aca="false">IF(J59="","",J59*12)</f>
        <v/>
      </c>
      <c r="L59" s="29"/>
      <c r="M59" s="27" t="str">
        <f aca="false">IF(OR(L59="",J59=""),"",IF(J59&lt;=0,"回収不可",L59/J59))</f>
        <v/>
      </c>
      <c r="N59" s="22"/>
      <c r="O59" s="17"/>
      <c r="P59" s="22"/>
      <c r="Q59" s="22"/>
      <c r="R59" s="28" t="str">
        <f aca="true">IF(OR(P59="",Q59&lt;&gt;"",O59="キャンセル"),"",P59-TODAY())</f>
        <v/>
      </c>
      <c r="S59" s="29"/>
      <c r="T59" s="22"/>
      <c r="U59" s="17"/>
      <c r="V59" s="22"/>
      <c r="W59" s="19" t="str">
        <f aca="true">IF(B59="","",IF(OR(O59="開通済",Q59&lt;&gt;""),"完了",IF(O59="キャンセル","―",IF(AND(V59&lt;&gt;"",V59&lt;TODAY()),"対応期限超過",IF(AND(P59&lt;&gt;"",P59&lt;TODAY()),"開通予定日超過",IF(AND(V59&lt;&gt;"",V59=TODAY()),"本日対応",IF(AND(P59&lt;&gt;"",P59-TODAY()&lt;=3),"開通間近","")))))))</f>
        <v/>
      </c>
      <c r="X59" s="17"/>
    </row>
    <row r="60" customFormat="false" ht="15" hidden="false" customHeight="false" outlineLevel="0" collapsed="false">
      <c r="A60" s="12" t="str">
        <f aca="false">IF(B60="","",ROW()-4)</f>
        <v/>
      </c>
      <c r="B60" s="17"/>
      <c r="C60" s="19" t="str">
        <f aca="false">IF(B60="","",IFERROR(INDEX(顧客一覧!$C$5:$C$304,MATCH(B60,顧客一覧!$B$5:$B$304,0)),"※ID未登録"))</f>
        <v/>
      </c>
      <c r="D60" s="12" t="str">
        <f aca="false">IF(B60="","",IFERROR(INDEX(顧客一覧!$K$5:$K$304,MATCH(B60,顧客一覧!$B$5:$B$304,0))&amp;"",""))</f>
        <v/>
      </c>
      <c r="E60" s="17"/>
      <c r="F60" s="17"/>
      <c r="G60" s="29"/>
      <c r="H60" s="17"/>
      <c r="I60" s="29"/>
      <c r="J60" s="26" t="str">
        <f aca="false">IF(OR(G60="",I60=""),"",G60-I60)</f>
        <v/>
      </c>
      <c r="K60" s="26" t="str">
        <f aca="false">IF(J60="","",J60*12)</f>
        <v/>
      </c>
      <c r="L60" s="29"/>
      <c r="M60" s="27" t="str">
        <f aca="false">IF(OR(L60="",J60=""),"",IF(J60&lt;=0,"回収不可",L60/J60))</f>
        <v/>
      </c>
      <c r="N60" s="22"/>
      <c r="O60" s="17"/>
      <c r="P60" s="22"/>
      <c r="Q60" s="22"/>
      <c r="R60" s="28" t="str">
        <f aca="true">IF(OR(P60="",Q60&lt;&gt;"",O60="キャンセル"),"",P60-TODAY())</f>
        <v/>
      </c>
      <c r="S60" s="29"/>
      <c r="T60" s="22"/>
      <c r="U60" s="17"/>
      <c r="V60" s="22"/>
      <c r="W60" s="19" t="str">
        <f aca="true">IF(B60="","",IF(OR(O60="開通済",Q60&lt;&gt;""),"完了",IF(O60="キャンセル","―",IF(AND(V60&lt;&gt;"",V60&lt;TODAY()),"対応期限超過",IF(AND(P60&lt;&gt;"",P60&lt;TODAY()),"開通予定日超過",IF(AND(V60&lt;&gt;"",V60=TODAY()),"本日対応",IF(AND(P60&lt;&gt;"",P60-TODAY()&lt;=3),"開通間近","")))))))</f>
        <v/>
      </c>
      <c r="X60" s="17"/>
    </row>
    <row r="61" customFormat="false" ht="15" hidden="false" customHeight="false" outlineLevel="0" collapsed="false">
      <c r="A61" s="12" t="str">
        <f aca="false">IF(B61="","",ROW()-4)</f>
        <v/>
      </c>
      <c r="B61" s="17"/>
      <c r="C61" s="19" t="str">
        <f aca="false">IF(B61="","",IFERROR(INDEX(顧客一覧!$C$5:$C$304,MATCH(B61,顧客一覧!$B$5:$B$304,0)),"※ID未登録"))</f>
        <v/>
      </c>
      <c r="D61" s="12" t="str">
        <f aca="false">IF(B61="","",IFERROR(INDEX(顧客一覧!$K$5:$K$304,MATCH(B61,顧客一覧!$B$5:$B$304,0))&amp;"",""))</f>
        <v/>
      </c>
      <c r="E61" s="17"/>
      <c r="F61" s="17"/>
      <c r="G61" s="29"/>
      <c r="H61" s="17"/>
      <c r="I61" s="29"/>
      <c r="J61" s="26" t="str">
        <f aca="false">IF(OR(G61="",I61=""),"",G61-I61)</f>
        <v/>
      </c>
      <c r="K61" s="26" t="str">
        <f aca="false">IF(J61="","",J61*12)</f>
        <v/>
      </c>
      <c r="L61" s="29"/>
      <c r="M61" s="27" t="str">
        <f aca="false">IF(OR(L61="",J61=""),"",IF(J61&lt;=0,"回収不可",L61/J61))</f>
        <v/>
      </c>
      <c r="N61" s="22"/>
      <c r="O61" s="17"/>
      <c r="P61" s="22"/>
      <c r="Q61" s="22"/>
      <c r="R61" s="28" t="str">
        <f aca="true">IF(OR(P61="",Q61&lt;&gt;"",O61="キャンセル"),"",P61-TODAY())</f>
        <v/>
      </c>
      <c r="S61" s="29"/>
      <c r="T61" s="22"/>
      <c r="U61" s="17"/>
      <c r="V61" s="22"/>
      <c r="W61" s="19" t="str">
        <f aca="true">IF(B61="","",IF(OR(O61="開通済",Q61&lt;&gt;""),"完了",IF(O61="キャンセル","―",IF(AND(V61&lt;&gt;"",V61&lt;TODAY()),"対応期限超過",IF(AND(P61&lt;&gt;"",P61&lt;TODAY()),"開通予定日超過",IF(AND(V61&lt;&gt;"",V61=TODAY()),"本日対応",IF(AND(P61&lt;&gt;"",P61-TODAY()&lt;=3),"開通間近","")))))))</f>
        <v/>
      </c>
      <c r="X61" s="17"/>
    </row>
    <row r="62" customFormat="false" ht="15" hidden="false" customHeight="false" outlineLevel="0" collapsed="false">
      <c r="A62" s="12" t="str">
        <f aca="false">IF(B62="","",ROW()-4)</f>
        <v/>
      </c>
      <c r="B62" s="17"/>
      <c r="C62" s="19" t="str">
        <f aca="false">IF(B62="","",IFERROR(INDEX(顧客一覧!$C$5:$C$304,MATCH(B62,顧客一覧!$B$5:$B$304,0)),"※ID未登録"))</f>
        <v/>
      </c>
      <c r="D62" s="12" t="str">
        <f aca="false">IF(B62="","",IFERROR(INDEX(顧客一覧!$K$5:$K$304,MATCH(B62,顧客一覧!$B$5:$B$304,0))&amp;"",""))</f>
        <v/>
      </c>
      <c r="E62" s="17"/>
      <c r="F62" s="17"/>
      <c r="G62" s="29"/>
      <c r="H62" s="17"/>
      <c r="I62" s="29"/>
      <c r="J62" s="26" t="str">
        <f aca="false">IF(OR(G62="",I62=""),"",G62-I62)</f>
        <v/>
      </c>
      <c r="K62" s="26" t="str">
        <f aca="false">IF(J62="","",J62*12)</f>
        <v/>
      </c>
      <c r="L62" s="29"/>
      <c r="M62" s="27" t="str">
        <f aca="false">IF(OR(L62="",J62=""),"",IF(J62&lt;=0,"回収不可",L62/J62))</f>
        <v/>
      </c>
      <c r="N62" s="22"/>
      <c r="O62" s="17"/>
      <c r="P62" s="22"/>
      <c r="Q62" s="22"/>
      <c r="R62" s="28" t="str">
        <f aca="true">IF(OR(P62="",Q62&lt;&gt;"",O62="キャンセル"),"",P62-TODAY())</f>
        <v/>
      </c>
      <c r="S62" s="29"/>
      <c r="T62" s="22"/>
      <c r="U62" s="17"/>
      <c r="V62" s="22"/>
      <c r="W62" s="19" t="str">
        <f aca="true">IF(B62="","",IF(OR(O62="開通済",Q62&lt;&gt;""),"完了",IF(O62="キャンセル","―",IF(AND(V62&lt;&gt;"",V62&lt;TODAY()),"対応期限超過",IF(AND(P62&lt;&gt;"",P62&lt;TODAY()),"開通予定日超過",IF(AND(V62&lt;&gt;"",V62=TODAY()),"本日対応",IF(AND(P62&lt;&gt;"",P62-TODAY()&lt;=3),"開通間近","")))))))</f>
        <v/>
      </c>
      <c r="X62" s="17"/>
    </row>
    <row r="63" customFormat="false" ht="15" hidden="false" customHeight="false" outlineLevel="0" collapsed="false">
      <c r="A63" s="12" t="str">
        <f aca="false">IF(B63="","",ROW()-4)</f>
        <v/>
      </c>
      <c r="B63" s="17"/>
      <c r="C63" s="19" t="str">
        <f aca="false">IF(B63="","",IFERROR(INDEX(顧客一覧!$C$5:$C$304,MATCH(B63,顧客一覧!$B$5:$B$304,0)),"※ID未登録"))</f>
        <v/>
      </c>
      <c r="D63" s="12" t="str">
        <f aca="false">IF(B63="","",IFERROR(INDEX(顧客一覧!$K$5:$K$304,MATCH(B63,顧客一覧!$B$5:$B$304,0))&amp;"",""))</f>
        <v/>
      </c>
      <c r="E63" s="17"/>
      <c r="F63" s="17"/>
      <c r="G63" s="29"/>
      <c r="H63" s="17"/>
      <c r="I63" s="29"/>
      <c r="J63" s="26" t="str">
        <f aca="false">IF(OR(G63="",I63=""),"",G63-I63)</f>
        <v/>
      </c>
      <c r="K63" s="26" t="str">
        <f aca="false">IF(J63="","",J63*12)</f>
        <v/>
      </c>
      <c r="L63" s="29"/>
      <c r="M63" s="27" t="str">
        <f aca="false">IF(OR(L63="",J63=""),"",IF(J63&lt;=0,"回収不可",L63/J63))</f>
        <v/>
      </c>
      <c r="N63" s="22"/>
      <c r="O63" s="17"/>
      <c r="P63" s="22"/>
      <c r="Q63" s="22"/>
      <c r="R63" s="28" t="str">
        <f aca="true">IF(OR(P63="",Q63&lt;&gt;"",O63="キャンセル"),"",P63-TODAY())</f>
        <v/>
      </c>
      <c r="S63" s="29"/>
      <c r="T63" s="22"/>
      <c r="U63" s="17"/>
      <c r="V63" s="22"/>
      <c r="W63" s="19" t="str">
        <f aca="true">IF(B63="","",IF(OR(O63="開通済",Q63&lt;&gt;""),"完了",IF(O63="キャンセル","―",IF(AND(V63&lt;&gt;"",V63&lt;TODAY()),"対応期限超過",IF(AND(P63&lt;&gt;"",P63&lt;TODAY()),"開通予定日超過",IF(AND(V63&lt;&gt;"",V63=TODAY()),"本日対応",IF(AND(P63&lt;&gt;"",P63-TODAY()&lt;=3),"開通間近","")))))))</f>
        <v/>
      </c>
      <c r="X63" s="17"/>
    </row>
    <row r="64" customFormat="false" ht="15" hidden="false" customHeight="false" outlineLevel="0" collapsed="false">
      <c r="A64" s="12" t="str">
        <f aca="false">IF(B64="","",ROW()-4)</f>
        <v/>
      </c>
      <c r="B64" s="17"/>
      <c r="C64" s="19" t="str">
        <f aca="false">IF(B64="","",IFERROR(INDEX(顧客一覧!$C$5:$C$304,MATCH(B64,顧客一覧!$B$5:$B$304,0)),"※ID未登録"))</f>
        <v/>
      </c>
      <c r="D64" s="12" t="str">
        <f aca="false">IF(B64="","",IFERROR(INDEX(顧客一覧!$K$5:$K$304,MATCH(B64,顧客一覧!$B$5:$B$304,0))&amp;"",""))</f>
        <v/>
      </c>
      <c r="E64" s="17"/>
      <c r="F64" s="17"/>
      <c r="G64" s="29"/>
      <c r="H64" s="17"/>
      <c r="I64" s="29"/>
      <c r="J64" s="26" t="str">
        <f aca="false">IF(OR(G64="",I64=""),"",G64-I64)</f>
        <v/>
      </c>
      <c r="K64" s="26" t="str">
        <f aca="false">IF(J64="","",J64*12)</f>
        <v/>
      </c>
      <c r="L64" s="29"/>
      <c r="M64" s="27" t="str">
        <f aca="false">IF(OR(L64="",J64=""),"",IF(J64&lt;=0,"回収不可",L64/J64))</f>
        <v/>
      </c>
      <c r="N64" s="22"/>
      <c r="O64" s="17"/>
      <c r="P64" s="22"/>
      <c r="Q64" s="22"/>
      <c r="R64" s="28" t="str">
        <f aca="true">IF(OR(P64="",Q64&lt;&gt;"",O64="キャンセル"),"",P64-TODAY())</f>
        <v/>
      </c>
      <c r="S64" s="29"/>
      <c r="T64" s="22"/>
      <c r="U64" s="17"/>
      <c r="V64" s="22"/>
      <c r="W64" s="19" t="str">
        <f aca="true">IF(B64="","",IF(OR(O64="開通済",Q64&lt;&gt;""),"完了",IF(O64="キャンセル","―",IF(AND(V64&lt;&gt;"",V64&lt;TODAY()),"対応期限超過",IF(AND(P64&lt;&gt;"",P64&lt;TODAY()),"開通予定日超過",IF(AND(V64&lt;&gt;"",V64=TODAY()),"本日対応",IF(AND(P64&lt;&gt;"",P64-TODAY()&lt;=3),"開通間近","")))))))</f>
        <v/>
      </c>
      <c r="X64" s="17"/>
    </row>
    <row r="65" customFormat="false" ht="15" hidden="false" customHeight="false" outlineLevel="0" collapsed="false">
      <c r="A65" s="12" t="str">
        <f aca="false">IF(B65="","",ROW()-4)</f>
        <v/>
      </c>
      <c r="B65" s="17"/>
      <c r="C65" s="19" t="str">
        <f aca="false">IF(B65="","",IFERROR(INDEX(顧客一覧!$C$5:$C$304,MATCH(B65,顧客一覧!$B$5:$B$304,0)),"※ID未登録"))</f>
        <v/>
      </c>
      <c r="D65" s="12" t="str">
        <f aca="false">IF(B65="","",IFERROR(INDEX(顧客一覧!$K$5:$K$304,MATCH(B65,顧客一覧!$B$5:$B$304,0))&amp;"",""))</f>
        <v/>
      </c>
      <c r="E65" s="17"/>
      <c r="F65" s="17"/>
      <c r="G65" s="29"/>
      <c r="H65" s="17"/>
      <c r="I65" s="29"/>
      <c r="J65" s="26" t="str">
        <f aca="false">IF(OR(G65="",I65=""),"",G65-I65)</f>
        <v/>
      </c>
      <c r="K65" s="26" t="str">
        <f aca="false">IF(J65="","",J65*12)</f>
        <v/>
      </c>
      <c r="L65" s="29"/>
      <c r="M65" s="27" t="str">
        <f aca="false">IF(OR(L65="",J65=""),"",IF(J65&lt;=0,"回収不可",L65/J65))</f>
        <v/>
      </c>
      <c r="N65" s="22"/>
      <c r="O65" s="17"/>
      <c r="P65" s="22"/>
      <c r="Q65" s="22"/>
      <c r="R65" s="28" t="str">
        <f aca="true">IF(OR(P65="",Q65&lt;&gt;"",O65="キャンセル"),"",P65-TODAY())</f>
        <v/>
      </c>
      <c r="S65" s="29"/>
      <c r="T65" s="22"/>
      <c r="U65" s="17"/>
      <c r="V65" s="22"/>
      <c r="W65" s="19" t="str">
        <f aca="true">IF(B65="","",IF(OR(O65="開通済",Q65&lt;&gt;""),"完了",IF(O65="キャンセル","―",IF(AND(V65&lt;&gt;"",V65&lt;TODAY()),"対応期限超過",IF(AND(P65&lt;&gt;"",P65&lt;TODAY()),"開通予定日超過",IF(AND(V65&lt;&gt;"",V65=TODAY()),"本日対応",IF(AND(P65&lt;&gt;"",P65-TODAY()&lt;=3),"開通間近","")))))))</f>
        <v/>
      </c>
      <c r="X65" s="17"/>
    </row>
    <row r="66" customFormat="false" ht="15" hidden="false" customHeight="false" outlineLevel="0" collapsed="false">
      <c r="A66" s="12" t="str">
        <f aca="false">IF(B66="","",ROW()-4)</f>
        <v/>
      </c>
      <c r="B66" s="17"/>
      <c r="C66" s="19" t="str">
        <f aca="false">IF(B66="","",IFERROR(INDEX(顧客一覧!$C$5:$C$304,MATCH(B66,顧客一覧!$B$5:$B$304,0)),"※ID未登録"))</f>
        <v/>
      </c>
      <c r="D66" s="12" t="str">
        <f aca="false">IF(B66="","",IFERROR(INDEX(顧客一覧!$K$5:$K$304,MATCH(B66,顧客一覧!$B$5:$B$304,0))&amp;"",""))</f>
        <v/>
      </c>
      <c r="E66" s="17"/>
      <c r="F66" s="17"/>
      <c r="G66" s="29"/>
      <c r="H66" s="17"/>
      <c r="I66" s="29"/>
      <c r="J66" s="26" t="str">
        <f aca="false">IF(OR(G66="",I66=""),"",G66-I66)</f>
        <v/>
      </c>
      <c r="K66" s="26" t="str">
        <f aca="false">IF(J66="","",J66*12)</f>
        <v/>
      </c>
      <c r="L66" s="29"/>
      <c r="M66" s="27" t="str">
        <f aca="false">IF(OR(L66="",J66=""),"",IF(J66&lt;=0,"回収不可",L66/J66))</f>
        <v/>
      </c>
      <c r="N66" s="22"/>
      <c r="O66" s="17"/>
      <c r="P66" s="22"/>
      <c r="Q66" s="22"/>
      <c r="R66" s="28" t="str">
        <f aca="true">IF(OR(P66="",Q66&lt;&gt;"",O66="キャンセル"),"",P66-TODAY())</f>
        <v/>
      </c>
      <c r="S66" s="29"/>
      <c r="T66" s="22"/>
      <c r="U66" s="17"/>
      <c r="V66" s="22"/>
      <c r="W66" s="19" t="str">
        <f aca="true">IF(B66="","",IF(OR(O66="開通済",Q66&lt;&gt;""),"完了",IF(O66="キャンセル","―",IF(AND(V66&lt;&gt;"",V66&lt;TODAY()),"対応期限超過",IF(AND(P66&lt;&gt;"",P66&lt;TODAY()),"開通予定日超過",IF(AND(V66&lt;&gt;"",V66=TODAY()),"本日対応",IF(AND(P66&lt;&gt;"",P66-TODAY()&lt;=3),"開通間近","")))))))</f>
        <v/>
      </c>
      <c r="X66" s="17"/>
    </row>
    <row r="67" customFormat="false" ht="15" hidden="false" customHeight="false" outlineLevel="0" collapsed="false">
      <c r="A67" s="12" t="str">
        <f aca="false">IF(B67="","",ROW()-4)</f>
        <v/>
      </c>
      <c r="B67" s="17"/>
      <c r="C67" s="19" t="str">
        <f aca="false">IF(B67="","",IFERROR(INDEX(顧客一覧!$C$5:$C$304,MATCH(B67,顧客一覧!$B$5:$B$304,0)),"※ID未登録"))</f>
        <v/>
      </c>
      <c r="D67" s="12" t="str">
        <f aca="false">IF(B67="","",IFERROR(INDEX(顧客一覧!$K$5:$K$304,MATCH(B67,顧客一覧!$B$5:$B$304,0))&amp;"",""))</f>
        <v/>
      </c>
      <c r="E67" s="17"/>
      <c r="F67" s="17"/>
      <c r="G67" s="29"/>
      <c r="H67" s="17"/>
      <c r="I67" s="29"/>
      <c r="J67" s="26" t="str">
        <f aca="false">IF(OR(G67="",I67=""),"",G67-I67)</f>
        <v/>
      </c>
      <c r="K67" s="26" t="str">
        <f aca="false">IF(J67="","",J67*12)</f>
        <v/>
      </c>
      <c r="L67" s="29"/>
      <c r="M67" s="27" t="str">
        <f aca="false">IF(OR(L67="",J67=""),"",IF(J67&lt;=0,"回収不可",L67/J67))</f>
        <v/>
      </c>
      <c r="N67" s="22"/>
      <c r="O67" s="17"/>
      <c r="P67" s="22"/>
      <c r="Q67" s="22"/>
      <c r="R67" s="28" t="str">
        <f aca="true">IF(OR(P67="",Q67&lt;&gt;"",O67="キャンセル"),"",P67-TODAY())</f>
        <v/>
      </c>
      <c r="S67" s="29"/>
      <c r="T67" s="22"/>
      <c r="U67" s="17"/>
      <c r="V67" s="22"/>
      <c r="W67" s="19" t="str">
        <f aca="true">IF(B67="","",IF(OR(O67="開通済",Q67&lt;&gt;""),"完了",IF(O67="キャンセル","―",IF(AND(V67&lt;&gt;"",V67&lt;TODAY()),"対応期限超過",IF(AND(P67&lt;&gt;"",P67&lt;TODAY()),"開通予定日超過",IF(AND(V67&lt;&gt;"",V67=TODAY()),"本日対応",IF(AND(P67&lt;&gt;"",P67-TODAY()&lt;=3),"開通間近","")))))))</f>
        <v/>
      </c>
      <c r="X67" s="17"/>
    </row>
    <row r="68" customFormat="false" ht="15" hidden="false" customHeight="false" outlineLevel="0" collapsed="false">
      <c r="A68" s="12" t="str">
        <f aca="false">IF(B68="","",ROW()-4)</f>
        <v/>
      </c>
      <c r="B68" s="17"/>
      <c r="C68" s="19" t="str">
        <f aca="false">IF(B68="","",IFERROR(INDEX(顧客一覧!$C$5:$C$304,MATCH(B68,顧客一覧!$B$5:$B$304,0)),"※ID未登録"))</f>
        <v/>
      </c>
      <c r="D68" s="12" t="str">
        <f aca="false">IF(B68="","",IFERROR(INDEX(顧客一覧!$K$5:$K$304,MATCH(B68,顧客一覧!$B$5:$B$304,0))&amp;"",""))</f>
        <v/>
      </c>
      <c r="E68" s="17"/>
      <c r="F68" s="17"/>
      <c r="G68" s="29"/>
      <c r="H68" s="17"/>
      <c r="I68" s="29"/>
      <c r="J68" s="26" t="str">
        <f aca="false">IF(OR(G68="",I68=""),"",G68-I68)</f>
        <v/>
      </c>
      <c r="K68" s="26" t="str">
        <f aca="false">IF(J68="","",J68*12)</f>
        <v/>
      </c>
      <c r="L68" s="29"/>
      <c r="M68" s="27" t="str">
        <f aca="false">IF(OR(L68="",J68=""),"",IF(J68&lt;=0,"回収不可",L68/J68))</f>
        <v/>
      </c>
      <c r="N68" s="22"/>
      <c r="O68" s="17"/>
      <c r="P68" s="22"/>
      <c r="Q68" s="22"/>
      <c r="R68" s="28" t="str">
        <f aca="true">IF(OR(P68="",Q68&lt;&gt;"",O68="キャンセル"),"",P68-TODAY())</f>
        <v/>
      </c>
      <c r="S68" s="29"/>
      <c r="T68" s="22"/>
      <c r="U68" s="17"/>
      <c r="V68" s="22"/>
      <c r="W68" s="19" t="str">
        <f aca="true">IF(B68="","",IF(OR(O68="開通済",Q68&lt;&gt;""),"完了",IF(O68="キャンセル","―",IF(AND(V68&lt;&gt;"",V68&lt;TODAY()),"対応期限超過",IF(AND(P68&lt;&gt;"",P68&lt;TODAY()),"開通予定日超過",IF(AND(V68&lt;&gt;"",V68=TODAY()),"本日対応",IF(AND(P68&lt;&gt;"",P68-TODAY()&lt;=3),"開通間近","")))))))</f>
        <v/>
      </c>
      <c r="X68" s="17"/>
    </row>
    <row r="69" customFormat="false" ht="15" hidden="false" customHeight="false" outlineLevel="0" collapsed="false">
      <c r="A69" s="12" t="str">
        <f aca="false">IF(B69="","",ROW()-4)</f>
        <v/>
      </c>
      <c r="B69" s="17"/>
      <c r="C69" s="19" t="str">
        <f aca="false">IF(B69="","",IFERROR(INDEX(顧客一覧!$C$5:$C$304,MATCH(B69,顧客一覧!$B$5:$B$304,0)),"※ID未登録"))</f>
        <v/>
      </c>
      <c r="D69" s="12" t="str">
        <f aca="false">IF(B69="","",IFERROR(INDEX(顧客一覧!$K$5:$K$304,MATCH(B69,顧客一覧!$B$5:$B$304,0))&amp;"",""))</f>
        <v/>
      </c>
      <c r="E69" s="17"/>
      <c r="F69" s="17"/>
      <c r="G69" s="29"/>
      <c r="H69" s="17"/>
      <c r="I69" s="29"/>
      <c r="J69" s="26" t="str">
        <f aca="false">IF(OR(G69="",I69=""),"",G69-I69)</f>
        <v/>
      </c>
      <c r="K69" s="26" t="str">
        <f aca="false">IF(J69="","",J69*12)</f>
        <v/>
      </c>
      <c r="L69" s="29"/>
      <c r="M69" s="27" t="str">
        <f aca="false">IF(OR(L69="",J69=""),"",IF(J69&lt;=0,"回収不可",L69/J69))</f>
        <v/>
      </c>
      <c r="N69" s="22"/>
      <c r="O69" s="17"/>
      <c r="P69" s="22"/>
      <c r="Q69" s="22"/>
      <c r="R69" s="28" t="str">
        <f aca="true">IF(OR(P69="",Q69&lt;&gt;"",O69="キャンセル"),"",P69-TODAY())</f>
        <v/>
      </c>
      <c r="S69" s="29"/>
      <c r="T69" s="22"/>
      <c r="U69" s="17"/>
      <c r="V69" s="22"/>
      <c r="W69" s="19" t="str">
        <f aca="true">IF(B69="","",IF(OR(O69="開通済",Q69&lt;&gt;""),"完了",IF(O69="キャンセル","―",IF(AND(V69&lt;&gt;"",V69&lt;TODAY()),"対応期限超過",IF(AND(P69&lt;&gt;"",P69&lt;TODAY()),"開通予定日超過",IF(AND(V69&lt;&gt;"",V69=TODAY()),"本日対応",IF(AND(P69&lt;&gt;"",P69-TODAY()&lt;=3),"開通間近","")))))))</f>
        <v/>
      </c>
      <c r="X69" s="17"/>
    </row>
    <row r="70" customFormat="false" ht="15" hidden="false" customHeight="false" outlineLevel="0" collapsed="false">
      <c r="A70" s="12" t="str">
        <f aca="false">IF(B70="","",ROW()-4)</f>
        <v/>
      </c>
      <c r="B70" s="17"/>
      <c r="C70" s="19" t="str">
        <f aca="false">IF(B70="","",IFERROR(INDEX(顧客一覧!$C$5:$C$304,MATCH(B70,顧客一覧!$B$5:$B$304,0)),"※ID未登録"))</f>
        <v/>
      </c>
      <c r="D70" s="12" t="str">
        <f aca="false">IF(B70="","",IFERROR(INDEX(顧客一覧!$K$5:$K$304,MATCH(B70,顧客一覧!$B$5:$B$304,0))&amp;"",""))</f>
        <v/>
      </c>
      <c r="E70" s="17"/>
      <c r="F70" s="17"/>
      <c r="G70" s="29"/>
      <c r="H70" s="17"/>
      <c r="I70" s="29"/>
      <c r="J70" s="26" t="str">
        <f aca="false">IF(OR(G70="",I70=""),"",G70-I70)</f>
        <v/>
      </c>
      <c r="K70" s="26" t="str">
        <f aca="false">IF(J70="","",J70*12)</f>
        <v/>
      </c>
      <c r="L70" s="29"/>
      <c r="M70" s="27" t="str">
        <f aca="false">IF(OR(L70="",J70=""),"",IF(J70&lt;=0,"回収不可",L70/J70))</f>
        <v/>
      </c>
      <c r="N70" s="22"/>
      <c r="O70" s="17"/>
      <c r="P70" s="22"/>
      <c r="Q70" s="22"/>
      <c r="R70" s="28" t="str">
        <f aca="true">IF(OR(P70="",Q70&lt;&gt;"",O70="キャンセル"),"",P70-TODAY())</f>
        <v/>
      </c>
      <c r="S70" s="29"/>
      <c r="T70" s="22"/>
      <c r="U70" s="17"/>
      <c r="V70" s="22"/>
      <c r="W70" s="19" t="str">
        <f aca="true">IF(B70="","",IF(OR(O70="開通済",Q70&lt;&gt;""),"完了",IF(O70="キャンセル","―",IF(AND(V70&lt;&gt;"",V70&lt;TODAY()),"対応期限超過",IF(AND(P70&lt;&gt;"",P70&lt;TODAY()),"開通予定日超過",IF(AND(V70&lt;&gt;"",V70=TODAY()),"本日対応",IF(AND(P70&lt;&gt;"",P70-TODAY()&lt;=3),"開通間近","")))))))</f>
        <v/>
      </c>
      <c r="X70" s="17"/>
    </row>
    <row r="71" customFormat="false" ht="15" hidden="false" customHeight="false" outlineLevel="0" collapsed="false">
      <c r="A71" s="12" t="str">
        <f aca="false">IF(B71="","",ROW()-4)</f>
        <v/>
      </c>
      <c r="B71" s="17"/>
      <c r="C71" s="19" t="str">
        <f aca="false">IF(B71="","",IFERROR(INDEX(顧客一覧!$C$5:$C$304,MATCH(B71,顧客一覧!$B$5:$B$304,0)),"※ID未登録"))</f>
        <v/>
      </c>
      <c r="D71" s="12" t="str">
        <f aca="false">IF(B71="","",IFERROR(INDEX(顧客一覧!$K$5:$K$304,MATCH(B71,顧客一覧!$B$5:$B$304,0))&amp;"",""))</f>
        <v/>
      </c>
      <c r="E71" s="17"/>
      <c r="F71" s="17"/>
      <c r="G71" s="29"/>
      <c r="H71" s="17"/>
      <c r="I71" s="29"/>
      <c r="J71" s="26" t="str">
        <f aca="false">IF(OR(G71="",I71=""),"",G71-I71)</f>
        <v/>
      </c>
      <c r="K71" s="26" t="str">
        <f aca="false">IF(J71="","",J71*12)</f>
        <v/>
      </c>
      <c r="L71" s="29"/>
      <c r="M71" s="27" t="str">
        <f aca="false">IF(OR(L71="",J71=""),"",IF(J71&lt;=0,"回収不可",L71/J71))</f>
        <v/>
      </c>
      <c r="N71" s="22"/>
      <c r="O71" s="17"/>
      <c r="P71" s="22"/>
      <c r="Q71" s="22"/>
      <c r="R71" s="28" t="str">
        <f aca="true">IF(OR(P71="",Q71&lt;&gt;"",O71="キャンセル"),"",P71-TODAY())</f>
        <v/>
      </c>
      <c r="S71" s="29"/>
      <c r="T71" s="22"/>
      <c r="U71" s="17"/>
      <c r="V71" s="22"/>
      <c r="W71" s="19" t="str">
        <f aca="true">IF(B71="","",IF(OR(O71="開通済",Q71&lt;&gt;""),"完了",IF(O71="キャンセル","―",IF(AND(V71&lt;&gt;"",V71&lt;TODAY()),"対応期限超過",IF(AND(P71&lt;&gt;"",P71&lt;TODAY()),"開通予定日超過",IF(AND(V71&lt;&gt;"",V71=TODAY()),"本日対応",IF(AND(P71&lt;&gt;"",P71-TODAY()&lt;=3),"開通間近","")))))))</f>
        <v/>
      </c>
      <c r="X71" s="17"/>
    </row>
    <row r="72" customFormat="false" ht="15" hidden="false" customHeight="false" outlineLevel="0" collapsed="false">
      <c r="A72" s="12" t="str">
        <f aca="false">IF(B72="","",ROW()-4)</f>
        <v/>
      </c>
      <c r="B72" s="17"/>
      <c r="C72" s="19" t="str">
        <f aca="false">IF(B72="","",IFERROR(INDEX(顧客一覧!$C$5:$C$304,MATCH(B72,顧客一覧!$B$5:$B$304,0)),"※ID未登録"))</f>
        <v/>
      </c>
      <c r="D72" s="12" t="str">
        <f aca="false">IF(B72="","",IFERROR(INDEX(顧客一覧!$K$5:$K$304,MATCH(B72,顧客一覧!$B$5:$B$304,0))&amp;"",""))</f>
        <v/>
      </c>
      <c r="E72" s="17"/>
      <c r="F72" s="17"/>
      <c r="G72" s="29"/>
      <c r="H72" s="17"/>
      <c r="I72" s="29"/>
      <c r="J72" s="26" t="str">
        <f aca="false">IF(OR(G72="",I72=""),"",G72-I72)</f>
        <v/>
      </c>
      <c r="K72" s="26" t="str">
        <f aca="false">IF(J72="","",J72*12)</f>
        <v/>
      </c>
      <c r="L72" s="29"/>
      <c r="M72" s="27" t="str">
        <f aca="false">IF(OR(L72="",J72=""),"",IF(J72&lt;=0,"回収不可",L72/J72))</f>
        <v/>
      </c>
      <c r="N72" s="22"/>
      <c r="O72" s="17"/>
      <c r="P72" s="22"/>
      <c r="Q72" s="22"/>
      <c r="R72" s="28" t="str">
        <f aca="true">IF(OR(P72="",Q72&lt;&gt;"",O72="キャンセル"),"",P72-TODAY())</f>
        <v/>
      </c>
      <c r="S72" s="29"/>
      <c r="T72" s="22"/>
      <c r="U72" s="17"/>
      <c r="V72" s="22"/>
      <c r="W72" s="19" t="str">
        <f aca="true">IF(B72="","",IF(OR(O72="開通済",Q72&lt;&gt;""),"完了",IF(O72="キャンセル","―",IF(AND(V72&lt;&gt;"",V72&lt;TODAY()),"対応期限超過",IF(AND(P72&lt;&gt;"",P72&lt;TODAY()),"開通予定日超過",IF(AND(V72&lt;&gt;"",V72=TODAY()),"本日対応",IF(AND(P72&lt;&gt;"",P72-TODAY()&lt;=3),"開通間近","")))))))</f>
        <v/>
      </c>
      <c r="X72" s="17"/>
    </row>
    <row r="73" customFormat="false" ht="15" hidden="false" customHeight="false" outlineLevel="0" collapsed="false">
      <c r="A73" s="12" t="str">
        <f aca="false">IF(B73="","",ROW()-4)</f>
        <v/>
      </c>
      <c r="B73" s="17"/>
      <c r="C73" s="19" t="str">
        <f aca="false">IF(B73="","",IFERROR(INDEX(顧客一覧!$C$5:$C$304,MATCH(B73,顧客一覧!$B$5:$B$304,0)),"※ID未登録"))</f>
        <v/>
      </c>
      <c r="D73" s="12" t="str">
        <f aca="false">IF(B73="","",IFERROR(INDEX(顧客一覧!$K$5:$K$304,MATCH(B73,顧客一覧!$B$5:$B$304,0))&amp;"",""))</f>
        <v/>
      </c>
      <c r="E73" s="17"/>
      <c r="F73" s="17"/>
      <c r="G73" s="29"/>
      <c r="H73" s="17"/>
      <c r="I73" s="29"/>
      <c r="J73" s="26" t="str">
        <f aca="false">IF(OR(G73="",I73=""),"",G73-I73)</f>
        <v/>
      </c>
      <c r="K73" s="26" t="str">
        <f aca="false">IF(J73="","",J73*12)</f>
        <v/>
      </c>
      <c r="L73" s="29"/>
      <c r="M73" s="27" t="str">
        <f aca="false">IF(OR(L73="",J73=""),"",IF(J73&lt;=0,"回収不可",L73/J73))</f>
        <v/>
      </c>
      <c r="N73" s="22"/>
      <c r="O73" s="17"/>
      <c r="P73" s="22"/>
      <c r="Q73" s="22"/>
      <c r="R73" s="28" t="str">
        <f aca="true">IF(OR(P73="",Q73&lt;&gt;"",O73="キャンセル"),"",P73-TODAY())</f>
        <v/>
      </c>
      <c r="S73" s="29"/>
      <c r="T73" s="22"/>
      <c r="U73" s="17"/>
      <c r="V73" s="22"/>
      <c r="W73" s="19" t="str">
        <f aca="true">IF(B73="","",IF(OR(O73="開通済",Q73&lt;&gt;""),"完了",IF(O73="キャンセル","―",IF(AND(V73&lt;&gt;"",V73&lt;TODAY()),"対応期限超過",IF(AND(P73&lt;&gt;"",P73&lt;TODAY()),"開通予定日超過",IF(AND(V73&lt;&gt;"",V73=TODAY()),"本日対応",IF(AND(P73&lt;&gt;"",P73-TODAY()&lt;=3),"開通間近","")))))))</f>
        <v/>
      </c>
      <c r="X73" s="17"/>
    </row>
    <row r="74" customFormat="false" ht="15" hidden="false" customHeight="false" outlineLevel="0" collapsed="false">
      <c r="A74" s="12" t="str">
        <f aca="false">IF(B74="","",ROW()-4)</f>
        <v/>
      </c>
      <c r="B74" s="17"/>
      <c r="C74" s="19" t="str">
        <f aca="false">IF(B74="","",IFERROR(INDEX(顧客一覧!$C$5:$C$304,MATCH(B74,顧客一覧!$B$5:$B$304,0)),"※ID未登録"))</f>
        <v/>
      </c>
      <c r="D74" s="12" t="str">
        <f aca="false">IF(B74="","",IFERROR(INDEX(顧客一覧!$K$5:$K$304,MATCH(B74,顧客一覧!$B$5:$B$304,0))&amp;"",""))</f>
        <v/>
      </c>
      <c r="E74" s="17"/>
      <c r="F74" s="17"/>
      <c r="G74" s="29"/>
      <c r="H74" s="17"/>
      <c r="I74" s="29"/>
      <c r="J74" s="26" t="str">
        <f aca="false">IF(OR(G74="",I74=""),"",G74-I74)</f>
        <v/>
      </c>
      <c r="K74" s="26" t="str">
        <f aca="false">IF(J74="","",J74*12)</f>
        <v/>
      </c>
      <c r="L74" s="29"/>
      <c r="M74" s="27" t="str">
        <f aca="false">IF(OR(L74="",J74=""),"",IF(J74&lt;=0,"回収不可",L74/J74))</f>
        <v/>
      </c>
      <c r="N74" s="22"/>
      <c r="O74" s="17"/>
      <c r="P74" s="22"/>
      <c r="Q74" s="22"/>
      <c r="R74" s="28" t="str">
        <f aca="true">IF(OR(P74="",Q74&lt;&gt;"",O74="キャンセル"),"",P74-TODAY())</f>
        <v/>
      </c>
      <c r="S74" s="29"/>
      <c r="T74" s="22"/>
      <c r="U74" s="17"/>
      <c r="V74" s="22"/>
      <c r="W74" s="19" t="str">
        <f aca="true">IF(B74="","",IF(OR(O74="開通済",Q74&lt;&gt;""),"完了",IF(O74="キャンセル","―",IF(AND(V74&lt;&gt;"",V74&lt;TODAY()),"対応期限超過",IF(AND(P74&lt;&gt;"",P74&lt;TODAY()),"開通予定日超過",IF(AND(V74&lt;&gt;"",V74=TODAY()),"本日対応",IF(AND(P74&lt;&gt;"",P74-TODAY()&lt;=3),"開通間近","")))))))</f>
        <v/>
      </c>
      <c r="X74" s="17"/>
    </row>
    <row r="75" customFormat="false" ht="15" hidden="false" customHeight="false" outlineLevel="0" collapsed="false">
      <c r="A75" s="12" t="str">
        <f aca="false">IF(B75="","",ROW()-4)</f>
        <v/>
      </c>
      <c r="B75" s="17"/>
      <c r="C75" s="19" t="str">
        <f aca="false">IF(B75="","",IFERROR(INDEX(顧客一覧!$C$5:$C$304,MATCH(B75,顧客一覧!$B$5:$B$304,0)),"※ID未登録"))</f>
        <v/>
      </c>
      <c r="D75" s="12" t="str">
        <f aca="false">IF(B75="","",IFERROR(INDEX(顧客一覧!$K$5:$K$304,MATCH(B75,顧客一覧!$B$5:$B$304,0))&amp;"",""))</f>
        <v/>
      </c>
      <c r="E75" s="17"/>
      <c r="F75" s="17"/>
      <c r="G75" s="29"/>
      <c r="H75" s="17"/>
      <c r="I75" s="29"/>
      <c r="J75" s="26" t="str">
        <f aca="false">IF(OR(G75="",I75=""),"",G75-I75)</f>
        <v/>
      </c>
      <c r="K75" s="26" t="str">
        <f aca="false">IF(J75="","",J75*12)</f>
        <v/>
      </c>
      <c r="L75" s="29"/>
      <c r="M75" s="27" t="str">
        <f aca="false">IF(OR(L75="",J75=""),"",IF(J75&lt;=0,"回収不可",L75/J75))</f>
        <v/>
      </c>
      <c r="N75" s="22"/>
      <c r="O75" s="17"/>
      <c r="P75" s="22"/>
      <c r="Q75" s="22"/>
      <c r="R75" s="28" t="str">
        <f aca="true">IF(OR(P75="",Q75&lt;&gt;"",O75="キャンセル"),"",P75-TODAY())</f>
        <v/>
      </c>
      <c r="S75" s="29"/>
      <c r="T75" s="22"/>
      <c r="U75" s="17"/>
      <c r="V75" s="22"/>
      <c r="W75" s="19" t="str">
        <f aca="true">IF(B75="","",IF(OR(O75="開通済",Q75&lt;&gt;""),"完了",IF(O75="キャンセル","―",IF(AND(V75&lt;&gt;"",V75&lt;TODAY()),"対応期限超過",IF(AND(P75&lt;&gt;"",P75&lt;TODAY()),"開通予定日超過",IF(AND(V75&lt;&gt;"",V75=TODAY()),"本日対応",IF(AND(P75&lt;&gt;"",P75-TODAY()&lt;=3),"開通間近","")))))))</f>
        <v/>
      </c>
      <c r="X75" s="17"/>
    </row>
    <row r="76" customFormat="false" ht="15" hidden="false" customHeight="false" outlineLevel="0" collapsed="false">
      <c r="A76" s="12" t="str">
        <f aca="false">IF(B76="","",ROW()-4)</f>
        <v/>
      </c>
      <c r="B76" s="17"/>
      <c r="C76" s="19" t="str">
        <f aca="false">IF(B76="","",IFERROR(INDEX(顧客一覧!$C$5:$C$304,MATCH(B76,顧客一覧!$B$5:$B$304,0)),"※ID未登録"))</f>
        <v/>
      </c>
      <c r="D76" s="12" t="str">
        <f aca="false">IF(B76="","",IFERROR(INDEX(顧客一覧!$K$5:$K$304,MATCH(B76,顧客一覧!$B$5:$B$304,0))&amp;"",""))</f>
        <v/>
      </c>
      <c r="E76" s="17"/>
      <c r="F76" s="17"/>
      <c r="G76" s="29"/>
      <c r="H76" s="17"/>
      <c r="I76" s="29"/>
      <c r="J76" s="26" t="str">
        <f aca="false">IF(OR(G76="",I76=""),"",G76-I76)</f>
        <v/>
      </c>
      <c r="K76" s="26" t="str">
        <f aca="false">IF(J76="","",J76*12)</f>
        <v/>
      </c>
      <c r="L76" s="29"/>
      <c r="M76" s="27" t="str">
        <f aca="false">IF(OR(L76="",J76=""),"",IF(J76&lt;=0,"回収不可",L76/J76))</f>
        <v/>
      </c>
      <c r="N76" s="22"/>
      <c r="O76" s="17"/>
      <c r="P76" s="22"/>
      <c r="Q76" s="22"/>
      <c r="R76" s="28" t="str">
        <f aca="true">IF(OR(P76="",Q76&lt;&gt;"",O76="キャンセル"),"",P76-TODAY())</f>
        <v/>
      </c>
      <c r="S76" s="29"/>
      <c r="T76" s="22"/>
      <c r="U76" s="17"/>
      <c r="V76" s="22"/>
      <c r="W76" s="19" t="str">
        <f aca="true">IF(B76="","",IF(OR(O76="開通済",Q76&lt;&gt;""),"完了",IF(O76="キャンセル","―",IF(AND(V76&lt;&gt;"",V76&lt;TODAY()),"対応期限超過",IF(AND(P76&lt;&gt;"",P76&lt;TODAY()),"開通予定日超過",IF(AND(V76&lt;&gt;"",V76=TODAY()),"本日対応",IF(AND(P76&lt;&gt;"",P76-TODAY()&lt;=3),"開通間近","")))))))</f>
        <v/>
      </c>
      <c r="X76" s="17"/>
    </row>
    <row r="77" customFormat="false" ht="15" hidden="false" customHeight="false" outlineLevel="0" collapsed="false">
      <c r="A77" s="12" t="str">
        <f aca="false">IF(B77="","",ROW()-4)</f>
        <v/>
      </c>
      <c r="B77" s="17"/>
      <c r="C77" s="19" t="str">
        <f aca="false">IF(B77="","",IFERROR(INDEX(顧客一覧!$C$5:$C$304,MATCH(B77,顧客一覧!$B$5:$B$304,0)),"※ID未登録"))</f>
        <v/>
      </c>
      <c r="D77" s="12" t="str">
        <f aca="false">IF(B77="","",IFERROR(INDEX(顧客一覧!$K$5:$K$304,MATCH(B77,顧客一覧!$B$5:$B$304,0))&amp;"",""))</f>
        <v/>
      </c>
      <c r="E77" s="17"/>
      <c r="F77" s="17"/>
      <c r="G77" s="29"/>
      <c r="H77" s="17"/>
      <c r="I77" s="29"/>
      <c r="J77" s="26" t="str">
        <f aca="false">IF(OR(G77="",I77=""),"",G77-I77)</f>
        <v/>
      </c>
      <c r="K77" s="26" t="str">
        <f aca="false">IF(J77="","",J77*12)</f>
        <v/>
      </c>
      <c r="L77" s="29"/>
      <c r="M77" s="27" t="str">
        <f aca="false">IF(OR(L77="",J77=""),"",IF(J77&lt;=0,"回収不可",L77/J77))</f>
        <v/>
      </c>
      <c r="N77" s="22"/>
      <c r="O77" s="17"/>
      <c r="P77" s="22"/>
      <c r="Q77" s="22"/>
      <c r="R77" s="28" t="str">
        <f aca="true">IF(OR(P77="",Q77&lt;&gt;"",O77="キャンセル"),"",P77-TODAY())</f>
        <v/>
      </c>
      <c r="S77" s="29"/>
      <c r="T77" s="22"/>
      <c r="U77" s="17"/>
      <c r="V77" s="22"/>
      <c r="W77" s="19" t="str">
        <f aca="true">IF(B77="","",IF(OR(O77="開通済",Q77&lt;&gt;""),"完了",IF(O77="キャンセル","―",IF(AND(V77&lt;&gt;"",V77&lt;TODAY()),"対応期限超過",IF(AND(P77&lt;&gt;"",P77&lt;TODAY()),"開通予定日超過",IF(AND(V77&lt;&gt;"",V77=TODAY()),"本日対応",IF(AND(P77&lt;&gt;"",P77-TODAY()&lt;=3),"開通間近","")))))))</f>
        <v/>
      </c>
      <c r="X77" s="17"/>
    </row>
    <row r="78" customFormat="false" ht="15" hidden="false" customHeight="false" outlineLevel="0" collapsed="false">
      <c r="A78" s="12" t="str">
        <f aca="false">IF(B78="","",ROW()-4)</f>
        <v/>
      </c>
      <c r="B78" s="17"/>
      <c r="C78" s="19" t="str">
        <f aca="false">IF(B78="","",IFERROR(INDEX(顧客一覧!$C$5:$C$304,MATCH(B78,顧客一覧!$B$5:$B$304,0)),"※ID未登録"))</f>
        <v/>
      </c>
      <c r="D78" s="12" t="str">
        <f aca="false">IF(B78="","",IFERROR(INDEX(顧客一覧!$K$5:$K$304,MATCH(B78,顧客一覧!$B$5:$B$304,0))&amp;"",""))</f>
        <v/>
      </c>
      <c r="E78" s="17"/>
      <c r="F78" s="17"/>
      <c r="G78" s="29"/>
      <c r="H78" s="17"/>
      <c r="I78" s="29"/>
      <c r="J78" s="26" t="str">
        <f aca="false">IF(OR(G78="",I78=""),"",G78-I78)</f>
        <v/>
      </c>
      <c r="K78" s="26" t="str">
        <f aca="false">IF(J78="","",J78*12)</f>
        <v/>
      </c>
      <c r="L78" s="29"/>
      <c r="M78" s="27" t="str">
        <f aca="false">IF(OR(L78="",J78=""),"",IF(J78&lt;=0,"回収不可",L78/J78))</f>
        <v/>
      </c>
      <c r="N78" s="22"/>
      <c r="O78" s="17"/>
      <c r="P78" s="22"/>
      <c r="Q78" s="22"/>
      <c r="R78" s="28" t="str">
        <f aca="true">IF(OR(P78="",Q78&lt;&gt;"",O78="キャンセル"),"",P78-TODAY())</f>
        <v/>
      </c>
      <c r="S78" s="29"/>
      <c r="T78" s="22"/>
      <c r="U78" s="17"/>
      <c r="V78" s="22"/>
      <c r="W78" s="19" t="str">
        <f aca="true">IF(B78="","",IF(OR(O78="開通済",Q78&lt;&gt;""),"完了",IF(O78="キャンセル","―",IF(AND(V78&lt;&gt;"",V78&lt;TODAY()),"対応期限超過",IF(AND(P78&lt;&gt;"",P78&lt;TODAY()),"開通予定日超過",IF(AND(V78&lt;&gt;"",V78=TODAY()),"本日対応",IF(AND(P78&lt;&gt;"",P78-TODAY()&lt;=3),"開通間近","")))))))</f>
        <v/>
      </c>
      <c r="X78" s="17"/>
    </row>
    <row r="79" customFormat="false" ht="15" hidden="false" customHeight="false" outlineLevel="0" collapsed="false">
      <c r="A79" s="12" t="str">
        <f aca="false">IF(B79="","",ROW()-4)</f>
        <v/>
      </c>
      <c r="B79" s="17"/>
      <c r="C79" s="19" t="str">
        <f aca="false">IF(B79="","",IFERROR(INDEX(顧客一覧!$C$5:$C$304,MATCH(B79,顧客一覧!$B$5:$B$304,0)),"※ID未登録"))</f>
        <v/>
      </c>
      <c r="D79" s="12" t="str">
        <f aca="false">IF(B79="","",IFERROR(INDEX(顧客一覧!$K$5:$K$304,MATCH(B79,顧客一覧!$B$5:$B$304,0))&amp;"",""))</f>
        <v/>
      </c>
      <c r="E79" s="17"/>
      <c r="F79" s="17"/>
      <c r="G79" s="29"/>
      <c r="H79" s="17"/>
      <c r="I79" s="29"/>
      <c r="J79" s="26" t="str">
        <f aca="false">IF(OR(G79="",I79=""),"",G79-I79)</f>
        <v/>
      </c>
      <c r="K79" s="26" t="str">
        <f aca="false">IF(J79="","",J79*12)</f>
        <v/>
      </c>
      <c r="L79" s="29"/>
      <c r="M79" s="27" t="str">
        <f aca="false">IF(OR(L79="",J79=""),"",IF(J79&lt;=0,"回収不可",L79/J79))</f>
        <v/>
      </c>
      <c r="N79" s="22"/>
      <c r="O79" s="17"/>
      <c r="P79" s="22"/>
      <c r="Q79" s="22"/>
      <c r="R79" s="28" t="str">
        <f aca="true">IF(OR(P79="",Q79&lt;&gt;"",O79="キャンセル"),"",P79-TODAY())</f>
        <v/>
      </c>
      <c r="S79" s="29"/>
      <c r="T79" s="22"/>
      <c r="U79" s="17"/>
      <c r="V79" s="22"/>
      <c r="W79" s="19" t="str">
        <f aca="true">IF(B79="","",IF(OR(O79="開通済",Q79&lt;&gt;""),"完了",IF(O79="キャンセル","―",IF(AND(V79&lt;&gt;"",V79&lt;TODAY()),"対応期限超過",IF(AND(P79&lt;&gt;"",P79&lt;TODAY()),"開通予定日超過",IF(AND(V79&lt;&gt;"",V79=TODAY()),"本日対応",IF(AND(P79&lt;&gt;"",P79-TODAY()&lt;=3),"開通間近","")))))))</f>
        <v/>
      </c>
      <c r="X79" s="17"/>
    </row>
    <row r="80" customFormat="false" ht="15" hidden="false" customHeight="false" outlineLevel="0" collapsed="false">
      <c r="A80" s="12" t="str">
        <f aca="false">IF(B80="","",ROW()-4)</f>
        <v/>
      </c>
      <c r="B80" s="17"/>
      <c r="C80" s="19" t="str">
        <f aca="false">IF(B80="","",IFERROR(INDEX(顧客一覧!$C$5:$C$304,MATCH(B80,顧客一覧!$B$5:$B$304,0)),"※ID未登録"))</f>
        <v/>
      </c>
      <c r="D80" s="12" t="str">
        <f aca="false">IF(B80="","",IFERROR(INDEX(顧客一覧!$K$5:$K$304,MATCH(B80,顧客一覧!$B$5:$B$304,0))&amp;"",""))</f>
        <v/>
      </c>
      <c r="E80" s="17"/>
      <c r="F80" s="17"/>
      <c r="G80" s="29"/>
      <c r="H80" s="17"/>
      <c r="I80" s="29"/>
      <c r="J80" s="26" t="str">
        <f aca="false">IF(OR(G80="",I80=""),"",G80-I80)</f>
        <v/>
      </c>
      <c r="K80" s="26" t="str">
        <f aca="false">IF(J80="","",J80*12)</f>
        <v/>
      </c>
      <c r="L80" s="29"/>
      <c r="M80" s="27" t="str">
        <f aca="false">IF(OR(L80="",J80=""),"",IF(J80&lt;=0,"回収不可",L80/J80))</f>
        <v/>
      </c>
      <c r="N80" s="22"/>
      <c r="O80" s="17"/>
      <c r="P80" s="22"/>
      <c r="Q80" s="22"/>
      <c r="R80" s="28" t="str">
        <f aca="true">IF(OR(P80="",Q80&lt;&gt;"",O80="キャンセル"),"",P80-TODAY())</f>
        <v/>
      </c>
      <c r="S80" s="29"/>
      <c r="T80" s="22"/>
      <c r="U80" s="17"/>
      <c r="V80" s="22"/>
      <c r="W80" s="19" t="str">
        <f aca="true">IF(B80="","",IF(OR(O80="開通済",Q80&lt;&gt;""),"完了",IF(O80="キャンセル","―",IF(AND(V80&lt;&gt;"",V80&lt;TODAY()),"対応期限超過",IF(AND(P80&lt;&gt;"",P80&lt;TODAY()),"開通予定日超過",IF(AND(V80&lt;&gt;"",V80=TODAY()),"本日対応",IF(AND(P80&lt;&gt;"",P80-TODAY()&lt;=3),"開通間近","")))))))</f>
        <v/>
      </c>
      <c r="X80" s="17"/>
    </row>
    <row r="81" customFormat="false" ht="15" hidden="false" customHeight="false" outlineLevel="0" collapsed="false">
      <c r="A81" s="12" t="str">
        <f aca="false">IF(B81="","",ROW()-4)</f>
        <v/>
      </c>
      <c r="B81" s="17"/>
      <c r="C81" s="19" t="str">
        <f aca="false">IF(B81="","",IFERROR(INDEX(顧客一覧!$C$5:$C$304,MATCH(B81,顧客一覧!$B$5:$B$304,0)),"※ID未登録"))</f>
        <v/>
      </c>
      <c r="D81" s="12" t="str">
        <f aca="false">IF(B81="","",IFERROR(INDEX(顧客一覧!$K$5:$K$304,MATCH(B81,顧客一覧!$B$5:$B$304,0))&amp;"",""))</f>
        <v/>
      </c>
      <c r="E81" s="17"/>
      <c r="F81" s="17"/>
      <c r="G81" s="29"/>
      <c r="H81" s="17"/>
      <c r="I81" s="29"/>
      <c r="J81" s="26" t="str">
        <f aca="false">IF(OR(G81="",I81=""),"",G81-I81)</f>
        <v/>
      </c>
      <c r="K81" s="26" t="str">
        <f aca="false">IF(J81="","",J81*12)</f>
        <v/>
      </c>
      <c r="L81" s="29"/>
      <c r="M81" s="27" t="str">
        <f aca="false">IF(OR(L81="",J81=""),"",IF(J81&lt;=0,"回収不可",L81/J81))</f>
        <v/>
      </c>
      <c r="N81" s="22"/>
      <c r="O81" s="17"/>
      <c r="P81" s="22"/>
      <c r="Q81" s="22"/>
      <c r="R81" s="28" t="str">
        <f aca="true">IF(OR(P81="",Q81&lt;&gt;"",O81="キャンセル"),"",P81-TODAY())</f>
        <v/>
      </c>
      <c r="S81" s="29"/>
      <c r="T81" s="22"/>
      <c r="U81" s="17"/>
      <c r="V81" s="22"/>
      <c r="W81" s="19" t="str">
        <f aca="true">IF(B81="","",IF(OR(O81="開通済",Q81&lt;&gt;""),"完了",IF(O81="キャンセル","―",IF(AND(V81&lt;&gt;"",V81&lt;TODAY()),"対応期限超過",IF(AND(P81&lt;&gt;"",P81&lt;TODAY()),"開通予定日超過",IF(AND(V81&lt;&gt;"",V81=TODAY()),"本日対応",IF(AND(P81&lt;&gt;"",P81-TODAY()&lt;=3),"開通間近","")))))))</f>
        <v/>
      </c>
      <c r="X81" s="17"/>
    </row>
    <row r="82" customFormat="false" ht="15" hidden="false" customHeight="false" outlineLevel="0" collapsed="false">
      <c r="A82" s="12" t="str">
        <f aca="false">IF(B82="","",ROW()-4)</f>
        <v/>
      </c>
      <c r="B82" s="17"/>
      <c r="C82" s="19" t="str">
        <f aca="false">IF(B82="","",IFERROR(INDEX(顧客一覧!$C$5:$C$304,MATCH(B82,顧客一覧!$B$5:$B$304,0)),"※ID未登録"))</f>
        <v/>
      </c>
      <c r="D82" s="12" t="str">
        <f aca="false">IF(B82="","",IFERROR(INDEX(顧客一覧!$K$5:$K$304,MATCH(B82,顧客一覧!$B$5:$B$304,0))&amp;"",""))</f>
        <v/>
      </c>
      <c r="E82" s="17"/>
      <c r="F82" s="17"/>
      <c r="G82" s="29"/>
      <c r="H82" s="17"/>
      <c r="I82" s="29"/>
      <c r="J82" s="26" t="str">
        <f aca="false">IF(OR(G82="",I82=""),"",G82-I82)</f>
        <v/>
      </c>
      <c r="K82" s="26" t="str">
        <f aca="false">IF(J82="","",J82*12)</f>
        <v/>
      </c>
      <c r="L82" s="29"/>
      <c r="M82" s="27" t="str">
        <f aca="false">IF(OR(L82="",J82=""),"",IF(J82&lt;=0,"回収不可",L82/J82))</f>
        <v/>
      </c>
      <c r="N82" s="22"/>
      <c r="O82" s="17"/>
      <c r="P82" s="22"/>
      <c r="Q82" s="22"/>
      <c r="R82" s="28" t="str">
        <f aca="true">IF(OR(P82="",Q82&lt;&gt;"",O82="キャンセル"),"",P82-TODAY())</f>
        <v/>
      </c>
      <c r="S82" s="29"/>
      <c r="T82" s="22"/>
      <c r="U82" s="17"/>
      <c r="V82" s="22"/>
      <c r="W82" s="19" t="str">
        <f aca="true">IF(B82="","",IF(OR(O82="開通済",Q82&lt;&gt;""),"完了",IF(O82="キャンセル","―",IF(AND(V82&lt;&gt;"",V82&lt;TODAY()),"対応期限超過",IF(AND(P82&lt;&gt;"",P82&lt;TODAY()),"開通予定日超過",IF(AND(V82&lt;&gt;"",V82=TODAY()),"本日対応",IF(AND(P82&lt;&gt;"",P82-TODAY()&lt;=3),"開通間近","")))))))</f>
        <v/>
      </c>
      <c r="X82" s="17"/>
    </row>
    <row r="83" customFormat="false" ht="15" hidden="false" customHeight="false" outlineLevel="0" collapsed="false">
      <c r="A83" s="12" t="str">
        <f aca="false">IF(B83="","",ROW()-4)</f>
        <v/>
      </c>
      <c r="B83" s="17"/>
      <c r="C83" s="19" t="str">
        <f aca="false">IF(B83="","",IFERROR(INDEX(顧客一覧!$C$5:$C$304,MATCH(B83,顧客一覧!$B$5:$B$304,0)),"※ID未登録"))</f>
        <v/>
      </c>
      <c r="D83" s="12" t="str">
        <f aca="false">IF(B83="","",IFERROR(INDEX(顧客一覧!$K$5:$K$304,MATCH(B83,顧客一覧!$B$5:$B$304,0))&amp;"",""))</f>
        <v/>
      </c>
      <c r="E83" s="17"/>
      <c r="F83" s="17"/>
      <c r="G83" s="29"/>
      <c r="H83" s="17"/>
      <c r="I83" s="29"/>
      <c r="J83" s="26" t="str">
        <f aca="false">IF(OR(G83="",I83=""),"",G83-I83)</f>
        <v/>
      </c>
      <c r="K83" s="26" t="str">
        <f aca="false">IF(J83="","",J83*12)</f>
        <v/>
      </c>
      <c r="L83" s="29"/>
      <c r="M83" s="27" t="str">
        <f aca="false">IF(OR(L83="",J83=""),"",IF(J83&lt;=0,"回収不可",L83/J83))</f>
        <v/>
      </c>
      <c r="N83" s="22"/>
      <c r="O83" s="17"/>
      <c r="P83" s="22"/>
      <c r="Q83" s="22"/>
      <c r="R83" s="28" t="str">
        <f aca="true">IF(OR(P83="",Q83&lt;&gt;"",O83="キャンセル"),"",P83-TODAY())</f>
        <v/>
      </c>
      <c r="S83" s="29"/>
      <c r="T83" s="22"/>
      <c r="U83" s="17"/>
      <c r="V83" s="22"/>
      <c r="W83" s="19" t="str">
        <f aca="true">IF(B83="","",IF(OR(O83="開通済",Q83&lt;&gt;""),"完了",IF(O83="キャンセル","―",IF(AND(V83&lt;&gt;"",V83&lt;TODAY()),"対応期限超過",IF(AND(P83&lt;&gt;"",P83&lt;TODAY()),"開通予定日超過",IF(AND(V83&lt;&gt;"",V83=TODAY()),"本日対応",IF(AND(P83&lt;&gt;"",P83-TODAY()&lt;=3),"開通間近","")))))))</f>
        <v/>
      </c>
      <c r="X83" s="17"/>
    </row>
    <row r="84" customFormat="false" ht="15" hidden="false" customHeight="false" outlineLevel="0" collapsed="false">
      <c r="A84" s="12" t="str">
        <f aca="false">IF(B84="","",ROW()-4)</f>
        <v/>
      </c>
      <c r="B84" s="17"/>
      <c r="C84" s="19" t="str">
        <f aca="false">IF(B84="","",IFERROR(INDEX(顧客一覧!$C$5:$C$304,MATCH(B84,顧客一覧!$B$5:$B$304,0)),"※ID未登録"))</f>
        <v/>
      </c>
      <c r="D84" s="12" t="str">
        <f aca="false">IF(B84="","",IFERROR(INDEX(顧客一覧!$K$5:$K$304,MATCH(B84,顧客一覧!$B$5:$B$304,0))&amp;"",""))</f>
        <v/>
      </c>
      <c r="E84" s="17"/>
      <c r="F84" s="17"/>
      <c r="G84" s="29"/>
      <c r="H84" s="17"/>
      <c r="I84" s="29"/>
      <c r="J84" s="26" t="str">
        <f aca="false">IF(OR(G84="",I84=""),"",G84-I84)</f>
        <v/>
      </c>
      <c r="K84" s="26" t="str">
        <f aca="false">IF(J84="","",J84*12)</f>
        <v/>
      </c>
      <c r="L84" s="29"/>
      <c r="M84" s="27" t="str">
        <f aca="false">IF(OR(L84="",J84=""),"",IF(J84&lt;=0,"回収不可",L84/J84))</f>
        <v/>
      </c>
      <c r="N84" s="22"/>
      <c r="O84" s="17"/>
      <c r="P84" s="22"/>
      <c r="Q84" s="22"/>
      <c r="R84" s="28" t="str">
        <f aca="true">IF(OR(P84="",Q84&lt;&gt;"",O84="キャンセル"),"",P84-TODAY())</f>
        <v/>
      </c>
      <c r="S84" s="29"/>
      <c r="T84" s="22"/>
      <c r="U84" s="17"/>
      <c r="V84" s="22"/>
      <c r="W84" s="19" t="str">
        <f aca="true">IF(B84="","",IF(OR(O84="開通済",Q84&lt;&gt;""),"完了",IF(O84="キャンセル","―",IF(AND(V84&lt;&gt;"",V84&lt;TODAY()),"対応期限超過",IF(AND(P84&lt;&gt;"",P84&lt;TODAY()),"開通予定日超過",IF(AND(V84&lt;&gt;"",V84=TODAY()),"本日対応",IF(AND(P84&lt;&gt;"",P84-TODAY()&lt;=3),"開通間近","")))))))</f>
        <v/>
      </c>
      <c r="X84" s="17"/>
    </row>
    <row r="85" customFormat="false" ht="15" hidden="false" customHeight="false" outlineLevel="0" collapsed="false">
      <c r="A85" s="12" t="str">
        <f aca="false">IF(B85="","",ROW()-4)</f>
        <v/>
      </c>
      <c r="B85" s="17"/>
      <c r="C85" s="19" t="str">
        <f aca="false">IF(B85="","",IFERROR(INDEX(顧客一覧!$C$5:$C$304,MATCH(B85,顧客一覧!$B$5:$B$304,0)),"※ID未登録"))</f>
        <v/>
      </c>
      <c r="D85" s="12" t="str">
        <f aca="false">IF(B85="","",IFERROR(INDEX(顧客一覧!$K$5:$K$304,MATCH(B85,顧客一覧!$B$5:$B$304,0))&amp;"",""))</f>
        <v/>
      </c>
      <c r="E85" s="17"/>
      <c r="F85" s="17"/>
      <c r="G85" s="29"/>
      <c r="H85" s="17"/>
      <c r="I85" s="29"/>
      <c r="J85" s="26" t="str">
        <f aca="false">IF(OR(G85="",I85=""),"",G85-I85)</f>
        <v/>
      </c>
      <c r="K85" s="26" t="str">
        <f aca="false">IF(J85="","",J85*12)</f>
        <v/>
      </c>
      <c r="L85" s="29"/>
      <c r="M85" s="27" t="str">
        <f aca="false">IF(OR(L85="",J85=""),"",IF(J85&lt;=0,"回収不可",L85/J85))</f>
        <v/>
      </c>
      <c r="N85" s="22"/>
      <c r="O85" s="17"/>
      <c r="P85" s="22"/>
      <c r="Q85" s="22"/>
      <c r="R85" s="28" t="str">
        <f aca="true">IF(OR(P85="",Q85&lt;&gt;"",O85="キャンセル"),"",P85-TODAY())</f>
        <v/>
      </c>
      <c r="S85" s="29"/>
      <c r="T85" s="22"/>
      <c r="U85" s="17"/>
      <c r="V85" s="22"/>
      <c r="W85" s="19" t="str">
        <f aca="true">IF(B85="","",IF(OR(O85="開通済",Q85&lt;&gt;""),"完了",IF(O85="キャンセル","―",IF(AND(V85&lt;&gt;"",V85&lt;TODAY()),"対応期限超過",IF(AND(P85&lt;&gt;"",P85&lt;TODAY()),"開通予定日超過",IF(AND(V85&lt;&gt;"",V85=TODAY()),"本日対応",IF(AND(P85&lt;&gt;"",P85-TODAY()&lt;=3),"開通間近","")))))))</f>
        <v/>
      </c>
      <c r="X85" s="17"/>
    </row>
    <row r="86" customFormat="false" ht="15" hidden="false" customHeight="false" outlineLevel="0" collapsed="false">
      <c r="A86" s="12" t="str">
        <f aca="false">IF(B86="","",ROW()-4)</f>
        <v/>
      </c>
      <c r="B86" s="17"/>
      <c r="C86" s="19" t="str">
        <f aca="false">IF(B86="","",IFERROR(INDEX(顧客一覧!$C$5:$C$304,MATCH(B86,顧客一覧!$B$5:$B$304,0)),"※ID未登録"))</f>
        <v/>
      </c>
      <c r="D86" s="12" t="str">
        <f aca="false">IF(B86="","",IFERROR(INDEX(顧客一覧!$K$5:$K$304,MATCH(B86,顧客一覧!$B$5:$B$304,0))&amp;"",""))</f>
        <v/>
      </c>
      <c r="E86" s="17"/>
      <c r="F86" s="17"/>
      <c r="G86" s="29"/>
      <c r="H86" s="17"/>
      <c r="I86" s="29"/>
      <c r="J86" s="26" t="str">
        <f aca="false">IF(OR(G86="",I86=""),"",G86-I86)</f>
        <v/>
      </c>
      <c r="K86" s="26" t="str">
        <f aca="false">IF(J86="","",J86*12)</f>
        <v/>
      </c>
      <c r="L86" s="29"/>
      <c r="M86" s="27" t="str">
        <f aca="false">IF(OR(L86="",J86=""),"",IF(J86&lt;=0,"回収不可",L86/J86))</f>
        <v/>
      </c>
      <c r="N86" s="22"/>
      <c r="O86" s="17"/>
      <c r="P86" s="22"/>
      <c r="Q86" s="22"/>
      <c r="R86" s="28" t="str">
        <f aca="true">IF(OR(P86="",Q86&lt;&gt;"",O86="キャンセル"),"",P86-TODAY())</f>
        <v/>
      </c>
      <c r="S86" s="29"/>
      <c r="T86" s="22"/>
      <c r="U86" s="17"/>
      <c r="V86" s="22"/>
      <c r="W86" s="19" t="str">
        <f aca="true">IF(B86="","",IF(OR(O86="開通済",Q86&lt;&gt;""),"完了",IF(O86="キャンセル","―",IF(AND(V86&lt;&gt;"",V86&lt;TODAY()),"対応期限超過",IF(AND(P86&lt;&gt;"",P86&lt;TODAY()),"開通予定日超過",IF(AND(V86&lt;&gt;"",V86=TODAY()),"本日対応",IF(AND(P86&lt;&gt;"",P86-TODAY()&lt;=3),"開通間近","")))))))</f>
        <v/>
      </c>
      <c r="X86" s="17"/>
    </row>
    <row r="87" customFormat="false" ht="15" hidden="false" customHeight="false" outlineLevel="0" collapsed="false">
      <c r="A87" s="12" t="str">
        <f aca="false">IF(B87="","",ROW()-4)</f>
        <v/>
      </c>
      <c r="B87" s="17"/>
      <c r="C87" s="19" t="str">
        <f aca="false">IF(B87="","",IFERROR(INDEX(顧客一覧!$C$5:$C$304,MATCH(B87,顧客一覧!$B$5:$B$304,0)),"※ID未登録"))</f>
        <v/>
      </c>
      <c r="D87" s="12" t="str">
        <f aca="false">IF(B87="","",IFERROR(INDEX(顧客一覧!$K$5:$K$304,MATCH(B87,顧客一覧!$B$5:$B$304,0))&amp;"",""))</f>
        <v/>
      </c>
      <c r="E87" s="17"/>
      <c r="F87" s="17"/>
      <c r="G87" s="29"/>
      <c r="H87" s="17"/>
      <c r="I87" s="29"/>
      <c r="J87" s="26" t="str">
        <f aca="false">IF(OR(G87="",I87=""),"",G87-I87)</f>
        <v/>
      </c>
      <c r="K87" s="26" t="str">
        <f aca="false">IF(J87="","",J87*12)</f>
        <v/>
      </c>
      <c r="L87" s="29"/>
      <c r="M87" s="27" t="str">
        <f aca="false">IF(OR(L87="",J87=""),"",IF(J87&lt;=0,"回収不可",L87/J87))</f>
        <v/>
      </c>
      <c r="N87" s="22"/>
      <c r="O87" s="17"/>
      <c r="P87" s="22"/>
      <c r="Q87" s="22"/>
      <c r="R87" s="28" t="str">
        <f aca="true">IF(OR(P87="",Q87&lt;&gt;"",O87="キャンセル"),"",P87-TODAY())</f>
        <v/>
      </c>
      <c r="S87" s="29"/>
      <c r="T87" s="22"/>
      <c r="U87" s="17"/>
      <c r="V87" s="22"/>
      <c r="W87" s="19" t="str">
        <f aca="true">IF(B87="","",IF(OR(O87="開通済",Q87&lt;&gt;""),"完了",IF(O87="キャンセル","―",IF(AND(V87&lt;&gt;"",V87&lt;TODAY()),"対応期限超過",IF(AND(P87&lt;&gt;"",P87&lt;TODAY()),"開通予定日超過",IF(AND(V87&lt;&gt;"",V87=TODAY()),"本日対応",IF(AND(P87&lt;&gt;"",P87-TODAY()&lt;=3),"開通間近","")))))))</f>
        <v/>
      </c>
      <c r="X87" s="17"/>
    </row>
    <row r="88" customFormat="false" ht="15" hidden="false" customHeight="false" outlineLevel="0" collapsed="false">
      <c r="A88" s="12" t="str">
        <f aca="false">IF(B88="","",ROW()-4)</f>
        <v/>
      </c>
      <c r="B88" s="17"/>
      <c r="C88" s="19" t="str">
        <f aca="false">IF(B88="","",IFERROR(INDEX(顧客一覧!$C$5:$C$304,MATCH(B88,顧客一覧!$B$5:$B$304,0)),"※ID未登録"))</f>
        <v/>
      </c>
      <c r="D88" s="12" t="str">
        <f aca="false">IF(B88="","",IFERROR(INDEX(顧客一覧!$K$5:$K$304,MATCH(B88,顧客一覧!$B$5:$B$304,0))&amp;"",""))</f>
        <v/>
      </c>
      <c r="E88" s="17"/>
      <c r="F88" s="17"/>
      <c r="G88" s="29"/>
      <c r="H88" s="17"/>
      <c r="I88" s="29"/>
      <c r="J88" s="26" t="str">
        <f aca="false">IF(OR(G88="",I88=""),"",G88-I88)</f>
        <v/>
      </c>
      <c r="K88" s="26" t="str">
        <f aca="false">IF(J88="","",J88*12)</f>
        <v/>
      </c>
      <c r="L88" s="29"/>
      <c r="M88" s="27" t="str">
        <f aca="false">IF(OR(L88="",J88=""),"",IF(J88&lt;=0,"回収不可",L88/J88))</f>
        <v/>
      </c>
      <c r="N88" s="22"/>
      <c r="O88" s="17"/>
      <c r="P88" s="22"/>
      <c r="Q88" s="22"/>
      <c r="R88" s="28" t="str">
        <f aca="true">IF(OR(P88="",Q88&lt;&gt;"",O88="キャンセル"),"",P88-TODAY())</f>
        <v/>
      </c>
      <c r="S88" s="29"/>
      <c r="T88" s="22"/>
      <c r="U88" s="17"/>
      <c r="V88" s="22"/>
      <c r="W88" s="19" t="str">
        <f aca="true">IF(B88="","",IF(OR(O88="開通済",Q88&lt;&gt;""),"完了",IF(O88="キャンセル","―",IF(AND(V88&lt;&gt;"",V88&lt;TODAY()),"対応期限超過",IF(AND(P88&lt;&gt;"",P88&lt;TODAY()),"開通予定日超過",IF(AND(V88&lt;&gt;"",V88=TODAY()),"本日対応",IF(AND(P88&lt;&gt;"",P88-TODAY()&lt;=3),"開通間近","")))))))</f>
        <v/>
      </c>
      <c r="X88" s="17"/>
    </row>
    <row r="89" customFormat="false" ht="15" hidden="false" customHeight="false" outlineLevel="0" collapsed="false">
      <c r="A89" s="12" t="str">
        <f aca="false">IF(B89="","",ROW()-4)</f>
        <v/>
      </c>
      <c r="B89" s="17"/>
      <c r="C89" s="19" t="str">
        <f aca="false">IF(B89="","",IFERROR(INDEX(顧客一覧!$C$5:$C$304,MATCH(B89,顧客一覧!$B$5:$B$304,0)),"※ID未登録"))</f>
        <v/>
      </c>
      <c r="D89" s="12" t="str">
        <f aca="false">IF(B89="","",IFERROR(INDEX(顧客一覧!$K$5:$K$304,MATCH(B89,顧客一覧!$B$5:$B$304,0))&amp;"",""))</f>
        <v/>
      </c>
      <c r="E89" s="17"/>
      <c r="F89" s="17"/>
      <c r="G89" s="29"/>
      <c r="H89" s="17"/>
      <c r="I89" s="29"/>
      <c r="J89" s="26" t="str">
        <f aca="false">IF(OR(G89="",I89=""),"",G89-I89)</f>
        <v/>
      </c>
      <c r="K89" s="26" t="str">
        <f aca="false">IF(J89="","",J89*12)</f>
        <v/>
      </c>
      <c r="L89" s="29"/>
      <c r="M89" s="27" t="str">
        <f aca="false">IF(OR(L89="",J89=""),"",IF(J89&lt;=0,"回収不可",L89/J89))</f>
        <v/>
      </c>
      <c r="N89" s="22"/>
      <c r="O89" s="17"/>
      <c r="P89" s="22"/>
      <c r="Q89" s="22"/>
      <c r="R89" s="28" t="str">
        <f aca="true">IF(OR(P89="",Q89&lt;&gt;"",O89="キャンセル"),"",P89-TODAY())</f>
        <v/>
      </c>
      <c r="S89" s="29"/>
      <c r="T89" s="22"/>
      <c r="U89" s="17"/>
      <c r="V89" s="22"/>
      <c r="W89" s="19" t="str">
        <f aca="true">IF(B89="","",IF(OR(O89="開通済",Q89&lt;&gt;""),"完了",IF(O89="キャンセル","―",IF(AND(V89&lt;&gt;"",V89&lt;TODAY()),"対応期限超過",IF(AND(P89&lt;&gt;"",P89&lt;TODAY()),"開通予定日超過",IF(AND(V89&lt;&gt;"",V89=TODAY()),"本日対応",IF(AND(P89&lt;&gt;"",P89-TODAY()&lt;=3),"開通間近","")))))))</f>
        <v/>
      </c>
      <c r="X89" s="17"/>
    </row>
    <row r="90" customFormat="false" ht="15" hidden="false" customHeight="false" outlineLevel="0" collapsed="false">
      <c r="A90" s="12" t="str">
        <f aca="false">IF(B90="","",ROW()-4)</f>
        <v/>
      </c>
      <c r="B90" s="17"/>
      <c r="C90" s="19" t="str">
        <f aca="false">IF(B90="","",IFERROR(INDEX(顧客一覧!$C$5:$C$304,MATCH(B90,顧客一覧!$B$5:$B$304,0)),"※ID未登録"))</f>
        <v/>
      </c>
      <c r="D90" s="12" t="str">
        <f aca="false">IF(B90="","",IFERROR(INDEX(顧客一覧!$K$5:$K$304,MATCH(B90,顧客一覧!$B$5:$B$304,0))&amp;"",""))</f>
        <v/>
      </c>
      <c r="E90" s="17"/>
      <c r="F90" s="17"/>
      <c r="G90" s="29"/>
      <c r="H90" s="17"/>
      <c r="I90" s="29"/>
      <c r="J90" s="26" t="str">
        <f aca="false">IF(OR(G90="",I90=""),"",G90-I90)</f>
        <v/>
      </c>
      <c r="K90" s="26" t="str">
        <f aca="false">IF(J90="","",J90*12)</f>
        <v/>
      </c>
      <c r="L90" s="29"/>
      <c r="M90" s="27" t="str">
        <f aca="false">IF(OR(L90="",J90=""),"",IF(J90&lt;=0,"回収不可",L90/J90))</f>
        <v/>
      </c>
      <c r="N90" s="22"/>
      <c r="O90" s="17"/>
      <c r="P90" s="22"/>
      <c r="Q90" s="22"/>
      <c r="R90" s="28" t="str">
        <f aca="true">IF(OR(P90="",Q90&lt;&gt;"",O90="キャンセル"),"",P90-TODAY())</f>
        <v/>
      </c>
      <c r="S90" s="29"/>
      <c r="T90" s="22"/>
      <c r="U90" s="17"/>
      <c r="V90" s="22"/>
      <c r="W90" s="19" t="str">
        <f aca="true">IF(B90="","",IF(OR(O90="開通済",Q90&lt;&gt;""),"完了",IF(O90="キャンセル","―",IF(AND(V90&lt;&gt;"",V90&lt;TODAY()),"対応期限超過",IF(AND(P90&lt;&gt;"",P90&lt;TODAY()),"開通予定日超過",IF(AND(V90&lt;&gt;"",V90=TODAY()),"本日対応",IF(AND(P90&lt;&gt;"",P90-TODAY()&lt;=3),"開通間近","")))))))</f>
        <v/>
      </c>
      <c r="X90" s="17"/>
    </row>
    <row r="91" customFormat="false" ht="15" hidden="false" customHeight="false" outlineLevel="0" collapsed="false">
      <c r="A91" s="12" t="str">
        <f aca="false">IF(B91="","",ROW()-4)</f>
        <v/>
      </c>
      <c r="B91" s="17"/>
      <c r="C91" s="19" t="str">
        <f aca="false">IF(B91="","",IFERROR(INDEX(顧客一覧!$C$5:$C$304,MATCH(B91,顧客一覧!$B$5:$B$304,0)),"※ID未登録"))</f>
        <v/>
      </c>
      <c r="D91" s="12" t="str">
        <f aca="false">IF(B91="","",IFERROR(INDEX(顧客一覧!$K$5:$K$304,MATCH(B91,顧客一覧!$B$5:$B$304,0))&amp;"",""))</f>
        <v/>
      </c>
      <c r="E91" s="17"/>
      <c r="F91" s="17"/>
      <c r="G91" s="29"/>
      <c r="H91" s="17"/>
      <c r="I91" s="29"/>
      <c r="J91" s="26" t="str">
        <f aca="false">IF(OR(G91="",I91=""),"",G91-I91)</f>
        <v/>
      </c>
      <c r="K91" s="26" t="str">
        <f aca="false">IF(J91="","",J91*12)</f>
        <v/>
      </c>
      <c r="L91" s="29"/>
      <c r="M91" s="27" t="str">
        <f aca="false">IF(OR(L91="",J91=""),"",IF(J91&lt;=0,"回収不可",L91/J91))</f>
        <v/>
      </c>
      <c r="N91" s="22"/>
      <c r="O91" s="17"/>
      <c r="P91" s="22"/>
      <c r="Q91" s="22"/>
      <c r="R91" s="28" t="str">
        <f aca="true">IF(OR(P91="",Q91&lt;&gt;"",O91="キャンセル"),"",P91-TODAY())</f>
        <v/>
      </c>
      <c r="S91" s="29"/>
      <c r="T91" s="22"/>
      <c r="U91" s="17"/>
      <c r="V91" s="22"/>
      <c r="W91" s="19" t="str">
        <f aca="true">IF(B91="","",IF(OR(O91="開通済",Q91&lt;&gt;""),"完了",IF(O91="キャンセル","―",IF(AND(V91&lt;&gt;"",V91&lt;TODAY()),"対応期限超過",IF(AND(P91&lt;&gt;"",P91&lt;TODAY()),"開通予定日超過",IF(AND(V91&lt;&gt;"",V91=TODAY()),"本日対応",IF(AND(P91&lt;&gt;"",P91-TODAY()&lt;=3),"開通間近","")))))))</f>
        <v/>
      </c>
      <c r="X91" s="17"/>
    </row>
    <row r="92" customFormat="false" ht="15" hidden="false" customHeight="false" outlineLevel="0" collapsed="false">
      <c r="A92" s="12" t="str">
        <f aca="false">IF(B92="","",ROW()-4)</f>
        <v/>
      </c>
      <c r="B92" s="17"/>
      <c r="C92" s="19" t="str">
        <f aca="false">IF(B92="","",IFERROR(INDEX(顧客一覧!$C$5:$C$304,MATCH(B92,顧客一覧!$B$5:$B$304,0)),"※ID未登録"))</f>
        <v/>
      </c>
      <c r="D92" s="12" t="str">
        <f aca="false">IF(B92="","",IFERROR(INDEX(顧客一覧!$K$5:$K$304,MATCH(B92,顧客一覧!$B$5:$B$304,0))&amp;"",""))</f>
        <v/>
      </c>
      <c r="E92" s="17"/>
      <c r="F92" s="17"/>
      <c r="G92" s="29"/>
      <c r="H92" s="17"/>
      <c r="I92" s="29"/>
      <c r="J92" s="26" t="str">
        <f aca="false">IF(OR(G92="",I92=""),"",G92-I92)</f>
        <v/>
      </c>
      <c r="K92" s="26" t="str">
        <f aca="false">IF(J92="","",J92*12)</f>
        <v/>
      </c>
      <c r="L92" s="29"/>
      <c r="M92" s="27" t="str">
        <f aca="false">IF(OR(L92="",J92=""),"",IF(J92&lt;=0,"回収不可",L92/J92))</f>
        <v/>
      </c>
      <c r="N92" s="22"/>
      <c r="O92" s="17"/>
      <c r="P92" s="22"/>
      <c r="Q92" s="22"/>
      <c r="R92" s="28" t="str">
        <f aca="true">IF(OR(P92="",Q92&lt;&gt;"",O92="キャンセル"),"",P92-TODAY())</f>
        <v/>
      </c>
      <c r="S92" s="29"/>
      <c r="T92" s="22"/>
      <c r="U92" s="17"/>
      <c r="V92" s="22"/>
      <c r="W92" s="19" t="str">
        <f aca="true">IF(B92="","",IF(OR(O92="開通済",Q92&lt;&gt;""),"完了",IF(O92="キャンセル","―",IF(AND(V92&lt;&gt;"",V92&lt;TODAY()),"対応期限超過",IF(AND(P92&lt;&gt;"",P92&lt;TODAY()),"開通予定日超過",IF(AND(V92&lt;&gt;"",V92=TODAY()),"本日対応",IF(AND(P92&lt;&gt;"",P92-TODAY()&lt;=3),"開通間近","")))))))</f>
        <v/>
      </c>
      <c r="X92" s="17"/>
    </row>
    <row r="93" customFormat="false" ht="15" hidden="false" customHeight="false" outlineLevel="0" collapsed="false">
      <c r="A93" s="12" t="str">
        <f aca="false">IF(B93="","",ROW()-4)</f>
        <v/>
      </c>
      <c r="B93" s="17"/>
      <c r="C93" s="19" t="str">
        <f aca="false">IF(B93="","",IFERROR(INDEX(顧客一覧!$C$5:$C$304,MATCH(B93,顧客一覧!$B$5:$B$304,0)),"※ID未登録"))</f>
        <v/>
      </c>
      <c r="D93" s="12" t="str">
        <f aca="false">IF(B93="","",IFERROR(INDEX(顧客一覧!$K$5:$K$304,MATCH(B93,顧客一覧!$B$5:$B$304,0))&amp;"",""))</f>
        <v/>
      </c>
      <c r="E93" s="17"/>
      <c r="F93" s="17"/>
      <c r="G93" s="29"/>
      <c r="H93" s="17"/>
      <c r="I93" s="29"/>
      <c r="J93" s="26" t="str">
        <f aca="false">IF(OR(G93="",I93=""),"",G93-I93)</f>
        <v/>
      </c>
      <c r="K93" s="26" t="str">
        <f aca="false">IF(J93="","",J93*12)</f>
        <v/>
      </c>
      <c r="L93" s="29"/>
      <c r="M93" s="27" t="str">
        <f aca="false">IF(OR(L93="",J93=""),"",IF(J93&lt;=0,"回収不可",L93/J93))</f>
        <v/>
      </c>
      <c r="N93" s="22"/>
      <c r="O93" s="17"/>
      <c r="P93" s="22"/>
      <c r="Q93" s="22"/>
      <c r="R93" s="28" t="str">
        <f aca="true">IF(OR(P93="",Q93&lt;&gt;"",O93="キャンセル"),"",P93-TODAY())</f>
        <v/>
      </c>
      <c r="S93" s="29"/>
      <c r="T93" s="22"/>
      <c r="U93" s="17"/>
      <c r="V93" s="22"/>
      <c r="W93" s="19" t="str">
        <f aca="true">IF(B93="","",IF(OR(O93="開通済",Q93&lt;&gt;""),"完了",IF(O93="キャンセル","―",IF(AND(V93&lt;&gt;"",V93&lt;TODAY()),"対応期限超過",IF(AND(P93&lt;&gt;"",P93&lt;TODAY()),"開通予定日超過",IF(AND(V93&lt;&gt;"",V93=TODAY()),"本日対応",IF(AND(P93&lt;&gt;"",P93-TODAY()&lt;=3),"開通間近","")))))))</f>
        <v/>
      </c>
      <c r="X93" s="17"/>
    </row>
    <row r="94" customFormat="false" ht="15" hidden="false" customHeight="false" outlineLevel="0" collapsed="false">
      <c r="A94" s="12" t="str">
        <f aca="false">IF(B94="","",ROW()-4)</f>
        <v/>
      </c>
      <c r="B94" s="17"/>
      <c r="C94" s="19" t="str">
        <f aca="false">IF(B94="","",IFERROR(INDEX(顧客一覧!$C$5:$C$304,MATCH(B94,顧客一覧!$B$5:$B$304,0)),"※ID未登録"))</f>
        <v/>
      </c>
      <c r="D94" s="12" t="str">
        <f aca="false">IF(B94="","",IFERROR(INDEX(顧客一覧!$K$5:$K$304,MATCH(B94,顧客一覧!$B$5:$B$304,0))&amp;"",""))</f>
        <v/>
      </c>
      <c r="E94" s="17"/>
      <c r="F94" s="17"/>
      <c r="G94" s="29"/>
      <c r="H94" s="17"/>
      <c r="I94" s="29"/>
      <c r="J94" s="26" t="str">
        <f aca="false">IF(OR(G94="",I94=""),"",G94-I94)</f>
        <v/>
      </c>
      <c r="K94" s="26" t="str">
        <f aca="false">IF(J94="","",J94*12)</f>
        <v/>
      </c>
      <c r="L94" s="29"/>
      <c r="M94" s="27" t="str">
        <f aca="false">IF(OR(L94="",J94=""),"",IF(J94&lt;=0,"回収不可",L94/J94))</f>
        <v/>
      </c>
      <c r="N94" s="22"/>
      <c r="O94" s="17"/>
      <c r="P94" s="22"/>
      <c r="Q94" s="22"/>
      <c r="R94" s="28" t="str">
        <f aca="true">IF(OR(P94="",Q94&lt;&gt;"",O94="キャンセル"),"",P94-TODAY())</f>
        <v/>
      </c>
      <c r="S94" s="29"/>
      <c r="T94" s="22"/>
      <c r="U94" s="17"/>
      <c r="V94" s="22"/>
      <c r="W94" s="19" t="str">
        <f aca="true">IF(B94="","",IF(OR(O94="開通済",Q94&lt;&gt;""),"完了",IF(O94="キャンセル","―",IF(AND(V94&lt;&gt;"",V94&lt;TODAY()),"対応期限超過",IF(AND(P94&lt;&gt;"",P94&lt;TODAY()),"開通予定日超過",IF(AND(V94&lt;&gt;"",V94=TODAY()),"本日対応",IF(AND(P94&lt;&gt;"",P94-TODAY()&lt;=3),"開通間近","")))))))</f>
        <v/>
      </c>
      <c r="X94" s="17"/>
    </row>
    <row r="95" customFormat="false" ht="15" hidden="false" customHeight="false" outlineLevel="0" collapsed="false">
      <c r="A95" s="12" t="str">
        <f aca="false">IF(B95="","",ROW()-4)</f>
        <v/>
      </c>
      <c r="B95" s="17"/>
      <c r="C95" s="19" t="str">
        <f aca="false">IF(B95="","",IFERROR(INDEX(顧客一覧!$C$5:$C$304,MATCH(B95,顧客一覧!$B$5:$B$304,0)),"※ID未登録"))</f>
        <v/>
      </c>
      <c r="D95" s="12" t="str">
        <f aca="false">IF(B95="","",IFERROR(INDEX(顧客一覧!$K$5:$K$304,MATCH(B95,顧客一覧!$B$5:$B$304,0))&amp;"",""))</f>
        <v/>
      </c>
      <c r="E95" s="17"/>
      <c r="F95" s="17"/>
      <c r="G95" s="29"/>
      <c r="H95" s="17"/>
      <c r="I95" s="29"/>
      <c r="J95" s="26" t="str">
        <f aca="false">IF(OR(G95="",I95=""),"",G95-I95)</f>
        <v/>
      </c>
      <c r="K95" s="26" t="str">
        <f aca="false">IF(J95="","",J95*12)</f>
        <v/>
      </c>
      <c r="L95" s="29"/>
      <c r="M95" s="27" t="str">
        <f aca="false">IF(OR(L95="",J95=""),"",IF(J95&lt;=0,"回収不可",L95/J95))</f>
        <v/>
      </c>
      <c r="N95" s="22"/>
      <c r="O95" s="17"/>
      <c r="P95" s="22"/>
      <c r="Q95" s="22"/>
      <c r="R95" s="28" t="str">
        <f aca="true">IF(OR(P95="",Q95&lt;&gt;"",O95="キャンセル"),"",P95-TODAY())</f>
        <v/>
      </c>
      <c r="S95" s="29"/>
      <c r="T95" s="22"/>
      <c r="U95" s="17"/>
      <c r="V95" s="22"/>
      <c r="W95" s="19" t="str">
        <f aca="true">IF(B95="","",IF(OR(O95="開通済",Q95&lt;&gt;""),"完了",IF(O95="キャンセル","―",IF(AND(V95&lt;&gt;"",V95&lt;TODAY()),"対応期限超過",IF(AND(P95&lt;&gt;"",P95&lt;TODAY()),"開通予定日超過",IF(AND(V95&lt;&gt;"",V95=TODAY()),"本日対応",IF(AND(P95&lt;&gt;"",P95-TODAY()&lt;=3),"開通間近","")))))))</f>
        <v/>
      </c>
      <c r="X95" s="17"/>
    </row>
    <row r="96" customFormat="false" ht="15" hidden="false" customHeight="false" outlineLevel="0" collapsed="false">
      <c r="A96" s="12" t="str">
        <f aca="false">IF(B96="","",ROW()-4)</f>
        <v/>
      </c>
      <c r="B96" s="17"/>
      <c r="C96" s="19" t="str">
        <f aca="false">IF(B96="","",IFERROR(INDEX(顧客一覧!$C$5:$C$304,MATCH(B96,顧客一覧!$B$5:$B$304,0)),"※ID未登録"))</f>
        <v/>
      </c>
      <c r="D96" s="12" t="str">
        <f aca="false">IF(B96="","",IFERROR(INDEX(顧客一覧!$K$5:$K$304,MATCH(B96,顧客一覧!$B$5:$B$304,0))&amp;"",""))</f>
        <v/>
      </c>
      <c r="E96" s="17"/>
      <c r="F96" s="17"/>
      <c r="G96" s="29"/>
      <c r="H96" s="17"/>
      <c r="I96" s="29"/>
      <c r="J96" s="26" t="str">
        <f aca="false">IF(OR(G96="",I96=""),"",G96-I96)</f>
        <v/>
      </c>
      <c r="K96" s="26" t="str">
        <f aca="false">IF(J96="","",J96*12)</f>
        <v/>
      </c>
      <c r="L96" s="29"/>
      <c r="M96" s="27" t="str">
        <f aca="false">IF(OR(L96="",J96=""),"",IF(J96&lt;=0,"回収不可",L96/J96))</f>
        <v/>
      </c>
      <c r="N96" s="22"/>
      <c r="O96" s="17"/>
      <c r="P96" s="22"/>
      <c r="Q96" s="22"/>
      <c r="R96" s="28" t="str">
        <f aca="true">IF(OR(P96="",Q96&lt;&gt;"",O96="キャンセル"),"",P96-TODAY())</f>
        <v/>
      </c>
      <c r="S96" s="29"/>
      <c r="T96" s="22"/>
      <c r="U96" s="17"/>
      <c r="V96" s="22"/>
      <c r="W96" s="19" t="str">
        <f aca="true">IF(B96="","",IF(OR(O96="開通済",Q96&lt;&gt;""),"完了",IF(O96="キャンセル","―",IF(AND(V96&lt;&gt;"",V96&lt;TODAY()),"対応期限超過",IF(AND(P96&lt;&gt;"",P96&lt;TODAY()),"開通予定日超過",IF(AND(V96&lt;&gt;"",V96=TODAY()),"本日対応",IF(AND(P96&lt;&gt;"",P96-TODAY()&lt;=3),"開通間近","")))))))</f>
        <v/>
      </c>
      <c r="X96" s="17"/>
    </row>
    <row r="97" customFormat="false" ht="15" hidden="false" customHeight="false" outlineLevel="0" collapsed="false">
      <c r="A97" s="12" t="str">
        <f aca="false">IF(B97="","",ROW()-4)</f>
        <v/>
      </c>
      <c r="B97" s="17"/>
      <c r="C97" s="19" t="str">
        <f aca="false">IF(B97="","",IFERROR(INDEX(顧客一覧!$C$5:$C$304,MATCH(B97,顧客一覧!$B$5:$B$304,0)),"※ID未登録"))</f>
        <v/>
      </c>
      <c r="D97" s="12" t="str">
        <f aca="false">IF(B97="","",IFERROR(INDEX(顧客一覧!$K$5:$K$304,MATCH(B97,顧客一覧!$B$5:$B$304,0))&amp;"",""))</f>
        <v/>
      </c>
      <c r="E97" s="17"/>
      <c r="F97" s="17"/>
      <c r="G97" s="29"/>
      <c r="H97" s="17"/>
      <c r="I97" s="29"/>
      <c r="J97" s="26" t="str">
        <f aca="false">IF(OR(G97="",I97=""),"",G97-I97)</f>
        <v/>
      </c>
      <c r="K97" s="26" t="str">
        <f aca="false">IF(J97="","",J97*12)</f>
        <v/>
      </c>
      <c r="L97" s="29"/>
      <c r="M97" s="27" t="str">
        <f aca="false">IF(OR(L97="",J97=""),"",IF(J97&lt;=0,"回収不可",L97/J97))</f>
        <v/>
      </c>
      <c r="N97" s="22"/>
      <c r="O97" s="17"/>
      <c r="P97" s="22"/>
      <c r="Q97" s="22"/>
      <c r="R97" s="28" t="str">
        <f aca="true">IF(OR(P97="",Q97&lt;&gt;"",O97="キャンセル"),"",P97-TODAY())</f>
        <v/>
      </c>
      <c r="S97" s="29"/>
      <c r="T97" s="22"/>
      <c r="U97" s="17"/>
      <c r="V97" s="22"/>
      <c r="W97" s="19" t="str">
        <f aca="true">IF(B97="","",IF(OR(O97="開通済",Q97&lt;&gt;""),"完了",IF(O97="キャンセル","―",IF(AND(V97&lt;&gt;"",V97&lt;TODAY()),"対応期限超過",IF(AND(P97&lt;&gt;"",P97&lt;TODAY()),"開通予定日超過",IF(AND(V97&lt;&gt;"",V97=TODAY()),"本日対応",IF(AND(P97&lt;&gt;"",P97-TODAY()&lt;=3),"開通間近","")))))))</f>
        <v/>
      </c>
      <c r="X97" s="17"/>
    </row>
    <row r="98" customFormat="false" ht="15" hidden="false" customHeight="false" outlineLevel="0" collapsed="false">
      <c r="A98" s="12" t="str">
        <f aca="false">IF(B98="","",ROW()-4)</f>
        <v/>
      </c>
      <c r="B98" s="17"/>
      <c r="C98" s="19" t="str">
        <f aca="false">IF(B98="","",IFERROR(INDEX(顧客一覧!$C$5:$C$304,MATCH(B98,顧客一覧!$B$5:$B$304,0)),"※ID未登録"))</f>
        <v/>
      </c>
      <c r="D98" s="12" t="str">
        <f aca="false">IF(B98="","",IFERROR(INDEX(顧客一覧!$K$5:$K$304,MATCH(B98,顧客一覧!$B$5:$B$304,0))&amp;"",""))</f>
        <v/>
      </c>
      <c r="E98" s="17"/>
      <c r="F98" s="17"/>
      <c r="G98" s="29"/>
      <c r="H98" s="17"/>
      <c r="I98" s="29"/>
      <c r="J98" s="26" t="str">
        <f aca="false">IF(OR(G98="",I98=""),"",G98-I98)</f>
        <v/>
      </c>
      <c r="K98" s="26" t="str">
        <f aca="false">IF(J98="","",J98*12)</f>
        <v/>
      </c>
      <c r="L98" s="29"/>
      <c r="M98" s="27" t="str">
        <f aca="false">IF(OR(L98="",J98=""),"",IF(J98&lt;=0,"回収不可",L98/J98))</f>
        <v/>
      </c>
      <c r="N98" s="22"/>
      <c r="O98" s="17"/>
      <c r="P98" s="22"/>
      <c r="Q98" s="22"/>
      <c r="R98" s="28" t="str">
        <f aca="true">IF(OR(P98="",Q98&lt;&gt;"",O98="キャンセル"),"",P98-TODAY())</f>
        <v/>
      </c>
      <c r="S98" s="29"/>
      <c r="T98" s="22"/>
      <c r="U98" s="17"/>
      <c r="V98" s="22"/>
      <c r="W98" s="19" t="str">
        <f aca="true">IF(B98="","",IF(OR(O98="開通済",Q98&lt;&gt;""),"完了",IF(O98="キャンセル","―",IF(AND(V98&lt;&gt;"",V98&lt;TODAY()),"対応期限超過",IF(AND(P98&lt;&gt;"",P98&lt;TODAY()),"開通予定日超過",IF(AND(V98&lt;&gt;"",V98=TODAY()),"本日対応",IF(AND(P98&lt;&gt;"",P98-TODAY()&lt;=3),"開通間近","")))))))</f>
        <v/>
      </c>
      <c r="X98" s="17"/>
    </row>
    <row r="99" customFormat="false" ht="15" hidden="false" customHeight="false" outlineLevel="0" collapsed="false">
      <c r="A99" s="12" t="str">
        <f aca="false">IF(B99="","",ROW()-4)</f>
        <v/>
      </c>
      <c r="B99" s="17"/>
      <c r="C99" s="19" t="str">
        <f aca="false">IF(B99="","",IFERROR(INDEX(顧客一覧!$C$5:$C$304,MATCH(B99,顧客一覧!$B$5:$B$304,0)),"※ID未登録"))</f>
        <v/>
      </c>
      <c r="D99" s="12" t="str">
        <f aca="false">IF(B99="","",IFERROR(INDEX(顧客一覧!$K$5:$K$304,MATCH(B99,顧客一覧!$B$5:$B$304,0))&amp;"",""))</f>
        <v/>
      </c>
      <c r="E99" s="17"/>
      <c r="F99" s="17"/>
      <c r="G99" s="29"/>
      <c r="H99" s="17"/>
      <c r="I99" s="29"/>
      <c r="J99" s="26" t="str">
        <f aca="false">IF(OR(G99="",I99=""),"",G99-I99)</f>
        <v/>
      </c>
      <c r="K99" s="26" t="str">
        <f aca="false">IF(J99="","",J99*12)</f>
        <v/>
      </c>
      <c r="L99" s="29"/>
      <c r="M99" s="27" t="str">
        <f aca="false">IF(OR(L99="",J99=""),"",IF(J99&lt;=0,"回収不可",L99/J99))</f>
        <v/>
      </c>
      <c r="N99" s="22"/>
      <c r="O99" s="17"/>
      <c r="P99" s="22"/>
      <c r="Q99" s="22"/>
      <c r="R99" s="28" t="str">
        <f aca="true">IF(OR(P99="",Q99&lt;&gt;"",O99="キャンセル"),"",P99-TODAY())</f>
        <v/>
      </c>
      <c r="S99" s="29"/>
      <c r="T99" s="22"/>
      <c r="U99" s="17"/>
      <c r="V99" s="22"/>
      <c r="W99" s="19" t="str">
        <f aca="true">IF(B99="","",IF(OR(O99="開通済",Q99&lt;&gt;""),"完了",IF(O99="キャンセル","―",IF(AND(V99&lt;&gt;"",V99&lt;TODAY()),"対応期限超過",IF(AND(P99&lt;&gt;"",P99&lt;TODAY()),"開通予定日超過",IF(AND(V99&lt;&gt;"",V99=TODAY()),"本日対応",IF(AND(P99&lt;&gt;"",P99-TODAY()&lt;=3),"開通間近","")))))))</f>
        <v/>
      </c>
      <c r="X99" s="17"/>
    </row>
    <row r="100" customFormat="false" ht="15" hidden="false" customHeight="false" outlineLevel="0" collapsed="false">
      <c r="A100" s="12" t="str">
        <f aca="false">IF(B100="","",ROW()-4)</f>
        <v/>
      </c>
      <c r="B100" s="17"/>
      <c r="C100" s="19" t="str">
        <f aca="false">IF(B100="","",IFERROR(INDEX(顧客一覧!$C$5:$C$304,MATCH(B100,顧客一覧!$B$5:$B$304,0)),"※ID未登録"))</f>
        <v/>
      </c>
      <c r="D100" s="12" t="str">
        <f aca="false">IF(B100="","",IFERROR(INDEX(顧客一覧!$K$5:$K$304,MATCH(B100,顧客一覧!$B$5:$B$304,0))&amp;"",""))</f>
        <v/>
      </c>
      <c r="E100" s="17"/>
      <c r="F100" s="17"/>
      <c r="G100" s="29"/>
      <c r="H100" s="17"/>
      <c r="I100" s="29"/>
      <c r="J100" s="26" t="str">
        <f aca="false">IF(OR(G100="",I100=""),"",G100-I100)</f>
        <v/>
      </c>
      <c r="K100" s="26" t="str">
        <f aca="false">IF(J100="","",J100*12)</f>
        <v/>
      </c>
      <c r="L100" s="29"/>
      <c r="M100" s="27" t="str">
        <f aca="false">IF(OR(L100="",J100=""),"",IF(J100&lt;=0,"回収不可",L100/J100))</f>
        <v/>
      </c>
      <c r="N100" s="22"/>
      <c r="O100" s="17"/>
      <c r="P100" s="22"/>
      <c r="Q100" s="22"/>
      <c r="R100" s="28" t="str">
        <f aca="true">IF(OR(P100="",Q100&lt;&gt;"",O100="キャンセル"),"",P100-TODAY())</f>
        <v/>
      </c>
      <c r="S100" s="29"/>
      <c r="T100" s="22"/>
      <c r="U100" s="17"/>
      <c r="V100" s="22"/>
      <c r="W100" s="19" t="str">
        <f aca="true">IF(B100="","",IF(OR(O100="開通済",Q100&lt;&gt;""),"完了",IF(O100="キャンセル","―",IF(AND(V100&lt;&gt;"",V100&lt;TODAY()),"対応期限超過",IF(AND(P100&lt;&gt;"",P100&lt;TODAY()),"開通予定日超過",IF(AND(V100&lt;&gt;"",V100=TODAY()),"本日対応",IF(AND(P100&lt;&gt;"",P100-TODAY()&lt;=3),"開通間近","")))))))</f>
        <v/>
      </c>
      <c r="X100" s="17"/>
    </row>
    <row r="101" customFormat="false" ht="15" hidden="false" customHeight="false" outlineLevel="0" collapsed="false">
      <c r="A101" s="12" t="str">
        <f aca="false">IF(B101="","",ROW()-4)</f>
        <v/>
      </c>
      <c r="B101" s="17"/>
      <c r="C101" s="19" t="str">
        <f aca="false">IF(B101="","",IFERROR(INDEX(顧客一覧!$C$5:$C$304,MATCH(B101,顧客一覧!$B$5:$B$304,0)),"※ID未登録"))</f>
        <v/>
      </c>
      <c r="D101" s="12" t="str">
        <f aca="false">IF(B101="","",IFERROR(INDEX(顧客一覧!$K$5:$K$304,MATCH(B101,顧客一覧!$B$5:$B$304,0))&amp;"",""))</f>
        <v/>
      </c>
      <c r="E101" s="17"/>
      <c r="F101" s="17"/>
      <c r="G101" s="29"/>
      <c r="H101" s="17"/>
      <c r="I101" s="29"/>
      <c r="J101" s="26" t="str">
        <f aca="false">IF(OR(G101="",I101=""),"",G101-I101)</f>
        <v/>
      </c>
      <c r="K101" s="26" t="str">
        <f aca="false">IF(J101="","",J101*12)</f>
        <v/>
      </c>
      <c r="L101" s="29"/>
      <c r="M101" s="27" t="str">
        <f aca="false">IF(OR(L101="",J101=""),"",IF(J101&lt;=0,"回収不可",L101/J101))</f>
        <v/>
      </c>
      <c r="N101" s="22"/>
      <c r="O101" s="17"/>
      <c r="P101" s="22"/>
      <c r="Q101" s="22"/>
      <c r="R101" s="28" t="str">
        <f aca="true">IF(OR(P101="",Q101&lt;&gt;"",O101="キャンセル"),"",P101-TODAY())</f>
        <v/>
      </c>
      <c r="S101" s="29"/>
      <c r="T101" s="22"/>
      <c r="U101" s="17"/>
      <c r="V101" s="22"/>
      <c r="W101" s="19" t="str">
        <f aca="true">IF(B101="","",IF(OR(O101="開通済",Q101&lt;&gt;""),"完了",IF(O101="キャンセル","―",IF(AND(V101&lt;&gt;"",V101&lt;TODAY()),"対応期限超過",IF(AND(P101&lt;&gt;"",P101&lt;TODAY()),"開通予定日超過",IF(AND(V101&lt;&gt;"",V101=TODAY()),"本日対応",IF(AND(P101&lt;&gt;"",P101-TODAY()&lt;=3),"開通間近","")))))))</f>
        <v/>
      </c>
      <c r="X101" s="17"/>
    </row>
    <row r="102" customFormat="false" ht="15" hidden="false" customHeight="false" outlineLevel="0" collapsed="false">
      <c r="A102" s="12" t="str">
        <f aca="false">IF(B102="","",ROW()-4)</f>
        <v/>
      </c>
      <c r="B102" s="17"/>
      <c r="C102" s="19" t="str">
        <f aca="false">IF(B102="","",IFERROR(INDEX(顧客一覧!$C$5:$C$304,MATCH(B102,顧客一覧!$B$5:$B$304,0)),"※ID未登録"))</f>
        <v/>
      </c>
      <c r="D102" s="12" t="str">
        <f aca="false">IF(B102="","",IFERROR(INDEX(顧客一覧!$K$5:$K$304,MATCH(B102,顧客一覧!$B$5:$B$304,0))&amp;"",""))</f>
        <v/>
      </c>
      <c r="E102" s="17"/>
      <c r="F102" s="17"/>
      <c r="G102" s="29"/>
      <c r="H102" s="17"/>
      <c r="I102" s="29"/>
      <c r="J102" s="26" t="str">
        <f aca="false">IF(OR(G102="",I102=""),"",G102-I102)</f>
        <v/>
      </c>
      <c r="K102" s="26" t="str">
        <f aca="false">IF(J102="","",J102*12)</f>
        <v/>
      </c>
      <c r="L102" s="29"/>
      <c r="M102" s="27" t="str">
        <f aca="false">IF(OR(L102="",J102=""),"",IF(J102&lt;=0,"回収不可",L102/J102))</f>
        <v/>
      </c>
      <c r="N102" s="22"/>
      <c r="O102" s="17"/>
      <c r="P102" s="22"/>
      <c r="Q102" s="22"/>
      <c r="R102" s="28" t="str">
        <f aca="true">IF(OR(P102="",Q102&lt;&gt;"",O102="キャンセル"),"",P102-TODAY())</f>
        <v/>
      </c>
      <c r="S102" s="29"/>
      <c r="T102" s="22"/>
      <c r="U102" s="17"/>
      <c r="V102" s="22"/>
      <c r="W102" s="19" t="str">
        <f aca="true">IF(B102="","",IF(OR(O102="開通済",Q102&lt;&gt;""),"完了",IF(O102="キャンセル","―",IF(AND(V102&lt;&gt;"",V102&lt;TODAY()),"対応期限超過",IF(AND(P102&lt;&gt;"",P102&lt;TODAY()),"開通予定日超過",IF(AND(V102&lt;&gt;"",V102=TODAY()),"本日対応",IF(AND(P102&lt;&gt;"",P102-TODAY()&lt;=3),"開通間近","")))))))</f>
        <v/>
      </c>
      <c r="X102" s="17"/>
    </row>
    <row r="103" customFormat="false" ht="15" hidden="false" customHeight="false" outlineLevel="0" collapsed="false">
      <c r="A103" s="12" t="str">
        <f aca="false">IF(B103="","",ROW()-4)</f>
        <v/>
      </c>
      <c r="B103" s="17"/>
      <c r="C103" s="19" t="str">
        <f aca="false">IF(B103="","",IFERROR(INDEX(顧客一覧!$C$5:$C$304,MATCH(B103,顧客一覧!$B$5:$B$304,0)),"※ID未登録"))</f>
        <v/>
      </c>
      <c r="D103" s="12" t="str">
        <f aca="false">IF(B103="","",IFERROR(INDEX(顧客一覧!$K$5:$K$304,MATCH(B103,顧客一覧!$B$5:$B$304,0))&amp;"",""))</f>
        <v/>
      </c>
      <c r="E103" s="17"/>
      <c r="F103" s="17"/>
      <c r="G103" s="29"/>
      <c r="H103" s="17"/>
      <c r="I103" s="29"/>
      <c r="J103" s="26" t="str">
        <f aca="false">IF(OR(G103="",I103=""),"",G103-I103)</f>
        <v/>
      </c>
      <c r="K103" s="26" t="str">
        <f aca="false">IF(J103="","",J103*12)</f>
        <v/>
      </c>
      <c r="L103" s="29"/>
      <c r="M103" s="27" t="str">
        <f aca="false">IF(OR(L103="",J103=""),"",IF(J103&lt;=0,"回収不可",L103/J103))</f>
        <v/>
      </c>
      <c r="N103" s="22"/>
      <c r="O103" s="17"/>
      <c r="P103" s="22"/>
      <c r="Q103" s="22"/>
      <c r="R103" s="28" t="str">
        <f aca="true">IF(OR(P103="",Q103&lt;&gt;"",O103="キャンセル"),"",P103-TODAY())</f>
        <v/>
      </c>
      <c r="S103" s="29"/>
      <c r="T103" s="22"/>
      <c r="U103" s="17"/>
      <c r="V103" s="22"/>
      <c r="W103" s="19" t="str">
        <f aca="true">IF(B103="","",IF(OR(O103="開通済",Q103&lt;&gt;""),"完了",IF(O103="キャンセル","―",IF(AND(V103&lt;&gt;"",V103&lt;TODAY()),"対応期限超過",IF(AND(P103&lt;&gt;"",P103&lt;TODAY()),"開通予定日超過",IF(AND(V103&lt;&gt;"",V103=TODAY()),"本日対応",IF(AND(P103&lt;&gt;"",P103-TODAY()&lt;=3),"開通間近","")))))))</f>
        <v/>
      </c>
      <c r="X103" s="17"/>
    </row>
    <row r="104" customFormat="false" ht="15" hidden="false" customHeight="false" outlineLevel="0" collapsed="false">
      <c r="A104" s="12" t="str">
        <f aca="false">IF(B104="","",ROW()-4)</f>
        <v/>
      </c>
      <c r="B104" s="17"/>
      <c r="C104" s="19" t="str">
        <f aca="false">IF(B104="","",IFERROR(INDEX(顧客一覧!$C$5:$C$304,MATCH(B104,顧客一覧!$B$5:$B$304,0)),"※ID未登録"))</f>
        <v/>
      </c>
      <c r="D104" s="12" t="str">
        <f aca="false">IF(B104="","",IFERROR(INDEX(顧客一覧!$K$5:$K$304,MATCH(B104,顧客一覧!$B$5:$B$304,0))&amp;"",""))</f>
        <v/>
      </c>
      <c r="E104" s="17"/>
      <c r="F104" s="17"/>
      <c r="G104" s="29"/>
      <c r="H104" s="17"/>
      <c r="I104" s="29"/>
      <c r="J104" s="26" t="str">
        <f aca="false">IF(OR(G104="",I104=""),"",G104-I104)</f>
        <v/>
      </c>
      <c r="K104" s="26" t="str">
        <f aca="false">IF(J104="","",J104*12)</f>
        <v/>
      </c>
      <c r="L104" s="29"/>
      <c r="M104" s="27" t="str">
        <f aca="false">IF(OR(L104="",J104=""),"",IF(J104&lt;=0,"回収不可",L104/J104))</f>
        <v/>
      </c>
      <c r="N104" s="22"/>
      <c r="O104" s="17"/>
      <c r="P104" s="22"/>
      <c r="Q104" s="22"/>
      <c r="R104" s="28" t="str">
        <f aca="true">IF(OR(P104="",Q104&lt;&gt;"",O104="キャンセル"),"",P104-TODAY())</f>
        <v/>
      </c>
      <c r="S104" s="29"/>
      <c r="T104" s="22"/>
      <c r="U104" s="17"/>
      <c r="V104" s="22"/>
      <c r="W104" s="19" t="str">
        <f aca="true">IF(B104="","",IF(OR(O104="開通済",Q104&lt;&gt;""),"完了",IF(O104="キャンセル","―",IF(AND(V104&lt;&gt;"",V104&lt;TODAY()),"対応期限超過",IF(AND(P104&lt;&gt;"",P104&lt;TODAY()),"開通予定日超過",IF(AND(V104&lt;&gt;"",V104=TODAY()),"本日対応",IF(AND(P104&lt;&gt;"",P104-TODAY()&lt;=3),"開通間近","")))))))</f>
        <v/>
      </c>
      <c r="X104" s="17"/>
    </row>
    <row r="105" customFormat="false" ht="15" hidden="false" customHeight="false" outlineLevel="0" collapsed="false">
      <c r="A105" s="12" t="str">
        <f aca="false">IF(B105="","",ROW()-4)</f>
        <v/>
      </c>
      <c r="B105" s="17"/>
      <c r="C105" s="19" t="str">
        <f aca="false">IF(B105="","",IFERROR(INDEX(顧客一覧!$C$5:$C$304,MATCH(B105,顧客一覧!$B$5:$B$304,0)),"※ID未登録"))</f>
        <v/>
      </c>
      <c r="D105" s="12" t="str">
        <f aca="false">IF(B105="","",IFERROR(INDEX(顧客一覧!$K$5:$K$304,MATCH(B105,顧客一覧!$B$5:$B$304,0))&amp;"",""))</f>
        <v/>
      </c>
      <c r="E105" s="17"/>
      <c r="F105" s="17"/>
      <c r="G105" s="29"/>
      <c r="H105" s="17"/>
      <c r="I105" s="29"/>
      <c r="J105" s="26" t="str">
        <f aca="false">IF(OR(G105="",I105=""),"",G105-I105)</f>
        <v/>
      </c>
      <c r="K105" s="26" t="str">
        <f aca="false">IF(J105="","",J105*12)</f>
        <v/>
      </c>
      <c r="L105" s="29"/>
      <c r="M105" s="27" t="str">
        <f aca="false">IF(OR(L105="",J105=""),"",IF(J105&lt;=0,"回収不可",L105/J105))</f>
        <v/>
      </c>
      <c r="N105" s="22"/>
      <c r="O105" s="17"/>
      <c r="P105" s="22"/>
      <c r="Q105" s="22"/>
      <c r="R105" s="28" t="str">
        <f aca="true">IF(OR(P105="",Q105&lt;&gt;"",O105="キャンセル"),"",P105-TODAY())</f>
        <v/>
      </c>
      <c r="S105" s="29"/>
      <c r="T105" s="22"/>
      <c r="U105" s="17"/>
      <c r="V105" s="22"/>
      <c r="W105" s="19" t="str">
        <f aca="true">IF(B105="","",IF(OR(O105="開通済",Q105&lt;&gt;""),"完了",IF(O105="キャンセル","―",IF(AND(V105&lt;&gt;"",V105&lt;TODAY()),"対応期限超過",IF(AND(P105&lt;&gt;"",P105&lt;TODAY()),"開通予定日超過",IF(AND(V105&lt;&gt;"",V105=TODAY()),"本日対応",IF(AND(P105&lt;&gt;"",P105-TODAY()&lt;=3),"開通間近","")))))))</f>
        <v/>
      </c>
      <c r="X105" s="17"/>
    </row>
    <row r="106" customFormat="false" ht="15" hidden="false" customHeight="false" outlineLevel="0" collapsed="false">
      <c r="A106" s="12" t="str">
        <f aca="false">IF(B106="","",ROW()-4)</f>
        <v/>
      </c>
      <c r="B106" s="17"/>
      <c r="C106" s="19" t="str">
        <f aca="false">IF(B106="","",IFERROR(INDEX(顧客一覧!$C$5:$C$304,MATCH(B106,顧客一覧!$B$5:$B$304,0)),"※ID未登録"))</f>
        <v/>
      </c>
      <c r="D106" s="12" t="str">
        <f aca="false">IF(B106="","",IFERROR(INDEX(顧客一覧!$K$5:$K$304,MATCH(B106,顧客一覧!$B$5:$B$304,0))&amp;"",""))</f>
        <v/>
      </c>
      <c r="E106" s="17"/>
      <c r="F106" s="17"/>
      <c r="G106" s="29"/>
      <c r="H106" s="17"/>
      <c r="I106" s="29"/>
      <c r="J106" s="26" t="str">
        <f aca="false">IF(OR(G106="",I106=""),"",G106-I106)</f>
        <v/>
      </c>
      <c r="K106" s="26" t="str">
        <f aca="false">IF(J106="","",J106*12)</f>
        <v/>
      </c>
      <c r="L106" s="29"/>
      <c r="M106" s="27" t="str">
        <f aca="false">IF(OR(L106="",J106=""),"",IF(J106&lt;=0,"回収不可",L106/J106))</f>
        <v/>
      </c>
      <c r="N106" s="22"/>
      <c r="O106" s="17"/>
      <c r="P106" s="22"/>
      <c r="Q106" s="22"/>
      <c r="R106" s="28" t="str">
        <f aca="true">IF(OR(P106="",Q106&lt;&gt;"",O106="キャンセル"),"",P106-TODAY())</f>
        <v/>
      </c>
      <c r="S106" s="29"/>
      <c r="T106" s="22"/>
      <c r="U106" s="17"/>
      <c r="V106" s="22"/>
      <c r="W106" s="19" t="str">
        <f aca="true">IF(B106="","",IF(OR(O106="開通済",Q106&lt;&gt;""),"完了",IF(O106="キャンセル","―",IF(AND(V106&lt;&gt;"",V106&lt;TODAY()),"対応期限超過",IF(AND(P106&lt;&gt;"",P106&lt;TODAY()),"開通予定日超過",IF(AND(V106&lt;&gt;"",V106=TODAY()),"本日対応",IF(AND(P106&lt;&gt;"",P106-TODAY()&lt;=3),"開通間近","")))))))</f>
        <v/>
      </c>
      <c r="X106" s="17"/>
    </row>
    <row r="107" customFormat="false" ht="15" hidden="false" customHeight="false" outlineLevel="0" collapsed="false">
      <c r="A107" s="12" t="str">
        <f aca="false">IF(B107="","",ROW()-4)</f>
        <v/>
      </c>
      <c r="B107" s="17"/>
      <c r="C107" s="19" t="str">
        <f aca="false">IF(B107="","",IFERROR(INDEX(顧客一覧!$C$5:$C$304,MATCH(B107,顧客一覧!$B$5:$B$304,0)),"※ID未登録"))</f>
        <v/>
      </c>
      <c r="D107" s="12" t="str">
        <f aca="false">IF(B107="","",IFERROR(INDEX(顧客一覧!$K$5:$K$304,MATCH(B107,顧客一覧!$B$5:$B$304,0))&amp;"",""))</f>
        <v/>
      </c>
      <c r="E107" s="17"/>
      <c r="F107" s="17"/>
      <c r="G107" s="29"/>
      <c r="H107" s="17"/>
      <c r="I107" s="29"/>
      <c r="J107" s="26" t="str">
        <f aca="false">IF(OR(G107="",I107=""),"",G107-I107)</f>
        <v/>
      </c>
      <c r="K107" s="26" t="str">
        <f aca="false">IF(J107="","",J107*12)</f>
        <v/>
      </c>
      <c r="L107" s="29"/>
      <c r="M107" s="27" t="str">
        <f aca="false">IF(OR(L107="",J107=""),"",IF(J107&lt;=0,"回収不可",L107/J107))</f>
        <v/>
      </c>
      <c r="N107" s="22"/>
      <c r="O107" s="17"/>
      <c r="P107" s="22"/>
      <c r="Q107" s="22"/>
      <c r="R107" s="28" t="str">
        <f aca="true">IF(OR(P107="",Q107&lt;&gt;"",O107="キャンセル"),"",P107-TODAY())</f>
        <v/>
      </c>
      <c r="S107" s="29"/>
      <c r="T107" s="22"/>
      <c r="U107" s="17"/>
      <c r="V107" s="22"/>
      <c r="W107" s="19" t="str">
        <f aca="true">IF(B107="","",IF(OR(O107="開通済",Q107&lt;&gt;""),"完了",IF(O107="キャンセル","―",IF(AND(V107&lt;&gt;"",V107&lt;TODAY()),"対応期限超過",IF(AND(P107&lt;&gt;"",P107&lt;TODAY()),"開通予定日超過",IF(AND(V107&lt;&gt;"",V107=TODAY()),"本日対応",IF(AND(P107&lt;&gt;"",P107-TODAY()&lt;=3),"開通間近","")))))))</f>
        <v/>
      </c>
      <c r="X107" s="17"/>
    </row>
    <row r="108" customFormat="false" ht="15" hidden="false" customHeight="false" outlineLevel="0" collapsed="false">
      <c r="A108" s="12" t="str">
        <f aca="false">IF(B108="","",ROW()-4)</f>
        <v/>
      </c>
      <c r="B108" s="17"/>
      <c r="C108" s="19" t="str">
        <f aca="false">IF(B108="","",IFERROR(INDEX(顧客一覧!$C$5:$C$304,MATCH(B108,顧客一覧!$B$5:$B$304,0)),"※ID未登録"))</f>
        <v/>
      </c>
      <c r="D108" s="12" t="str">
        <f aca="false">IF(B108="","",IFERROR(INDEX(顧客一覧!$K$5:$K$304,MATCH(B108,顧客一覧!$B$5:$B$304,0))&amp;"",""))</f>
        <v/>
      </c>
      <c r="E108" s="17"/>
      <c r="F108" s="17"/>
      <c r="G108" s="29"/>
      <c r="H108" s="17"/>
      <c r="I108" s="29"/>
      <c r="J108" s="26" t="str">
        <f aca="false">IF(OR(G108="",I108=""),"",G108-I108)</f>
        <v/>
      </c>
      <c r="K108" s="26" t="str">
        <f aca="false">IF(J108="","",J108*12)</f>
        <v/>
      </c>
      <c r="L108" s="29"/>
      <c r="M108" s="27" t="str">
        <f aca="false">IF(OR(L108="",J108=""),"",IF(J108&lt;=0,"回収不可",L108/J108))</f>
        <v/>
      </c>
      <c r="N108" s="22"/>
      <c r="O108" s="17"/>
      <c r="P108" s="22"/>
      <c r="Q108" s="22"/>
      <c r="R108" s="28" t="str">
        <f aca="true">IF(OR(P108="",Q108&lt;&gt;"",O108="キャンセル"),"",P108-TODAY())</f>
        <v/>
      </c>
      <c r="S108" s="29"/>
      <c r="T108" s="22"/>
      <c r="U108" s="17"/>
      <c r="V108" s="22"/>
      <c r="W108" s="19" t="str">
        <f aca="true">IF(B108="","",IF(OR(O108="開通済",Q108&lt;&gt;""),"完了",IF(O108="キャンセル","―",IF(AND(V108&lt;&gt;"",V108&lt;TODAY()),"対応期限超過",IF(AND(P108&lt;&gt;"",P108&lt;TODAY()),"開通予定日超過",IF(AND(V108&lt;&gt;"",V108=TODAY()),"本日対応",IF(AND(P108&lt;&gt;"",P108-TODAY()&lt;=3),"開通間近","")))))))</f>
        <v/>
      </c>
      <c r="X108" s="17"/>
    </row>
    <row r="109" customFormat="false" ht="15" hidden="false" customHeight="false" outlineLevel="0" collapsed="false">
      <c r="A109" s="12" t="str">
        <f aca="false">IF(B109="","",ROW()-4)</f>
        <v/>
      </c>
      <c r="B109" s="17"/>
      <c r="C109" s="19" t="str">
        <f aca="false">IF(B109="","",IFERROR(INDEX(顧客一覧!$C$5:$C$304,MATCH(B109,顧客一覧!$B$5:$B$304,0)),"※ID未登録"))</f>
        <v/>
      </c>
      <c r="D109" s="12" t="str">
        <f aca="false">IF(B109="","",IFERROR(INDEX(顧客一覧!$K$5:$K$304,MATCH(B109,顧客一覧!$B$5:$B$304,0))&amp;"",""))</f>
        <v/>
      </c>
      <c r="E109" s="17"/>
      <c r="F109" s="17"/>
      <c r="G109" s="29"/>
      <c r="H109" s="17"/>
      <c r="I109" s="29"/>
      <c r="J109" s="26" t="str">
        <f aca="false">IF(OR(G109="",I109=""),"",G109-I109)</f>
        <v/>
      </c>
      <c r="K109" s="26" t="str">
        <f aca="false">IF(J109="","",J109*12)</f>
        <v/>
      </c>
      <c r="L109" s="29"/>
      <c r="M109" s="27" t="str">
        <f aca="false">IF(OR(L109="",J109=""),"",IF(J109&lt;=0,"回収不可",L109/J109))</f>
        <v/>
      </c>
      <c r="N109" s="22"/>
      <c r="O109" s="17"/>
      <c r="P109" s="22"/>
      <c r="Q109" s="22"/>
      <c r="R109" s="28" t="str">
        <f aca="true">IF(OR(P109="",Q109&lt;&gt;"",O109="キャンセル"),"",P109-TODAY())</f>
        <v/>
      </c>
      <c r="S109" s="29"/>
      <c r="T109" s="22"/>
      <c r="U109" s="17"/>
      <c r="V109" s="22"/>
      <c r="W109" s="19" t="str">
        <f aca="true">IF(B109="","",IF(OR(O109="開通済",Q109&lt;&gt;""),"完了",IF(O109="キャンセル","―",IF(AND(V109&lt;&gt;"",V109&lt;TODAY()),"対応期限超過",IF(AND(P109&lt;&gt;"",P109&lt;TODAY()),"開通予定日超過",IF(AND(V109&lt;&gt;"",V109=TODAY()),"本日対応",IF(AND(P109&lt;&gt;"",P109-TODAY()&lt;=3),"開通間近","")))))))</f>
        <v/>
      </c>
      <c r="X109" s="17"/>
    </row>
    <row r="110" customFormat="false" ht="15" hidden="false" customHeight="false" outlineLevel="0" collapsed="false">
      <c r="A110" s="12" t="str">
        <f aca="false">IF(B110="","",ROW()-4)</f>
        <v/>
      </c>
      <c r="B110" s="17"/>
      <c r="C110" s="19" t="str">
        <f aca="false">IF(B110="","",IFERROR(INDEX(顧客一覧!$C$5:$C$304,MATCH(B110,顧客一覧!$B$5:$B$304,0)),"※ID未登録"))</f>
        <v/>
      </c>
      <c r="D110" s="12" t="str">
        <f aca="false">IF(B110="","",IFERROR(INDEX(顧客一覧!$K$5:$K$304,MATCH(B110,顧客一覧!$B$5:$B$304,0))&amp;"",""))</f>
        <v/>
      </c>
      <c r="E110" s="17"/>
      <c r="F110" s="17"/>
      <c r="G110" s="29"/>
      <c r="H110" s="17"/>
      <c r="I110" s="29"/>
      <c r="J110" s="26" t="str">
        <f aca="false">IF(OR(G110="",I110=""),"",G110-I110)</f>
        <v/>
      </c>
      <c r="K110" s="26" t="str">
        <f aca="false">IF(J110="","",J110*12)</f>
        <v/>
      </c>
      <c r="L110" s="29"/>
      <c r="M110" s="27" t="str">
        <f aca="false">IF(OR(L110="",J110=""),"",IF(J110&lt;=0,"回収不可",L110/J110))</f>
        <v/>
      </c>
      <c r="N110" s="22"/>
      <c r="O110" s="17"/>
      <c r="P110" s="22"/>
      <c r="Q110" s="22"/>
      <c r="R110" s="28" t="str">
        <f aca="true">IF(OR(P110="",Q110&lt;&gt;"",O110="キャンセル"),"",P110-TODAY())</f>
        <v/>
      </c>
      <c r="S110" s="29"/>
      <c r="T110" s="22"/>
      <c r="U110" s="17"/>
      <c r="V110" s="22"/>
      <c r="W110" s="19" t="str">
        <f aca="true">IF(B110="","",IF(OR(O110="開通済",Q110&lt;&gt;""),"完了",IF(O110="キャンセル","―",IF(AND(V110&lt;&gt;"",V110&lt;TODAY()),"対応期限超過",IF(AND(P110&lt;&gt;"",P110&lt;TODAY()),"開通予定日超過",IF(AND(V110&lt;&gt;"",V110=TODAY()),"本日対応",IF(AND(P110&lt;&gt;"",P110-TODAY()&lt;=3),"開通間近","")))))))</f>
        <v/>
      </c>
      <c r="X110" s="17"/>
    </row>
    <row r="111" customFormat="false" ht="15" hidden="false" customHeight="false" outlineLevel="0" collapsed="false">
      <c r="A111" s="12" t="str">
        <f aca="false">IF(B111="","",ROW()-4)</f>
        <v/>
      </c>
      <c r="B111" s="17"/>
      <c r="C111" s="19" t="str">
        <f aca="false">IF(B111="","",IFERROR(INDEX(顧客一覧!$C$5:$C$304,MATCH(B111,顧客一覧!$B$5:$B$304,0)),"※ID未登録"))</f>
        <v/>
      </c>
      <c r="D111" s="12" t="str">
        <f aca="false">IF(B111="","",IFERROR(INDEX(顧客一覧!$K$5:$K$304,MATCH(B111,顧客一覧!$B$5:$B$304,0))&amp;"",""))</f>
        <v/>
      </c>
      <c r="E111" s="17"/>
      <c r="F111" s="17"/>
      <c r="G111" s="29"/>
      <c r="H111" s="17"/>
      <c r="I111" s="29"/>
      <c r="J111" s="26" t="str">
        <f aca="false">IF(OR(G111="",I111=""),"",G111-I111)</f>
        <v/>
      </c>
      <c r="K111" s="26" t="str">
        <f aca="false">IF(J111="","",J111*12)</f>
        <v/>
      </c>
      <c r="L111" s="29"/>
      <c r="M111" s="27" t="str">
        <f aca="false">IF(OR(L111="",J111=""),"",IF(J111&lt;=0,"回収不可",L111/J111))</f>
        <v/>
      </c>
      <c r="N111" s="22"/>
      <c r="O111" s="17"/>
      <c r="P111" s="22"/>
      <c r="Q111" s="22"/>
      <c r="R111" s="28" t="str">
        <f aca="true">IF(OR(P111="",Q111&lt;&gt;"",O111="キャンセル"),"",P111-TODAY())</f>
        <v/>
      </c>
      <c r="S111" s="29"/>
      <c r="T111" s="22"/>
      <c r="U111" s="17"/>
      <c r="V111" s="22"/>
      <c r="W111" s="19" t="str">
        <f aca="true">IF(B111="","",IF(OR(O111="開通済",Q111&lt;&gt;""),"完了",IF(O111="キャンセル","―",IF(AND(V111&lt;&gt;"",V111&lt;TODAY()),"対応期限超過",IF(AND(P111&lt;&gt;"",P111&lt;TODAY()),"開通予定日超過",IF(AND(V111&lt;&gt;"",V111=TODAY()),"本日対応",IF(AND(P111&lt;&gt;"",P111-TODAY()&lt;=3),"開通間近","")))))))</f>
        <v/>
      </c>
      <c r="X111" s="17"/>
    </row>
    <row r="112" customFormat="false" ht="15" hidden="false" customHeight="false" outlineLevel="0" collapsed="false">
      <c r="A112" s="12" t="str">
        <f aca="false">IF(B112="","",ROW()-4)</f>
        <v/>
      </c>
      <c r="B112" s="17"/>
      <c r="C112" s="19" t="str">
        <f aca="false">IF(B112="","",IFERROR(INDEX(顧客一覧!$C$5:$C$304,MATCH(B112,顧客一覧!$B$5:$B$304,0)),"※ID未登録"))</f>
        <v/>
      </c>
      <c r="D112" s="12" t="str">
        <f aca="false">IF(B112="","",IFERROR(INDEX(顧客一覧!$K$5:$K$304,MATCH(B112,顧客一覧!$B$5:$B$304,0))&amp;"",""))</f>
        <v/>
      </c>
      <c r="E112" s="17"/>
      <c r="F112" s="17"/>
      <c r="G112" s="29"/>
      <c r="H112" s="17"/>
      <c r="I112" s="29"/>
      <c r="J112" s="26" t="str">
        <f aca="false">IF(OR(G112="",I112=""),"",G112-I112)</f>
        <v/>
      </c>
      <c r="K112" s="26" t="str">
        <f aca="false">IF(J112="","",J112*12)</f>
        <v/>
      </c>
      <c r="L112" s="29"/>
      <c r="M112" s="27" t="str">
        <f aca="false">IF(OR(L112="",J112=""),"",IF(J112&lt;=0,"回収不可",L112/J112))</f>
        <v/>
      </c>
      <c r="N112" s="22"/>
      <c r="O112" s="17"/>
      <c r="P112" s="22"/>
      <c r="Q112" s="22"/>
      <c r="R112" s="28" t="str">
        <f aca="true">IF(OR(P112="",Q112&lt;&gt;"",O112="キャンセル"),"",P112-TODAY())</f>
        <v/>
      </c>
      <c r="S112" s="29"/>
      <c r="T112" s="22"/>
      <c r="U112" s="17"/>
      <c r="V112" s="22"/>
      <c r="W112" s="19" t="str">
        <f aca="true">IF(B112="","",IF(OR(O112="開通済",Q112&lt;&gt;""),"完了",IF(O112="キャンセル","―",IF(AND(V112&lt;&gt;"",V112&lt;TODAY()),"対応期限超過",IF(AND(P112&lt;&gt;"",P112&lt;TODAY()),"開通予定日超過",IF(AND(V112&lt;&gt;"",V112=TODAY()),"本日対応",IF(AND(P112&lt;&gt;"",P112-TODAY()&lt;=3),"開通間近","")))))))</f>
        <v/>
      </c>
      <c r="X112" s="17"/>
    </row>
    <row r="113" customFormat="false" ht="15" hidden="false" customHeight="false" outlineLevel="0" collapsed="false">
      <c r="A113" s="12" t="str">
        <f aca="false">IF(B113="","",ROW()-4)</f>
        <v/>
      </c>
      <c r="B113" s="17"/>
      <c r="C113" s="19" t="str">
        <f aca="false">IF(B113="","",IFERROR(INDEX(顧客一覧!$C$5:$C$304,MATCH(B113,顧客一覧!$B$5:$B$304,0)),"※ID未登録"))</f>
        <v/>
      </c>
      <c r="D113" s="12" t="str">
        <f aca="false">IF(B113="","",IFERROR(INDEX(顧客一覧!$K$5:$K$304,MATCH(B113,顧客一覧!$B$5:$B$304,0))&amp;"",""))</f>
        <v/>
      </c>
      <c r="E113" s="17"/>
      <c r="F113" s="17"/>
      <c r="G113" s="29"/>
      <c r="H113" s="17"/>
      <c r="I113" s="29"/>
      <c r="J113" s="26" t="str">
        <f aca="false">IF(OR(G113="",I113=""),"",G113-I113)</f>
        <v/>
      </c>
      <c r="K113" s="26" t="str">
        <f aca="false">IF(J113="","",J113*12)</f>
        <v/>
      </c>
      <c r="L113" s="29"/>
      <c r="M113" s="27" t="str">
        <f aca="false">IF(OR(L113="",J113=""),"",IF(J113&lt;=0,"回収不可",L113/J113))</f>
        <v/>
      </c>
      <c r="N113" s="22"/>
      <c r="O113" s="17"/>
      <c r="P113" s="22"/>
      <c r="Q113" s="22"/>
      <c r="R113" s="28" t="str">
        <f aca="true">IF(OR(P113="",Q113&lt;&gt;"",O113="キャンセル"),"",P113-TODAY())</f>
        <v/>
      </c>
      <c r="S113" s="29"/>
      <c r="T113" s="22"/>
      <c r="U113" s="17"/>
      <c r="V113" s="22"/>
      <c r="W113" s="19" t="str">
        <f aca="true">IF(B113="","",IF(OR(O113="開通済",Q113&lt;&gt;""),"完了",IF(O113="キャンセル","―",IF(AND(V113&lt;&gt;"",V113&lt;TODAY()),"対応期限超過",IF(AND(P113&lt;&gt;"",P113&lt;TODAY()),"開通予定日超過",IF(AND(V113&lt;&gt;"",V113=TODAY()),"本日対応",IF(AND(P113&lt;&gt;"",P113-TODAY()&lt;=3),"開通間近","")))))))</f>
        <v/>
      </c>
      <c r="X113" s="17"/>
    </row>
    <row r="114" customFormat="false" ht="15" hidden="false" customHeight="false" outlineLevel="0" collapsed="false">
      <c r="A114" s="12" t="str">
        <f aca="false">IF(B114="","",ROW()-4)</f>
        <v/>
      </c>
      <c r="B114" s="17"/>
      <c r="C114" s="19" t="str">
        <f aca="false">IF(B114="","",IFERROR(INDEX(顧客一覧!$C$5:$C$304,MATCH(B114,顧客一覧!$B$5:$B$304,0)),"※ID未登録"))</f>
        <v/>
      </c>
      <c r="D114" s="12" t="str">
        <f aca="false">IF(B114="","",IFERROR(INDEX(顧客一覧!$K$5:$K$304,MATCH(B114,顧客一覧!$B$5:$B$304,0))&amp;"",""))</f>
        <v/>
      </c>
      <c r="E114" s="17"/>
      <c r="F114" s="17"/>
      <c r="G114" s="29"/>
      <c r="H114" s="17"/>
      <c r="I114" s="29"/>
      <c r="J114" s="26" t="str">
        <f aca="false">IF(OR(G114="",I114=""),"",G114-I114)</f>
        <v/>
      </c>
      <c r="K114" s="26" t="str">
        <f aca="false">IF(J114="","",J114*12)</f>
        <v/>
      </c>
      <c r="L114" s="29"/>
      <c r="M114" s="27" t="str">
        <f aca="false">IF(OR(L114="",J114=""),"",IF(J114&lt;=0,"回収不可",L114/J114))</f>
        <v/>
      </c>
      <c r="N114" s="22"/>
      <c r="O114" s="17"/>
      <c r="P114" s="22"/>
      <c r="Q114" s="22"/>
      <c r="R114" s="28" t="str">
        <f aca="true">IF(OR(P114="",Q114&lt;&gt;"",O114="キャンセル"),"",P114-TODAY())</f>
        <v/>
      </c>
      <c r="S114" s="29"/>
      <c r="T114" s="22"/>
      <c r="U114" s="17"/>
      <c r="V114" s="22"/>
      <c r="W114" s="19" t="str">
        <f aca="true">IF(B114="","",IF(OR(O114="開通済",Q114&lt;&gt;""),"完了",IF(O114="キャンセル","―",IF(AND(V114&lt;&gt;"",V114&lt;TODAY()),"対応期限超過",IF(AND(P114&lt;&gt;"",P114&lt;TODAY()),"開通予定日超過",IF(AND(V114&lt;&gt;"",V114=TODAY()),"本日対応",IF(AND(P114&lt;&gt;"",P114-TODAY()&lt;=3),"開通間近","")))))))</f>
        <v/>
      </c>
      <c r="X114" s="17"/>
    </row>
    <row r="115" customFormat="false" ht="15" hidden="false" customHeight="false" outlineLevel="0" collapsed="false">
      <c r="A115" s="12" t="str">
        <f aca="false">IF(B115="","",ROW()-4)</f>
        <v/>
      </c>
      <c r="B115" s="17"/>
      <c r="C115" s="19" t="str">
        <f aca="false">IF(B115="","",IFERROR(INDEX(顧客一覧!$C$5:$C$304,MATCH(B115,顧客一覧!$B$5:$B$304,0)),"※ID未登録"))</f>
        <v/>
      </c>
      <c r="D115" s="12" t="str">
        <f aca="false">IF(B115="","",IFERROR(INDEX(顧客一覧!$K$5:$K$304,MATCH(B115,顧客一覧!$B$5:$B$304,0))&amp;"",""))</f>
        <v/>
      </c>
      <c r="E115" s="17"/>
      <c r="F115" s="17"/>
      <c r="G115" s="29"/>
      <c r="H115" s="17"/>
      <c r="I115" s="29"/>
      <c r="J115" s="26" t="str">
        <f aca="false">IF(OR(G115="",I115=""),"",G115-I115)</f>
        <v/>
      </c>
      <c r="K115" s="26" t="str">
        <f aca="false">IF(J115="","",J115*12)</f>
        <v/>
      </c>
      <c r="L115" s="29"/>
      <c r="M115" s="27" t="str">
        <f aca="false">IF(OR(L115="",J115=""),"",IF(J115&lt;=0,"回収不可",L115/J115))</f>
        <v/>
      </c>
      <c r="N115" s="22"/>
      <c r="O115" s="17"/>
      <c r="P115" s="22"/>
      <c r="Q115" s="22"/>
      <c r="R115" s="28" t="str">
        <f aca="true">IF(OR(P115="",Q115&lt;&gt;"",O115="キャンセル"),"",P115-TODAY())</f>
        <v/>
      </c>
      <c r="S115" s="29"/>
      <c r="T115" s="22"/>
      <c r="U115" s="17"/>
      <c r="V115" s="22"/>
      <c r="W115" s="19" t="str">
        <f aca="true">IF(B115="","",IF(OR(O115="開通済",Q115&lt;&gt;""),"完了",IF(O115="キャンセル","―",IF(AND(V115&lt;&gt;"",V115&lt;TODAY()),"対応期限超過",IF(AND(P115&lt;&gt;"",P115&lt;TODAY()),"開通予定日超過",IF(AND(V115&lt;&gt;"",V115=TODAY()),"本日対応",IF(AND(P115&lt;&gt;"",P115-TODAY()&lt;=3),"開通間近","")))))))</f>
        <v/>
      </c>
      <c r="X115" s="17"/>
    </row>
    <row r="116" customFormat="false" ht="15" hidden="false" customHeight="false" outlineLevel="0" collapsed="false">
      <c r="A116" s="12" t="str">
        <f aca="false">IF(B116="","",ROW()-4)</f>
        <v/>
      </c>
      <c r="B116" s="17"/>
      <c r="C116" s="19" t="str">
        <f aca="false">IF(B116="","",IFERROR(INDEX(顧客一覧!$C$5:$C$304,MATCH(B116,顧客一覧!$B$5:$B$304,0)),"※ID未登録"))</f>
        <v/>
      </c>
      <c r="D116" s="12" t="str">
        <f aca="false">IF(B116="","",IFERROR(INDEX(顧客一覧!$K$5:$K$304,MATCH(B116,顧客一覧!$B$5:$B$304,0))&amp;"",""))</f>
        <v/>
      </c>
      <c r="E116" s="17"/>
      <c r="F116" s="17"/>
      <c r="G116" s="29"/>
      <c r="H116" s="17"/>
      <c r="I116" s="29"/>
      <c r="J116" s="26" t="str">
        <f aca="false">IF(OR(G116="",I116=""),"",G116-I116)</f>
        <v/>
      </c>
      <c r="K116" s="26" t="str">
        <f aca="false">IF(J116="","",J116*12)</f>
        <v/>
      </c>
      <c r="L116" s="29"/>
      <c r="M116" s="27" t="str">
        <f aca="false">IF(OR(L116="",J116=""),"",IF(J116&lt;=0,"回収不可",L116/J116))</f>
        <v/>
      </c>
      <c r="N116" s="22"/>
      <c r="O116" s="17"/>
      <c r="P116" s="22"/>
      <c r="Q116" s="22"/>
      <c r="R116" s="28" t="str">
        <f aca="true">IF(OR(P116="",Q116&lt;&gt;"",O116="キャンセル"),"",P116-TODAY())</f>
        <v/>
      </c>
      <c r="S116" s="29"/>
      <c r="T116" s="22"/>
      <c r="U116" s="17"/>
      <c r="V116" s="22"/>
      <c r="W116" s="19" t="str">
        <f aca="true">IF(B116="","",IF(OR(O116="開通済",Q116&lt;&gt;""),"完了",IF(O116="キャンセル","―",IF(AND(V116&lt;&gt;"",V116&lt;TODAY()),"対応期限超過",IF(AND(P116&lt;&gt;"",P116&lt;TODAY()),"開通予定日超過",IF(AND(V116&lt;&gt;"",V116=TODAY()),"本日対応",IF(AND(P116&lt;&gt;"",P116-TODAY()&lt;=3),"開通間近","")))))))</f>
        <v/>
      </c>
      <c r="X116" s="17"/>
    </row>
    <row r="117" customFormat="false" ht="15" hidden="false" customHeight="false" outlineLevel="0" collapsed="false">
      <c r="A117" s="12" t="str">
        <f aca="false">IF(B117="","",ROW()-4)</f>
        <v/>
      </c>
      <c r="B117" s="17"/>
      <c r="C117" s="19" t="str">
        <f aca="false">IF(B117="","",IFERROR(INDEX(顧客一覧!$C$5:$C$304,MATCH(B117,顧客一覧!$B$5:$B$304,0)),"※ID未登録"))</f>
        <v/>
      </c>
      <c r="D117" s="12" t="str">
        <f aca="false">IF(B117="","",IFERROR(INDEX(顧客一覧!$K$5:$K$304,MATCH(B117,顧客一覧!$B$5:$B$304,0))&amp;"",""))</f>
        <v/>
      </c>
      <c r="E117" s="17"/>
      <c r="F117" s="17"/>
      <c r="G117" s="29"/>
      <c r="H117" s="17"/>
      <c r="I117" s="29"/>
      <c r="J117" s="26" t="str">
        <f aca="false">IF(OR(G117="",I117=""),"",G117-I117)</f>
        <v/>
      </c>
      <c r="K117" s="26" t="str">
        <f aca="false">IF(J117="","",J117*12)</f>
        <v/>
      </c>
      <c r="L117" s="29"/>
      <c r="M117" s="27" t="str">
        <f aca="false">IF(OR(L117="",J117=""),"",IF(J117&lt;=0,"回収不可",L117/J117))</f>
        <v/>
      </c>
      <c r="N117" s="22"/>
      <c r="O117" s="17"/>
      <c r="P117" s="22"/>
      <c r="Q117" s="22"/>
      <c r="R117" s="28" t="str">
        <f aca="true">IF(OR(P117="",Q117&lt;&gt;"",O117="キャンセル"),"",P117-TODAY())</f>
        <v/>
      </c>
      <c r="S117" s="29"/>
      <c r="T117" s="22"/>
      <c r="U117" s="17"/>
      <c r="V117" s="22"/>
      <c r="W117" s="19" t="str">
        <f aca="true">IF(B117="","",IF(OR(O117="開通済",Q117&lt;&gt;""),"完了",IF(O117="キャンセル","―",IF(AND(V117&lt;&gt;"",V117&lt;TODAY()),"対応期限超過",IF(AND(P117&lt;&gt;"",P117&lt;TODAY()),"開通予定日超過",IF(AND(V117&lt;&gt;"",V117=TODAY()),"本日対応",IF(AND(P117&lt;&gt;"",P117-TODAY()&lt;=3),"開通間近","")))))))</f>
        <v/>
      </c>
      <c r="X117" s="17"/>
    </row>
    <row r="118" customFormat="false" ht="15" hidden="false" customHeight="false" outlineLevel="0" collapsed="false">
      <c r="A118" s="12" t="str">
        <f aca="false">IF(B118="","",ROW()-4)</f>
        <v/>
      </c>
      <c r="B118" s="17"/>
      <c r="C118" s="19" t="str">
        <f aca="false">IF(B118="","",IFERROR(INDEX(顧客一覧!$C$5:$C$304,MATCH(B118,顧客一覧!$B$5:$B$304,0)),"※ID未登録"))</f>
        <v/>
      </c>
      <c r="D118" s="12" t="str">
        <f aca="false">IF(B118="","",IFERROR(INDEX(顧客一覧!$K$5:$K$304,MATCH(B118,顧客一覧!$B$5:$B$304,0))&amp;"",""))</f>
        <v/>
      </c>
      <c r="E118" s="17"/>
      <c r="F118" s="17"/>
      <c r="G118" s="29"/>
      <c r="H118" s="17"/>
      <c r="I118" s="29"/>
      <c r="J118" s="26" t="str">
        <f aca="false">IF(OR(G118="",I118=""),"",G118-I118)</f>
        <v/>
      </c>
      <c r="K118" s="26" t="str">
        <f aca="false">IF(J118="","",J118*12)</f>
        <v/>
      </c>
      <c r="L118" s="29"/>
      <c r="M118" s="27" t="str">
        <f aca="false">IF(OR(L118="",J118=""),"",IF(J118&lt;=0,"回収不可",L118/J118))</f>
        <v/>
      </c>
      <c r="N118" s="22"/>
      <c r="O118" s="17"/>
      <c r="P118" s="22"/>
      <c r="Q118" s="22"/>
      <c r="R118" s="28" t="str">
        <f aca="true">IF(OR(P118="",Q118&lt;&gt;"",O118="キャンセル"),"",P118-TODAY())</f>
        <v/>
      </c>
      <c r="S118" s="29"/>
      <c r="T118" s="22"/>
      <c r="U118" s="17"/>
      <c r="V118" s="22"/>
      <c r="W118" s="19" t="str">
        <f aca="true">IF(B118="","",IF(OR(O118="開通済",Q118&lt;&gt;""),"完了",IF(O118="キャンセル","―",IF(AND(V118&lt;&gt;"",V118&lt;TODAY()),"対応期限超過",IF(AND(P118&lt;&gt;"",P118&lt;TODAY()),"開通予定日超過",IF(AND(V118&lt;&gt;"",V118=TODAY()),"本日対応",IF(AND(P118&lt;&gt;"",P118-TODAY()&lt;=3),"開通間近","")))))))</f>
        <v/>
      </c>
      <c r="X118" s="17"/>
    </row>
    <row r="119" customFormat="false" ht="15" hidden="false" customHeight="false" outlineLevel="0" collapsed="false">
      <c r="A119" s="12" t="str">
        <f aca="false">IF(B119="","",ROW()-4)</f>
        <v/>
      </c>
      <c r="B119" s="17"/>
      <c r="C119" s="19" t="str">
        <f aca="false">IF(B119="","",IFERROR(INDEX(顧客一覧!$C$5:$C$304,MATCH(B119,顧客一覧!$B$5:$B$304,0)),"※ID未登録"))</f>
        <v/>
      </c>
      <c r="D119" s="12" t="str">
        <f aca="false">IF(B119="","",IFERROR(INDEX(顧客一覧!$K$5:$K$304,MATCH(B119,顧客一覧!$B$5:$B$304,0))&amp;"",""))</f>
        <v/>
      </c>
      <c r="E119" s="17"/>
      <c r="F119" s="17"/>
      <c r="G119" s="29"/>
      <c r="H119" s="17"/>
      <c r="I119" s="29"/>
      <c r="J119" s="26" t="str">
        <f aca="false">IF(OR(G119="",I119=""),"",G119-I119)</f>
        <v/>
      </c>
      <c r="K119" s="26" t="str">
        <f aca="false">IF(J119="","",J119*12)</f>
        <v/>
      </c>
      <c r="L119" s="29"/>
      <c r="M119" s="27" t="str">
        <f aca="false">IF(OR(L119="",J119=""),"",IF(J119&lt;=0,"回収不可",L119/J119))</f>
        <v/>
      </c>
      <c r="N119" s="22"/>
      <c r="O119" s="17"/>
      <c r="P119" s="22"/>
      <c r="Q119" s="22"/>
      <c r="R119" s="28" t="str">
        <f aca="true">IF(OR(P119="",Q119&lt;&gt;"",O119="キャンセル"),"",P119-TODAY())</f>
        <v/>
      </c>
      <c r="S119" s="29"/>
      <c r="T119" s="22"/>
      <c r="U119" s="17"/>
      <c r="V119" s="22"/>
      <c r="W119" s="19" t="str">
        <f aca="true">IF(B119="","",IF(OR(O119="開通済",Q119&lt;&gt;""),"完了",IF(O119="キャンセル","―",IF(AND(V119&lt;&gt;"",V119&lt;TODAY()),"対応期限超過",IF(AND(P119&lt;&gt;"",P119&lt;TODAY()),"開通予定日超過",IF(AND(V119&lt;&gt;"",V119=TODAY()),"本日対応",IF(AND(P119&lt;&gt;"",P119-TODAY()&lt;=3),"開通間近","")))))))</f>
        <v/>
      </c>
      <c r="X119" s="17"/>
    </row>
    <row r="120" customFormat="false" ht="15" hidden="false" customHeight="false" outlineLevel="0" collapsed="false">
      <c r="A120" s="12" t="str">
        <f aca="false">IF(B120="","",ROW()-4)</f>
        <v/>
      </c>
      <c r="B120" s="17"/>
      <c r="C120" s="19" t="str">
        <f aca="false">IF(B120="","",IFERROR(INDEX(顧客一覧!$C$5:$C$304,MATCH(B120,顧客一覧!$B$5:$B$304,0)),"※ID未登録"))</f>
        <v/>
      </c>
      <c r="D120" s="12" t="str">
        <f aca="false">IF(B120="","",IFERROR(INDEX(顧客一覧!$K$5:$K$304,MATCH(B120,顧客一覧!$B$5:$B$304,0))&amp;"",""))</f>
        <v/>
      </c>
      <c r="E120" s="17"/>
      <c r="F120" s="17"/>
      <c r="G120" s="29"/>
      <c r="H120" s="17"/>
      <c r="I120" s="29"/>
      <c r="J120" s="26" t="str">
        <f aca="false">IF(OR(G120="",I120=""),"",G120-I120)</f>
        <v/>
      </c>
      <c r="K120" s="26" t="str">
        <f aca="false">IF(J120="","",J120*12)</f>
        <v/>
      </c>
      <c r="L120" s="29"/>
      <c r="M120" s="27" t="str">
        <f aca="false">IF(OR(L120="",J120=""),"",IF(J120&lt;=0,"回収不可",L120/J120))</f>
        <v/>
      </c>
      <c r="N120" s="22"/>
      <c r="O120" s="17"/>
      <c r="P120" s="22"/>
      <c r="Q120" s="22"/>
      <c r="R120" s="28" t="str">
        <f aca="true">IF(OR(P120="",Q120&lt;&gt;"",O120="キャンセル"),"",P120-TODAY())</f>
        <v/>
      </c>
      <c r="S120" s="29"/>
      <c r="T120" s="22"/>
      <c r="U120" s="17"/>
      <c r="V120" s="22"/>
      <c r="W120" s="19" t="str">
        <f aca="true">IF(B120="","",IF(OR(O120="開通済",Q120&lt;&gt;""),"完了",IF(O120="キャンセル","―",IF(AND(V120&lt;&gt;"",V120&lt;TODAY()),"対応期限超過",IF(AND(P120&lt;&gt;"",P120&lt;TODAY()),"開通予定日超過",IF(AND(V120&lt;&gt;"",V120=TODAY()),"本日対応",IF(AND(P120&lt;&gt;"",P120-TODAY()&lt;=3),"開通間近","")))))))</f>
        <v/>
      </c>
      <c r="X120" s="17"/>
    </row>
    <row r="121" customFormat="false" ht="15" hidden="false" customHeight="false" outlineLevel="0" collapsed="false">
      <c r="A121" s="12" t="str">
        <f aca="false">IF(B121="","",ROW()-4)</f>
        <v/>
      </c>
      <c r="B121" s="17"/>
      <c r="C121" s="19" t="str">
        <f aca="false">IF(B121="","",IFERROR(INDEX(顧客一覧!$C$5:$C$304,MATCH(B121,顧客一覧!$B$5:$B$304,0)),"※ID未登録"))</f>
        <v/>
      </c>
      <c r="D121" s="12" t="str">
        <f aca="false">IF(B121="","",IFERROR(INDEX(顧客一覧!$K$5:$K$304,MATCH(B121,顧客一覧!$B$5:$B$304,0))&amp;"",""))</f>
        <v/>
      </c>
      <c r="E121" s="17"/>
      <c r="F121" s="17"/>
      <c r="G121" s="29"/>
      <c r="H121" s="17"/>
      <c r="I121" s="29"/>
      <c r="J121" s="26" t="str">
        <f aca="false">IF(OR(G121="",I121=""),"",G121-I121)</f>
        <v/>
      </c>
      <c r="K121" s="26" t="str">
        <f aca="false">IF(J121="","",J121*12)</f>
        <v/>
      </c>
      <c r="L121" s="29"/>
      <c r="M121" s="27" t="str">
        <f aca="false">IF(OR(L121="",J121=""),"",IF(J121&lt;=0,"回収不可",L121/J121))</f>
        <v/>
      </c>
      <c r="N121" s="22"/>
      <c r="O121" s="17"/>
      <c r="P121" s="22"/>
      <c r="Q121" s="22"/>
      <c r="R121" s="28" t="str">
        <f aca="true">IF(OR(P121="",Q121&lt;&gt;"",O121="キャンセル"),"",P121-TODAY())</f>
        <v/>
      </c>
      <c r="S121" s="29"/>
      <c r="T121" s="22"/>
      <c r="U121" s="17"/>
      <c r="V121" s="22"/>
      <c r="W121" s="19" t="str">
        <f aca="true">IF(B121="","",IF(OR(O121="開通済",Q121&lt;&gt;""),"完了",IF(O121="キャンセル","―",IF(AND(V121&lt;&gt;"",V121&lt;TODAY()),"対応期限超過",IF(AND(P121&lt;&gt;"",P121&lt;TODAY()),"開通予定日超過",IF(AND(V121&lt;&gt;"",V121=TODAY()),"本日対応",IF(AND(P121&lt;&gt;"",P121-TODAY()&lt;=3),"開通間近","")))))))</f>
        <v/>
      </c>
      <c r="X121" s="17"/>
    </row>
    <row r="122" customFormat="false" ht="15" hidden="false" customHeight="false" outlineLevel="0" collapsed="false">
      <c r="A122" s="12" t="str">
        <f aca="false">IF(B122="","",ROW()-4)</f>
        <v/>
      </c>
      <c r="B122" s="17"/>
      <c r="C122" s="19" t="str">
        <f aca="false">IF(B122="","",IFERROR(INDEX(顧客一覧!$C$5:$C$304,MATCH(B122,顧客一覧!$B$5:$B$304,0)),"※ID未登録"))</f>
        <v/>
      </c>
      <c r="D122" s="12" t="str">
        <f aca="false">IF(B122="","",IFERROR(INDEX(顧客一覧!$K$5:$K$304,MATCH(B122,顧客一覧!$B$5:$B$304,0))&amp;"",""))</f>
        <v/>
      </c>
      <c r="E122" s="17"/>
      <c r="F122" s="17"/>
      <c r="G122" s="29"/>
      <c r="H122" s="17"/>
      <c r="I122" s="29"/>
      <c r="J122" s="26" t="str">
        <f aca="false">IF(OR(G122="",I122=""),"",G122-I122)</f>
        <v/>
      </c>
      <c r="K122" s="26" t="str">
        <f aca="false">IF(J122="","",J122*12)</f>
        <v/>
      </c>
      <c r="L122" s="29"/>
      <c r="M122" s="27" t="str">
        <f aca="false">IF(OR(L122="",J122=""),"",IF(J122&lt;=0,"回収不可",L122/J122))</f>
        <v/>
      </c>
      <c r="N122" s="22"/>
      <c r="O122" s="17"/>
      <c r="P122" s="22"/>
      <c r="Q122" s="22"/>
      <c r="R122" s="28" t="str">
        <f aca="true">IF(OR(P122="",Q122&lt;&gt;"",O122="キャンセル"),"",P122-TODAY())</f>
        <v/>
      </c>
      <c r="S122" s="29"/>
      <c r="T122" s="22"/>
      <c r="U122" s="17"/>
      <c r="V122" s="22"/>
      <c r="W122" s="19" t="str">
        <f aca="true">IF(B122="","",IF(OR(O122="開通済",Q122&lt;&gt;""),"完了",IF(O122="キャンセル","―",IF(AND(V122&lt;&gt;"",V122&lt;TODAY()),"対応期限超過",IF(AND(P122&lt;&gt;"",P122&lt;TODAY()),"開通予定日超過",IF(AND(V122&lt;&gt;"",V122=TODAY()),"本日対応",IF(AND(P122&lt;&gt;"",P122-TODAY()&lt;=3),"開通間近","")))))))</f>
        <v/>
      </c>
      <c r="X122" s="17"/>
    </row>
    <row r="123" customFormat="false" ht="15" hidden="false" customHeight="false" outlineLevel="0" collapsed="false">
      <c r="A123" s="12" t="str">
        <f aca="false">IF(B123="","",ROW()-4)</f>
        <v/>
      </c>
      <c r="B123" s="17"/>
      <c r="C123" s="19" t="str">
        <f aca="false">IF(B123="","",IFERROR(INDEX(顧客一覧!$C$5:$C$304,MATCH(B123,顧客一覧!$B$5:$B$304,0)),"※ID未登録"))</f>
        <v/>
      </c>
      <c r="D123" s="12" t="str">
        <f aca="false">IF(B123="","",IFERROR(INDEX(顧客一覧!$K$5:$K$304,MATCH(B123,顧客一覧!$B$5:$B$304,0))&amp;"",""))</f>
        <v/>
      </c>
      <c r="E123" s="17"/>
      <c r="F123" s="17"/>
      <c r="G123" s="29"/>
      <c r="H123" s="17"/>
      <c r="I123" s="29"/>
      <c r="J123" s="26" t="str">
        <f aca="false">IF(OR(G123="",I123=""),"",G123-I123)</f>
        <v/>
      </c>
      <c r="K123" s="26" t="str">
        <f aca="false">IF(J123="","",J123*12)</f>
        <v/>
      </c>
      <c r="L123" s="29"/>
      <c r="M123" s="27" t="str">
        <f aca="false">IF(OR(L123="",J123=""),"",IF(J123&lt;=0,"回収不可",L123/J123))</f>
        <v/>
      </c>
      <c r="N123" s="22"/>
      <c r="O123" s="17"/>
      <c r="P123" s="22"/>
      <c r="Q123" s="22"/>
      <c r="R123" s="28" t="str">
        <f aca="true">IF(OR(P123="",Q123&lt;&gt;"",O123="キャンセル"),"",P123-TODAY())</f>
        <v/>
      </c>
      <c r="S123" s="29"/>
      <c r="T123" s="22"/>
      <c r="U123" s="17"/>
      <c r="V123" s="22"/>
      <c r="W123" s="19" t="str">
        <f aca="true">IF(B123="","",IF(OR(O123="開通済",Q123&lt;&gt;""),"完了",IF(O123="キャンセル","―",IF(AND(V123&lt;&gt;"",V123&lt;TODAY()),"対応期限超過",IF(AND(P123&lt;&gt;"",P123&lt;TODAY()),"開通予定日超過",IF(AND(V123&lt;&gt;"",V123=TODAY()),"本日対応",IF(AND(P123&lt;&gt;"",P123-TODAY()&lt;=3),"開通間近","")))))))</f>
        <v/>
      </c>
      <c r="X123" s="17"/>
    </row>
    <row r="124" customFormat="false" ht="15" hidden="false" customHeight="false" outlineLevel="0" collapsed="false">
      <c r="A124" s="12" t="str">
        <f aca="false">IF(B124="","",ROW()-4)</f>
        <v/>
      </c>
      <c r="B124" s="17"/>
      <c r="C124" s="19" t="str">
        <f aca="false">IF(B124="","",IFERROR(INDEX(顧客一覧!$C$5:$C$304,MATCH(B124,顧客一覧!$B$5:$B$304,0)),"※ID未登録"))</f>
        <v/>
      </c>
      <c r="D124" s="12" t="str">
        <f aca="false">IF(B124="","",IFERROR(INDEX(顧客一覧!$K$5:$K$304,MATCH(B124,顧客一覧!$B$5:$B$304,0))&amp;"",""))</f>
        <v/>
      </c>
      <c r="E124" s="17"/>
      <c r="F124" s="17"/>
      <c r="G124" s="29"/>
      <c r="H124" s="17"/>
      <c r="I124" s="29"/>
      <c r="J124" s="26" t="str">
        <f aca="false">IF(OR(G124="",I124=""),"",G124-I124)</f>
        <v/>
      </c>
      <c r="K124" s="26" t="str">
        <f aca="false">IF(J124="","",J124*12)</f>
        <v/>
      </c>
      <c r="L124" s="29"/>
      <c r="M124" s="27" t="str">
        <f aca="false">IF(OR(L124="",J124=""),"",IF(J124&lt;=0,"回収不可",L124/J124))</f>
        <v/>
      </c>
      <c r="N124" s="22"/>
      <c r="O124" s="17"/>
      <c r="P124" s="22"/>
      <c r="Q124" s="22"/>
      <c r="R124" s="28" t="str">
        <f aca="true">IF(OR(P124="",Q124&lt;&gt;"",O124="キャンセル"),"",P124-TODAY())</f>
        <v/>
      </c>
      <c r="S124" s="29"/>
      <c r="T124" s="22"/>
      <c r="U124" s="17"/>
      <c r="V124" s="22"/>
      <c r="W124" s="19" t="str">
        <f aca="true">IF(B124="","",IF(OR(O124="開通済",Q124&lt;&gt;""),"完了",IF(O124="キャンセル","―",IF(AND(V124&lt;&gt;"",V124&lt;TODAY()),"対応期限超過",IF(AND(P124&lt;&gt;"",P124&lt;TODAY()),"開通予定日超過",IF(AND(V124&lt;&gt;"",V124=TODAY()),"本日対応",IF(AND(P124&lt;&gt;"",P124-TODAY()&lt;=3),"開通間近","")))))))</f>
        <v/>
      </c>
      <c r="X124" s="17"/>
    </row>
    <row r="125" customFormat="false" ht="15" hidden="false" customHeight="false" outlineLevel="0" collapsed="false">
      <c r="A125" s="12" t="str">
        <f aca="false">IF(B125="","",ROW()-4)</f>
        <v/>
      </c>
      <c r="B125" s="17"/>
      <c r="C125" s="19" t="str">
        <f aca="false">IF(B125="","",IFERROR(INDEX(顧客一覧!$C$5:$C$304,MATCH(B125,顧客一覧!$B$5:$B$304,0)),"※ID未登録"))</f>
        <v/>
      </c>
      <c r="D125" s="12" t="str">
        <f aca="false">IF(B125="","",IFERROR(INDEX(顧客一覧!$K$5:$K$304,MATCH(B125,顧客一覧!$B$5:$B$304,0))&amp;"",""))</f>
        <v/>
      </c>
      <c r="E125" s="17"/>
      <c r="F125" s="17"/>
      <c r="G125" s="29"/>
      <c r="H125" s="17"/>
      <c r="I125" s="29"/>
      <c r="J125" s="26" t="str">
        <f aca="false">IF(OR(G125="",I125=""),"",G125-I125)</f>
        <v/>
      </c>
      <c r="K125" s="26" t="str">
        <f aca="false">IF(J125="","",J125*12)</f>
        <v/>
      </c>
      <c r="L125" s="29"/>
      <c r="M125" s="27" t="str">
        <f aca="false">IF(OR(L125="",J125=""),"",IF(J125&lt;=0,"回収不可",L125/J125))</f>
        <v/>
      </c>
      <c r="N125" s="22"/>
      <c r="O125" s="17"/>
      <c r="P125" s="22"/>
      <c r="Q125" s="22"/>
      <c r="R125" s="28" t="str">
        <f aca="true">IF(OR(P125="",Q125&lt;&gt;"",O125="キャンセル"),"",P125-TODAY())</f>
        <v/>
      </c>
      <c r="S125" s="29"/>
      <c r="T125" s="22"/>
      <c r="U125" s="17"/>
      <c r="V125" s="22"/>
      <c r="W125" s="19" t="str">
        <f aca="true">IF(B125="","",IF(OR(O125="開通済",Q125&lt;&gt;""),"完了",IF(O125="キャンセル","―",IF(AND(V125&lt;&gt;"",V125&lt;TODAY()),"対応期限超過",IF(AND(P125&lt;&gt;"",P125&lt;TODAY()),"開通予定日超過",IF(AND(V125&lt;&gt;"",V125=TODAY()),"本日対応",IF(AND(P125&lt;&gt;"",P125-TODAY()&lt;=3),"開通間近","")))))))</f>
        <v/>
      </c>
      <c r="X125" s="17"/>
    </row>
    <row r="126" customFormat="false" ht="15" hidden="false" customHeight="false" outlineLevel="0" collapsed="false">
      <c r="A126" s="12" t="str">
        <f aca="false">IF(B126="","",ROW()-4)</f>
        <v/>
      </c>
      <c r="B126" s="17"/>
      <c r="C126" s="19" t="str">
        <f aca="false">IF(B126="","",IFERROR(INDEX(顧客一覧!$C$5:$C$304,MATCH(B126,顧客一覧!$B$5:$B$304,0)),"※ID未登録"))</f>
        <v/>
      </c>
      <c r="D126" s="12" t="str">
        <f aca="false">IF(B126="","",IFERROR(INDEX(顧客一覧!$K$5:$K$304,MATCH(B126,顧客一覧!$B$5:$B$304,0))&amp;"",""))</f>
        <v/>
      </c>
      <c r="E126" s="17"/>
      <c r="F126" s="17"/>
      <c r="G126" s="29"/>
      <c r="H126" s="17"/>
      <c r="I126" s="29"/>
      <c r="J126" s="26" t="str">
        <f aca="false">IF(OR(G126="",I126=""),"",G126-I126)</f>
        <v/>
      </c>
      <c r="K126" s="26" t="str">
        <f aca="false">IF(J126="","",J126*12)</f>
        <v/>
      </c>
      <c r="L126" s="29"/>
      <c r="M126" s="27" t="str">
        <f aca="false">IF(OR(L126="",J126=""),"",IF(J126&lt;=0,"回収不可",L126/J126))</f>
        <v/>
      </c>
      <c r="N126" s="22"/>
      <c r="O126" s="17"/>
      <c r="P126" s="22"/>
      <c r="Q126" s="22"/>
      <c r="R126" s="28" t="str">
        <f aca="true">IF(OR(P126="",Q126&lt;&gt;"",O126="キャンセル"),"",P126-TODAY())</f>
        <v/>
      </c>
      <c r="S126" s="29"/>
      <c r="T126" s="22"/>
      <c r="U126" s="17"/>
      <c r="V126" s="22"/>
      <c r="W126" s="19" t="str">
        <f aca="true">IF(B126="","",IF(OR(O126="開通済",Q126&lt;&gt;""),"完了",IF(O126="キャンセル","―",IF(AND(V126&lt;&gt;"",V126&lt;TODAY()),"対応期限超過",IF(AND(P126&lt;&gt;"",P126&lt;TODAY()),"開通予定日超過",IF(AND(V126&lt;&gt;"",V126=TODAY()),"本日対応",IF(AND(P126&lt;&gt;"",P126-TODAY()&lt;=3),"開通間近","")))))))</f>
        <v/>
      </c>
      <c r="X126" s="17"/>
    </row>
    <row r="127" customFormat="false" ht="15" hidden="false" customHeight="false" outlineLevel="0" collapsed="false">
      <c r="A127" s="12" t="str">
        <f aca="false">IF(B127="","",ROW()-4)</f>
        <v/>
      </c>
      <c r="B127" s="17"/>
      <c r="C127" s="19" t="str">
        <f aca="false">IF(B127="","",IFERROR(INDEX(顧客一覧!$C$5:$C$304,MATCH(B127,顧客一覧!$B$5:$B$304,0)),"※ID未登録"))</f>
        <v/>
      </c>
      <c r="D127" s="12" t="str">
        <f aca="false">IF(B127="","",IFERROR(INDEX(顧客一覧!$K$5:$K$304,MATCH(B127,顧客一覧!$B$5:$B$304,0))&amp;"",""))</f>
        <v/>
      </c>
      <c r="E127" s="17"/>
      <c r="F127" s="17"/>
      <c r="G127" s="29"/>
      <c r="H127" s="17"/>
      <c r="I127" s="29"/>
      <c r="J127" s="26" t="str">
        <f aca="false">IF(OR(G127="",I127=""),"",G127-I127)</f>
        <v/>
      </c>
      <c r="K127" s="26" t="str">
        <f aca="false">IF(J127="","",J127*12)</f>
        <v/>
      </c>
      <c r="L127" s="29"/>
      <c r="M127" s="27" t="str">
        <f aca="false">IF(OR(L127="",J127=""),"",IF(J127&lt;=0,"回収不可",L127/J127))</f>
        <v/>
      </c>
      <c r="N127" s="22"/>
      <c r="O127" s="17"/>
      <c r="P127" s="22"/>
      <c r="Q127" s="22"/>
      <c r="R127" s="28" t="str">
        <f aca="true">IF(OR(P127="",Q127&lt;&gt;"",O127="キャンセル"),"",P127-TODAY())</f>
        <v/>
      </c>
      <c r="S127" s="29"/>
      <c r="T127" s="22"/>
      <c r="U127" s="17"/>
      <c r="V127" s="22"/>
      <c r="W127" s="19" t="str">
        <f aca="true">IF(B127="","",IF(OR(O127="開通済",Q127&lt;&gt;""),"完了",IF(O127="キャンセル","―",IF(AND(V127&lt;&gt;"",V127&lt;TODAY()),"対応期限超過",IF(AND(P127&lt;&gt;"",P127&lt;TODAY()),"開通予定日超過",IF(AND(V127&lt;&gt;"",V127=TODAY()),"本日対応",IF(AND(P127&lt;&gt;"",P127-TODAY()&lt;=3),"開通間近","")))))))</f>
        <v/>
      </c>
      <c r="X127" s="17"/>
    </row>
    <row r="128" customFormat="false" ht="15" hidden="false" customHeight="false" outlineLevel="0" collapsed="false">
      <c r="A128" s="12" t="str">
        <f aca="false">IF(B128="","",ROW()-4)</f>
        <v/>
      </c>
      <c r="B128" s="17"/>
      <c r="C128" s="19" t="str">
        <f aca="false">IF(B128="","",IFERROR(INDEX(顧客一覧!$C$5:$C$304,MATCH(B128,顧客一覧!$B$5:$B$304,0)),"※ID未登録"))</f>
        <v/>
      </c>
      <c r="D128" s="12" t="str">
        <f aca="false">IF(B128="","",IFERROR(INDEX(顧客一覧!$K$5:$K$304,MATCH(B128,顧客一覧!$B$5:$B$304,0))&amp;"",""))</f>
        <v/>
      </c>
      <c r="E128" s="17"/>
      <c r="F128" s="17"/>
      <c r="G128" s="29"/>
      <c r="H128" s="17"/>
      <c r="I128" s="29"/>
      <c r="J128" s="26" t="str">
        <f aca="false">IF(OR(G128="",I128=""),"",G128-I128)</f>
        <v/>
      </c>
      <c r="K128" s="26" t="str">
        <f aca="false">IF(J128="","",J128*12)</f>
        <v/>
      </c>
      <c r="L128" s="29"/>
      <c r="M128" s="27" t="str">
        <f aca="false">IF(OR(L128="",J128=""),"",IF(J128&lt;=0,"回収不可",L128/J128))</f>
        <v/>
      </c>
      <c r="N128" s="22"/>
      <c r="O128" s="17"/>
      <c r="P128" s="22"/>
      <c r="Q128" s="22"/>
      <c r="R128" s="28" t="str">
        <f aca="true">IF(OR(P128="",Q128&lt;&gt;"",O128="キャンセル"),"",P128-TODAY())</f>
        <v/>
      </c>
      <c r="S128" s="29"/>
      <c r="T128" s="22"/>
      <c r="U128" s="17"/>
      <c r="V128" s="22"/>
      <c r="W128" s="19" t="str">
        <f aca="true">IF(B128="","",IF(OR(O128="開通済",Q128&lt;&gt;""),"完了",IF(O128="キャンセル","―",IF(AND(V128&lt;&gt;"",V128&lt;TODAY()),"対応期限超過",IF(AND(P128&lt;&gt;"",P128&lt;TODAY()),"開通予定日超過",IF(AND(V128&lt;&gt;"",V128=TODAY()),"本日対応",IF(AND(P128&lt;&gt;"",P128-TODAY()&lt;=3),"開通間近","")))))))</f>
        <v/>
      </c>
      <c r="X128" s="17"/>
    </row>
    <row r="129" customFormat="false" ht="15" hidden="false" customHeight="false" outlineLevel="0" collapsed="false">
      <c r="A129" s="12" t="str">
        <f aca="false">IF(B129="","",ROW()-4)</f>
        <v/>
      </c>
      <c r="B129" s="17"/>
      <c r="C129" s="19" t="str">
        <f aca="false">IF(B129="","",IFERROR(INDEX(顧客一覧!$C$5:$C$304,MATCH(B129,顧客一覧!$B$5:$B$304,0)),"※ID未登録"))</f>
        <v/>
      </c>
      <c r="D129" s="12" t="str">
        <f aca="false">IF(B129="","",IFERROR(INDEX(顧客一覧!$K$5:$K$304,MATCH(B129,顧客一覧!$B$5:$B$304,0))&amp;"",""))</f>
        <v/>
      </c>
      <c r="E129" s="17"/>
      <c r="F129" s="17"/>
      <c r="G129" s="29"/>
      <c r="H129" s="17"/>
      <c r="I129" s="29"/>
      <c r="J129" s="26" t="str">
        <f aca="false">IF(OR(G129="",I129=""),"",G129-I129)</f>
        <v/>
      </c>
      <c r="K129" s="26" t="str">
        <f aca="false">IF(J129="","",J129*12)</f>
        <v/>
      </c>
      <c r="L129" s="29"/>
      <c r="M129" s="27" t="str">
        <f aca="false">IF(OR(L129="",J129=""),"",IF(J129&lt;=0,"回収不可",L129/J129))</f>
        <v/>
      </c>
      <c r="N129" s="22"/>
      <c r="O129" s="17"/>
      <c r="P129" s="22"/>
      <c r="Q129" s="22"/>
      <c r="R129" s="28" t="str">
        <f aca="true">IF(OR(P129="",Q129&lt;&gt;"",O129="キャンセル"),"",P129-TODAY())</f>
        <v/>
      </c>
      <c r="S129" s="29"/>
      <c r="T129" s="22"/>
      <c r="U129" s="17"/>
      <c r="V129" s="22"/>
      <c r="W129" s="19" t="str">
        <f aca="true">IF(B129="","",IF(OR(O129="開通済",Q129&lt;&gt;""),"完了",IF(O129="キャンセル","―",IF(AND(V129&lt;&gt;"",V129&lt;TODAY()),"対応期限超過",IF(AND(P129&lt;&gt;"",P129&lt;TODAY()),"開通予定日超過",IF(AND(V129&lt;&gt;"",V129=TODAY()),"本日対応",IF(AND(P129&lt;&gt;"",P129-TODAY()&lt;=3),"開通間近","")))))))</f>
        <v/>
      </c>
      <c r="X129" s="17"/>
    </row>
    <row r="130" customFormat="false" ht="15" hidden="false" customHeight="false" outlineLevel="0" collapsed="false">
      <c r="A130" s="12" t="str">
        <f aca="false">IF(B130="","",ROW()-4)</f>
        <v/>
      </c>
      <c r="B130" s="17"/>
      <c r="C130" s="19" t="str">
        <f aca="false">IF(B130="","",IFERROR(INDEX(顧客一覧!$C$5:$C$304,MATCH(B130,顧客一覧!$B$5:$B$304,0)),"※ID未登録"))</f>
        <v/>
      </c>
      <c r="D130" s="12" t="str">
        <f aca="false">IF(B130="","",IFERROR(INDEX(顧客一覧!$K$5:$K$304,MATCH(B130,顧客一覧!$B$5:$B$304,0))&amp;"",""))</f>
        <v/>
      </c>
      <c r="E130" s="17"/>
      <c r="F130" s="17"/>
      <c r="G130" s="29"/>
      <c r="H130" s="17"/>
      <c r="I130" s="29"/>
      <c r="J130" s="26" t="str">
        <f aca="false">IF(OR(G130="",I130=""),"",G130-I130)</f>
        <v/>
      </c>
      <c r="K130" s="26" t="str">
        <f aca="false">IF(J130="","",J130*12)</f>
        <v/>
      </c>
      <c r="L130" s="29"/>
      <c r="M130" s="27" t="str">
        <f aca="false">IF(OR(L130="",J130=""),"",IF(J130&lt;=0,"回収不可",L130/J130))</f>
        <v/>
      </c>
      <c r="N130" s="22"/>
      <c r="O130" s="17"/>
      <c r="P130" s="22"/>
      <c r="Q130" s="22"/>
      <c r="R130" s="28" t="str">
        <f aca="true">IF(OR(P130="",Q130&lt;&gt;"",O130="キャンセル"),"",P130-TODAY())</f>
        <v/>
      </c>
      <c r="S130" s="29"/>
      <c r="T130" s="22"/>
      <c r="U130" s="17"/>
      <c r="V130" s="22"/>
      <c r="W130" s="19" t="str">
        <f aca="true">IF(B130="","",IF(OR(O130="開通済",Q130&lt;&gt;""),"完了",IF(O130="キャンセル","―",IF(AND(V130&lt;&gt;"",V130&lt;TODAY()),"対応期限超過",IF(AND(P130&lt;&gt;"",P130&lt;TODAY()),"開通予定日超過",IF(AND(V130&lt;&gt;"",V130=TODAY()),"本日対応",IF(AND(P130&lt;&gt;"",P130-TODAY()&lt;=3),"開通間近","")))))))</f>
        <v/>
      </c>
      <c r="X130" s="17"/>
    </row>
    <row r="131" customFormat="false" ht="15" hidden="false" customHeight="false" outlineLevel="0" collapsed="false">
      <c r="A131" s="12" t="str">
        <f aca="false">IF(B131="","",ROW()-4)</f>
        <v/>
      </c>
      <c r="B131" s="17"/>
      <c r="C131" s="19" t="str">
        <f aca="false">IF(B131="","",IFERROR(INDEX(顧客一覧!$C$5:$C$304,MATCH(B131,顧客一覧!$B$5:$B$304,0)),"※ID未登録"))</f>
        <v/>
      </c>
      <c r="D131" s="12" t="str">
        <f aca="false">IF(B131="","",IFERROR(INDEX(顧客一覧!$K$5:$K$304,MATCH(B131,顧客一覧!$B$5:$B$304,0))&amp;"",""))</f>
        <v/>
      </c>
      <c r="E131" s="17"/>
      <c r="F131" s="17"/>
      <c r="G131" s="29"/>
      <c r="H131" s="17"/>
      <c r="I131" s="29"/>
      <c r="J131" s="26" t="str">
        <f aca="false">IF(OR(G131="",I131=""),"",G131-I131)</f>
        <v/>
      </c>
      <c r="K131" s="26" t="str">
        <f aca="false">IF(J131="","",J131*12)</f>
        <v/>
      </c>
      <c r="L131" s="29"/>
      <c r="M131" s="27" t="str">
        <f aca="false">IF(OR(L131="",J131=""),"",IF(J131&lt;=0,"回収不可",L131/J131))</f>
        <v/>
      </c>
      <c r="N131" s="22"/>
      <c r="O131" s="17"/>
      <c r="P131" s="22"/>
      <c r="Q131" s="22"/>
      <c r="R131" s="28" t="str">
        <f aca="true">IF(OR(P131="",Q131&lt;&gt;"",O131="キャンセル"),"",P131-TODAY())</f>
        <v/>
      </c>
      <c r="S131" s="29"/>
      <c r="T131" s="22"/>
      <c r="U131" s="17"/>
      <c r="V131" s="22"/>
      <c r="W131" s="19" t="str">
        <f aca="true">IF(B131="","",IF(OR(O131="開通済",Q131&lt;&gt;""),"完了",IF(O131="キャンセル","―",IF(AND(V131&lt;&gt;"",V131&lt;TODAY()),"対応期限超過",IF(AND(P131&lt;&gt;"",P131&lt;TODAY()),"開通予定日超過",IF(AND(V131&lt;&gt;"",V131=TODAY()),"本日対応",IF(AND(P131&lt;&gt;"",P131-TODAY()&lt;=3),"開通間近","")))))))</f>
        <v/>
      </c>
      <c r="X131" s="17"/>
    </row>
    <row r="132" customFormat="false" ht="15" hidden="false" customHeight="false" outlineLevel="0" collapsed="false">
      <c r="A132" s="12" t="str">
        <f aca="false">IF(B132="","",ROW()-4)</f>
        <v/>
      </c>
      <c r="B132" s="17"/>
      <c r="C132" s="19" t="str">
        <f aca="false">IF(B132="","",IFERROR(INDEX(顧客一覧!$C$5:$C$304,MATCH(B132,顧客一覧!$B$5:$B$304,0)),"※ID未登録"))</f>
        <v/>
      </c>
      <c r="D132" s="12" t="str">
        <f aca="false">IF(B132="","",IFERROR(INDEX(顧客一覧!$K$5:$K$304,MATCH(B132,顧客一覧!$B$5:$B$304,0))&amp;"",""))</f>
        <v/>
      </c>
      <c r="E132" s="17"/>
      <c r="F132" s="17"/>
      <c r="G132" s="29"/>
      <c r="H132" s="17"/>
      <c r="I132" s="29"/>
      <c r="J132" s="26" t="str">
        <f aca="false">IF(OR(G132="",I132=""),"",G132-I132)</f>
        <v/>
      </c>
      <c r="K132" s="26" t="str">
        <f aca="false">IF(J132="","",J132*12)</f>
        <v/>
      </c>
      <c r="L132" s="29"/>
      <c r="M132" s="27" t="str">
        <f aca="false">IF(OR(L132="",J132=""),"",IF(J132&lt;=0,"回収不可",L132/J132))</f>
        <v/>
      </c>
      <c r="N132" s="22"/>
      <c r="O132" s="17"/>
      <c r="P132" s="22"/>
      <c r="Q132" s="22"/>
      <c r="R132" s="28" t="str">
        <f aca="true">IF(OR(P132="",Q132&lt;&gt;"",O132="キャンセル"),"",P132-TODAY())</f>
        <v/>
      </c>
      <c r="S132" s="29"/>
      <c r="T132" s="22"/>
      <c r="U132" s="17"/>
      <c r="V132" s="22"/>
      <c r="W132" s="19" t="str">
        <f aca="true">IF(B132="","",IF(OR(O132="開通済",Q132&lt;&gt;""),"完了",IF(O132="キャンセル","―",IF(AND(V132&lt;&gt;"",V132&lt;TODAY()),"対応期限超過",IF(AND(P132&lt;&gt;"",P132&lt;TODAY()),"開通予定日超過",IF(AND(V132&lt;&gt;"",V132=TODAY()),"本日対応",IF(AND(P132&lt;&gt;"",P132-TODAY()&lt;=3),"開通間近","")))))))</f>
        <v/>
      </c>
      <c r="X132" s="17"/>
    </row>
    <row r="133" customFormat="false" ht="15" hidden="false" customHeight="false" outlineLevel="0" collapsed="false">
      <c r="A133" s="12" t="str">
        <f aca="false">IF(B133="","",ROW()-4)</f>
        <v/>
      </c>
      <c r="B133" s="17"/>
      <c r="C133" s="19" t="str">
        <f aca="false">IF(B133="","",IFERROR(INDEX(顧客一覧!$C$5:$C$304,MATCH(B133,顧客一覧!$B$5:$B$304,0)),"※ID未登録"))</f>
        <v/>
      </c>
      <c r="D133" s="12" t="str">
        <f aca="false">IF(B133="","",IFERROR(INDEX(顧客一覧!$K$5:$K$304,MATCH(B133,顧客一覧!$B$5:$B$304,0))&amp;"",""))</f>
        <v/>
      </c>
      <c r="E133" s="17"/>
      <c r="F133" s="17"/>
      <c r="G133" s="29"/>
      <c r="H133" s="17"/>
      <c r="I133" s="29"/>
      <c r="J133" s="26" t="str">
        <f aca="false">IF(OR(G133="",I133=""),"",G133-I133)</f>
        <v/>
      </c>
      <c r="K133" s="26" t="str">
        <f aca="false">IF(J133="","",J133*12)</f>
        <v/>
      </c>
      <c r="L133" s="29"/>
      <c r="M133" s="27" t="str">
        <f aca="false">IF(OR(L133="",J133=""),"",IF(J133&lt;=0,"回収不可",L133/J133))</f>
        <v/>
      </c>
      <c r="N133" s="22"/>
      <c r="O133" s="17"/>
      <c r="P133" s="22"/>
      <c r="Q133" s="22"/>
      <c r="R133" s="28" t="str">
        <f aca="true">IF(OR(P133="",Q133&lt;&gt;"",O133="キャンセル"),"",P133-TODAY())</f>
        <v/>
      </c>
      <c r="S133" s="29"/>
      <c r="T133" s="22"/>
      <c r="U133" s="17"/>
      <c r="V133" s="22"/>
      <c r="W133" s="19" t="str">
        <f aca="true">IF(B133="","",IF(OR(O133="開通済",Q133&lt;&gt;""),"完了",IF(O133="キャンセル","―",IF(AND(V133&lt;&gt;"",V133&lt;TODAY()),"対応期限超過",IF(AND(P133&lt;&gt;"",P133&lt;TODAY()),"開通予定日超過",IF(AND(V133&lt;&gt;"",V133=TODAY()),"本日対応",IF(AND(P133&lt;&gt;"",P133-TODAY()&lt;=3),"開通間近","")))))))</f>
        <v/>
      </c>
      <c r="X133" s="17"/>
    </row>
    <row r="134" customFormat="false" ht="15" hidden="false" customHeight="false" outlineLevel="0" collapsed="false">
      <c r="A134" s="12" t="str">
        <f aca="false">IF(B134="","",ROW()-4)</f>
        <v/>
      </c>
      <c r="B134" s="17"/>
      <c r="C134" s="19" t="str">
        <f aca="false">IF(B134="","",IFERROR(INDEX(顧客一覧!$C$5:$C$304,MATCH(B134,顧客一覧!$B$5:$B$304,0)),"※ID未登録"))</f>
        <v/>
      </c>
      <c r="D134" s="12" t="str">
        <f aca="false">IF(B134="","",IFERROR(INDEX(顧客一覧!$K$5:$K$304,MATCH(B134,顧客一覧!$B$5:$B$304,0))&amp;"",""))</f>
        <v/>
      </c>
      <c r="E134" s="17"/>
      <c r="F134" s="17"/>
      <c r="G134" s="29"/>
      <c r="H134" s="17"/>
      <c r="I134" s="29"/>
      <c r="J134" s="26" t="str">
        <f aca="false">IF(OR(G134="",I134=""),"",G134-I134)</f>
        <v/>
      </c>
      <c r="K134" s="26" t="str">
        <f aca="false">IF(J134="","",J134*12)</f>
        <v/>
      </c>
      <c r="L134" s="29"/>
      <c r="M134" s="27" t="str">
        <f aca="false">IF(OR(L134="",J134=""),"",IF(J134&lt;=0,"回収不可",L134/J134))</f>
        <v/>
      </c>
      <c r="N134" s="22"/>
      <c r="O134" s="17"/>
      <c r="P134" s="22"/>
      <c r="Q134" s="22"/>
      <c r="R134" s="28" t="str">
        <f aca="true">IF(OR(P134="",Q134&lt;&gt;"",O134="キャンセル"),"",P134-TODAY())</f>
        <v/>
      </c>
      <c r="S134" s="29"/>
      <c r="T134" s="22"/>
      <c r="U134" s="17"/>
      <c r="V134" s="22"/>
      <c r="W134" s="19" t="str">
        <f aca="true">IF(B134="","",IF(OR(O134="開通済",Q134&lt;&gt;""),"完了",IF(O134="キャンセル","―",IF(AND(V134&lt;&gt;"",V134&lt;TODAY()),"対応期限超過",IF(AND(P134&lt;&gt;"",P134&lt;TODAY()),"開通予定日超過",IF(AND(V134&lt;&gt;"",V134=TODAY()),"本日対応",IF(AND(P134&lt;&gt;"",P134-TODAY()&lt;=3),"開通間近","")))))))</f>
        <v/>
      </c>
      <c r="X134" s="17"/>
    </row>
    <row r="135" customFormat="false" ht="15" hidden="false" customHeight="false" outlineLevel="0" collapsed="false">
      <c r="A135" s="12" t="str">
        <f aca="false">IF(B135="","",ROW()-4)</f>
        <v/>
      </c>
      <c r="B135" s="17"/>
      <c r="C135" s="19" t="str">
        <f aca="false">IF(B135="","",IFERROR(INDEX(顧客一覧!$C$5:$C$304,MATCH(B135,顧客一覧!$B$5:$B$304,0)),"※ID未登録"))</f>
        <v/>
      </c>
      <c r="D135" s="12" t="str">
        <f aca="false">IF(B135="","",IFERROR(INDEX(顧客一覧!$K$5:$K$304,MATCH(B135,顧客一覧!$B$5:$B$304,0))&amp;"",""))</f>
        <v/>
      </c>
      <c r="E135" s="17"/>
      <c r="F135" s="17"/>
      <c r="G135" s="29"/>
      <c r="H135" s="17"/>
      <c r="I135" s="29"/>
      <c r="J135" s="26" t="str">
        <f aca="false">IF(OR(G135="",I135=""),"",G135-I135)</f>
        <v/>
      </c>
      <c r="K135" s="26" t="str">
        <f aca="false">IF(J135="","",J135*12)</f>
        <v/>
      </c>
      <c r="L135" s="29"/>
      <c r="M135" s="27" t="str">
        <f aca="false">IF(OR(L135="",J135=""),"",IF(J135&lt;=0,"回収不可",L135/J135))</f>
        <v/>
      </c>
      <c r="N135" s="22"/>
      <c r="O135" s="17"/>
      <c r="P135" s="22"/>
      <c r="Q135" s="22"/>
      <c r="R135" s="28" t="str">
        <f aca="true">IF(OR(P135="",Q135&lt;&gt;"",O135="キャンセル"),"",P135-TODAY())</f>
        <v/>
      </c>
      <c r="S135" s="29"/>
      <c r="T135" s="22"/>
      <c r="U135" s="17"/>
      <c r="V135" s="22"/>
      <c r="W135" s="19" t="str">
        <f aca="true">IF(B135="","",IF(OR(O135="開通済",Q135&lt;&gt;""),"完了",IF(O135="キャンセル","―",IF(AND(V135&lt;&gt;"",V135&lt;TODAY()),"対応期限超過",IF(AND(P135&lt;&gt;"",P135&lt;TODAY()),"開通予定日超過",IF(AND(V135&lt;&gt;"",V135=TODAY()),"本日対応",IF(AND(P135&lt;&gt;"",P135-TODAY()&lt;=3),"開通間近","")))))))</f>
        <v/>
      </c>
      <c r="X135" s="17"/>
    </row>
    <row r="136" customFormat="false" ht="15" hidden="false" customHeight="false" outlineLevel="0" collapsed="false">
      <c r="A136" s="12" t="str">
        <f aca="false">IF(B136="","",ROW()-4)</f>
        <v/>
      </c>
      <c r="B136" s="17"/>
      <c r="C136" s="19" t="str">
        <f aca="false">IF(B136="","",IFERROR(INDEX(顧客一覧!$C$5:$C$304,MATCH(B136,顧客一覧!$B$5:$B$304,0)),"※ID未登録"))</f>
        <v/>
      </c>
      <c r="D136" s="12" t="str">
        <f aca="false">IF(B136="","",IFERROR(INDEX(顧客一覧!$K$5:$K$304,MATCH(B136,顧客一覧!$B$5:$B$304,0))&amp;"",""))</f>
        <v/>
      </c>
      <c r="E136" s="17"/>
      <c r="F136" s="17"/>
      <c r="G136" s="29"/>
      <c r="H136" s="17"/>
      <c r="I136" s="29"/>
      <c r="J136" s="26" t="str">
        <f aca="false">IF(OR(G136="",I136=""),"",G136-I136)</f>
        <v/>
      </c>
      <c r="K136" s="26" t="str">
        <f aca="false">IF(J136="","",J136*12)</f>
        <v/>
      </c>
      <c r="L136" s="29"/>
      <c r="M136" s="27" t="str">
        <f aca="false">IF(OR(L136="",J136=""),"",IF(J136&lt;=0,"回収不可",L136/J136))</f>
        <v/>
      </c>
      <c r="N136" s="22"/>
      <c r="O136" s="17"/>
      <c r="P136" s="22"/>
      <c r="Q136" s="22"/>
      <c r="R136" s="28" t="str">
        <f aca="true">IF(OR(P136="",Q136&lt;&gt;"",O136="キャンセル"),"",P136-TODAY())</f>
        <v/>
      </c>
      <c r="S136" s="29"/>
      <c r="T136" s="22"/>
      <c r="U136" s="17"/>
      <c r="V136" s="22"/>
      <c r="W136" s="19" t="str">
        <f aca="true">IF(B136="","",IF(OR(O136="開通済",Q136&lt;&gt;""),"完了",IF(O136="キャンセル","―",IF(AND(V136&lt;&gt;"",V136&lt;TODAY()),"対応期限超過",IF(AND(P136&lt;&gt;"",P136&lt;TODAY()),"開通予定日超過",IF(AND(V136&lt;&gt;"",V136=TODAY()),"本日対応",IF(AND(P136&lt;&gt;"",P136-TODAY()&lt;=3),"開通間近","")))))))</f>
        <v/>
      </c>
      <c r="X136" s="17"/>
    </row>
    <row r="137" customFormat="false" ht="15" hidden="false" customHeight="false" outlineLevel="0" collapsed="false">
      <c r="A137" s="12" t="str">
        <f aca="false">IF(B137="","",ROW()-4)</f>
        <v/>
      </c>
      <c r="B137" s="17"/>
      <c r="C137" s="19" t="str">
        <f aca="false">IF(B137="","",IFERROR(INDEX(顧客一覧!$C$5:$C$304,MATCH(B137,顧客一覧!$B$5:$B$304,0)),"※ID未登録"))</f>
        <v/>
      </c>
      <c r="D137" s="12" t="str">
        <f aca="false">IF(B137="","",IFERROR(INDEX(顧客一覧!$K$5:$K$304,MATCH(B137,顧客一覧!$B$5:$B$304,0))&amp;"",""))</f>
        <v/>
      </c>
      <c r="E137" s="17"/>
      <c r="F137" s="17"/>
      <c r="G137" s="29"/>
      <c r="H137" s="17"/>
      <c r="I137" s="29"/>
      <c r="J137" s="26" t="str">
        <f aca="false">IF(OR(G137="",I137=""),"",G137-I137)</f>
        <v/>
      </c>
      <c r="K137" s="26" t="str">
        <f aca="false">IF(J137="","",J137*12)</f>
        <v/>
      </c>
      <c r="L137" s="29"/>
      <c r="M137" s="27" t="str">
        <f aca="false">IF(OR(L137="",J137=""),"",IF(J137&lt;=0,"回収不可",L137/J137))</f>
        <v/>
      </c>
      <c r="N137" s="22"/>
      <c r="O137" s="17"/>
      <c r="P137" s="22"/>
      <c r="Q137" s="22"/>
      <c r="R137" s="28" t="str">
        <f aca="true">IF(OR(P137="",Q137&lt;&gt;"",O137="キャンセル"),"",P137-TODAY())</f>
        <v/>
      </c>
      <c r="S137" s="29"/>
      <c r="T137" s="22"/>
      <c r="U137" s="17"/>
      <c r="V137" s="22"/>
      <c r="W137" s="19" t="str">
        <f aca="true">IF(B137="","",IF(OR(O137="開通済",Q137&lt;&gt;""),"完了",IF(O137="キャンセル","―",IF(AND(V137&lt;&gt;"",V137&lt;TODAY()),"対応期限超過",IF(AND(P137&lt;&gt;"",P137&lt;TODAY()),"開通予定日超過",IF(AND(V137&lt;&gt;"",V137=TODAY()),"本日対応",IF(AND(P137&lt;&gt;"",P137-TODAY()&lt;=3),"開通間近","")))))))</f>
        <v/>
      </c>
      <c r="X137" s="17"/>
    </row>
    <row r="138" customFormat="false" ht="15" hidden="false" customHeight="false" outlineLevel="0" collapsed="false">
      <c r="A138" s="12" t="str">
        <f aca="false">IF(B138="","",ROW()-4)</f>
        <v/>
      </c>
      <c r="B138" s="17"/>
      <c r="C138" s="19" t="str">
        <f aca="false">IF(B138="","",IFERROR(INDEX(顧客一覧!$C$5:$C$304,MATCH(B138,顧客一覧!$B$5:$B$304,0)),"※ID未登録"))</f>
        <v/>
      </c>
      <c r="D138" s="12" t="str">
        <f aca="false">IF(B138="","",IFERROR(INDEX(顧客一覧!$K$5:$K$304,MATCH(B138,顧客一覧!$B$5:$B$304,0))&amp;"",""))</f>
        <v/>
      </c>
      <c r="E138" s="17"/>
      <c r="F138" s="17"/>
      <c r="G138" s="29"/>
      <c r="H138" s="17"/>
      <c r="I138" s="29"/>
      <c r="J138" s="26" t="str">
        <f aca="false">IF(OR(G138="",I138=""),"",G138-I138)</f>
        <v/>
      </c>
      <c r="K138" s="26" t="str">
        <f aca="false">IF(J138="","",J138*12)</f>
        <v/>
      </c>
      <c r="L138" s="29"/>
      <c r="M138" s="27" t="str">
        <f aca="false">IF(OR(L138="",J138=""),"",IF(J138&lt;=0,"回収不可",L138/J138))</f>
        <v/>
      </c>
      <c r="N138" s="22"/>
      <c r="O138" s="17"/>
      <c r="P138" s="22"/>
      <c r="Q138" s="22"/>
      <c r="R138" s="28" t="str">
        <f aca="true">IF(OR(P138="",Q138&lt;&gt;"",O138="キャンセル"),"",P138-TODAY())</f>
        <v/>
      </c>
      <c r="S138" s="29"/>
      <c r="T138" s="22"/>
      <c r="U138" s="17"/>
      <c r="V138" s="22"/>
      <c r="W138" s="19" t="str">
        <f aca="true">IF(B138="","",IF(OR(O138="開通済",Q138&lt;&gt;""),"完了",IF(O138="キャンセル","―",IF(AND(V138&lt;&gt;"",V138&lt;TODAY()),"対応期限超過",IF(AND(P138&lt;&gt;"",P138&lt;TODAY()),"開通予定日超過",IF(AND(V138&lt;&gt;"",V138=TODAY()),"本日対応",IF(AND(P138&lt;&gt;"",P138-TODAY()&lt;=3),"開通間近","")))))))</f>
        <v/>
      </c>
      <c r="X138" s="17"/>
    </row>
    <row r="139" customFormat="false" ht="15" hidden="false" customHeight="false" outlineLevel="0" collapsed="false">
      <c r="A139" s="12" t="str">
        <f aca="false">IF(B139="","",ROW()-4)</f>
        <v/>
      </c>
      <c r="B139" s="17"/>
      <c r="C139" s="19" t="str">
        <f aca="false">IF(B139="","",IFERROR(INDEX(顧客一覧!$C$5:$C$304,MATCH(B139,顧客一覧!$B$5:$B$304,0)),"※ID未登録"))</f>
        <v/>
      </c>
      <c r="D139" s="12" t="str">
        <f aca="false">IF(B139="","",IFERROR(INDEX(顧客一覧!$K$5:$K$304,MATCH(B139,顧客一覧!$B$5:$B$304,0))&amp;"",""))</f>
        <v/>
      </c>
      <c r="E139" s="17"/>
      <c r="F139" s="17"/>
      <c r="G139" s="29"/>
      <c r="H139" s="17"/>
      <c r="I139" s="29"/>
      <c r="J139" s="26" t="str">
        <f aca="false">IF(OR(G139="",I139=""),"",G139-I139)</f>
        <v/>
      </c>
      <c r="K139" s="26" t="str">
        <f aca="false">IF(J139="","",J139*12)</f>
        <v/>
      </c>
      <c r="L139" s="29"/>
      <c r="M139" s="27" t="str">
        <f aca="false">IF(OR(L139="",J139=""),"",IF(J139&lt;=0,"回収不可",L139/J139))</f>
        <v/>
      </c>
      <c r="N139" s="22"/>
      <c r="O139" s="17"/>
      <c r="P139" s="22"/>
      <c r="Q139" s="22"/>
      <c r="R139" s="28" t="str">
        <f aca="true">IF(OR(P139="",Q139&lt;&gt;"",O139="キャンセル"),"",P139-TODAY())</f>
        <v/>
      </c>
      <c r="S139" s="29"/>
      <c r="T139" s="22"/>
      <c r="U139" s="17"/>
      <c r="V139" s="22"/>
      <c r="W139" s="19" t="str">
        <f aca="true">IF(B139="","",IF(OR(O139="開通済",Q139&lt;&gt;""),"完了",IF(O139="キャンセル","―",IF(AND(V139&lt;&gt;"",V139&lt;TODAY()),"対応期限超過",IF(AND(P139&lt;&gt;"",P139&lt;TODAY()),"開通予定日超過",IF(AND(V139&lt;&gt;"",V139=TODAY()),"本日対応",IF(AND(P139&lt;&gt;"",P139-TODAY()&lt;=3),"開通間近","")))))))</f>
        <v/>
      </c>
      <c r="X139" s="17"/>
    </row>
    <row r="140" customFormat="false" ht="15" hidden="false" customHeight="false" outlineLevel="0" collapsed="false">
      <c r="A140" s="12" t="str">
        <f aca="false">IF(B140="","",ROW()-4)</f>
        <v/>
      </c>
      <c r="B140" s="17"/>
      <c r="C140" s="19" t="str">
        <f aca="false">IF(B140="","",IFERROR(INDEX(顧客一覧!$C$5:$C$304,MATCH(B140,顧客一覧!$B$5:$B$304,0)),"※ID未登録"))</f>
        <v/>
      </c>
      <c r="D140" s="12" t="str">
        <f aca="false">IF(B140="","",IFERROR(INDEX(顧客一覧!$K$5:$K$304,MATCH(B140,顧客一覧!$B$5:$B$304,0))&amp;"",""))</f>
        <v/>
      </c>
      <c r="E140" s="17"/>
      <c r="F140" s="17"/>
      <c r="G140" s="29"/>
      <c r="H140" s="17"/>
      <c r="I140" s="29"/>
      <c r="J140" s="26" t="str">
        <f aca="false">IF(OR(G140="",I140=""),"",G140-I140)</f>
        <v/>
      </c>
      <c r="K140" s="26" t="str">
        <f aca="false">IF(J140="","",J140*12)</f>
        <v/>
      </c>
      <c r="L140" s="29"/>
      <c r="M140" s="27" t="str">
        <f aca="false">IF(OR(L140="",J140=""),"",IF(J140&lt;=0,"回収不可",L140/J140))</f>
        <v/>
      </c>
      <c r="N140" s="22"/>
      <c r="O140" s="17"/>
      <c r="P140" s="22"/>
      <c r="Q140" s="22"/>
      <c r="R140" s="28" t="str">
        <f aca="true">IF(OR(P140="",Q140&lt;&gt;"",O140="キャンセル"),"",P140-TODAY())</f>
        <v/>
      </c>
      <c r="S140" s="29"/>
      <c r="T140" s="22"/>
      <c r="U140" s="17"/>
      <c r="V140" s="22"/>
      <c r="W140" s="19" t="str">
        <f aca="true">IF(B140="","",IF(OR(O140="開通済",Q140&lt;&gt;""),"完了",IF(O140="キャンセル","―",IF(AND(V140&lt;&gt;"",V140&lt;TODAY()),"対応期限超過",IF(AND(P140&lt;&gt;"",P140&lt;TODAY()),"開通予定日超過",IF(AND(V140&lt;&gt;"",V140=TODAY()),"本日対応",IF(AND(P140&lt;&gt;"",P140-TODAY()&lt;=3),"開通間近","")))))))</f>
        <v/>
      </c>
      <c r="X140" s="17"/>
    </row>
    <row r="141" customFormat="false" ht="15" hidden="false" customHeight="false" outlineLevel="0" collapsed="false">
      <c r="A141" s="12" t="str">
        <f aca="false">IF(B141="","",ROW()-4)</f>
        <v/>
      </c>
      <c r="B141" s="17"/>
      <c r="C141" s="19" t="str">
        <f aca="false">IF(B141="","",IFERROR(INDEX(顧客一覧!$C$5:$C$304,MATCH(B141,顧客一覧!$B$5:$B$304,0)),"※ID未登録"))</f>
        <v/>
      </c>
      <c r="D141" s="12" t="str">
        <f aca="false">IF(B141="","",IFERROR(INDEX(顧客一覧!$K$5:$K$304,MATCH(B141,顧客一覧!$B$5:$B$304,0))&amp;"",""))</f>
        <v/>
      </c>
      <c r="E141" s="17"/>
      <c r="F141" s="17"/>
      <c r="G141" s="29"/>
      <c r="H141" s="17"/>
      <c r="I141" s="29"/>
      <c r="J141" s="26" t="str">
        <f aca="false">IF(OR(G141="",I141=""),"",G141-I141)</f>
        <v/>
      </c>
      <c r="K141" s="26" t="str">
        <f aca="false">IF(J141="","",J141*12)</f>
        <v/>
      </c>
      <c r="L141" s="29"/>
      <c r="M141" s="27" t="str">
        <f aca="false">IF(OR(L141="",J141=""),"",IF(J141&lt;=0,"回収不可",L141/J141))</f>
        <v/>
      </c>
      <c r="N141" s="22"/>
      <c r="O141" s="17"/>
      <c r="P141" s="22"/>
      <c r="Q141" s="22"/>
      <c r="R141" s="28" t="str">
        <f aca="true">IF(OR(P141="",Q141&lt;&gt;"",O141="キャンセル"),"",P141-TODAY())</f>
        <v/>
      </c>
      <c r="S141" s="29"/>
      <c r="T141" s="22"/>
      <c r="U141" s="17"/>
      <c r="V141" s="22"/>
      <c r="W141" s="19" t="str">
        <f aca="true">IF(B141="","",IF(OR(O141="開通済",Q141&lt;&gt;""),"完了",IF(O141="キャンセル","―",IF(AND(V141&lt;&gt;"",V141&lt;TODAY()),"対応期限超過",IF(AND(P141&lt;&gt;"",P141&lt;TODAY()),"開通予定日超過",IF(AND(V141&lt;&gt;"",V141=TODAY()),"本日対応",IF(AND(P141&lt;&gt;"",P141-TODAY()&lt;=3),"開通間近","")))))))</f>
        <v/>
      </c>
      <c r="X141" s="17"/>
    </row>
    <row r="142" customFormat="false" ht="15" hidden="false" customHeight="false" outlineLevel="0" collapsed="false">
      <c r="A142" s="12" t="str">
        <f aca="false">IF(B142="","",ROW()-4)</f>
        <v/>
      </c>
      <c r="B142" s="17"/>
      <c r="C142" s="19" t="str">
        <f aca="false">IF(B142="","",IFERROR(INDEX(顧客一覧!$C$5:$C$304,MATCH(B142,顧客一覧!$B$5:$B$304,0)),"※ID未登録"))</f>
        <v/>
      </c>
      <c r="D142" s="12" t="str">
        <f aca="false">IF(B142="","",IFERROR(INDEX(顧客一覧!$K$5:$K$304,MATCH(B142,顧客一覧!$B$5:$B$304,0))&amp;"",""))</f>
        <v/>
      </c>
      <c r="E142" s="17"/>
      <c r="F142" s="17"/>
      <c r="G142" s="29"/>
      <c r="H142" s="17"/>
      <c r="I142" s="29"/>
      <c r="J142" s="26" t="str">
        <f aca="false">IF(OR(G142="",I142=""),"",G142-I142)</f>
        <v/>
      </c>
      <c r="K142" s="26" t="str">
        <f aca="false">IF(J142="","",J142*12)</f>
        <v/>
      </c>
      <c r="L142" s="29"/>
      <c r="M142" s="27" t="str">
        <f aca="false">IF(OR(L142="",J142=""),"",IF(J142&lt;=0,"回収不可",L142/J142))</f>
        <v/>
      </c>
      <c r="N142" s="22"/>
      <c r="O142" s="17"/>
      <c r="P142" s="22"/>
      <c r="Q142" s="22"/>
      <c r="R142" s="28" t="str">
        <f aca="true">IF(OR(P142="",Q142&lt;&gt;"",O142="キャンセル"),"",P142-TODAY())</f>
        <v/>
      </c>
      <c r="S142" s="29"/>
      <c r="T142" s="22"/>
      <c r="U142" s="17"/>
      <c r="V142" s="22"/>
      <c r="W142" s="19" t="str">
        <f aca="true">IF(B142="","",IF(OR(O142="開通済",Q142&lt;&gt;""),"完了",IF(O142="キャンセル","―",IF(AND(V142&lt;&gt;"",V142&lt;TODAY()),"対応期限超過",IF(AND(P142&lt;&gt;"",P142&lt;TODAY()),"開通予定日超過",IF(AND(V142&lt;&gt;"",V142=TODAY()),"本日対応",IF(AND(P142&lt;&gt;"",P142-TODAY()&lt;=3),"開通間近","")))))))</f>
        <v/>
      </c>
      <c r="X142" s="17"/>
    </row>
    <row r="143" customFormat="false" ht="15" hidden="false" customHeight="false" outlineLevel="0" collapsed="false">
      <c r="A143" s="12" t="str">
        <f aca="false">IF(B143="","",ROW()-4)</f>
        <v/>
      </c>
      <c r="B143" s="17"/>
      <c r="C143" s="19" t="str">
        <f aca="false">IF(B143="","",IFERROR(INDEX(顧客一覧!$C$5:$C$304,MATCH(B143,顧客一覧!$B$5:$B$304,0)),"※ID未登録"))</f>
        <v/>
      </c>
      <c r="D143" s="12" t="str">
        <f aca="false">IF(B143="","",IFERROR(INDEX(顧客一覧!$K$5:$K$304,MATCH(B143,顧客一覧!$B$5:$B$304,0))&amp;"",""))</f>
        <v/>
      </c>
      <c r="E143" s="17"/>
      <c r="F143" s="17"/>
      <c r="G143" s="29"/>
      <c r="H143" s="17"/>
      <c r="I143" s="29"/>
      <c r="J143" s="26" t="str">
        <f aca="false">IF(OR(G143="",I143=""),"",G143-I143)</f>
        <v/>
      </c>
      <c r="K143" s="26" t="str">
        <f aca="false">IF(J143="","",J143*12)</f>
        <v/>
      </c>
      <c r="L143" s="29"/>
      <c r="M143" s="27" t="str">
        <f aca="false">IF(OR(L143="",J143=""),"",IF(J143&lt;=0,"回収不可",L143/J143))</f>
        <v/>
      </c>
      <c r="N143" s="22"/>
      <c r="O143" s="17"/>
      <c r="P143" s="22"/>
      <c r="Q143" s="22"/>
      <c r="R143" s="28" t="str">
        <f aca="true">IF(OR(P143="",Q143&lt;&gt;"",O143="キャンセル"),"",P143-TODAY())</f>
        <v/>
      </c>
      <c r="S143" s="29"/>
      <c r="T143" s="22"/>
      <c r="U143" s="17"/>
      <c r="V143" s="22"/>
      <c r="W143" s="19" t="str">
        <f aca="true">IF(B143="","",IF(OR(O143="開通済",Q143&lt;&gt;""),"完了",IF(O143="キャンセル","―",IF(AND(V143&lt;&gt;"",V143&lt;TODAY()),"対応期限超過",IF(AND(P143&lt;&gt;"",P143&lt;TODAY()),"開通予定日超過",IF(AND(V143&lt;&gt;"",V143=TODAY()),"本日対応",IF(AND(P143&lt;&gt;"",P143-TODAY()&lt;=3),"開通間近","")))))))</f>
        <v/>
      </c>
      <c r="X143" s="17"/>
    </row>
    <row r="144" customFormat="false" ht="15" hidden="false" customHeight="false" outlineLevel="0" collapsed="false">
      <c r="A144" s="12" t="str">
        <f aca="false">IF(B144="","",ROW()-4)</f>
        <v/>
      </c>
      <c r="B144" s="17"/>
      <c r="C144" s="19" t="str">
        <f aca="false">IF(B144="","",IFERROR(INDEX(顧客一覧!$C$5:$C$304,MATCH(B144,顧客一覧!$B$5:$B$304,0)),"※ID未登録"))</f>
        <v/>
      </c>
      <c r="D144" s="12" t="str">
        <f aca="false">IF(B144="","",IFERROR(INDEX(顧客一覧!$K$5:$K$304,MATCH(B144,顧客一覧!$B$5:$B$304,0))&amp;"",""))</f>
        <v/>
      </c>
      <c r="E144" s="17"/>
      <c r="F144" s="17"/>
      <c r="G144" s="29"/>
      <c r="H144" s="17"/>
      <c r="I144" s="29"/>
      <c r="J144" s="26" t="str">
        <f aca="false">IF(OR(G144="",I144=""),"",G144-I144)</f>
        <v/>
      </c>
      <c r="K144" s="26" t="str">
        <f aca="false">IF(J144="","",J144*12)</f>
        <v/>
      </c>
      <c r="L144" s="29"/>
      <c r="M144" s="27" t="str">
        <f aca="false">IF(OR(L144="",J144=""),"",IF(J144&lt;=0,"回収不可",L144/J144))</f>
        <v/>
      </c>
      <c r="N144" s="22"/>
      <c r="O144" s="17"/>
      <c r="P144" s="22"/>
      <c r="Q144" s="22"/>
      <c r="R144" s="28" t="str">
        <f aca="true">IF(OR(P144="",Q144&lt;&gt;"",O144="キャンセル"),"",P144-TODAY())</f>
        <v/>
      </c>
      <c r="S144" s="29"/>
      <c r="T144" s="22"/>
      <c r="U144" s="17"/>
      <c r="V144" s="22"/>
      <c r="W144" s="19" t="str">
        <f aca="true">IF(B144="","",IF(OR(O144="開通済",Q144&lt;&gt;""),"完了",IF(O144="キャンセル","―",IF(AND(V144&lt;&gt;"",V144&lt;TODAY()),"対応期限超過",IF(AND(P144&lt;&gt;"",P144&lt;TODAY()),"開通予定日超過",IF(AND(V144&lt;&gt;"",V144=TODAY()),"本日対応",IF(AND(P144&lt;&gt;"",P144-TODAY()&lt;=3),"開通間近","")))))))</f>
        <v/>
      </c>
      <c r="X144" s="17"/>
    </row>
    <row r="145" customFormat="false" ht="15" hidden="false" customHeight="false" outlineLevel="0" collapsed="false">
      <c r="A145" s="12" t="str">
        <f aca="false">IF(B145="","",ROW()-4)</f>
        <v/>
      </c>
      <c r="B145" s="17"/>
      <c r="C145" s="19" t="str">
        <f aca="false">IF(B145="","",IFERROR(INDEX(顧客一覧!$C$5:$C$304,MATCH(B145,顧客一覧!$B$5:$B$304,0)),"※ID未登録"))</f>
        <v/>
      </c>
      <c r="D145" s="12" t="str">
        <f aca="false">IF(B145="","",IFERROR(INDEX(顧客一覧!$K$5:$K$304,MATCH(B145,顧客一覧!$B$5:$B$304,0))&amp;"",""))</f>
        <v/>
      </c>
      <c r="E145" s="17"/>
      <c r="F145" s="17"/>
      <c r="G145" s="29"/>
      <c r="H145" s="17"/>
      <c r="I145" s="29"/>
      <c r="J145" s="26" t="str">
        <f aca="false">IF(OR(G145="",I145=""),"",G145-I145)</f>
        <v/>
      </c>
      <c r="K145" s="26" t="str">
        <f aca="false">IF(J145="","",J145*12)</f>
        <v/>
      </c>
      <c r="L145" s="29"/>
      <c r="M145" s="27" t="str">
        <f aca="false">IF(OR(L145="",J145=""),"",IF(J145&lt;=0,"回収不可",L145/J145))</f>
        <v/>
      </c>
      <c r="N145" s="22"/>
      <c r="O145" s="17"/>
      <c r="P145" s="22"/>
      <c r="Q145" s="22"/>
      <c r="R145" s="28" t="str">
        <f aca="true">IF(OR(P145="",Q145&lt;&gt;"",O145="キャンセル"),"",P145-TODAY())</f>
        <v/>
      </c>
      <c r="S145" s="29"/>
      <c r="T145" s="22"/>
      <c r="U145" s="17"/>
      <c r="V145" s="22"/>
      <c r="W145" s="19" t="str">
        <f aca="true">IF(B145="","",IF(OR(O145="開通済",Q145&lt;&gt;""),"完了",IF(O145="キャンセル","―",IF(AND(V145&lt;&gt;"",V145&lt;TODAY()),"対応期限超過",IF(AND(P145&lt;&gt;"",P145&lt;TODAY()),"開通予定日超過",IF(AND(V145&lt;&gt;"",V145=TODAY()),"本日対応",IF(AND(P145&lt;&gt;"",P145-TODAY()&lt;=3),"開通間近","")))))))</f>
        <v/>
      </c>
      <c r="X145" s="17"/>
    </row>
    <row r="146" customFormat="false" ht="15" hidden="false" customHeight="false" outlineLevel="0" collapsed="false">
      <c r="A146" s="12" t="str">
        <f aca="false">IF(B146="","",ROW()-4)</f>
        <v/>
      </c>
      <c r="B146" s="17"/>
      <c r="C146" s="19" t="str">
        <f aca="false">IF(B146="","",IFERROR(INDEX(顧客一覧!$C$5:$C$304,MATCH(B146,顧客一覧!$B$5:$B$304,0)),"※ID未登録"))</f>
        <v/>
      </c>
      <c r="D146" s="12" t="str">
        <f aca="false">IF(B146="","",IFERROR(INDEX(顧客一覧!$K$5:$K$304,MATCH(B146,顧客一覧!$B$5:$B$304,0))&amp;"",""))</f>
        <v/>
      </c>
      <c r="E146" s="17"/>
      <c r="F146" s="17"/>
      <c r="G146" s="29"/>
      <c r="H146" s="17"/>
      <c r="I146" s="29"/>
      <c r="J146" s="26" t="str">
        <f aca="false">IF(OR(G146="",I146=""),"",G146-I146)</f>
        <v/>
      </c>
      <c r="K146" s="26" t="str">
        <f aca="false">IF(J146="","",J146*12)</f>
        <v/>
      </c>
      <c r="L146" s="29"/>
      <c r="M146" s="27" t="str">
        <f aca="false">IF(OR(L146="",J146=""),"",IF(J146&lt;=0,"回収不可",L146/J146))</f>
        <v/>
      </c>
      <c r="N146" s="22"/>
      <c r="O146" s="17"/>
      <c r="P146" s="22"/>
      <c r="Q146" s="22"/>
      <c r="R146" s="28" t="str">
        <f aca="true">IF(OR(P146="",Q146&lt;&gt;"",O146="キャンセル"),"",P146-TODAY())</f>
        <v/>
      </c>
      <c r="S146" s="29"/>
      <c r="T146" s="22"/>
      <c r="U146" s="17"/>
      <c r="V146" s="22"/>
      <c r="W146" s="19" t="str">
        <f aca="true">IF(B146="","",IF(OR(O146="開通済",Q146&lt;&gt;""),"完了",IF(O146="キャンセル","―",IF(AND(V146&lt;&gt;"",V146&lt;TODAY()),"対応期限超過",IF(AND(P146&lt;&gt;"",P146&lt;TODAY()),"開通予定日超過",IF(AND(V146&lt;&gt;"",V146=TODAY()),"本日対応",IF(AND(P146&lt;&gt;"",P146-TODAY()&lt;=3),"開通間近","")))))))</f>
        <v/>
      </c>
      <c r="X146" s="17"/>
    </row>
    <row r="147" customFormat="false" ht="15" hidden="false" customHeight="false" outlineLevel="0" collapsed="false">
      <c r="A147" s="12" t="str">
        <f aca="false">IF(B147="","",ROW()-4)</f>
        <v/>
      </c>
      <c r="B147" s="17"/>
      <c r="C147" s="19" t="str">
        <f aca="false">IF(B147="","",IFERROR(INDEX(顧客一覧!$C$5:$C$304,MATCH(B147,顧客一覧!$B$5:$B$304,0)),"※ID未登録"))</f>
        <v/>
      </c>
      <c r="D147" s="12" t="str">
        <f aca="false">IF(B147="","",IFERROR(INDEX(顧客一覧!$K$5:$K$304,MATCH(B147,顧客一覧!$B$5:$B$304,0))&amp;"",""))</f>
        <v/>
      </c>
      <c r="E147" s="17"/>
      <c r="F147" s="17"/>
      <c r="G147" s="29"/>
      <c r="H147" s="17"/>
      <c r="I147" s="29"/>
      <c r="J147" s="26" t="str">
        <f aca="false">IF(OR(G147="",I147=""),"",G147-I147)</f>
        <v/>
      </c>
      <c r="K147" s="26" t="str">
        <f aca="false">IF(J147="","",J147*12)</f>
        <v/>
      </c>
      <c r="L147" s="29"/>
      <c r="M147" s="27" t="str">
        <f aca="false">IF(OR(L147="",J147=""),"",IF(J147&lt;=0,"回収不可",L147/J147))</f>
        <v/>
      </c>
      <c r="N147" s="22"/>
      <c r="O147" s="17"/>
      <c r="P147" s="22"/>
      <c r="Q147" s="22"/>
      <c r="R147" s="28" t="str">
        <f aca="true">IF(OR(P147="",Q147&lt;&gt;"",O147="キャンセル"),"",P147-TODAY())</f>
        <v/>
      </c>
      <c r="S147" s="29"/>
      <c r="T147" s="22"/>
      <c r="U147" s="17"/>
      <c r="V147" s="22"/>
      <c r="W147" s="19" t="str">
        <f aca="true">IF(B147="","",IF(OR(O147="開通済",Q147&lt;&gt;""),"完了",IF(O147="キャンセル","―",IF(AND(V147&lt;&gt;"",V147&lt;TODAY()),"対応期限超過",IF(AND(P147&lt;&gt;"",P147&lt;TODAY()),"開通予定日超過",IF(AND(V147&lt;&gt;"",V147=TODAY()),"本日対応",IF(AND(P147&lt;&gt;"",P147-TODAY()&lt;=3),"開通間近","")))))))</f>
        <v/>
      </c>
      <c r="X147" s="17"/>
    </row>
    <row r="148" customFormat="false" ht="15" hidden="false" customHeight="false" outlineLevel="0" collapsed="false">
      <c r="A148" s="12" t="str">
        <f aca="false">IF(B148="","",ROW()-4)</f>
        <v/>
      </c>
      <c r="B148" s="17"/>
      <c r="C148" s="19" t="str">
        <f aca="false">IF(B148="","",IFERROR(INDEX(顧客一覧!$C$5:$C$304,MATCH(B148,顧客一覧!$B$5:$B$304,0)),"※ID未登録"))</f>
        <v/>
      </c>
      <c r="D148" s="12" t="str">
        <f aca="false">IF(B148="","",IFERROR(INDEX(顧客一覧!$K$5:$K$304,MATCH(B148,顧客一覧!$B$5:$B$304,0))&amp;"",""))</f>
        <v/>
      </c>
      <c r="E148" s="17"/>
      <c r="F148" s="17"/>
      <c r="G148" s="29"/>
      <c r="H148" s="17"/>
      <c r="I148" s="29"/>
      <c r="J148" s="26" t="str">
        <f aca="false">IF(OR(G148="",I148=""),"",G148-I148)</f>
        <v/>
      </c>
      <c r="K148" s="26" t="str">
        <f aca="false">IF(J148="","",J148*12)</f>
        <v/>
      </c>
      <c r="L148" s="29"/>
      <c r="M148" s="27" t="str">
        <f aca="false">IF(OR(L148="",J148=""),"",IF(J148&lt;=0,"回収不可",L148/J148))</f>
        <v/>
      </c>
      <c r="N148" s="22"/>
      <c r="O148" s="17"/>
      <c r="P148" s="22"/>
      <c r="Q148" s="22"/>
      <c r="R148" s="28" t="str">
        <f aca="true">IF(OR(P148="",Q148&lt;&gt;"",O148="キャンセル"),"",P148-TODAY())</f>
        <v/>
      </c>
      <c r="S148" s="29"/>
      <c r="T148" s="22"/>
      <c r="U148" s="17"/>
      <c r="V148" s="22"/>
      <c r="W148" s="19" t="str">
        <f aca="true">IF(B148="","",IF(OR(O148="開通済",Q148&lt;&gt;""),"完了",IF(O148="キャンセル","―",IF(AND(V148&lt;&gt;"",V148&lt;TODAY()),"対応期限超過",IF(AND(P148&lt;&gt;"",P148&lt;TODAY()),"開通予定日超過",IF(AND(V148&lt;&gt;"",V148=TODAY()),"本日対応",IF(AND(P148&lt;&gt;"",P148-TODAY()&lt;=3),"開通間近","")))))))</f>
        <v/>
      </c>
      <c r="X148" s="17"/>
    </row>
    <row r="149" customFormat="false" ht="15" hidden="false" customHeight="false" outlineLevel="0" collapsed="false">
      <c r="A149" s="12" t="str">
        <f aca="false">IF(B149="","",ROW()-4)</f>
        <v/>
      </c>
      <c r="B149" s="17"/>
      <c r="C149" s="19" t="str">
        <f aca="false">IF(B149="","",IFERROR(INDEX(顧客一覧!$C$5:$C$304,MATCH(B149,顧客一覧!$B$5:$B$304,0)),"※ID未登録"))</f>
        <v/>
      </c>
      <c r="D149" s="12" t="str">
        <f aca="false">IF(B149="","",IFERROR(INDEX(顧客一覧!$K$5:$K$304,MATCH(B149,顧客一覧!$B$5:$B$304,0))&amp;"",""))</f>
        <v/>
      </c>
      <c r="E149" s="17"/>
      <c r="F149" s="17"/>
      <c r="G149" s="29"/>
      <c r="H149" s="17"/>
      <c r="I149" s="29"/>
      <c r="J149" s="26" t="str">
        <f aca="false">IF(OR(G149="",I149=""),"",G149-I149)</f>
        <v/>
      </c>
      <c r="K149" s="26" t="str">
        <f aca="false">IF(J149="","",J149*12)</f>
        <v/>
      </c>
      <c r="L149" s="29"/>
      <c r="M149" s="27" t="str">
        <f aca="false">IF(OR(L149="",J149=""),"",IF(J149&lt;=0,"回収不可",L149/J149))</f>
        <v/>
      </c>
      <c r="N149" s="22"/>
      <c r="O149" s="17"/>
      <c r="P149" s="22"/>
      <c r="Q149" s="22"/>
      <c r="R149" s="28" t="str">
        <f aca="true">IF(OR(P149="",Q149&lt;&gt;"",O149="キャンセル"),"",P149-TODAY())</f>
        <v/>
      </c>
      <c r="S149" s="29"/>
      <c r="T149" s="22"/>
      <c r="U149" s="17"/>
      <c r="V149" s="22"/>
      <c r="W149" s="19" t="str">
        <f aca="true">IF(B149="","",IF(OR(O149="開通済",Q149&lt;&gt;""),"完了",IF(O149="キャンセル","―",IF(AND(V149&lt;&gt;"",V149&lt;TODAY()),"対応期限超過",IF(AND(P149&lt;&gt;"",P149&lt;TODAY()),"開通予定日超過",IF(AND(V149&lt;&gt;"",V149=TODAY()),"本日対応",IF(AND(P149&lt;&gt;"",P149-TODAY()&lt;=3),"開通間近","")))))))</f>
        <v/>
      </c>
      <c r="X149" s="17"/>
    </row>
    <row r="150" customFormat="false" ht="15" hidden="false" customHeight="false" outlineLevel="0" collapsed="false">
      <c r="A150" s="12" t="str">
        <f aca="false">IF(B150="","",ROW()-4)</f>
        <v/>
      </c>
      <c r="B150" s="17"/>
      <c r="C150" s="19" t="str">
        <f aca="false">IF(B150="","",IFERROR(INDEX(顧客一覧!$C$5:$C$304,MATCH(B150,顧客一覧!$B$5:$B$304,0)),"※ID未登録"))</f>
        <v/>
      </c>
      <c r="D150" s="12" t="str">
        <f aca="false">IF(B150="","",IFERROR(INDEX(顧客一覧!$K$5:$K$304,MATCH(B150,顧客一覧!$B$5:$B$304,0))&amp;"",""))</f>
        <v/>
      </c>
      <c r="E150" s="17"/>
      <c r="F150" s="17"/>
      <c r="G150" s="29"/>
      <c r="H150" s="17"/>
      <c r="I150" s="29"/>
      <c r="J150" s="26" t="str">
        <f aca="false">IF(OR(G150="",I150=""),"",G150-I150)</f>
        <v/>
      </c>
      <c r="K150" s="26" t="str">
        <f aca="false">IF(J150="","",J150*12)</f>
        <v/>
      </c>
      <c r="L150" s="29"/>
      <c r="M150" s="27" t="str">
        <f aca="false">IF(OR(L150="",J150=""),"",IF(J150&lt;=0,"回収不可",L150/J150))</f>
        <v/>
      </c>
      <c r="N150" s="22"/>
      <c r="O150" s="17"/>
      <c r="P150" s="22"/>
      <c r="Q150" s="22"/>
      <c r="R150" s="28" t="str">
        <f aca="true">IF(OR(P150="",Q150&lt;&gt;"",O150="キャンセル"),"",P150-TODAY())</f>
        <v/>
      </c>
      <c r="S150" s="29"/>
      <c r="T150" s="22"/>
      <c r="U150" s="17"/>
      <c r="V150" s="22"/>
      <c r="W150" s="19" t="str">
        <f aca="true">IF(B150="","",IF(OR(O150="開通済",Q150&lt;&gt;""),"完了",IF(O150="キャンセル","―",IF(AND(V150&lt;&gt;"",V150&lt;TODAY()),"対応期限超過",IF(AND(P150&lt;&gt;"",P150&lt;TODAY()),"開通予定日超過",IF(AND(V150&lt;&gt;"",V150=TODAY()),"本日対応",IF(AND(P150&lt;&gt;"",P150-TODAY()&lt;=3),"開通間近","")))))))</f>
        <v/>
      </c>
      <c r="X150" s="17"/>
    </row>
    <row r="151" customFormat="false" ht="15" hidden="false" customHeight="false" outlineLevel="0" collapsed="false">
      <c r="A151" s="12" t="str">
        <f aca="false">IF(B151="","",ROW()-4)</f>
        <v/>
      </c>
      <c r="B151" s="17"/>
      <c r="C151" s="19" t="str">
        <f aca="false">IF(B151="","",IFERROR(INDEX(顧客一覧!$C$5:$C$304,MATCH(B151,顧客一覧!$B$5:$B$304,0)),"※ID未登録"))</f>
        <v/>
      </c>
      <c r="D151" s="12" t="str">
        <f aca="false">IF(B151="","",IFERROR(INDEX(顧客一覧!$K$5:$K$304,MATCH(B151,顧客一覧!$B$5:$B$304,0))&amp;"",""))</f>
        <v/>
      </c>
      <c r="E151" s="17"/>
      <c r="F151" s="17"/>
      <c r="G151" s="29"/>
      <c r="H151" s="17"/>
      <c r="I151" s="29"/>
      <c r="J151" s="26" t="str">
        <f aca="false">IF(OR(G151="",I151=""),"",G151-I151)</f>
        <v/>
      </c>
      <c r="K151" s="26" t="str">
        <f aca="false">IF(J151="","",J151*12)</f>
        <v/>
      </c>
      <c r="L151" s="29"/>
      <c r="M151" s="27" t="str">
        <f aca="false">IF(OR(L151="",J151=""),"",IF(J151&lt;=0,"回収不可",L151/J151))</f>
        <v/>
      </c>
      <c r="N151" s="22"/>
      <c r="O151" s="17"/>
      <c r="P151" s="22"/>
      <c r="Q151" s="22"/>
      <c r="R151" s="28" t="str">
        <f aca="true">IF(OR(P151="",Q151&lt;&gt;"",O151="キャンセル"),"",P151-TODAY())</f>
        <v/>
      </c>
      <c r="S151" s="29"/>
      <c r="T151" s="22"/>
      <c r="U151" s="17"/>
      <c r="V151" s="22"/>
      <c r="W151" s="19" t="str">
        <f aca="true">IF(B151="","",IF(OR(O151="開通済",Q151&lt;&gt;""),"完了",IF(O151="キャンセル","―",IF(AND(V151&lt;&gt;"",V151&lt;TODAY()),"対応期限超過",IF(AND(P151&lt;&gt;"",P151&lt;TODAY()),"開通予定日超過",IF(AND(V151&lt;&gt;"",V151=TODAY()),"本日対応",IF(AND(P151&lt;&gt;"",P151-TODAY()&lt;=3),"開通間近","")))))))</f>
        <v/>
      </c>
      <c r="X151" s="17"/>
    </row>
    <row r="152" customFormat="false" ht="15" hidden="false" customHeight="false" outlineLevel="0" collapsed="false">
      <c r="A152" s="12" t="str">
        <f aca="false">IF(B152="","",ROW()-4)</f>
        <v/>
      </c>
      <c r="B152" s="17"/>
      <c r="C152" s="19" t="str">
        <f aca="false">IF(B152="","",IFERROR(INDEX(顧客一覧!$C$5:$C$304,MATCH(B152,顧客一覧!$B$5:$B$304,0)),"※ID未登録"))</f>
        <v/>
      </c>
      <c r="D152" s="12" t="str">
        <f aca="false">IF(B152="","",IFERROR(INDEX(顧客一覧!$K$5:$K$304,MATCH(B152,顧客一覧!$B$5:$B$304,0))&amp;"",""))</f>
        <v/>
      </c>
      <c r="E152" s="17"/>
      <c r="F152" s="17"/>
      <c r="G152" s="29"/>
      <c r="H152" s="17"/>
      <c r="I152" s="29"/>
      <c r="J152" s="26" t="str">
        <f aca="false">IF(OR(G152="",I152=""),"",G152-I152)</f>
        <v/>
      </c>
      <c r="K152" s="26" t="str">
        <f aca="false">IF(J152="","",J152*12)</f>
        <v/>
      </c>
      <c r="L152" s="29"/>
      <c r="M152" s="27" t="str">
        <f aca="false">IF(OR(L152="",J152=""),"",IF(J152&lt;=0,"回収不可",L152/J152))</f>
        <v/>
      </c>
      <c r="N152" s="22"/>
      <c r="O152" s="17"/>
      <c r="P152" s="22"/>
      <c r="Q152" s="22"/>
      <c r="R152" s="28" t="str">
        <f aca="true">IF(OR(P152="",Q152&lt;&gt;"",O152="キャンセル"),"",P152-TODAY())</f>
        <v/>
      </c>
      <c r="S152" s="29"/>
      <c r="T152" s="22"/>
      <c r="U152" s="17"/>
      <c r="V152" s="22"/>
      <c r="W152" s="19" t="str">
        <f aca="true">IF(B152="","",IF(OR(O152="開通済",Q152&lt;&gt;""),"完了",IF(O152="キャンセル","―",IF(AND(V152&lt;&gt;"",V152&lt;TODAY()),"対応期限超過",IF(AND(P152&lt;&gt;"",P152&lt;TODAY()),"開通予定日超過",IF(AND(V152&lt;&gt;"",V152=TODAY()),"本日対応",IF(AND(P152&lt;&gt;"",P152-TODAY()&lt;=3),"開通間近","")))))))</f>
        <v/>
      </c>
      <c r="X152" s="17"/>
    </row>
    <row r="153" customFormat="false" ht="15" hidden="false" customHeight="false" outlineLevel="0" collapsed="false">
      <c r="A153" s="12" t="str">
        <f aca="false">IF(B153="","",ROW()-4)</f>
        <v/>
      </c>
      <c r="B153" s="17"/>
      <c r="C153" s="19" t="str">
        <f aca="false">IF(B153="","",IFERROR(INDEX(顧客一覧!$C$5:$C$304,MATCH(B153,顧客一覧!$B$5:$B$304,0)),"※ID未登録"))</f>
        <v/>
      </c>
      <c r="D153" s="12" t="str">
        <f aca="false">IF(B153="","",IFERROR(INDEX(顧客一覧!$K$5:$K$304,MATCH(B153,顧客一覧!$B$5:$B$304,0))&amp;"",""))</f>
        <v/>
      </c>
      <c r="E153" s="17"/>
      <c r="F153" s="17"/>
      <c r="G153" s="29"/>
      <c r="H153" s="17"/>
      <c r="I153" s="29"/>
      <c r="J153" s="26" t="str">
        <f aca="false">IF(OR(G153="",I153=""),"",G153-I153)</f>
        <v/>
      </c>
      <c r="K153" s="26" t="str">
        <f aca="false">IF(J153="","",J153*12)</f>
        <v/>
      </c>
      <c r="L153" s="29"/>
      <c r="M153" s="27" t="str">
        <f aca="false">IF(OR(L153="",J153=""),"",IF(J153&lt;=0,"回収不可",L153/J153))</f>
        <v/>
      </c>
      <c r="N153" s="22"/>
      <c r="O153" s="17"/>
      <c r="P153" s="22"/>
      <c r="Q153" s="22"/>
      <c r="R153" s="28" t="str">
        <f aca="true">IF(OR(P153="",Q153&lt;&gt;"",O153="キャンセル"),"",P153-TODAY())</f>
        <v/>
      </c>
      <c r="S153" s="29"/>
      <c r="T153" s="22"/>
      <c r="U153" s="17"/>
      <c r="V153" s="22"/>
      <c r="W153" s="19" t="str">
        <f aca="true">IF(B153="","",IF(OR(O153="開通済",Q153&lt;&gt;""),"完了",IF(O153="キャンセル","―",IF(AND(V153&lt;&gt;"",V153&lt;TODAY()),"対応期限超過",IF(AND(P153&lt;&gt;"",P153&lt;TODAY()),"開通予定日超過",IF(AND(V153&lt;&gt;"",V153=TODAY()),"本日対応",IF(AND(P153&lt;&gt;"",P153-TODAY()&lt;=3),"開通間近","")))))))</f>
        <v/>
      </c>
      <c r="X153" s="17"/>
    </row>
    <row r="154" customFormat="false" ht="15" hidden="false" customHeight="false" outlineLevel="0" collapsed="false">
      <c r="A154" s="12" t="str">
        <f aca="false">IF(B154="","",ROW()-4)</f>
        <v/>
      </c>
      <c r="B154" s="17"/>
      <c r="C154" s="19" t="str">
        <f aca="false">IF(B154="","",IFERROR(INDEX(顧客一覧!$C$5:$C$304,MATCH(B154,顧客一覧!$B$5:$B$304,0)),"※ID未登録"))</f>
        <v/>
      </c>
      <c r="D154" s="12" t="str">
        <f aca="false">IF(B154="","",IFERROR(INDEX(顧客一覧!$K$5:$K$304,MATCH(B154,顧客一覧!$B$5:$B$304,0))&amp;"",""))</f>
        <v/>
      </c>
      <c r="E154" s="17"/>
      <c r="F154" s="17"/>
      <c r="G154" s="29"/>
      <c r="H154" s="17"/>
      <c r="I154" s="29"/>
      <c r="J154" s="26" t="str">
        <f aca="false">IF(OR(G154="",I154=""),"",G154-I154)</f>
        <v/>
      </c>
      <c r="K154" s="26" t="str">
        <f aca="false">IF(J154="","",J154*12)</f>
        <v/>
      </c>
      <c r="L154" s="29"/>
      <c r="M154" s="27" t="str">
        <f aca="false">IF(OR(L154="",J154=""),"",IF(J154&lt;=0,"回収不可",L154/J154))</f>
        <v/>
      </c>
      <c r="N154" s="22"/>
      <c r="O154" s="17"/>
      <c r="P154" s="22"/>
      <c r="Q154" s="22"/>
      <c r="R154" s="28" t="str">
        <f aca="true">IF(OR(P154="",Q154&lt;&gt;"",O154="キャンセル"),"",P154-TODAY())</f>
        <v/>
      </c>
      <c r="S154" s="29"/>
      <c r="T154" s="22"/>
      <c r="U154" s="17"/>
      <c r="V154" s="22"/>
      <c r="W154" s="19" t="str">
        <f aca="true">IF(B154="","",IF(OR(O154="開通済",Q154&lt;&gt;""),"完了",IF(O154="キャンセル","―",IF(AND(V154&lt;&gt;"",V154&lt;TODAY()),"対応期限超過",IF(AND(P154&lt;&gt;"",P154&lt;TODAY()),"開通予定日超過",IF(AND(V154&lt;&gt;"",V154=TODAY()),"本日対応",IF(AND(P154&lt;&gt;"",P154-TODAY()&lt;=3),"開通間近","")))))))</f>
        <v/>
      </c>
      <c r="X154" s="17"/>
    </row>
    <row r="155" customFormat="false" ht="15" hidden="false" customHeight="false" outlineLevel="0" collapsed="false">
      <c r="A155" s="12" t="str">
        <f aca="false">IF(B155="","",ROW()-4)</f>
        <v/>
      </c>
      <c r="B155" s="17"/>
      <c r="C155" s="19" t="str">
        <f aca="false">IF(B155="","",IFERROR(INDEX(顧客一覧!$C$5:$C$304,MATCH(B155,顧客一覧!$B$5:$B$304,0)),"※ID未登録"))</f>
        <v/>
      </c>
      <c r="D155" s="12" t="str">
        <f aca="false">IF(B155="","",IFERROR(INDEX(顧客一覧!$K$5:$K$304,MATCH(B155,顧客一覧!$B$5:$B$304,0))&amp;"",""))</f>
        <v/>
      </c>
      <c r="E155" s="17"/>
      <c r="F155" s="17"/>
      <c r="G155" s="29"/>
      <c r="H155" s="17"/>
      <c r="I155" s="29"/>
      <c r="J155" s="26" t="str">
        <f aca="false">IF(OR(G155="",I155=""),"",G155-I155)</f>
        <v/>
      </c>
      <c r="K155" s="26" t="str">
        <f aca="false">IF(J155="","",J155*12)</f>
        <v/>
      </c>
      <c r="L155" s="29"/>
      <c r="M155" s="27" t="str">
        <f aca="false">IF(OR(L155="",J155=""),"",IF(J155&lt;=0,"回収不可",L155/J155))</f>
        <v/>
      </c>
      <c r="N155" s="22"/>
      <c r="O155" s="17"/>
      <c r="P155" s="22"/>
      <c r="Q155" s="22"/>
      <c r="R155" s="28" t="str">
        <f aca="true">IF(OR(P155="",Q155&lt;&gt;"",O155="キャンセル"),"",P155-TODAY())</f>
        <v/>
      </c>
      <c r="S155" s="29"/>
      <c r="T155" s="22"/>
      <c r="U155" s="17"/>
      <c r="V155" s="22"/>
      <c r="W155" s="19" t="str">
        <f aca="true">IF(B155="","",IF(OR(O155="開通済",Q155&lt;&gt;""),"完了",IF(O155="キャンセル","―",IF(AND(V155&lt;&gt;"",V155&lt;TODAY()),"対応期限超過",IF(AND(P155&lt;&gt;"",P155&lt;TODAY()),"開通予定日超過",IF(AND(V155&lt;&gt;"",V155=TODAY()),"本日対応",IF(AND(P155&lt;&gt;"",P155-TODAY()&lt;=3),"開通間近","")))))))</f>
        <v/>
      </c>
      <c r="X155" s="17"/>
    </row>
    <row r="156" customFormat="false" ht="15" hidden="false" customHeight="false" outlineLevel="0" collapsed="false">
      <c r="A156" s="12" t="str">
        <f aca="false">IF(B156="","",ROW()-4)</f>
        <v/>
      </c>
      <c r="B156" s="17"/>
      <c r="C156" s="19" t="str">
        <f aca="false">IF(B156="","",IFERROR(INDEX(顧客一覧!$C$5:$C$304,MATCH(B156,顧客一覧!$B$5:$B$304,0)),"※ID未登録"))</f>
        <v/>
      </c>
      <c r="D156" s="12" t="str">
        <f aca="false">IF(B156="","",IFERROR(INDEX(顧客一覧!$K$5:$K$304,MATCH(B156,顧客一覧!$B$5:$B$304,0))&amp;"",""))</f>
        <v/>
      </c>
      <c r="E156" s="17"/>
      <c r="F156" s="17"/>
      <c r="G156" s="29"/>
      <c r="H156" s="17"/>
      <c r="I156" s="29"/>
      <c r="J156" s="26" t="str">
        <f aca="false">IF(OR(G156="",I156=""),"",G156-I156)</f>
        <v/>
      </c>
      <c r="K156" s="26" t="str">
        <f aca="false">IF(J156="","",J156*12)</f>
        <v/>
      </c>
      <c r="L156" s="29"/>
      <c r="M156" s="27" t="str">
        <f aca="false">IF(OR(L156="",J156=""),"",IF(J156&lt;=0,"回収不可",L156/J156))</f>
        <v/>
      </c>
      <c r="N156" s="22"/>
      <c r="O156" s="17"/>
      <c r="P156" s="22"/>
      <c r="Q156" s="22"/>
      <c r="R156" s="28" t="str">
        <f aca="true">IF(OR(P156="",Q156&lt;&gt;"",O156="キャンセル"),"",P156-TODAY())</f>
        <v/>
      </c>
      <c r="S156" s="29"/>
      <c r="T156" s="22"/>
      <c r="U156" s="17"/>
      <c r="V156" s="22"/>
      <c r="W156" s="19" t="str">
        <f aca="true">IF(B156="","",IF(OR(O156="開通済",Q156&lt;&gt;""),"完了",IF(O156="キャンセル","―",IF(AND(V156&lt;&gt;"",V156&lt;TODAY()),"対応期限超過",IF(AND(P156&lt;&gt;"",P156&lt;TODAY()),"開通予定日超過",IF(AND(V156&lt;&gt;"",V156=TODAY()),"本日対応",IF(AND(P156&lt;&gt;"",P156-TODAY()&lt;=3),"開通間近","")))))))</f>
        <v/>
      </c>
      <c r="X156" s="17"/>
    </row>
    <row r="157" customFormat="false" ht="15" hidden="false" customHeight="false" outlineLevel="0" collapsed="false">
      <c r="A157" s="12" t="str">
        <f aca="false">IF(B157="","",ROW()-4)</f>
        <v/>
      </c>
      <c r="B157" s="17"/>
      <c r="C157" s="19" t="str">
        <f aca="false">IF(B157="","",IFERROR(INDEX(顧客一覧!$C$5:$C$304,MATCH(B157,顧客一覧!$B$5:$B$304,0)),"※ID未登録"))</f>
        <v/>
      </c>
      <c r="D157" s="12" t="str">
        <f aca="false">IF(B157="","",IFERROR(INDEX(顧客一覧!$K$5:$K$304,MATCH(B157,顧客一覧!$B$5:$B$304,0))&amp;"",""))</f>
        <v/>
      </c>
      <c r="E157" s="17"/>
      <c r="F157" s="17"/>
      <c r="G157" s="29"/>
      <c r="H157" s="17"/>
      <c r="I157" s="29"/>
      <c r="J157" s="26" t="str">
        <f aca="false">IF(OR(G157="",I157=""),"",G157-I157)</f>
        <v/>
      </c>
      <c r="K157" s="26" t="str">
        <f aca="false">IF(J157="","",J157*12)</f>
        <v/>
      </c>
      <c r="L157" s="29"/>
      <c r="M157" s="27" t="str">
        <f aca="false">IF(OR(L157="",J157=""),"",IF(J157&lt;=0,"回収不可",L157/J157))</f>
        <v/>
      </c>
      <c r="N157" s="22"/>
      <c r="O157" s="17"/>
      <c r="P157" s="22"/>
      <c r="Q157" s="22"/>
      <c r="R157" s="28" t="str">
        <f aca="true">IF(OR(P157="",Q157&lt;&gt;"",O157="キャンセル"),"",P157-TODAY())</f>
        <v/>
      </c>
      <c r="S157" s="29"/>
      <c r="T157" s="22"/>
      <c r="U157" s="17"/>
      <c r="V157" s="22"/>
      <c r="W157" s="19" t="str">
        <f aca="true">IF(B157="","",IF(OR(O157="開通済",Q157&lt;&gt;""),"完了",IF(O157="キャンセル","―",IF(AND(V157&lt;&gt;"",V157&lt;TODAY()),"対応期限超過",IF(AND(P157&lt;&gt;"",P157&lt;TODAY()),"開通予定日超過",IF(AND(V157&lt;&gt;"",V157=TODAY()),"本日対応",IF(AND(P157&lt;&gt;"",P157-TODAY()&lt;=3),"開通間近","")))))))</f>
        <v/>
      </c>
      <c r="X157" s="17"/>
    </row>
    <row r="158" customFormat="false" ht="15" hidden="false" customHeight="false" outlineLevel="0" collapsed="false">
      <c r="A158" s="12" t="str">
        <f aca="false">IF(B158="","",ROW()-4)</f>
        <v/>
      </c>
      <c r="B158" s="17"/>
      <c r="C158" s="19" t="str">
        <f aca="false">IF(B158="","",IFERROR(INDEX(顧客一覧!$C$5:$C$304,MATCH(B158,顧客一覧!$B$5:$B$304,0)),"※ID未登録"))</f>
        <v/>
      </c>
      <c r="D158" s="12" t="str">
        <f aca="false">IF(B158="","",IFERROR(INDEX(顧客一覧!$K$5:$K$304,MATCH(B158,顧客一覧!$B$5:$B$304,0))&amp;"",""))</f>
        <v/>
      </c>
      <c r="E158" s="17"/>
      <c r="F158" s="17"/>
      <c r="G158" s="29"/>
      <c r="H158" s="17"/>
      <c r="I158" s="29"/>
      <c r="J158" s="26" t="str">
        <f aca="false">IF(OR(G158="",I158=""),"",G158-I158)</f>
        <v/>
      </c>
      <c r="K158" s="26" t="str">
        <f aca="false">IF(J158="","",J158*12)</f>
        <v/>
      </c>
      <c r="L158" s="29"/>
      <c r="M158" s="27" t="str">
        <f aca="false">IF(OR(L158="",J158=""),"",IF(J158&lt;=0,"回収不可",L158/J158))</f>
        <v/>
      </c>
      <c r="N158" s="22"/>
      <c r="O158" s="17"/>
      <c r="P158" s="22"/>
      <c r="Q158" s="22"/>
      <c r="R158" s="28" t="str">
        <f aca="true">IF(OR(P158="",Q158&lt;&gt;"",O158="キャンセル"),"",P158-TODAY())</f>
        <v/>
      </c>
      <c r="S158" s="29"/>
      <c r="T158" s="22"/>
      <c r="U158" s="17"/>
      <c r="V158" s="22"/>
      <c r="W158" s="19" t="str">
        <f aca="true">IF(B158="","",IF(OR(O158="開通済",Q158&lt;&gt;""),"完了",IF(O158="キャンセル","―",IF(AND(V158&lt;&gt;"",V158&lt;TODAY()),"対応期限超過",IF(AND(P158&lt;&gt;"",P158&lt;TODAY()),"開通予定日超過",IF(AND(V158&lt;&gt;"",V158=TODAY()),"本日対応",IF(AND(P158&lt;&gt;"",P158-TODAY()&lt;=3),"開通間近","")))))))</f>
        <v/>
      </c>
      <c r="X158" s="17"/>
    </row>
    <row r="159" customFormat="false" ht="15" hidden="false" customHeight="false" outlineLevel="0" collapsed="false">
      <c r="A159" s="12" t="str">
        <f aca="false">IF(B159="","",ROW()-4)</f>
        <v/>
      </c>
      <c r="B159" s="17"/>
      <c r="C159" s="19" t="str">
        <f aca="false">IF(B159="","",IFERROR(INDEX(顧客一覧!$C$5:$C$304,MATCH(B159,顧客一覧!$B$5:$B$304,0)),"※ID未登録"))</f>
        <v/>
      </c>
      <c r="D159" s="12" t="str">
        <f aca="false">IF(B159="","",IFERROR(INDEX(顧客一覧!$K$5:$K$304,MATCH(B159,顧客一覧!$B$5:$B$304,0))&amp;"",""))</f>
        <v/>
      </c>
      <c r="E159" s="17"/>
      <c r="F159" s="17"/>
      <c r="G159" s="29"/>
      <c r="H159" s="17"/>
      <c r="I159" s="29"/>
      <c r="J159" s="26" t="str">
        <f aca="false">IF(OR(G159="",I159=""),"",G159-I159)</f>
        <v/>
      </c>
      <c r="K159" s="26" t="str">
        <f aca="false">IF(J159="","",J159*12)</f>
        <v/>
      </c>
      <c r="L159" s="29"/>
      <c r="M159" s="27" t="str">
        <f aca="false">IF(OR(L159="",J159=""),"",IF(J159&lt;=0,"回収不可",L159/J159))</f>
        <v/>
      </c>
      <c r="N159" s="22"/>
      <c r="O159" s="17"/>
      <c r="P159" s="22"/>
      <c r="Q159" s="22"/>
      <c r="R159" s="28" t="str">
        <f aca="true">IF(OR(P159="",Q159&lt;&gt;"",O159="キャンセル"),"",P159-TODAY())</f>
        <v/>
      </c>
      <c r="S159" s="29"/>
      <c r="T159" s="22"/>
      <c r="U159" s="17"/>
      <c r="V159" s="22"/>
      <c r="W159" s="19" t="str">
        <f aca="true">IF(B159="","",IF(OR(O159="開通済",Q159&lt;&gt;""),"完了",IF(O159="キャンセル","―",IF(AND(V159&lt;&gt;"",V159&lt;TODAY()),"対応期限超過",IF(AND(P159&lt;&gt;"",P159&lt;TODAY()),"開通予定日超過",IF(AND(V159&lt;&gt;"",V159=TODAY()),"本日対応",IF(AND(P159&lt;&gt;"",P159-TODAY()&lt;=3),"開通間近","")))))))</f>
        <v/>
      </c>
      <c r="X159" s="17"/>
    </row>
    <row r="160" customFormat="false" ht="15" hidden="false" customHeight="false" outlineLevel="0" collapsed="false">
      <c r="A160" s="12" t="str">
        <f aca="false">IF(B160="","",ROW()-4)</f>
        <v/>
      </c>
      <c r="B160" s="17"/>
      <c r="C160" s="19" t="str">
        <f aca="false">IF(B160="","",IFERROR(INDEX(顧客一覧!$C$5:$C$304,MATCH(B160,顧客一覧!$B$5:$B$304,0)),"※ID未登録"))</f>
        <v/>
      </c>
      <c r="D160" s="12" t="str">
        <f aca="false">IF(B160="","",IFERROR(INDEX(顧客一覧!$K$5:$K$304,MATCH(B160,顧客一覧!$B$5:$B$304,0))&amp;"",""))</f>
        <v/>
      </c>
      <c r="E160" s="17"/>
      <c r="F160" s="17"/>
      <c r="G160" s="29"/>
      <c r="H160" s="17"/>
      <c r="I160" s="29"/>
      <c r="J160" s="26" t="str">
        <f aca="false">IF(OR(G160="",I160=""),"",G160-I160)</f>
        <v/>
      </c>
      <c r="K160" s="26" t="str">
        <f aca="false">IF(J160="","",J160*12)</f>
        <v/>
      </c>
      <c r="L160" s="29"/>
      <c r="M160" s="27" t="str">
        <f aca="false">IF(OR(L160="",J160=""),"",IF(J160&lt;=0,"回収不可",L160/J160))</f>
        <v/>
      </c>
      <c r="N160" s="22"/>
      <c r="O160" s="17"/>
      <c r="P160" s="22"/>
      <c r="Q160" s="22"/>
      <c r="R160" s="28" t="str">
        <f aca="true">IF(OR(P160="",Q160&lt;&gt;"",O160="キャンセル"),"",P160-TODAY())</f>
        <v/>
      </c>
      <c r="S160" s="29"/>
      <c r="T160" s="22"/>
      <c r="U160" s="17"/>
      <c r="V160" s="22"/>
      <c r="W160" s="19" t="str">
        <f aca="true">IF(B160="","",IF(OR(O160="開通済",Q160&lt;&gt;""),"完了",IF(O160="キャンセル","―",IF(AND(V160&lt;&gt;"",V160&lt;TODAY()),"対応期限超過",IF(AND(P160&lt;&gt;"",P160&lt;TODAY()),"開通予定日超過",IF(AND(V160&lt;&gt;"",V160=TODAY()),"本日対応",IF(AND(P160&lt;&gt;"",P160-TODAY()&lt;=3),"開通間近","")))))))</f>
        <v/>
      </c>
      <c r="X160" s="17"/>
    </row>
    <row r="161" customFormat="false" ht="15" hidden="false" customHeight="false" outlineLevel="0" collapsed="false">
      <c r="A161" s="12" t="str">
        <f aca="false">IF(B161="","",ROW()-4)</f>
        <v/>
      </c>
      <c r="B161" s="17"/>
      <c r="C161" s="19" t="str">
        <f aca="false">IF(B161="","",IFERROR(INDEX(顧客一覧!$C$5:$C$304,MATCH(B161,顧客一覧!$B$5:$B$304,0)),"※ID未登録"))</f>
        <v/>
      </c>
      <c r="D161" s="12" t="str">
        <f aca="false">IF(B161="","",IFERROR(INDEX(顧客一覧!$K$5:$K$304,MATCH(B161,顧客一覧!$B$5:$B$304,0))&amp;"",""))</f>
        <v/>
      </c>
      <c r="E161" s="17"/>
      <c r="F161" s="17"/>
      <c r="G161" s="29"/>
      <c r="H161" s="17"/>
      <c r="I161" s="29"/>
      <c r="J161" s="26" t="str">
        <f aca="false">IF(OR(G161="",I161=""),"",G161-I161)</f>
        <v/>
      </c>
      <c r="K161" s="26" t="str">
        <f aca="false">IF(J161="","",J161*12)</f>
        <v/>
      </c>
      <c r="L161" s="29"/>
      <c r="M161" s="27" t="str">
        <f aca="false">IF(OR(L161="",J161=""),"",IF(J161&lt;=0,"回収不可",L161/J161))</f>
        <v/>
      </c>
      <c r="N161" s="22"/>
      <c r="O161" s="17"/>
      <c r="P161" s="22"/>
      <c r="Q161" s="22"/>
      <c r="R161" s="28" t="str">
        <f aca="true">IF(OR(P161="",Q161&lt;&gt;"",O161="キャンセル"),"",P161-TODAY())</f>
        <v/>
      </c>
      <c r="S161" s="29"/>
      <c r="T161" s="22"/>
      <c r="U161" s="17"/>
      <c r="V161" s="22"/>
      <c r="W161" s="19" t="str">
        <f aca="true">IF(B161="","",IF(OR(O161="開通済",Q161&lt;&gt;""),"完了",IF(O161="キャンセル","―",IF(AND(V161&lt;&gt;"",V161&lt;TODAY()),"対応期限超過",IF(AND(P161&lt;&gt;"",P161&lt;TODAY()),"開通予定日超過",IF(AND(V161&lt;&gt;"",V161=TODAY()),"本日対応",IF(AND(P161&lt;&gt;"",P161-TODAY()&lt;=3),"開通間近","")))))))</f>
        <v/>
      </c>
      <c r="X161" s="17"/>
    </row>
    <row r="162" customFormat="false" ht="15" hidden="false" customHeight="false" outlineLevel="0" collapsed="false">
      <c r="A162" s="12" t="str">
        <f aca="false">IF(B162="","",ROW()-4)</f>
        <v/>
      </c>
      <c r="B162" s="17"/>
      <c r="C162" s="19" t="str">
        <f aca="false">IF(B162="","",IFERROR(INDEX(顧客一覧!$C$5:$C$304,MATCH(B162,顧客一覧!$B$5:$B$304,0)),"※ID未登録"))</f>
        <v/>
      </c>
      <c r="D162" s="12" t="str">
        <f aca="false">IF(B162="","",IFERROR(INDEX(顧客一覧!$K$5:$K$304,MATCH(B162,顧客一覧!$B$5:$B$304,0))&amp;"",""))</f>
        <v/>
      </c>
      <c r="E162" s="17"/>
      <c r="F162" s="17"/>
      <c r="G162" s="29"/>
      <c r="H162" s="17"/>
      <c r="I162" s="29"/>
      <c r="J162" s="26" t="str">
        <f aca="false">IF(OR(G162="",I162=""),"",G162-I162)</f>
        <v/>
      </c>
      <c r="K162" s="26" t="str">
        <f aca="false">IF(J162="","",J162*12)</f>
        <v/>
      </c>
      <c r="L162" s="29"/>
      <c r="M162" s="27" t="str">
        <f aca="false">IF(OR(L162="",J162=""),"",IF(J162&lt;=0,"回収不可",L162/J162))</f>
        <v/>
      </c>
      <c r="N162" s="22"/>
      <c r="O162" s="17"/>
      <c r="P162" s="22"/>
      <c r="Q162" s="22"/>
      <c r="R162" s="28" t="str">
        <f aca="true">IF(OR(P162="",Q162&lt;&gt;"",O162="キャンセル"),"",P162-TODAY())</f>
        <v/>
      </c>
      <c r="S162" s="29"/>
      <c r="T162" s="22"/>
      <c r="U162" s="17"/>
      <c r="V162" s="22"/>
      <c r="W162" s="19" t="str">
        <f aca="true">IF(B162="","",IF(OR(O162="開通済",Q162&lt;&gt;""),"完了",IF(O162="キャンセル","―",IF(AND(V162&lt;&gt;"",V162&lt;TODAY()),"対応期限超過",IF(AND(P162&lt;&gt;"",P162&lt;TODAY()),"開通予定日超過",IF(AND(V162&lt;&gt;"",V162=TODAY()),"本日対応",IF(AND(P162&lt;&gt;"",P162-TODAY()&lt;=3),"開通間近","")))))))</f>
        <v/>
      </c>
      <c r="X162" s="17"/>
    </row>
    <row r="163" customFormat="false" ht="15" hidden="false" customHeight="false" outlineLevel="0" collapsed="false">
      <c r="A163" s="12" t="str">
        <f aca="false">IF(B163="","",ROW()-4)</f>
        <v/>
      </c>
      <c r="B163" s="17"/>
      <c r="C163" s="19" t="str">
        <f aca="false">IF(B163="","",IFERROR(INDEX(顧客一覧!$C$5:$C$304,MATCH(B163,顧客一覧!$B$5:$B$304,0)),"※ID未登録"))</f>
        <v/>
      </c>
      <c r="D163" s="12" t="str">
        <f aca="false">IF(B163="","",IFERROR(INDEX(顧客一覧!$K$5:$K$304,MATCH(B163,顧客一覧!$B$5:$B$304,0))&amp;"",""))</f>
        <v/>
      </c>
      <c r="E163" s="17"/>
      <c r="F163" s="17"/>
      <c r="G163" s="29"/>
      <c r="H163" s="17"/>
      <c r="I163" s="29"/>
      <c r="J163" s="26" t="str">
        <f aca="false">IF(OR(G163="",I163=""),"",G163-I163)</f>
        <v/>
      </c>
      <c r="K163" s="26" t="str">
        <f aca="false">IF(J163="","",J163*12)</f>
        <v/>
      </c>
      <c r="L163" s="29"/>
      <c r="M163" s="27" t="str">
        <f aca="false">IF(OR(L163="",J163=""),"",IF(J163&lt;=0,"回収不可",L163/J163))</f>
        <v/>
      </c>
      <c r="N163" s="22"/>
      <c r="O163" s="17"/>
      <c r="P163" s="22"/>
      <c r="Q163" s="22"/>
      <c r="R163" s="28" t="str">
        <f aca="true">IF(OR(P163="",Q163&lt;&gt;"",O163="キャンセル"),"",P163-TODAY())</f>
        <v/>
      </c>
      <c r="S163" s="29"/>
      <c r="T163" s="22"/>
      <c r="U163" s="17"/>
      <c r="V163" s="22"/>
      <c r="W163" s="19" t="str">
        <f aca="true">IF(B163="","",IF(OR(O163="開通済",Q163&lt;&gt;""),"完了",IF(O163="キャンセル","―",IF(AND(V163&lt;&gt;"",V163&lt;TODAY()),"対応期限超過",IF(AND(P163&lt;&gt;"",P163&lt;TODAY()),"開通予定日超過",IF(AND(V163&lt;&gt;"",V163=TODAY()),"本日対応",IF(AND(P163&lt;&gt;"",P163-TODAY()&lt;=3),"開通間近","")))))))</f>
        <v/>
      </c>
      <c r="X163" s="17"/>
    </row>
    <row r="164" customFormat="false" ht="15" hidden="false" customHeight="false" outlineLevel="0" collapsed="false">
      <c r="A164" s="12" t="str">
        <f aca="false">IF(B164="","",ROW()-4)</f>
        <v/>
      </c>
      <c r="B164" s="17"/>
      <c r="C164" s="19" t="str">
        <f aca="false">IF(B164="","",IFERROR(INDEX(顧客一覧!$C$5:$C$304,MATCH(B164,顧客一覧!$B$5:$B$304,0)),"※ID未登録"))</f>
        <v/>
      </c>
      <c r="D164" s="12" t="str">
        <f aca="false">IF(B164="","",IFERROR(INDEX(顧客一覧!$K$5:$K$304,MATCH(B164,顧客一覧!$B$5:$B$304,0))&amp;"",""))</f>
        <v/>
      </c>
      <c r="E164" s="17"/>
      <c r="F164" s="17"/>
      <c r="G164" s="29"/>
      <c r="H164" s="17"/>
      <c r="I164" s="29"/>
      <c r="J164" s="26" t="str">
        <f aca="false">IF(OR(G164="",I164=""),"",G164-I164)</f>
        <v/>
      </c>
      <c r="K164" s="26" t="str">
        <f aca="false">IF(J164="","",J164*12)</f>
        <v/>
      </c>
      <c r="L164" s="29"/>
      <c r="M164" s="27" t="str">
        <f aca="false">IF(OR(L164="",J164=""),"",IF(J164&lt;=0,"回収不可",L164/J164))</f>
        <v/>
      </c>
      <c r="N164" s="22"/>
      <c r="O164" s="17"/>
      <c r="P164" s="22"/>
      <c r="Q164" s="22"/>
      <c r="R164" s="28" t="str">
        <f aca="true">IF(OR(P164="",Q164&lt;&gt;"",O164="キャンセル"),"",P164-TODAY())</f>
        <v/>
      </c>
      <c r="S164" s="29"/>
      <c r="T164" s="22"/>
      <c r="U164" s="17"/>
      <c r="V164" s="22"/>
      <c r="W164" s="19" t="str">
        <f aca="true">IF(B164="","",IF(OR(O164="開通済",Q164&lt;&gt;""),"完了",IF(O164="キャンセル","―",IF(AND(V164&lt;&gt;"",V164&lt;TODAY()),"対応期限超過",IF(AND(P164&lt;&gt;"",P164&lt;TODAY()),"開通予定日超過",IF(AND(V164&lt;&gt;"",V164=TODAY()),"本日対応",IF(AND(P164&lt;&gt;"",P164-TODAY()&lt;=3),"開通間近","")))))))</f>
        <v/>
      </c>
      <c r="X164" s="17"/>
    </row>
    <row r="165" customFormat="false" ht="15" hidden="false" customHeight="false" outlineLevel="0" collapsed="false">
      <c r="A165" s="12" t="str">
        <f aca="false">IF(B165="","",ROW()-4)</f>
        <v/>
      </c>
      <c r="B165" s="17"/>
      <c r="C165" s="19" t="str">
        <f aca="false">IF(B165="","",IFERROR(INDEX(顧客一覧!$C$5:$C$304,MATCH(B165,顧客一覧!$B$5:$B$304,0)),"※ID未登録"))</f>
        <v/>
      </c>
      <c r="D165" s="12" t="str">
        <f aca="false">IF(B165="","",IFERROR(INDEX(顧客一覧!$K$5:$K$304,MATCH(B165,顧客一覧!$B$5:$B$304,0))&amp;"",""))</f>
        <v/>
      </c>
      <c r="E165" s="17"/>
      <c r="F165" s="17"/>
      <c r="G165" s="29"/>
      <c r="H165" s="17"/>
      <c r="I165" s="29"/>
      <c r="J165" s="26" t="str">
        <f aca="false">IF(OR(G165="",I165=""),"",G165-I165)</f>
        <v/>
      </c>
      <c r="K165" s="26" t="str">
        <f aca="false">IF(J165="","",J165*12)</f>
        <v/>
      </c>
      <c r="L165" s="29"/>
      <c r="M165" s="27" t="str">
        <f aca="false">IF(OR(L165="",J165=""),"",IF(J165&lt;=0,"回収不可",L165/J165))</f>
        <v/>
      </c>
      <c r="N165" s="22"/>
      <c r="O165" s="17"/>
      <c r="P165" s="22"/>
      <c r="Q165" s="22"/>
      <c r="R165" s="28" t="str">
        <f aca="true">IF(OR(P165="",Q165&lt;&gt;"",O165="キャンセル"),"",P165-TODAY())</f>
        <v/>
      </c>
      <c r="S165" s="29"/>
      <c r="T165" s="22"/>
      <c r="U165" s="17"/>
      <c r="V165" s="22"/>
      <c r="W165" s="19" t="str">
        <f aca="true">IF(B165="","",IF(OR(O165="開通済",Q165&lt;&gt;""),"完了",IF(O165="キャンセル","―",IF(AND(V165&lt;&gt;"",V165&lt;TODAY()),"対応期限超過",IF(AND(P165&lt;&gt;"",P165&lt;TODAY()),"開通予定日超過",IF(AND(V165&lt;&gt;"",V165=TODAY()),"本日対応",IF(AND(P165&lt;&gt;"",P165-TODAY()&lt;=3),"開通間近","")))))))</f>
        <v/>
      </c>
      <c r="X165" s="17"/>
    </row>
    <row r="166" customFormat="false" ht="15" hidden="false" customHeight="false" outlineLevel="0" collapsed="false">
      <c r="A166" s="12" t="str">
        <f aca="false">IF(B166="","",ROW()-4)</f>
        <v/>
      </c>
      <c r="B166" s="17"/>
      <c r="C166" s="19" t="str">
        <f aca="false">IF(B166="","",IFERROR(INDEX(顧客一覧!$C$5:$C$304,MATCH(B166,顧客一覧!$B$5:$B$304,0)),"※ID未登録"))</f>
        <v/>
      </c>
      <c r="D166" s="12" t="str">
        <f aca="false">IF(B166="","",IFERROR(INDEX(顧客一覧!$K$5:$K$304,MATCH(B166,顧客一覧!$B$5:$B$304,0))&amp;"",""))</f>
        <v/>
      </c>
      <c r="E166" s="17"/>
      <c r="F166" s="17"/>
      <c r="G166" s="29"/>
      <c r="H166" s="17"/>
      <c r="I166" s="29"/>
      <c r="J166" s="26" t="str">
        <f aca="false">IF(OR(G166="",I166=""),"",G166-I166)</f>
        <v/>
      </c>
      <c r="K166" s="26" t="str">
        <f aca="false">IF(J166="","",J166*12)</f>
        <v/>
      </c>
      <c r="L166" s="29"/>
      <c r="M166" s="27" t="str">
        <f aca="false">IF(OR(L166="",J166=""),"",IF(J166&lt;=0,"回収不可",L166/J166))</f>
        <v/>
      </c>
      <c r="N166" s="22"/>
      <c r="O166" s="17"/>
      <c r="P166" s="22"/>
      <c r="Q166" s="22"/>
      <c r="R166" s="28" t="str">
        <f aca="true">IF(OR(P166="",Q166&lt;&gt;"",O166="キャンセル"),"",P166-TODAY())</f>
        <v/>
      </c>
      <c r="S166" s="29"/>
      <c r="T166" s="22"/>
      <c r="U166" s="17"/>
      <c r="V166" s="22"/>
      <c r="W166" s="19" t="str">
        <f aca="true">IF(B166="","",IF(OR(O166="開通済",Q166&lt;&gt;""),"完了",IF(O166="キャンセル","―",IF(AND(V166&lt;&gt;"",V166&lt;TODAY()),"対応期限超過",IF(AND(P166&lt;&gt;"",P166&lt;TODAY()),"開通予定日超過",IF(AND(V166&lt;&gt;"",V166=TODAY()),"本日対応",IF(AND(P166&lt;&gt;"",P166-TODAY()&lt;=3),"開通間近","")))))))</f>
        <v/>
      </c>
      <c r="X166" s="17"/>
    </row>
    <row r="167" customFormat="false" ht="15" hidden="false" customHeight="false" outlineLevel="0" collapsed="false">
      <c r="A167" s="12" t="str">
        <f aca="false">IF(B167="","",ROW()-4)</f>
        <v/>
      </c>
      <c r="B167" s="17"/>
      <c r="C167" s="19" t="str">
        <f aca="false">IF(B167="","",IFERROR(INDEX(顧客一覧!$C$5:$C$304,MATCH(B167,顧客一覧!$B$5:$B$304,0)),"※ID未登録"))</f>
        <v/>
      </c>
      <c r="D167" s="12" t="str">
        <f aca="false">IF(B167="","",IFERROR(INDEX(顧客一覧!$K$5:$K$304,MATCH(B167,顧客一覧!$B$5:$B$304,0))&amp;"",""))</f>
        <v/>
      </c>
      <c r="E167" s="17"/>
      <c r="F167" s="17"/>
      <c r="G167" s="29"/>
      <c r="H167" s="17"/>
      <c r="I167" s="29"/>
      <c r="J167" s="26" t="str">
        <f aca="false">IF(OR(G167="",I167=""),"",G167-I167)</f>
        <v/>
      </c>
      <c r="K167" s="26" t="str">
        <f aca="false">IF(J167="","",J167*12)</f>
        <v/>
      </c>
      <c r="L167" s="29"/>
      <c r="M167" s="27" t="str">
        <f aca="false">IF(OR(L167="",J167=""),"",IF(J167&lt;=0,"回収不可",L167/J167))</f>
        <v/>
      </c>
      <c r="N167" s="22"/>
      <c r="O167" s="17"/>
      <c r="P167" s="22"/>
      <c r="Q167" s="22"/>
      <c r="R167" s="28" t="str">
        <f aca="true">IF(OR(P167="",Q167&lt;&gt;"",O167="キャンセル"),"",P167-TODAY())</f>
        <v/>
      </c>
      <c r="S167" s="29"/>
      <c r="T167" s="22"/>
      <c r="U167" s="17"/>
      <c r="V167" s="22"/>
      <c r="W167" s="19" t="str">
        <f aca="true">IF(B167="","",IF(OR(O167="開通済",Q167&lt;&gt;""),"完了",IF(O167="キャンセル","―",IF(AND(V167&lt;&gt;"",V167&lt;TODAY()),"対応期限超過",IF(AND(P167&lt;&gt;"",P167&lt;TODAY()),"開通予定日超過",IF(AND(V167&lt;&gt;"",V167=TODAY()),"本日対応",IF(AND(P167&lt;&gt;"",P167-TODAY()&lt;=3),"開通間近","")))))))</f>
        <v/>
      </c>
      <c r="X167" s="17"/>
    </row>
    <row r="168" customFormat="false" ht="15" hidden="false" customHeight="false" outlineLevel="0" collapsed="false">
      <c r="A168" s="12" t="str">
        <f aca="false">IF(B168="","",ROW()-4)</f>
        <v/>
      </c>
      <c r="B168" s="17"/>
      <c r="C168" s="19" t="str">
        <f aca="false">IF(B168="","",IFERROR(INDEX(顧客一覧!$C$5:$C$304,MATCH(B168,顧客一覧!$B$5:$B$304,0)),"※ID未登録"))</f>
        <v/>
      </c>
      <c r="D168" s="12" t="str">
        <f aca="false">IF(B168="","",IFERROR(INDEX(顧客一覧!$K$5:$K$304,MATCH(B168,顧客一覧!$B$5:$B$304,0))&amp;"",""))</f>
        <v/>
      </c>
      <c r="E168" s="17"/>
      <c r="F168" s="17"/>
      <c r="G168" s="29"/>
      <c r="H168" s="17"/>
      <c r="I168" s="29"/>
      <c r="J168" s="26" t="str">
        <f aca="false">IF(OR(G168="",I168=""),"",G168-I168)</f>
        <v/>
      </c>
      <c r="K168" s="26" t="str">
        <f aca="false">IF(J168="","",J168*12)</f>
        <v/>
      </c>
      <c r="L168" s="29"/>
      <c r="M168" s="27" t="str">
        <f aca="false">IF(OR(L168="",J168=""),"",IF(J168&lt;=0,"回収不可",L168/J168))</f>
        <v/>
      </c>
      <c r="N168" s="22"/>
      <c r="O168" s="17"/>
      <c r="P168" s="22"/>
      <c r="Q168" s="22"/>
      <c r="R168" s="28" t="str">
        <f aca="true">IF(OR(P168="",Q168&lt;&gt;"",O168="キャンセル"),"",P168-TODAY())</f>
        <v/>
      </c>
      <c r="S168" s="29"/>
      <c r="T168" s="22"/>
      <c r="U168" s="17"/>
      <c r="V168" s="22"/>
      <c r="W168" s="19" t="str">
        <f aca="true">IF(B168="","",IF(OR(O168="開通済",Q168&lt;&gt;""),"完了",IF(O168="キャンセル","―",IF(AND(V168&lt;&gt;"",V168&lt;TODAY()),"対応期限超過",IF(AND(P168&lt;&gt;"",P168&lt;TODAY()),"開通予定日超過",IF(AND(V168&lt;&gt;"",V168=TODAY()),"本日対応",IF(AND(P168&lt;&gt;"",P168-TODAY()&lt;=3),"開通間近","")))))))</f>
        <v/>
      </c>
      <c r="X168" s="17"/>
    </row>
    <row r="169" customFormat="false" ht="15" hidden="false" customHeight="false" outlineLevel="0" collapsed="false">
      <c r="A169" s="12" t="str">
        <f aca="false">IF(B169="","",ROW()-4)</f>
        <v/>
      </c>
      <c r="B169" s="17"/>
      <c r="C169" s="19" t="str">
        <f aca="false">IF(B169="","",IFERROR(INDEX(顧客一覧!$C$5:$C$304,MATCH(B169,顧客一覧!$B$5:$B$304,0)),"※ID未登録"))</f>
        <v/>
      </c>
      <c r="D169" s="12" t="str">
        <f aca="false">IF(B169="","",IFERROR(INDEX(顧客一覧!$K$5:$K$304,MATCH(B169,顧客一覧!$B$5:$B$304,0))&amp;"",""))</f>
        <v/>
      </c>
      <c r="E169" s="17"/>
      <c r="F169" s="17"/>
      <c r="G169" s="29"/>
      <c r="H169" s="17"/>
      <c r="I169" s="29"/>
      <c r="J169" s="26" t="str">
        <f aca="false">IF(OR(G169="",I169=""),"",G169-I169)</f>
        <v/>
      </c>
      <c r="K169" s="26" t="str">
        <f aca="false">IF(J169="","",J169*12)</f>
        <v/>
      </c>
      <c r="L169" s="29"/>
      <c r="M169" s="27" t="str">
        <f aca="false">IF(OR(L169="",J169=""),"",IF(J169&lt;=0,"回収不可",L169/J169))</f>
        <v/>
      </c>
      <c r="N169" s="22"/>
      <c r="O169" s="17"/>
      <c r="P169" s="22"/>
      <c r="Q169" s="22"/>
      <c r="R169" s="28" t="str">
        <f aca="true">IF(OR(P169="",Q169&lt;&gt;"",O169="キャンセル"),"",P169-TODAY())</f>
        <v/>
      </c>
      <c r="S169" s="29"/>
      <c r="T169" s="22"/>
      <c r="U169" s="17"/>
      <c r="V169" s="22"/>
      <c r="W169" s="19" t="str">
        <f aca="true">IF(B169="","",IF(OR(O169="開通済",Q169&lt;&gt;""),"完了",IF(O169="キャンセル","―",IF(AND(V169&lt;&gt;"",V169&lt;TODAY()),"対応期限超過",IF(AND(P169&lt;&gt;"",P169&lt;TODAY()),"開通予定日超過",IF(AND(V169&lt;&gt;"",V169=TODAY()),"本日対応",IF(AND(P169&lt;&gt;"",P169-TODAY()&lt;=3),"開通間近","")))))))</f>
        <v/>
      </c>
      <c r="X169" s="17"/>
    </row>
    <row r="170" customFormat="false" ht="15" hidden="false" customHeight="false" outlineLevel="0" collapsed="false">
      <c r="A170" s="12" t="str">
        <f aca="false">IF(B170="","",ROW()-4)</f>
        <v/>
      </c>
      <c r="B170" s="17"/>
      <c r="C170" s="19" t="str">
        <f aca="false">IF(B170="","",IFERROR(INDEX(顧客一覧!$C$5:$C$304,MATCH(B170,顧客一覧!$B$5:$B$304,0)),"※ID未登録"))</f>
        <v/>
      </c>
      <c r="D170" s="12" t="str">
        <f aca="false">IF(B170="","",IFERROR(INDEX(顧客一覧!$K$5:$K$304,MATCH(B170,顧客一覧!$B$5:$B$304,0))&amp;"",""))</f>
        <v/>
      </c>
      <c r="E170" s="17"/>
      <c r="F170" s="17"/>
      <c r="G170" s="29"/>
      <c r="H170" s="17"/>
      <c r="I170" s="29"/>
      <c r="J170" s="26" t="str">
        <f aca="false">IF(OR(G170="",I170=""),"",G170-I170)</f>
        <v/>
      </c>
      <c r="K170" s="26" t="str">
        <f aca="false">IF(J170="","",J170*12)</f>
        <v/>
      </c>
      <c r="L170" s="29"/>
      <c r="M170" s="27" t="str">
        <f aca="false">IF(OR(L170="",J170=""),"",IF(J170&lt;=0,"回収不可",L170/J170))</f>
        <v/>
      </c>
      <c r="N170" s="22"/>
      <c r="O170" s="17"/>
      <c r="P170" s="22"/>
      <c r="Q170" s="22"/>
      <c r="R170" s="28" t="str">
        <f aca="true">IF(OR(P170="",Q170&lt;&gt;"",O170="キャンセル"),"",P170-TODAY())</f>
        <v/>
      </c>
      <c r="S170" s="29"/>
      <c r="T170" s="22"/>
      <c r="U170" s="17"/>
      <c r="V170" s="22"/>
      <c r="W170" s="19" t="str">
        <f aca="true">IF(B170="","",IF(OR(O170="開通済",Q170&lt;&gt;""),"完了",IF(O170="キャンセル","―",IF(AND(V170&lt;&gt;"",V170&lt;TODAY()),"対応期限超過",IF(AND(P170&lt;&gt;"",P170&lt;TODAY()),"開通予定日超過",IF(AND(V170&lt;&gt;"",V170=TODAY()),"本日対応",IF(AND(P170&lt;&gt;"",P170-TODAY()&lt;=3),"開通間近","")))))))</f>
        <v/>
      </c>
      <c r="X170" s="17"/>
    </row>
    <row r="171" customFormat="false" ht="15" hidden="false" customHeight="false" outlineLevel="0" collapsed="false">
      <c r="A171" s="12" t="str">
        <f aca="false">IF(B171="","",ROW()-4)</f>
        <v/>
      </c>
      <c r="B171" s="17"/>
      <c r="C171" s="19" t="str">
        <f aca="false">IF(B171="","",IFERROR(INDEX(顧客一覧!$C$5:$C$304,MATCH(B171,顧客一覧!$B$5:$B$304,0)),"※ID未登録"))</f>
        <v/>
      </c>
      <c r="D171" s="12" t="str">
        <f aca="false">IF(B171="","",IFERROR(INDEX(顧客一覧!$K$5:$K$304,MATCH(B171,顧客一覧!$B$5:$B$304,0))&amp;"",""))</f>
        <v/>
      </c>
      <c r="E171" s="17"/>
      <c r="F171" s="17"/>
      <c r="G171" s="29"/>
      <c r="H171" s="17"/>
      <c r="I171" s="29"/>
      <c r="J171" s="26" t="str">
        <f aca="false">IF(OR(G171="",I171=""),"",G171-I171)</f>
        <v/>
      </c>
      <c r="K171" s="26" t="str">
        <f aca="false">IF(J171="","",J171*12)</f>
        <v/>
      </c>
      <c r="L171" s="29"/>
      <c r="M171" s="27" t="str">
        <f aca="false">IF(OR(L171="",J171=""),"",IF(J171&lt;=0,"回収不可",L171/J171))</f>
        <v/>
      </c>
      <c r="N171" s="22"/>
      <c r="O171" s="17"/>
      <c r="P171" s="22"/>
      <c r="Q171" s="22"/>
      <c r="R171" s="28" t="str">
        <f aca="true">IF(OR(P171="",Q171&lt;&gt;"",O171="キャンセル"),"",P171-TODAY())</f>
        <v/>
      </c>
      <c r="S171" s="29"/>
      <c r="T171" s="22"/>
      <c r="U171" s="17"/>
      <c r="V171" s="22"/>
      <c r="W171" s="19" t="str">
        <f aca="true">IF(B171="","",IF(OR(O171="開通済",Q171&lt;&gt;""),"完了",IF(O171="キャンセル","―",IF(AND(V171&lt;&gt;"",V171&lt;TODAY()),"対応期限超過",IF(AND(P171&lt;&gt;"",P171&lt;TODAY()),"開通予定日超過",IF(AND(V171&lt;&gt;"",V171=TODAY()),"本日対応",IF(AND(P171&lt;&gt;"",P171-TODAY()&lt;=3),"開通間近","")))))))</f>
        <v/>
      </c>
      <c r="X171" s="17"/>
    </row>
    <row r="172" customFormat="false" ht="15" hidden="false" customHeight="false" outlineLevel="0" collapsed="false">
      <c r="A172" s="12" t="str">
        <f aca="false">IF(B172="","",ROW()-4)</f>
        <v/>
      </c>
      <c r="B172" s="17"/>
      <c r="C172" s="19" t="str">
        <f aca="false">IF(B172="","",IFERROR(INDEX(顧客一覧!$C$5:$C$304,MATCH(B172,顧客一覧!$B$5:$B$304,0)),"※ID未登録"))</f>
        <v/>
      </c>
      <c r="D172" s="12" t="str">
        <f aca="false">IF(B172="","",IFERROR(INDEX(顧客一覧!$K$5:$K$304,MATCH(B172,顧客一覧!$B$5:$B$304,0))&amp;"",""))</f>
        <v/>
      </c>
      <c r="E172" s="17"/>
      <c r="F172" s="17"/>
      <c r="G172" s="29"/>
      <c r="H172" s="17"/>
      <c r="I172" s="29"/>
      <c r="J172" s="26" t="str">
        <f aca="false">IF(OR(G172="",I172=""),"",G172-I172)</f>
        <v/>
      </c>
      <c r="K172" s="26" t="str">
        <f aca="false">IF(J172="","",J172*12)</f>
        <v/>
      </c>
      <c r="L172" s="29"/>
      <c r="M172" s="27" t="str">
        <f aca="false">IF(OR(L172="",J172=""),"",IF(J172&lt;=0,"回収不可",L172/J172))</f>
        <v/>
      </c>
      <c r="N172" s="22"/>
      <c r="O172" s="17"/>
      <c r="P172" s="22"/>
      <c r="Q172" s="22"/>
      <c r="R172" s="28" t="str">
        <f aca="true">IF(OR(P172="",Q172&lt;&gt;"",O172="キャンセル"),"",P172-TODAY())</f>
        <v/>
      </c>
      <c r="S172" s="29"/>
      <c r="T172" s="22"/>
      <c r="U172" s="17"/>
      <c r="V172" s="22"/>
      <c r="W172" s="19" t="str">
        <f aca="true">IF(B172="","",IF(OR(O172="開通済",Q172&lt;&gt;""),"完了",IF(O172="キャンセル","―",IF(AND(V172&lt;&gt;"",V172&lt;TODAY()),"対応期限超過",IF(AND(P172&lt;&gt;"",P172&lt;TODAY()),"開通予定日超過",IF(AND(V172&lt;&gt;"",V172=TODAY()),"本日対応",IF(AND(P172&lt;&gt;"",P172-TODAY()&lt;=3),"開通間近","")))))))</f>
        <v/>
      </c>
      <c r="X172" s="17"/>
    </row>
    <row r="173" customFormat="false" ht="15" hidden="false" customHeight="false" outlineLevel="0" collapsed="false">
      <c r="A173" s="12" t="str">
        <f aca="false">IF(B173="","",ROW()-4)</f>
        <v/>
      </c>
      <c r="B173" s="17"/>
      <c r="C173" s="19" t="str">
        <f aca="false">IF(B173="","",IFERROR(INDEX(顧客一覧!$C$5:$C$304,MATCH(B173,顧客一覧!$B$5:$B$304,0)),"※ID未登録"))</f>
        <v/>
      </c>
      <c r="D173" s="12" t="str">
        <f aca="false">IF(B173="","",IFERROR(INDEX(顧客一覧!$K$5:$K$304,MATCH(B173,顧客一覧!$B$5:$B$304,0))&amp;"",""))</f>
        <v/>
      </c>
      <c r="E173" s="17"/>
      <c r="F173" s="17"/>
      <c r="G173" s="29"/>
      <c r="H173" s="17"/>
      <c r="I173" s="29"/>
      <c r="J173" s="26" t="str">
        <f aca="false">IF(OR(G173="",I173=""),"",G173-I173)</f>
        <v/>
      </c>
      <c r="K173" s="26" t="str">
        <f aca="false">IF(J173="","",J173*12)</f>
        <v/>
      </c>
      <c r="L173" s="29"/>
      <c r="M173" s="27" t="str">
        <f aca="false">IF(OR(L173="",J173=""),"",IF(J173&lt;=0,"回収不可",L173/J173))</f>
        <v/>
      </c>
      <c r="N173" s="22"/>
      <c r="O173" s="17"/>
      <c r="P173" s="22"/>
      <c r="Q173" s="22"/>
      <c r="R173" s="28" t="str">
        <f aca="true">IF(OR(P173="",Q173&lt;&gt;"",O173="キャンセル"),"",P173-TODAY())</f>
        <v/>
      </c>
      <c r="S173" s="29"/>
      <c r="T173" s="22"/>
      <c r="U173" s="17"/>
      <c r="V173" s="22"/>
      <c r="W173" s="19" t="str">
        <f aca="true">IF(B173="","",IF(OR(O173="開通済",Q173&lt;&gt;""),"完了",IF(O173="キャンセル","―",IF(AND(V173&lt;&gt;"",V173&lt;TODAY()),"対応期限超過",IF(AND(P173&lt;&gt;"",P173&lt;TODAY()),"開通予定日超過",IF(AND(V173&lt;&gt;"",V173=TODAY()),"本日対応",IF(AND(P173&lt;&gt;"",P173-TODAY()&lt;=3),"開通間近","")))))))</f>
        <v/>
      </c>
      <c r="X173" s="17"/>
    </row>
    <row r="174" customFormat="false" ht="15" hidden="false" customHeight="false" outlineLevel="0" collapsed="false">
      <c r="A174" s="12" t="str">
        <f aca="false">IF(B174="","",ROW()-4)</f>
        <v/>
      </c>
      <c r="B174" s="17"/>
      <c r="C174" s="19" t="str">
        <f aca="false">IF(B174="","",IFERROR(INDEX(顧客一覧!$C$5:$C$304,MATCH(B174,顧客一覧!$B$5:$B$304,0)),"※ID未登録"))</f>
        <v/>
      </c>
      <c r="D174" s="12" t="str">
        <f aca="false">IF(B174="","",IFERROR(INDEX(顧客一覧!$K$5:$K$304,MATCH(B174,顧客一覧!$B$5:$B$304,0))&amp;"",""))</f>
        <v/>
      </c>
      <c r="E174" s="17"/>
      <c r="F174" s="17"/>
      <c r="G174" s="29"/>
      <c r="H174" s="17"/>
      <c r="I174" s="29"/>
      <c r="J174" s="26" t="str">
        <f aca="false">IF(OR(G174="",I174=""),"",G174-I174)</f>
        <v/>
      </c>
      <c r="K174" s="26" t="str">
        <f aca="false">IF(J174="","",J174*12)</f>
        <v/>
      </c>
      <c r="L174" s="29"/>
      <c r="M174" s="27" t="str">
        <f aca="false">IF(OR(L174="",J174=""),"",IF(J174&lt;=0,"回収不可",L174/J174))</f>
        <v/>
      </c>
      <c r="N174" s="22"/>
      <c r="O174" s="17"/>
      <c r="P174" s="22"/>
      <c r="Q174" s="22"/>
      <c r="R174" s="28" t="str">
        <f aca="true">IF(OR(P174="",Q174&lt;&gt;"",O174="キャンセル"),"",P174-TODAY())</f>
        <v/>
      </c>
      <c r="S174" s="29"/>
      <c r="T174" s="22"/>
      <c r="U174" s="17"/>
      <c r="V174" s="22"/>
      <c r="W174" s="19" t="str">
        <f aca="true">IF(B174="","",IF(OR(O174="開通済",Q174&lt;&gt;""),"完了",IF(O174="キャンセル","―",IF(AND(V174&lt;&gt;"",V174&lt;TODAY()),"対応期限超過",IF(AND(P174&lt;&gt;"",P174&lt;TODAY()),"開通予定日超過",IF(AND(V174&lt;&gt;"",V174=TODAY()),"本日対応",IF(AND(P174&lt;&gt;"",P174-TODAY()&lt;=3),"開通間近","")))))))</f>
        <v/>
      </c>
      <c r="X174" s="17"/>
    </row>
    <row r="175" customFormat="false" ht="15" hidden="false" customHeight="false" outlineLevel="0" collapsed="false">
      <c r="A175" s="12" t="str">
        <f aca="false">IF(B175="","",ROW()-4)</f>
        <v/>
      </c>
      <c r="B175" s="17"/>
      <c r="C175" s="19" t="str">
        <f aca="false">IF(B175="","",IFERROR(INDEX(顧客一覧!$C$5:$C$304,MATCH(B175,顧客一覧!$B$5:$B$304,0)),"※ID未登録"))</f>
        <v/>
      </c>
      <c r="D175" s="12" t="str">
        <f aca="false">IF(B175="","",IFERROR(INDEX(顧客一覧!$K$5:$K$304,MATCH(B175,顧客一覧!$B$5:$B$304,0))&amp;"",""))</f>
        <v/>
      </c>
      <c r="E175" s="17"/>
      <c r="F175" s="17"/>
      <c r="G175" s="29"/>
      <c r="H175" s="17"/>
      <c r="I175" s="29"/>
      <c r="J175" s="26" t="str">
        <f aca="false">IF(OR(G175="",I175=""),"",G175-I175)</f>
        <v/>
      </c>
      <c r="K175" s="26" t="str">
        <f aca="false">IF(J175="","",J175*12)</f>
        <v/>
      </c>
      <c r="L175" s="29"/>
      <c r="M175" s="27" t="str">
        <f aca="false">IF(OR(L175="",J175=""),"",IF(J175&lt;=0,"回収不可",L175/J175))</f>
        <v/>
      </c>
      <c r="N175" s="22"/>
      <c r="O175" s="17"/>
      <c r="P175" s="22"/>
      <c r="Q175" s="22"/>
      <c r="R175" s="28" t="str">
        <f aca="true">IF(OR(P175="",Q175&lt;&gt;"",O175="キャンセル"),"",P175-TODAY())</f>
        <v/>
      </c>
      <c r="S175" s="29"/>
      <c r="T175" s="22"/>
      <c r="U175" s="17"/>
      <c r="V175" s="22"/>
      <c r="W175" s="19" t="str">
        <f aca="true">IF(B175="","",IF(OR(O175="開通済",Q175&lt;&gt;""),"完了",IF(O175="キャンセル","―",IF(AND(V175&lt;&gt;"",V175&lt;TODAY()),"対応期限超過",IF(AND(P175&lt;&gt;"",P175&lt;TODAY()),"開通予定日超過",IF(AND(V175&lt;&gt;"",V175=TODAY()),"本日対応",IF(AND(P175&lt;&gt;"",P175-TODAY()&lt;=3),"開通間近","")))))))</f>
        <v/>
      </c>
      <c r="X175" s="17"/>
    </row>
    <row r="176" customFormat="false" ht="15" hidden="false" customHeight="false" outlineLevel="0" collapsed="false">
      <c r="A176" s="12" t="str">
        <f aca="false">IF(B176="","",ROW()-4)</f>
        <v/>
      </c>
      <c r="B176" s="17"/>
      <c r="C176" s="19" t="str">
        <f aca="false">IF(B176="","",IFERROR(INDEX(顧客一覧!$C$5:$C$304,MATCH(B176,顧客一覧!$B$5:$B$304,0)),"※ID未登録"))</f>
        <v/>
      </c>
      <c r="D176" s="12" t="str">
        <f aca="false">IF(B176="","",IFERROR(INDEX(顧客一覧!$K$5:$K$304,MATCH(B176,顧客一覧!$B$5:$B$304,0))&amp;"",""))</f>
        <v/>
      </c>
      <c r="E176" s="17"/>
      <c r="F176" s="17"/>
      <c r="G176" s="29"/>
      <c r="H176" s="17"/>
      <c r="I176" s="29"/>
      <c r="J176" s="26" t="str">
        <f aca="false">IF(OR(G176="",I176=""),"",G176-I176)</f>
        <v/>
      </c>
      <c r="K176" s="26" t="str">
        <f aca="false">IF(J176="","",J176*12)</f>
        <v/>
      </c>
      <c r="L176" s="29"/>
      <c r="M176" s="27" t="str">
        <f aca="false">IF(OR(L176="",J176=""),"",IF(J176&lt;=0,"回収不可",L176/J176))</f>
        <v/>
      </c>
      <c r="N176" s="22"/>
      <c r="O176" s="17"/>
      <c r="P176" s="22"/>
      <c r="Q176" s="22"/>
      <c r="R176" s="28" t="str">
        <f aca="true">IF(OR(P176="",Q176&lt;&gt;"",O176="キャンセル"),"",P176-TODAY())</f>
        <v/>
      </c>
      <c r="S176" s="29"/>
      <c r="T176" s="22"/>
      <c r="U176" s="17"/>
      <c r="V176" s="22"/>
      <c r="W176" s="19" t="str">
        <f aca="true">IF(B176="","",IF(OR(O176="開通済",Q176&lt;&gt;""),"完了",IF(O176="キャンセル","―",IF(AND(V176&lt;&gt;"",V176&lt;TODAY()),"対応期限超過",IF(AND(P176&lt;&gt;"",P176&lt;TODAY()),"開通予定日超過",IF(AND(V176&lt;&gt;"",V176=TODAY()),"本日対応",IF(AND(P176&lt;&gt;"",P176-TODAY()&lt;=3),"開通間近","")))))))</f>
        <v/>
      </c>
      <c r="X176" s="17"/>
    </row>
    <row r="177" customFormat="false" ht="15" hidden="false" customHeight="false" outlineLevel="0" collapsed="false">
      <c r="A177" s="12" t="str">
        <f aca="false">IF(B177="","",ROW()-4)</f>
        <v/>
      </c>
      <c r="B177" s="17"/>
      <c r="C177" s="19" t="str">
        <f aca="false">IF(B177="","",IFERROR(INDEX(顧客一覧!$C$5:$C$304,MATCH(B177,顧客一覧!$B$5:$B$304,0)),"※ID未登録"))</f>
        <v/>
      </c>
      <c r="D177" s="12" t="str">
        <f aca="false">IF(B177="","",IFERROR(INDEX(顧客一覧!$K$5:$K$304,MATCH(B177,顧客一覧!$B$5:$B$304,0))&amp;"",""))</f>
        <v/>
      </c>
      <c r="E177" s="17"/>
      <c r="F177" s="17"/>
      <c r="G177" s="29"/>
      <c r="H177" s="17"/>
      <c r="I177" s="29"/>
      <c r="J177" s="26" t="str">
        <f aca="false">IF(OR(G177="",I177=""),"",G177-I177)</f>
        <v/>
      </c>
      <c r="K177" s="26" t="str">
        <f aca="false">IF(J177="","",J177*12)</f>
        <v/>
      </c>
      <c r="L177" s="29"/>
      <c r="M177" s="27" t="str">
        <f aca="false">IF(OR(L177="",J177=""),"",IF(J177&lt;=0,"回収不可",L177/J177))</f>
        <v/>
      </c>
      <c r="N177" s="22"/>
      <c r="O177" s="17"/>
      <c r="P177" s="22"/>
      <c r="Q177" s="22"/>
      <c r="R177" s="28" t="str">
        <f aca="true">IF(OR(P177="",Q177&lt;&gt;"",O177="キャンセル"),"",P177-TODAY())</f>
        <v/>
      </c>
      <c r="S177" s="29"/>
      <c r="T177" s="22"/>
      <c r="U177" s="17"/>
      <c r="V177" s="22"/>
      <c r="W177" s="19" t="str">
        <f aca="true">IF(B177="","",IF(OR(O177="開通済",Q177&lt;&gt;""),"完了",IF(O177="キャンセル","―",IF(AND(V177&lt;&gt;"",V177&lt;TODAY()),"対応期限超過",IF(AND(P177&lt;&gt;"",P177&lt;TODAY()),"開通予定日超過",IF(AND(V177&lt;&gt;"",V177=TODAY()),"本日対応",IF(AND(P177&lt;&gt;"",P177-TODAY()&lt;=3),"開通間近","")))))))</f>
        <v/>
      </c>
      <c r="X177" s="17"/>
    </row>
    <row r="178" customFormat="false" ht="15" hidden="false" customHeight="false" outlineLevel="0" collapsed="false">
      <c r="A178" s="12" t="str">
        <f aca="false">IF(B178="","",ROW()-4)</f>
        <v/>
      </c>
      <c r="B178" s="17"/>
      <c r="C178" s="19" t="str">
        <f aca="false">IF(B178="","",IFERROR(INDEX(顧客一覧!$C$5:$C$304,MATCH(B178,顧客一覧!$B$5:$B$304,0)),"※ID未登録"))</f>
        <v/>
      </c>
      <c r="D178" s="12" t="str">
        <f aca="false">IF(B178="","",IFERROR(INDEX(顧客一覧!$K$5:$K$304,MATCH(B178,顧客一覧!$B$5:$B$304,0))&amp;"",""))</f>
        <v/>
      </c>
      <c r="E178" s="17"/>
      <c r="F178" s="17"/>
      <c r="G178" s="29"/>
      <c r="H178" s="17"/>
      <c r="I178" s="29"/>
      <c r="J178" s="26" t="str">
        <f aca="false">IF(OR(G178="",I178=""),"",G178-I178)</f>
        <v/>
      </c>
      <c r="K178" s="26" t="str">
        <f aca="false">IF(J178="","",J178*12)</f>
        <v/>
      </c>
      <c r="L178" s="29"/>
      <c r="M178" s="27" t="str">
        <f aca="false">IF(OR(L178="",J178=""),"",IF(J178&lt;=0,"回収不可",L178/J178))</f>
        <v/>
      </c>
      <c r="N178" s="22"/>
      <c r="O178" s="17"/>
      <c r="P178" s="22"/>
      <c r="Q178" s="22"/>
      <c r="R178" s="28" t="str">
        <f aca="true">IF(OR(P178="",Q178&lt;&gt;"",O178="キャンセル"),"",P178-TODAY())</f>
        <v/>
      </c>
      <c r="S178" s="29"/>
      <c r="T178" s="22"/>
      <c r="U178" s="17"/>
      <c r="V178" s="22"/>
      <c r="W178" s="19" t="str">
        <f aca="true">IF(B178="","",IF(OR(O178="開通済",Q178&lt;&gt;""),"完了",IF(O178="キャンセル","―",IF(AND(V178&lt;&gt;"",V178&lt;TODAY()),"対応期限超過",IF(AND(P178&lt;&gt;"",P178&lt;TODAY()),"開通予定日超過",IF(AND(V178&lt;&gt;"",V178=TODAY()),"本日対応",IF(AND(P178&lt;&gt;"",P178-TODAY()&lt;=3),"開通間近","")))))))</f>
        <v/>
      </c>
      <c r="X178" s="17"/>
    </row>
    <row r="179" customFormat="false" ht="15" hidden="false" customHeight="false" outlineLevel="0" collapsed="false">
      <c r="A179" s="12" t="str">
        <f aca="false">IF(B179="","",ROW()-4)</f>
        <v/>
      </c>
      <c r="B179" s="17"/>
      <c r="C179" s="19" t="str">
        <f aca="false">IF(B179="","",IFERROR(INDEX(顧客一覧!$C$5:$C$304,MATCH(B179,顧客一覧!$B$5:$B$304,0)),"※ID未登録"))</f>
        <v/>
      </c>
      <c r="D179" s="12" t="str">
        <f aca="false">IF(B179="","",IFERROR(INDEX(顧客一覧!$K$5:$K$304,MATCH(B179,顧客一覧!$B$5:$B$304,0))&amp;"",""))</f>
        <v/>
      </c>
      <c r="E179" s="17"/>
      <c r="F179" s="17"/>
      <c r="G179" s="29"/>
      <c r="H179" s="17"/>
      <c r="I179" s="29"/>
      <c r="J179" s="26" t="str">
        <f aca="false">IF(OR(G179="",I179=""),"",G179-I179)</f>
        <v/>
      </c>
      <c r="K179" s="26" t="str">
        <f aca="false">IF(J179="","",J179*12)</f>
        <v/>
      </c>
      <c r="L179" s="29"/>
      <c r="M179" s="27" t="str">
        <f aca="false">IF(OR(L179="",J179=""),"",IF(J179&lt;=0,"回収不可",L179/J179))</f>
        <v/>
      </c>
      <c r="N179" s="22"/>
      <c r="O179" s="17"/>
      <c r="P179" s="22"/>
      <c r="Q179" s="22"/>
      <c r="R179" s="28" t="str">
        <f aca="true">IF(OR(P179="",Q179&lt;&gt;"",O179="キャンセル"),"",P179-TODAY())</f>
        <v/>
      </c>
      <c r="S179" s="29"/>
      <c r="T179" s="22"/>
      <c r="U179" s="17"/>
      <c r="V179" s="22"/>
      <c r="W179" s="19" t="str">
        <f aca="true">IF(B179="","",IF(OR(O179="開通済",Q179&lt;&gt;""),"完了",IF(O179="キャンセル","―",IF(AND(V179&lt;&gt;"",V179&lt;TODAY()),"対応期限超過",IF(AND(P179&lt;&gt;"",P179&lt;TODAY()),"開通予定日超過",IF(AND(V179&lt;&gt;"",V179=TODAY()),"本日対応",IF(AND(P179&lt;&gt;"",P179-TODAY()&lt;=3),"開通間近","")))))))</f>
        <v/>
      </c>
      <c r="X179" s="17"/>
    </row>
    <row r="180" customFormat="false" ht="15" hidden="false" customHeight="false" outlineLevel="0" collapsed="false">
      <c r="A180" s="12" t="str">
        <f aca="false">IF(B180="","",ROW()-4)</f>
        <v/>
      </c>
      <c r="B180" s="17"/>
      <c r="C180" s="19" t="str">
        <f aca="false">IF(B180="","",IFERROR(INDEX(顧客一覧!$C$5:$C$304,MATCH(B180,顧客一覧!$B$5:$B$304,0)),"※ID未登録"))</f>
        <v/>
      </c>
      <c r="D180" s="12" t="str">
        <f aca="false">IF(B180="","",IFERROR(INDEX(顧客一覧!$K$5:$K$304,MATCH(B180,顧客一覧!$B$5:$B$304,0))&amp;"",""))</f>
        <v/>
      </c>
      <c r="E180" s="17"/>
      <c r="F180" s="17"/>
      <c r="G180" s="29"/>
      <c r="H180" s="17"/>
      <c r="I180" s="29"/>
      <c r="J180" s="26" t="str">
        <f aca="false">IF(OR(G180="",I180=""),"",G180-I180)</f>
        <v/>
      </c>
      <c r="K180" s="26" t="str">
        <f aca="false">IF(J180="","",J180*12)</f>
        <v/>
      </c>
      <c r="L180" s="29"/>
      <c r="M180" s="27" t="str">
        <f aca="false">IF(OR(L180="",J180=""),"",IF(J180&lt;=0,"回収不可",L180/J180))</f>
        <v/>
      </c>
      <c r="N180" s="22"/>
      <c r="O180" s="17"/>
      <c r="P180" s="22"/>
      <c r="Q180" s="22"/>
      <c r="R180" s="28" t="str">
        <f aca="true">IF(OR(P180="",Q180&lt;&gt;"",O180="キャンセル"),"",P180-TODAY())</f>
        <v/>
      </c>
      <c r="S180" s="29"/>
      <c r="T180" s="22"/>
      <c r="U180" s="17"/>
      <c r="V180" s="22"/>
      <c r="W180" s="19" t="str">
        <f aca="true">IF(B180="","",IF(OR(O180="開通済",Q180&lt;&gt;""),"完了",IF(O180="キャンセル","―",IF(AND(V180&lt;&gt;"",V180&lt;TODAY()),"対応期限超過",IF(AND(P180&lt;&gt;"",P180&lt;TODAY()),"開通予定日超過",IF(AND(V180&lt;&gt;"",V180=TODAY()),"本日対応",IF(AND(P180&lt;&gt;"",P180-TODAY()&lt;=3),"開通間近","")))))))</f>
        <v/>
      </c>
      <c r="X180" s="17"/>
    </row>
    <row r="181" customFormat="false" ht="15" hidden="false" customHeight="false" outlineLevel="0" collapsed="false">
      <c r="A181" s="12" t="str">
        <f aca="false">IF(B181="","",ROW()-4)</f>
        <v/>
      </c>
      <c r="B181" s="17"/>
      <c r="C181" s="19" t="str">
        <f aca="false">IF(B181="","",IFERROR(INDEX(顧客一覧!$C$5:$C$304,MATCH(B181,顧客一覧!$B$5:$B$304,0)),"※ID未登録"))</f>
        <v/>
      </c>
      <c r="D181" s="12" t="str">
        <f aca="false">IF(B181="","",IFERROR(INDEX(顧客一覧!$K$5:$K$304,MATCH(B181,顧客一覧!$B$5:$B$304,0))&amp;"",""))</f>
        <v/>
      </c>
      <c r="E181" s="17"/>
      <c r="F181" s="17"/>
      <c r="G181" s="29"/>
      <c r="H181" s="17"/>
      <c r="I181" s="29"/>
      <c r="J181" s="26" t="str">
        <f aca="false">IF(OR(G181="",I181=""),"",G181-I181)</f>
        <v/>
      </c>
      <c r="K181" s="26" t="str">
        <f aca="false">IF(J181="","",J181*12)</f>
        <v/>
      </c>
      <c r="L181" s="29"/>
      <c r="M181" s="27" t="str">
        <f aca="false">IF(OR(L181="",J181=""),"",IF(J181&lt;=0,"回収不可",L181/J181))</f>
        <v/>
      </c>
      <c r="N181" s="22"/>
      <c r="O181" s="17"/>
      <c r="P181" s="22"/>
      <c r="Q181" s="22"/>
      <c r="R181" s="28" t="str">
        <f aca="true">IF(OR(P181="",Q181&lt;&gt;"",O181="キャンセル"),"",P181-TODAY())</f>
        <v/>
      </c>
      <c r="S181" s="29"/>
      <c r="T181" s="22"/>
      <c r="U181" s="17"/>
      <c r="V181" s="22"/>
      <c r="W181" s="19" t="str">
        <f aca="true">IF(B181="","",IF(OR(O181="開通済",Q181&lt;&gt;""),"完了",IF(O181="キャンセル","―",IF(AND(V181&lt;&gt;"",V181&lt;TODAY()),"対応期限超過",IF(AND(P181&lt;&gt;"",P181&lt;TODAY()),"開通予定日超過",IF(AND(V181&lt;&gt;"",V181=TODAY()),"本日対応",IF(AND(P181&lt;&gt;"",P181-TODAY()&lt;=3),"開通間近","")))))))</f>
        <v/>
      </c>
      <c r="X181" s="17"/>
    </row>
    <row r="182" customFormat="false" ht="15" hidden="false" customHeight="false" outlineLevel="0" collapsed="false">
      <c r="A182" s="12" t="str">
        <f aca="false">IF(B182="","",ROW()-4)</f>
        <v/>
      </c>
      <c r="B182" s="17"/>
      <c r="C182" s="19" t="str">
        <f aca="false">IF(B182="","",IFERROR(INDEX(顧客一覧!$C$5:$C$304,MATCH(B182,顧客一覧!$B$5:$B$304,0)),"※ID未登録"))</f>
        <v/>
      </c>
      <c r="D182" s="12" t="str">
        <f aca="false">IF(B182="","",IFERROR(INDEX(顧客一覧!$K$5:$K$304,MATCH(B182,顧客一覧!$B$5:$B$304,0))&amp;"",""))</f>
        <v/>
      </c>
      <c r="E182" s="17"/>
      <c r="F182" s="17"/>
      <c r="G182" s="29"/>
      <c r="H182" s="17"/>
      <c r="I182" s="29"/>
      <c r="J182" s="26" t="str">
        <f aca="false">IF(OR(G182="",I182=""),"",G182-I182)</f>
        <v/>
      </c>
      <c r="K182" s="26" t="str">
        <f aca="false">IF(J182="","",J182*12)</f>
        <v/>
      </c>
      <c r="L182" s="29"/>
      <c r="M182" s="27" t="str">
        <f aca="false">IF(OR(L182="",J182=""),"",IF(J182&lt;=0,"回収不可",L182/J182))</f>
        <v/>
      </c>
      <c r="N182" s="22"/>
      <c r="O182" s="17"/>
      <c r="P182" s="22"/>
      <c r="Q182" s="22"/>
      <c r="R182" s="28" t="str">
        <f aca="true">IF(OR(P182="",Q182&lt;&gt;"",O182="キャンセル"),"",P182-TODAY())</f>
        <v/>
      </c>
      <c r="S182" s="29"/>
      <c r="T182" s="22"/>
      <c r="U182" s="17"/>
      <c r="V182" s="22"/>
      <c r="W182" s="19" t="str">
        <f aca="true">IF(B182="","",IF(OR(O182="開通済",Q182&lt;&gt;""),"完了",IF(O182="キャンセル","―",IF(AND(V182&lt;&gt;"",V182&lt;TODAY()),"対応期限超過",IF(AND(P182&lt;&gt;"",P182&lt;TODAY()),"開通予定日超過",IF(AND(V182&lt;&gt;"",V182=TODAY()),"本日対応",IF(AND(P182&lt;&gt;"",P182-TODAY()&lt;=3),"開通間近","")))))))</f>
        <v/>
      </c>
      <c r="X182" s="17"/>
    </row>
    <row r="183" customFormat="false" ht="15" hidden="false" customHeight="false" outlineLevel="0" collapsed="false">
      <c r="A183" s="12" t="str">
        <f aca="false">IF(B183="","",ROW()-4)</f>
        <v/>
      </c>
      <c r="B183" s="17"/>
      <c r="C183" s="19" t="str">
        <f aca="false">IF(B183="","",IFERROR(INDEX(顧客一覧!$C$5:$C$304,MATCH(B183,顧客一覧!$B$5:$B$304,0)),"※ID未登録"))</f>
        <v/>
      </c>
      <c r="D183" s="12" t="str">
        <f aca="false">IF(B183="","",IFERROR(INDEX(顧客一覧!$K$5:$K$304,MATCH(B183,顧客一覧!$B$5:$B$304,0))&amp;"",""))</f>
        <v/>
      </c>
      <c r="E183" s="17"/>
      <c r="F183" s="17"/>
      <c r="G183" s="29"/>
      <c r="H183" s="17"/>
      <c r="I183" s="29"/>
      <c r="J183" s="26" t="str">
        <f aca="false">IF(OR(G183="",I183=""),"",G183-I183)</f>
        <v/>
      </c>
      <c r="K183" s="26" t="str">
        <f aca="false">IF(J183="","",J183*12)</f>
        <v/>
      </c>
      <c r="L183" s="29"/>
      <c r="M183" s="27" t="str">
        <f aca="false">IF(OR(L183="",J183=""),"",IF(J183&lt;=0,"回収不可",L183/J183))</f>
        <v/>
      </c>
      <c r="N183" s="22"/>
      <c r="O183" s="17"/>
      <c r="P183" s="22"/>
      <c r="Q183" s="22"/>
      <c r="R183" s="28" t="str">
        <f aca="true">IF(OR(P183="",Q183&lt;&gt;"",O183="キャンセル"),"",P183-TODAY())</f>
        <v/>
      </c>
      <c r="S183" s="29"/>
      <c r="T183" s="22"/>
      <c r="U183" s="17"/>
      <c r="V183" s="22"/>
      <c r="W183" s="19" t="str">
        <f aca="true">IF(B183="","",IF(OR(O183="開通済",Q183&lt;&gt;""),"完了",IF(O183="キャンセル","―",IF(AND(V183&lt;&gt;"",V183&lt;TODAY()),"対応期限超過",IF(AND(P183&lt;&gt;"",P183&lt;TODAY()),"開通予定日超過",IF(AND(V183&lt;&gt;"",V183=TODAY()),"本日対応",IF(AND(P183&lt;&gt;"",P183-TODAY()&lt;=3),"開通間近","")))))))</f>
        <v/>
      </c>
      <c r="X183" s="17"/>
    </row>
    <row r="184" customFormat="false" ht="15" hidden="false" customHeight="false" outlineLevel="0" collapsed="false">
      <c r="A184" s="12" t="str">
        <f aca="false">IF(B184="","",ROW()-4)</f>
        <v/>
      </c>
      <c r="B184" s="17"/>
      <c r="C184" s="19" t="str">
        <f aca="false">IF(B184="","",IFERROR(INDEX(顧客一覧!$C$5:$C$304,MATCH(B184,顧客一覧!$B$5:$B$304,0)),"※ID未登録"))</f>
        <v/>
      </c>
      <c r="D184" s="12" t="str">
        <f aca="false">IF(B184="","",IFERROR(INDEX(顧客一覧!$K$5:$K$304,MATCH(B184,顧客一覧!$B$5:$B$304,0))&amp;"",""))</f>
        <v/>
      </c>
      <c r="E184" s="17"/>
      <c r="F184" s="17"/>
      <c r="G184" s="29"/>
      <c r="H184" s="17"/>
      <c r="I184" s="29"/>
      <c r="J184" s="26" t="str">
        <f aca="false">IF(OR(G184="",I184=""),"",G184-I184)</f>
        <v/>
      </c>
      <c r="K184" s="26" t="str">
        <f aca="false">IF(J184="","",J184*12)</f>
        <v/>
      </c>
      <c r="L184" s="29"/>
      <c r="M184" s="27" t="str">
        <f aca="false">IF(OR(L184="",J184=""),"",IF(J184&lt;=0,"回収不可",L184/J184))</f>
        <v/>
      </c>
      <c r="N184" s="22"/>
      <c r="O184" s="17"/>
      <c r="P184" s="22"/>
      <c r="Q184" s="22"/>
      <c r="R184" s="28" t="str">
        <f aca="true">IF(OR(P184="",Q184&lt;&gt;"",O184="キャンセル"),"",P184-TODAY())</f>
        <v/>
      </c>
      <c r="S184" s="29"/>
      <c r="T184" s="22"/>
      <c r="U184" s="17"/>
      <c r="V184" s="22"/>
      <c r="W184" s="19" t="str">
        <f aca="true">IF(B184="","",IF(OR(O184="開通済",Q184&lt;&gt;""),"完了",IF(O184="キャンセル","―",IF(AND(V184&lt;&gt;"",V184&lt;TODAY()),"対応期限超過",IF(AND(P184&lt;&gt;"",P184&lt;TODAY()),"開通予定日超過",IF(AND(V184&lt;&gt;"",V184=TODAY()),"本日対応",IF(AND(P184&lt;&gt;"",P184-TODAY()&lt;=3),"開通間近","")))))))</f>
        <v/>
      </c>
      <c r="X184" s="17"/>
    </row>
    <row r="185" customFormat="false" ht="15" hidden="false" customHeight="false" outlineLevel="0" collapsed="false">
      <c r="A185" s="12" t="str">
        <f aca="false">IF(B185="","",ROW()-4)</f>
        <v/>
      </c>
      <c r="B185" s="17"/>
      <c r="C185" s="19" t="str">
        <f aca="false">IF(B185="","",IFERROR(INDEX(顧客一覧!$C$5:$C$304,MATCH(B185,顧客一覧!$B$5:$B$304,0)),"※ID未登録"))</f>
        <v/>
      </c>
      <c r="D185" s="12" t="str">
        <f aca="false">IF(B185="","",IFERROR(INDEX(顧客一覧!$K$5:$K$304,MATCH(B185,顧客一覧!$B$5:$B$304,0))&amp;"",""))</f>
        <v/>
      </c>
      <c r="E185" s="17"/>
      <c r="F185" s="17"/>
      <c r="G185" s="29"/>
      <c r="H185" s="17"/>
      <c r="I185" s="29"/>
      <c r="J185" s="26" t="str">
        <f aca="false">IF(OR(G185="",I185=""),"",G185-I185)</f>
        <v/>
      </c>
      <c r="K185" s="26" t="str">
        <f aca="false">IF(J185="","",J185*12)</f>
        <v/>
      </c>
      <c r="L185" s="29"/>
      <c r="M185" s="27" t="str">
        <f aca="false">IF(OR(L185="",J185=""),"",IF(J185&lt;=0,"回収不可",L185/J185))</f>
        <v/>
      </c>
      <c r="N185" s="22"/>
      <c r="O185" s="17"/>
      <c r="P185" s="22"/>
      <c r="Q185" s="22"/>
      <c r="R185" s="28" t="str">
        <f aca="true">IF(OR(P185="",Q185&lt;&gt;"",O185="キャンセル"),"",P185-TODAY())</f>
        <v/>
      </c>
      <c r="S185" s="29"/>
      <c r="T185" s="22"/>
      <c r="U185" s="17"/>
      <c r="V185" s="22"/>
      <c r="W185" s="19" t="str">
        <f aca="true">IF(B185="","",IF(OR(O185="開通済",Q185&lt;&gt;""),"完了",IF(O185="キャンセル","―",IF(AND(V185&lt;&gt;"",V185&lt;TODAY()),"対応期限超過",IF(AND(P185&lt;&gt;"",P185&lt;TODAY()),"開通予定日超過",IF(AND(V185&lt;&gt;"",V185=TODAY()),"本日対応",IF(AND(P185&lt;&gt;"",P185-TODAY()&lt;=3),"開通間近","")))))))</f>
        <v/>
      </c>
      <c r="X185" s="17"/>
    </row>
    <row r="186" customFormat="false" ht="15" hidden="false" customHeight="false" outlineLevel="0" collapsed="false">
      <c r="A186" s="12" t="str">
        <f aca="false">IF(B186="","",ROW()-4)</f>
        <v/>
      </c>
      <c r="B186" s="17"/>
      <c r="C186" s="19" t="str">
        <f aca="false">IF(B186="","",IFERROR(INDEX(顧客一覧!$C$5:$C$304,MATCH(B186,顧客一覧!$B$5:$B$304,0)),"※ID未登録"))</f>
        <v/>
      </c>
      <c r="D186" s="12" t="str">
        <f aca="false">IF(B186="","",IFERROR(INDEX(顧客一覧!$K$5:$K$304,MATCH(B186,顧客一覧!$B$5:$B$304,0))&amp;"",""))</f>
        <v/>
      </c>
      <c r="E186" s="17"/>
      <c r="F186" s="17"/>
      <c r="G186" s="29"/>
      <c r="H186" s="17"/>
      <c r="I186" s="29"/>
      <c r="J186" s="26" t="str">
        <f aca="false">IF(OR(G186="",I186=""),"",G186-I186)</f>
        <v/>
      </c>
      <c r="K186" s="26" t="str">
        <f aca="false">IF(J186="","",J186*12)</f>
        <v/>
      </c>
      <c r="L186" s="29"/>
      <c r="M186" s="27" t="str">
        <f aca="false">IF(OR(L186="",J186=""),"",IF(J186&lt;=0,"回収不可",L186/J186))</f>
        <v/>
      </c>
      <c r="N186" s="22"/>
      <c r="O186" s="17"/>
      <c r="P186" s="22"/>
      <c r="Q186" s="22"/>
      <c r="R186" s="28" t="str">
        <f aca="true">IF(OR(P186="",Q186&lt;&gt;"",O186="キャンセル"),"",P186-TODAY())</f>
        <v/>
      </c>
      <c r="S186" s="29"/>
      <c r="T186" s="22"/>
      <c r="U186" s="17"/>
      <c r="V186" s="22"/>
      <c r="W186" s="19" t="str">
        <f aca="true">IF(B186="","",IF(OR(O186="開通済",Q186&lt;&gt;""),"完了",IF(O186="キャンセル","―",IF(AND(V186&lt;&gt;"",V186&lt;TODAY()),"対応期限超過",IF(AND(P186&lt;&gt;"",P186&lt;TODAY()),"開通予定日超過",IF(AND(V186&lt;&gt;"",V186=TODAY()),"本日対応",IF(AND(P186&lt;&gt;"",P186-TODAY()&lt;=3),"開通間近","")))))))</f>
        <v/>
      </c>
      <c r="X186" s="17"/>
    </row>
    <row r="187" customFormat="false" ht="15" hidden="false" customHeight="false" outlineLevel="0" collapsed="false">
      <c r="A187" s="12" t="str">
        <f aca="false">IF(B187="","",ROW()-4)</f>
        <v/>
      </c>
      <c r="B187" s="17"/>
      <c r="C187" s="19" t="str">
        <f aca="false">IF(B187="","",IFERROR(INDEX(顧客一覧!$C$5:$C$304,MATCH(B187,顧客一覧!$B$5:$B$304,0)),"※ID未登録"))</f>
        <v/>
      </c>
      <c r="D187" s="12" t="str">
        <f aca="false">IF(B187="","",IFERROR(INDEX(顧客一覧!$K$5:$K$304,MATCH(B187,顧客一覧!$B$5:$B$304,0))&amp;"",""))</f>
        <v/>
      </c>
      <c r="E187" s="17"/>
      <c r="F187" s="17"/>
      <c r="G187" s="29"/>
      <c r="H187" s="17"/>
      <c r="I187" s="29"/>
      <c r="J187" s="26" t="str">
        <f aca="false">IF(OR(G187="",I187=""),"",G187-I187)</f>
        <v/>
      </c>
      <c r="K187" s="26" t="str">
        <f aca="false">IF(J187="","",J187*12)</f>
        <v/>
      </c>
      <c r="L187" s="29"/>
      <c r="M187" s="27" t="str">
        <f aca="false">IF(OR(L187="",J187=""),"",IF(J187&lt;=0,"回収不可",L187/J187))</f>
        <v/>
      </c>
      <c r="N187" s="22"/>
      <c r="O187" s="17"/>
      <c r="P187" s="22"/>
      <c r="Q187" s="22"/>
      <c r="R187" s="28" t="str">
        <f aca="true">IF(OR(P187="",Q187&lt;&gt;"",O187="キャンセル"),"",P187-TODAY())</f>
        <v/>
      </c>
      <c r="S187" s="29"/>
      <c r="T187" s="22"/>
      <c r="U187" s="17"/>
      <c r="V187" s="22"/>
      <c r="W187" s="19" t="str">
        <f aca="true">IF(B187="","",IF(OR(O187="開通済",Q187&lt;&gt;""),"完了",IF(O187="キャンセル","―",IF(AND(V187&lt;&gt;"",V187&lt;TODAY()),"対応期限超過",IF(AND(P187&lt;&gt;"",P187&lt;TODAY()),"開通予定日超過",IF(AND(V187&lt;&gt;"",V187=TODAY()),"本日対応",IF(AND(P187&lt;&gt;"",P187-TODAY()&lt;=3),"開通間近","")))))))</f>
        <v/>
      </c>
      <c r="X187" s="17"/>
    </row>
    <row r="188" customFormat="false" ht="15" hidden="false" customHeight="false" outlineLevel="0" collapsed="false">
      <c r="A188" s="12" t="str">
        <f aca="false">IF(B188="","",ROW()-4)</f>
        <v/>
      </c>
      <c r="B188" s="17"/>
      <c r="C188" s="19" t="str">
        <f aca="false">IF(B188="","",IFERROR(INDEX(顧客一覧!$C$5:$C$304,MATCH(B188,顧客一覧!$B$5:$B$304,0)),"※ID未登録"))</f>
        <v/>
      </c>
      <c r="D188" s="12" t="str">
        <f aca="false">IF(B188="","",IFERROR(INDEX(顧客一覧!$K$5:$K$304,MATCH(B188,顧客一覧!$B$5:$B$304,0))&amp;"",""))</f>
        <v/>
      </c>
      <c r="E188" s="17"/>
      <c r="F188" s="17"/>
      <c r="G188" s="29"/>
      <c r="H188" s="17"/>
      <c r="I188" s="29"/>
      <c r="J188" s="26" t="str">
        <f aca="false">IF(OR(G188="",I188=""),"",G188-I188)</f>
        <v/>
      </c>
      <c r="K188" s="26" t="str">
        <f aca="false">IF(J188="","",J188*12)</f>
        <v/>
      </c>
      <c r="L188" s="29"/>
      <c r="M188" s="27" t="str">
        <f aca="false">IF(OR(L188="",J188=""),"",IF(J188&lt;=0,"回収不可",L188/J188))</f>
        <v/>
      </c>
      <c r="N188" s="22"/>
      <c r="O188" s="17"/>
      <c r="P188" s="22"/>
      <c r="Q188" s="22"/>
      <c r="R188" s="28" t="str">
        <f aca="true">IF(OR(P188="",Q188&lt;&gt;"",O188="キャンセル"),"",P188-TODAY())</f>
        <v/>
      </c>
      <c r="S188" s="29"/>
      <c r="T188" s="22"/>
      <c r="U188" s="17"/>
      <c r="V188" s="22"/>
      <c r="W188" s="19" t="str">
        <f aca="true">IF(B188="","",IF(OR(O188="開通済",Q188&lt;&gt;""),"完了",IF(O188="キャンセル","―",IF(AND(V188&lt;&gt;"",V188&lt;TODAY()),"対応期限超過",IF(AND(P188&lt;&gt;"",P188&lt;TODAY()),"開通予定日超過",IF(AND(V188&lt;&gt;"",V188=TODAY()),"本日対応",IF(AND(P188&lt;&gt;"",P188-TODAY()&lt;=3),"開通間近","")))))))</f>
        <v/>
      </c>
      <c r="X188" s="17"/>
    </row>
    <row r="189" customFormat="false" ht="15" hidden="false" customHeight="false" outlineLevel="0" collapsed="false">
      <c r="A189" s="12" t="str">
        <f aca="false">IF(B189="","",ROW()-4)</f>
        <v/>
      </c>
      <c r="B189" s="17"/>
      <c r="C189" s="19" t="str">
        <f aca="false">IF(B189="","",IFERROR(INDEX(顧客一覧!$C$5:$C$304,MATCH(B189,顧客一覧!$B$5:$B$304,0)),"※ID未登録"))</f>
        <v/>
      </c>
      <c r="D189" s="12" t="str">
        <f aca="false">IF(B189="","",IFERROR(INDEX(顧客一覧!$K$5:$K$304,MATCH(B189,顧客一覧!$B$5:$B$304,0))&amp;"",""))</f>
        <v/>
      </c>
      <c r="E189" s="17"/>
      <c r="F189" s="17"/>
      <c r="G189" s="29"/>
      <c r="H189" s="17"/>
      <c r="I189" s="29"/>
      <c r="J189" s="26" t="str">
        <f aca="false">IF(OR(G189="",I189=""),"",G189-I189)</f>
        <v/>
      </c>
      <c r="K189" s="26" t="str">
        <f aca="false">IF(J189="","",J189*12)</f>
        <v/>
      </c>
      <c r="L189" s="29"/>
      <c r="M189" s="27" t="str">
        <f aca="false">IF(OR(L189="",J189=""),"",IF(J189&lt;=0,"回収不可",L189/J189))</f>
        <v/>
      </c>
      <c r="N189" s="22"/>
      <c r="O189" s="17"/>
      <c r="P189" s="22"/>
      <c r="Q189" s="22"/>
      <c r="R189" s="28" t="str">
        <f aca="true">IF(OR(P189="",Q189&lt;&gt;"",O189="キャンセル"),"",P189-TODAY())</f>
        <v/>
      </c>
      <c r="S189" s="29"/>
      <c r="T189" s="22"/>
      <c r="U189" s="17"/>
      <c r="V189" s="22"/>
      <c r="W189" s="19" t="str">
        <f aca="true">IF(B189="","",IF(OR(O189="開通済",Q189&lt;&gt;""),"完了",IF(O189="キャンセル","―",IF(AND(V189&lt;&gt;"",V189&lt;TODAY()),"対応期限超過",IF(AND(P189&lt;&gt;"",P189&lt;TODAY()),"開通予定日超過",IF(AND(V189&lt;&gt;"",V189=TODAY()),"本日対応",IF(AND(P189&lt;&gt;"",P189-TODAY()&lt;=3),"開通間近","")))))))</f>
        <v/>
      </c>
      <c r="X189" s="17"/>
    </row>
    <row r="190" customFormat="false" ht="15" hidden="false" customHeight="false" outlineLevel="0" collapsed="false">
      <c r="A190" s="12" t="str">
        <f aca="false">IF(B190="","",ROW()-4)</f>
        <v/>
      </c>
      <c r="B190" s="17"/>
      <c r="C190" s="19" t="str">
        <f aca="false">IF(B190="","",IFERROR(INDEX(顧客一覧!$C$5:$C$304,MATCH(B190,顧客一覧!$B$5:$B$304,0)),"※ID未登録"))</f>
        <v/>
      </c>
      <c r="D190" s="12" t="str">
        <f aca="false">IF(B190="","",IFERROR(INDEX(顧客一覧!$K$5:$K$304,MATCH(B190,顧客一覧!$B$5:$B$304,0))&amp;"",""))</f>
        <v/>
      </c>
      <c r="E190" s="17"/>
      <c r="F190" s="17"/>
      <c r="G190" s="29"/>
      <c r="H190" s="17"/>
      <c r="I190" s="29"/>
      <c r="J190" s="26" t="str">
        <f aca="false">IF(OR(G190="",I190=""),"",G190-I190)</f>
        <v/>
      </c>
      <c r="K190" s="26" t="str">
        <f aca="false">IF(J190="","",J190*12)</f>
        <v/>
      </c>
      <c r="L190" s="29"/>
      <c r="M190" s="27" t="str">
        <f aca="false">IF(OR(L190="",J190=""),"",IF(J190&lt;=0,"回収不可",L190/J190))</f>
        <v/>
      </c>
      <c r="N190" s="22"/>
      <c r="O190" s="17"/>
      <c r="P190" s="22"/>
      <c r="Q190" s="22"/>
      <c r="R190" s="28" t="str">
        <f aca="true">IF(OR(P190="",Q190&lt;&gt;"",O190="キャンセル"),"",P190-TODAY())</f>
        <v/>
      </c>
      <c r="S190" s="29"/>
      <c r="T190" s="22"/>
      <c r="U190" s="17"/>
      <c r="V190" s="22"/>
      <c r="W190" s="19" t="str">
        <f aca="true">IF(B190="","",IF(OR(O190="開通済",Q190&lt;&gt;""),"完了",IF(O190="キャンセル","―",IF(AND(V190&lt;&gt;"",V190&lt;TODAY()),"対応期限超過",IF(AND(P190&lt;&gt;"",P190&lt;TODAY()),"開通予定日超過",IF(AND(V190&lt;&gt;"",V190=TODAY()),"本日対応",IF(AND(P190&lt;&gt;"",P190-TODAY()&lt;=3),"開通間近","")))))))</f>
        <v/>
      </c>
      <c r="X190" s="17"/>
    </row>
    <row r="191" customFormat="false" ht="15" hidden="false" customHeight="false" outlineLevel="0" collapsed="false">
      <c r="A191" s="12" t="str">
        <f aca="false">IF(B191="","",ROW()-4)</f>
        <v/>
      </c>
      <c r="B191" s="17"/>
      <c r="C191" s="19" t="str">
        <f aca="false">IF(B191="","",IFERROR(INDEX(顧客一覧!$C$5:$C$304,MATCH(B191,顧客一覧!$B$5:$B$304,0)),"※ID未登録"))</f>
        <v/>
      </c>
      <c r="D191" s="12" t="str">
        <f aca="false">IF(B191="","",IFERROR(INDEX(顧客一覧!$K$5:$K$304,MATCH(B191,顧客一覧!$B$5:$B$304,0))&amp;"",""))</f>
        <v/>
      </c>
      <c r="E191" s="17"/>
      <c r="F191" s="17"/>
      <c r="G191" s="29"/>
      <c r="H191" s="17"/>
      <c r="I191" s="29"/>
      <c r="J191" s="26" t="str">
        <f aca="false">IF(OR(G191="",I191=""),"",G191-I191)</f>
        <v/>
      </c>
      <c r="K191" s="26" t="str">
        <f aca="false">IF(J191="","",J191*12)</f>
        <v/>
      </c>
      <c r="L191" s="29"/>
      <c r="M191" s="27" t="str">
        <f aca="false">IF(OR(L191="",J191=""),"",IF(J191&lt;=0,"回収不可",L191/J191))</f>
        <v/>
      </c>
      <c r="N191" s="22"/>
      <c r="O191" s="17"/>
      <c r="P191" s="22"/>
      <c r="Q191" s="22"/>
      <c r="R191" s="28" t="str">
        <f aca="true">IF(OR(P191="",Q191&lt;&gt;"",O191="キャンセル"),"",P191-TODAY())</f>
        <v/>
      </c>
      <c r="S191" s="29"/>
      <c r="T191" s="22"/>
      <c r="U191" s="17"/>
      <c r="V191" s="22"/>
      <c r="W191" s="19" t="str">
        <f aca="true">IF(B191="","",IF(OR(O191="開通済",Q191&lt;&gt;""),"完了",IF(O191="キャンセル","―",IF(AND(V191&lt;&gt;"",V191&lt;TODAY()),"対応期限超過",IF(AND(P191&lt;&gt;"",P191&lt;TODAY()),"開通予定日超過",IF(AND(V191&lt;&gt;"",V191=TODAY()),"本日対応",IF(AND(P191&lt;&gt;"",P191-TODAY()&lt;=3),"開通間近","")))))))</f>
        <v/>
      </c>
      <c r="X191" s="17"/>
    </row>
    <row r="192" customFormat="false" ht="15" hidden="false" customHeight="false" outlineLevel="0" collapsed="false">
      <c r="A192" s="12" t="str">
        <f aca="false">IF(B192="","",ROW()-4)</f>
        <v/>
      </c>
      <c r="B192" s="17"/>
      <c r="C192" s="19" t="str">
        <f aca="false">IF(B192="","",IFERROR(INDEX(顧客一覧!$C$5:$C$304,MATCH(B192,顧客一覧!$B$5:$B$304,0)),"※ID未登録"))</f>
        <v/>
      </c>
      <c r="D192" s="12" t="str">
        <f aca="false">IF(B192="","",IFERROR(INDEX(顧客一覧!$K$5:$K$304,MATCH(B192,顧客一覧!$B$5:$B$304,0))&amp;"",""))</f>
        <v/>
      </c>
      <c r="E192" s="17"/>
      <c r="F192" s="17"/>
      <c r="G192" s="29"/>
      <c r="H192" s="17"/>
      <c r="I192" s="29"/>
      <c r="J192" s="26" t="str">
        <f aca="false">IF(OR(G192="",I192=""),"",G192-I192)</f>
        <v/>
      </c>
      <c r="K192" s="26" t="str">
        <f aca="false">IF(J192="","",J192*12)</f>
        <v/>
      </c>
      <c r="L192" s="29"/>
      <c r="M192" s="27" t="str">
        <f aca="false">IF(OR(L192="",J192=""),"",IF(J192&lt;=0,"回収不可",L192/J192))</f>
        <v/>
      </c>
      <c r="N192" s="22"/>
      <c r="O192" s="17"/>
      <c r="P192" s="22"/>
      <c r="Q192" s="22"/>
      <c r="R192" s="28" t="str">
        <f aca="true">IF(OR(P192="",Q192&lt;&gt;"",O192="キャンセル"),"",P192-TODAY())</f>
        <v/>
      </c>
      <c r="S192" s="29"/>
      <c r="T192" s="22"/>
      <c r="U192" s="17"/>
      <c r="V192" s="22"/>
      <c r="W192" s="19" t="str">
        <f aca="true">IF(B192="","",IF(OR(O192="開通済",Q192&lt;&gt;""),"完了",IF(O192="キャンセル","―",IF(AND(V192&lt;&gt;"",V192&lt;TODAY()),"対応期限超過",IF(AND(P192&lt;&gt;"",P192&lt;TODAY()),"開通予定日超過",IF(AND(V192&lt;&gt;"",V192=TODAY()),"本日対応",IF(AND(P192&lt;&gt;"",P192-TODAY()&lt;=3),"開通間近","")))))))</f>
        <v/>
      </c>
      <c r="X192" s="17"/>
    </row>
    <row r="193" customFormat="false" ht="15" hidden="false" customHeight="false" outlineLevel="0" collapsed="false">
      <c r="A193" s="12" t="str">
        <f aca="false">IF(B193="","",ROW()-4)</f>
        <v/>
      </c>
      <c r="B193" s="17"/>
      <c r="C193" s="19" t="str">
        <f aca="false">IF(B193="","",IFERROR(INDEX(顧客一覧!$C$5:$C$304,MATCH(B193,顧客一覧!$B$5:$B$304,0)),"※ID未登録"))</f>
        <v/>
      </c>
      <c r="D193" s="12" t="str">
        <f aca="false">IF(B193="","",IFERROR(INDEX(顧客一覧!$K$5:$K$304,MATCH(B193,顧客一覧!$B$5:$B$304,0))&amp;"",""))</f>
        <v/>
      </c>
      <c r="E193" s="17"/>
      <c r="F193" s="17"/>
      <c r="G193" s="29"/>
      <c r="H193" s="17"/>
      <c r="I193" s="29"/>
      <c r="J193" s="26" t="str">
        <f aca="false">IF(OR(G193="",I193=""),"",G193-I193)</f>
        <v/>
      </c>
      <c r="K193" s="26" t="str">
        <f aca="false">IF(J193="","",J193*12)</f>
        <v/>
      </c>
      <c r="L193" s="29"/>
      <c r="M193" s="27" t="str">
        <f aca="false">IF(OR(L193="",J193=""),"",IF(J193&lt;=0,"回収不可",L193/J193))</f>
        <v/>
      </c>
      <c r="N193" s="22"/>
      <c r="O193" s="17"/>
      <c r="P193" s="22"/>
      <c r="Q193" s="22"/>
      <c r="R193" s="28" t="str">
        <f aca="true">IF(OR(P193="",Q193&lt;&gt;"",O193="キャンセル"),"",P193-TODAY())</f>
        <v/>
      </c>
      <c r="S193" s="29"/>
      <c r="T193" s="22"/>
      <c r="U193" s="17"/>
      <c r="V193" s="22"/>
      <c r="W193" s="19" t="str">
        <f aca="true">IF(B193="","",IF(OR(O193="開通済",Q193&lt;&gt;""),"完了",IF(O193="キャンセル","―",IF(AND(V193&lt;&gt;"",V193&lt;TODAY()),"対応期限超過",IF(AND(P193&lt;&gt;"",P193&lt;TODAY()),"開通予定日超過",IF(AND(V193&lt;&gt;"",V193=TODAY()),"本日対応",IF(AND(P193&lt;&gt;"",P193-TODAY()&lt;=3),"開通間近","")))))))</f>
        <v/>
      </c>
      <c r="X193" s="17"/>
    </row>
    <row r="194" customFormat="false" ht="15" hidden="false" customHeight="false" outlineLevel="0" collapsed="false">
      <c r="A194" s="12" t="str">
        <f aca="false">IF(B194="","",ROW()-4)</f>
        <v/>
      </c>
      <c r="B194" s="17"/>
      <c r="C194" s="19" t="str">
        <f aca="false">IF(B194="","",IFERROR(INDEX(顧客一覧!$C$5:$C$304,MATCH(B194,顧客一覧!$B$5:$B$304,0)),"※ID未登録"))</f>
        <v/>
      </c>
      <c r="D194" s="12" t="str">
        <f aca="false">IF(B194="","",IFERROR(INDEX(顧客一覧!$K$5:$K$304,MATCH(B194,顧客一覧!$B$5:$B$304,0))&amp;"",""))</f>
        <v/>
      </c>
      <c r="E194" s="17"/>
      <c r="F194" s="17"/>
      <c r="G194" s="29"/>
      <c r="H194" s="17"/>
      <c r="I194" s="29"/>
      <c r="J194" s="26" t="str">
        <f aca="false">IF(OR(G194="",I194=""),"",G194-I194)</f>
        <v/>
      </c>
      <c r="K194" s="26" t="str">
        <f aca="false">IF(J194="","",J194*12)</f>
        <v/>
      </c>
      <c r="L194" s="29"/>
      <c r="M194" s="27" t="str">
        <f aca="false">IF(OR(L194="",J194=""),"",IF(J194&lt;=0,"回収不可",L194/J194))</f>
        <v/>
      </c>
      <c r="N194" s="22"/>
      <c r="O194" s="17"/>
      <c r="P194" s="22"/>
      <c r="Q194" s="22"/>
      <c r="R194" s="28" t="str">
        <f aca="true">IF(OR(P194="",Q194&lt;&gt;"",O194="キャンセル"),"",P194-TODAY())</f>
        <v/>
      </c>
      <c r="S194" s="29"/>
      <c r="T194" s="22"/>
      <c r="U194" s="17"/>
      <c r="V194" s="22"/>
      <c r="W194" s="19" t="str">
        <f aca="true">IF(B194="","",IF(OR(O194="開通済",Q194&lt;&gt;""),"完了",IF(O194="キャンセル","―",IF(AND(V194&lt;&gt;"",V194&lt;TODAY()),"対応期限超過",IF(AND(P194&lt;&gt;"",P194&lt;TODAY()),"開通予定日超過",IF(AND(V194&lt;&gt;"",V194=TODAY()),"本日対応",IF(AND(P194&lt;&gt;"",P194-TODAY()&lt;=3),"開通間近","")))))))</f>
        <v/>
      </c>
      <c r="X194" s="17"/>
    </row>
    <row r="195" customFormat="false" ht="15" hidden="false" customHeight="false" outlineLevel="0" collapsed="false">
      <c r="A195" s="12" t="str">
        <f aca="false">IF(B195="","",ROW()-4)</f>
        <v/>
      </c>
      <c r="B195" s="17"/>
      <c r="C195" s="19" t="str">
        <f aca="false">IF(B195="","",IFERROR(INDEX(顧客一覧!$C$5:$C$304,MATCH(B195,顧客一覧!$B$5:$B$304,0)),"※ID未登録"))</f>
        <v/>
      </c>
      <c r="D195" s="12" t="str">
        <f aca="false">IF(B195="","",IFERROR(INDEX(顧客一覧!$K$5:$K$304,MATCH(B195,顧客一覧!$B$5:$B$304,0))&amp;"",""))</f>
        <v/>
      </c>
      <c r="E195" s="17"/>
      <c r="F195" s="17"/>
      <c r="G195" s="29"/>
      <c r="H195" s="17"/>
      <c r="I195" s="29"/>
      <c r="J195" s="26" t="str">
        <f aca="false">IF(OR(G195="",I195=""),"",G195-I195)</f>
        <v/>
      </c>
      <c r="K195" s="26" t="str">
        <f aca="false">IF(J195="","",J195*12)</f>
        <v/>
      </c>
      <c r="L195" s="29"/>
      <c r="M195" s="27" t="str">
        <f aca="false">IF(OR(L195="",J195=""),"",IF(J195&lt;=0,"回収不可",L195/J195))</f>
        <v/>
      </c>
      <c r="N195" s="22"/>
      <c r="O195" s="17"/>
      <c r="P195" s="22"/>
      <c r="Q195" s="22"/>
      <c r="R195" s="28" t="str">
        <f aca="true">IF(OR(P195="",Q195&lt;&gt;"",O195="キャンセル"),"",P195-TODAY())</f>
        <v/>
      </c>
      <c r="S195" s="29"/>
      <c r="T195" s="22"/>
      <c r="U195" s="17"/>
      <c r="V195" s="22"/>
      <c r="W195" s="19" t="str">
        <f aca="true">IF(B195="","",IF(OR(O195="開通済",Q195&lt;&gt;""),"完了",IF(O195="キャンセル","―",IF(AND(V195&lt;&gt;"",V195&lt;TODAY()),"対応期限超過",IF(AND(P195&lt;&gt;"",P195&lt;TODAY()),"開通予定日超過",IF(AND(V195&lt;&gt;"",V195=TODAY()),"本日対応",IF(AND(P195&lt;&gt;"",P195-TODAY()&lt;=3),"開通間近","")))))))</f>
        <v/>
      </c>
      <c r="X195" s="17"/>
    </row>
    <row r="196" customFormat="false" ht="15" hidden="false" customHeight="false" outlineLevel="0" collapsed="false">
      <c r="A196" s="12" t="str">
        <f aca="false">IF(B196="","",ROW()-4)</f>
        <v/>
      </c>
      <c r="B196" s="17"/>
      <c r="C196" s="19" t="str">
        <f aca="false">IF(B196="","",IFERROR(INDEX(顧客一覧!$C$5:$C$304,MATCH(B196,顧客一覧!$B$5:$B$304,0)),"※ID未登録"))</f>
        <v/>
      </c>
      <c r="D196" s="12" t="str">
        <f aca="false">IF(B196="","",IFERROR(INDEX(顧客一覧!$K$5:$K$304,MATCH(B196,顧客一覧!$B$5:$B$304,0))&amp;"",""))</f>
        <v/>
      </c>
      <c r="E196" s="17"/>
      <c r="F196" s="17"/>
      <c r="G196" s="29"/>
      <c r="H196" s="17"/>
      <c r="I196" s="29"/>
      <c r="J196" s="26" t="str">
        <f aca="false">IF(OR(G196="",I196=""),"",G196-I196)</f>
        <v/>
      </c>
      <c r="K196" s="26" t="str">
        <f aca="false">IF(J196="","",J196*12)</f>
        <v/>
      </c>
      <c r="L196" s="29"/>
      <c r="M196" s="27" t="str">
        <f aca="false">IF(OR(L196="",J196=""),"",IF(J196&lt;=0,"回収不可",L196/J196))</f>
        <v/>
      </c>
      <c r="N196" s="22"/>
      <c r="O196" s="17"/>
      <c r="P196" s="22"/>
      <c r="Q196" s="22"/>
      <c r="R196" s="28" t="str">
        <f aca="true">IF(OR(P196="",Q196&lt;&gt;"",O196="キャンセル"),"",P196-TODAY())</f>
        <v/>
      </c>
      <c r="S196" s="29"/>
      <c r="T196" s="22"/>
      <c r="U196" s="17"/>
      <c r="V196" s="22"/>
      <c r="W196" s="19" t="str">
        <f aca="true">IF(B196="","",IF(OR(O196="開通済",Q196&lt;&gt;""),"完了",IF(O196="キャンセル","―",IF(AND(V196&lt;&gt;"",V196&lt;TODAY()),"対応期限超過",IF(AND(P196&lt;&gt;"",P196&lt;TODAY()),"開通予定日超過",IF(AND(V196&lt;&gt;"",V196=TODAY()),"本日対応",IF(AND(P196&lt;&gt;"",P196-TODAY()&lt;=3),"開通間近","")))))))</f>
        <v/>
      </c>
      <c r="X196" s="17"/>
    </row>
    <row r="197" customFormat="false" ht="15" hidden="false" customHeight="false" outlineLevel="0" collapsed="false">
      <c r="A197" s="12" t="str">
        <f aca="false">IF(B197="","",ROW()-4)</f>
        <v/>
      </c>
      <c r="B197" s="17"/>
      <c r="C197" s="19" t="str">
        <f aca="false">IF(B197="","",IFERROR(INDEX(顧客一覧!$C$5:$C$304,MATCH(B197,顧客一覧!$B$5:$B$304,0)),"※ID未登録"))</f>
        <v/>
      </c>
      <c r="D197" s="12" t="str">
        <f aca="false">IF(B197="","",IFERROR(INDEX(顧客一覧!$K$5:$K$304,MATCH(B197,顧客一覧!$B$5:$B$304,0))&amp;"",""))</f>
        <v/>
      </c>
      <c r="E197" s="17"/>
      <c r="F197" s="17"/>
      <c r="G197" s="29"/>
      <c r="H197" s="17"/>
      <c r="I197" s="29"/>
      <c r="J197" s="26" t="str">
        <f aca="false">IF(OR(G197="",I197=""),"",G197-I197)</f>
        <v/>
      </c>
      <c r="K197" s="26" t="str">
        <f aca="false">IF(J197="","",J197*12)</f>
        <v/>
      </c>
      <c r="L197" s="29"/>
      <c r="M197" s="27" t="str">
        <f aca="false">IF(OR(L197="",J197=""),"",IF(J197&lt;=0,"回収不可",L197/J197))</f>
        <v/>
      </c>
      <c r="N197" s="22"/>
      <c r="O197" s="17"/>
      <c r="P197" s="22"/>
      <c r="Q197" s="22"/>
      <c r="R197" s="28" t="str">
        <f aca="true">IF(OR(P197="",Q197&lt;&gt;"",O197="キャンセル"),"",P197-TODAY())</f>
        <v/>
      </c>
      <c r="S197" s="29"/>
      <c r="T197" s="22"/>
      <c r="U197" s="17"/>
      <c r="V197" s="22"/>
      <c r="W197" s="19" t="str">
        <f aca="true">IF(B197="","",IF(OR(O197="開通済",Q197&lt;&gt;""),"完了",IF(O197="キャンセル","―",IF(AND(V197&lt;&gt;"",V197&lt;TODAY()),"対応期限超過",IF(AND(P197&lt;&gt;"",P197&lt;TODAY()),"開通予定日超過",IF(AND(V197&lt;&gt;"",V197=TODAY()),"本日対応",IF(AND(P197&lt;&gt;"",P197-TODAY()&lt;=3),"開通間近","")))))))</f>
        <v/>
      </c>
      <c r="X197" s="17"/>
    </row>
    <row r="198" customFormat="false" ht="15" hidden="false" customHeight="false" outlineLevel="0" collapsed="false">
      <c r="A198" s="12" t="str">
        <f aca="false">IF(B198="","",ROW()-4)</f>
        <v/>
      </c>
      <c r="B198" s="17"/>
      <c r="C198" s="19" t="str">
        <f aca="false">IF(B198="","",IFERROR(INDEX(顧客一覧!$C$5:$C$304,MATCH(B198,顧客一覧!$B$5:$B$304,0)),"※ID未登録"))</f>
        <v/>
      </c>
      <c r="D198" s="12" t="str">
        <f aca="false">IF(B198="","",IFERROR(INDEX(顧客一覧!$K$5:$K$304,MATCH(B198,顧客一覧!$B$5:$B$304,0))&amp;"",""))</f>
        <v/>
      </c>
      <c r="E198" s="17"/>
      <c r="F198" s="17"/>
      <c r="G198" s="29"/>
      <c r="H198" s="17"/>
      <c r="I198" s="29"/>
      <c r="J198" s="26" t="str">
        <f aca="false">IF(OR(G198="",I198=""),"",G198-I198)</f>
        <v/>
      </c>
      <c r="K198" s="26" t="str">
        <f aca="false">IF(J198="","",J198*12)</f>
        <v/>
      </c>
      <c r="L198" s="29"/>
      <c r="M198" s="27" t="str">
        <f aca="false">IF(OR(L198="",J198=""),"",IF(J198&lt;=0,"回収不可",L198/J198))</f>
        <v/>
      </c>
      <c r="N198" s="22"/>
      <c r="O198" s="17"/>
      <c r="P198" s="22"/>
      <c r="Q198" s="22"/>
      <c r="R198" s="28" t="str">
        <f aca="true">IF(OR(P198="",Q198&lt;&gt;"",O198="キャンセル"),"",P198-TODAY())</f>
        <v/>
      </c>
      <c r="S198" s="29"/>
      <c r="T198" s="22"/>
      <c r="U198" s="17"/>
      <c r="V198" s="22"/>
      <c r="W198" s="19" t="str">
        <f aca="true">IF(B198="","",IF(OR(O198="開通済",Q198&lt;&gt;""),"完了",IF(O198="キャンセル","―",IF(AND(V198&lt;&gt;"",V198&lt;TODAY()),"対応期限超過",IF(AND(P198&lt;&gt;"",P198&lt;TODAY()),"開通予定日超過",IF(AND(V198&lt;&gt;"",V198=TODAY()),"本日対応",IF(AND(P198&lt;&gt;"",P198-TODAY()&lt;=3),"開通間近","")))))))</f>
        <v/>
      </c>
      <c r="X198" s="17"/>
    </row>
    <row r="199" customFormat="false" ht="15" hidden="false" customHeight="false" outlineLevel="0" collapsed="false">
      <c r="A199" s="12" t="str">
        <f aca="false">IF(B199="","",ROW()-4)</f>
        <v/>
      </c>
      <c r="B199" s="17"/>
      <c r="C199" s="19" t="str">
        <f aca="false">IF(B199="","",IFERROR(INDEX(顧客一覧!$C$5:$C$304,MATCH(B199,顧客一覧!$B$5:$B$304,0)),"※ID未登録"))</f>
        <v/>
      </c>
      <c r="D199" s="12" t="str">
        <f aca="false">IF(B199="","",IFERROR(INDEX(顧客一覧!$K$5:$K$304,MATCH(B199,顧客一覧!$B$5:$B$304,0))&amp;"",""))</f>
        <v/>
      </c>
      <c r="E199" s="17"/>
      <c r="F199" s="17"/>
      <c r="G199" s="29"/>
      <c r="H199" s="17"/>
      <c r="I199" s="29"/>
      <c r="J199" s="26" t="str">
        <f aca="false">IF(OR(G199="",I199=""),"",G199-I199)</f>
        <v/>
      </c>
      <c r="K199" s="26" t="str">
        <f aca="false">IF(J199="","",J199*12)</f>
        <v/>
      </c>
      <c r="L199" s="29"/>
      <c r="M199" s="27" t="str">
        <f aca="false">IF(OR(L199="",J199=""),"",IF(J199&lt;=0,"回収不可",L199/J199))</f>
        <v/>
      </c>
      <c r="N199" s="22"/>
      <c r="O199" s="17"/>
      <c r="P199" s="22"/>
      <c r="Q199" s="22"/>
      <c r="R199" s="28" t="str">
        <f aca="true">IF(OR(P199="",Q199&lt;&gt;"",O199="キャンセル"),"",P199-TODAY())</f>
        <v/>
      </c>
      <c r="S199" s="29"/>
      <c r="T199" s="22"/>
      <c r="U199" s="17"/>
      <c r="V199" s="22"/>
      <c r="W199" s="19" t="str">
        <f aca="true">IF(B199="","",IF(OR(O199="開通済",Q199&lt;&gt;""),"完了",IF(O199="キャンセル","―",IF(AND(V199&lt;&gt;"",V199&lt;TODAY()),"対応期限超過",IF(AND(P199&lt;&gt;"",P199&lt;TODAY()),"開通予定日超過",IF(AND(V199&lt;&gt;"",V199=TODAY()),"本日対応",IF(AND(P199&lt;&gt;"",P199-TODAY()&lt;=3),"開通間近","")))))))</f>
        <v/>
      </c>
      <c r="X199" s="17"/>
    </row>
    <row r="200" customFormat="false" ht="15" hidden="false" customHeight="false" outlineLevel="0" collapsed="false">
      <c r="A200" s="12" t="str">
        <f aca="false">IF(B200="","",ROW()-4)</f>
        <v/>
      </c>
      <c r="B200" s="17"/>
      <c r="C200" s="19" t="str">
        <f aca="false">IF(B200="","",IFERROR(INDEX(顧客一覧!$C$5:$C$304,MATCH(B200,顧客一覧!$B$5:$B$304,0)),"※ID未登録"))</f>
        <v/>
      </c>
      <c r="D200" s="12" t="str">
        <f aca="false">IF(B200="","",IFERROR(INDEX(顧客一覧!$K$5:$K$304,MATCH(B200,顧客一覧!$B$5:$B$304,0))&amp;"",""))</f>
        <v/>
      </c>
      <c r="E200" s="17"/>
      <c r="F200" s="17"/>
      <c r="G200" s="29"/>
      <c r="H200" s="17"/>
      <c r="I200" s="29"/>
      <c r="J200" s="26" t="str">
        <f aca="false">IF(OR(G200="",I200=""),"",G200-I200)</f>
        <v/>
      </c>
      <c r="K200" s="26" t="str">
        <f aca="false">IF(J200="","",J200*12)</f>
        <v/>
      </c>
      <c r="L200" s="29"/>
      <c r="M200" s="27" t="str">
        <f aca="false">IF(OR(L200="",J200=""),"",IF(J200&lt;=0,"回収不可",L200/J200))</f>
        <v/>
      </c>
      <c r="N200" s="22"/>
      <c r="O200" s="17"/>
      <c r="P200" s="22"/>
      <c r="Q200" s="22"/>
      <c r="R200" s="28" t="str">
        <f aca="true">IF(OR(P200="",Q200&lt;&gt;"",O200="キャンセル"),"",P200-TODAY())</f>
        <v/>
      </c>
      <c r="S200" s="29"/>
      <c r="T200" s="22"/>
      <c r="U200" s="17"/>
      <c r="V200" s="22"/>
      <c r="W200" s="19" t="str">
        <f aca="true">IF(B200="","",IF(OR(O200="開通済",Q200&lt;&gt;""),"完了",IF(O200="キャンセル","―",IF(AND(V200&lt;&gt;"",V200&lt;TODAY()),"対応期限超過",IF(AND(P200&lt;&gt;"",P200&lt;TODAY()),"開通予定日超過",IF(AND(V200&lt;&gt;"",V200=TODAY()),"本日対応",IF(AND(P200&lt;&gt;"",P200-TODAY()&lt;=3),"開通間近","")))))))</f>
        <v/>
      </c>
      <c r="X200" s="17"/>
    </row>
    <row r="201" customFormat="false" ht="15" hidden="false" customHeight="false" outlineLevel="0" collapsed="false">
      <c r="A201" s="12" t="str">
        <f aca="false">IF(B201="","",ROW()-4)</f>
        <v/>
      </c>
      <c r="B201" s="17"/>
      <c r="C201" s="19" t="str">
        <f aca="false">IF(B201="","",IFERROR(INDEX(顧客一覧!$C$5:$C$304,MATCH(B201,顧客一覧!$B$5:$B$304,0)),"※ID未登録"))</f>
        <v/>
      </c>
      <c r="D201" s="12" t="str">
        <f aca="false">IF(B201="","",IFERROR(INDEX(顧客一覧!$K$5:$K$304,MATCH(B201,顧客一覧!$B$5:$B$304,0))&amp;"",""))</f>
        <v/>
      </c>
      <c r="E201" s="17"/>
      <c r="F201" s="17"/>
      <c r="G201" s="29"/>
      <c r="H201" s="17"/>
      <c r="I201" s="29"/>
      <c r="J201" s="26" t="str">
        <f aca="false">IF(OR(G201="",I201=""),"",G201-I201)</f>
        <v/>
      </c>
      <c r="K201" s="26" t="str">
        <f aca="false">IF(J201="","",J201*12)</f>
        <v/>
      </c>
      <c r="L201" s="29"/>
      <c r="M201" s="27" t="str">
        <f aca="false">IF(OR(L201="",J201=""),"",IF(J201&lt;=0,"回収不可",L201/J201))</f>
        <v/>
      </c>
      <c r="N201" s="22"/>
      <c r="O201" s="17"/>
      <c r="P201" s="22"/>
      <c r="Q201" s="22"/>
      <c r="R201" s="28" t="str">
        <f aca="true">IF(OR(P201="",Q201&lt;&gt;"",O201="キャンセル"),"",P201-TODAY())</f>
        <v/>
      </c>
      <c r="S201" s="29"/>
      <c r="T201" s="22"/>
      <c r="U201" s="17"/>
      <c r="V201" s="22"/>
      <c r="W201" s="19" t="str">
        <f aca="true">IF(B201="","",IF(OR(O201="開通済",Q201&lt;&gt;""),"完了",IF(O201="キャンセル","―",IF(AND(V201&lt;&gt;"",V201&lt;TODAY()),"対応期限超過",IF(AND(P201&lt;&gt;"",P201&lt;TODAY()),"開通予定日超過",IF(AND(V201&lt;&gt;"",V201=TODAY()),"本日対応",IF(AND(P201&lt;&gt;"",P201-TODAY()&lt;=3),"開通間近","")))))))</f>
        <v/>
      </c>
      <c r="X201" s="17"/>
    </row>
    <row r="202" customFormat="false" ht="15" hidden="false" customHeight="false" outlineLevel="0" collapsed="false">
      <c r="A202" s="12" t="str">
        <f aca="false">IF(B202="","",ROW()-4)</f>
        <v/>
      </c>
      <c r="B202" s="17"/>
      <c r="C202" s="19" t="str">
        <f aca="false">IF(B202="","",IFERROR(INDEX(顧客一覧!$C$5:$C$304,MATCH(B202,顧客一覧!$B$5:$B$304,0)),"※ID未登録"))</f>
        <v/>
      </c>
      <c r="D202" s="12" t="str">
        <f aca="false">IF(B202="","",IFERROR(INDEX(顧客一覧!$K$5:$K$304,MATCH(B202,顧客一覧!$B$5:$B$304,0))&amp;"",""))</f>
        <v/>
      </c>
      <c r="E202" s="17"/>
      <c r="F202" s="17"/>
      <c r="G202" s="29"/>
      <c r="H202" s="17"/>
      <c r="I202" s="29"/>
      <c r="J202" s="26" t="str">
        <f aca="false">IF(OR(G202="",I202=""),"",G202-I202)</f>
        <v/>
      </c>
      <c r="K202" s="26" t="str">
        <f aca="false">IF(J202="","",J202*12)</f>
        <v/>
      </c>
      <c r="L202" s="29"/>
      <c r="M202" s="27" t="str">
        <f aca="false">IF(OR(L202="",J202=""),"",IF(J202&lt;=0,"回収不可",L202/J202))</f>
        <v/>
      </c>
      <c r="N202" s="22"/>
      <c r="O202" s="17"/>
      <c r="P202" s="22"/>
      <c r="Q202" s="22"/>
      <c r="R202" s="28" t="str">
        <f aca="true">IF(OR(P202="",Q202&lt;&gt;"",O202="キャンセル"),"",P202-TODAY())</f>
        <v/>
      </c>
      <c r="S202" s="29"/>
      <c r="T202" s="22"/>
      <c r="U202" s="17"/>
      <c r="V202" s="22"/>
      <c r="W202" s="19" t="str">
        <f aca="true">IF(B202="","",IF(OR(O202="開通済",Q202&lt;&gt;""),"完了",IF(O202="キャンセル","―",IF(AND(V202&lt;&gt;"",V202&lt;TODAY()),"対応期限超過",IF(AND(P202&lt;&gt;"",P202&lt;TODAY()),"開通予定日超過",IF(AND(V202&lt;&gt;"",V202=TODAY()),"本日対応",IF(AND(P202&lt;&gt;"",P202-TODAY()&lt;=3),"開通間近","")))))))</f>
        <v/>
      </c>
      <c r="X202" s="17"/>
    </row>
    <row r="203" customFormat="false" ht="15" hidden="false" customHeight="false" outlineLevel="0" collapsed="false">
      <c r="A203" s="12" t="str">
        <f aca="false">IF(B203="","",ROW()-4)</f>
        <v/>
      </c>
      <c r="B203" s="17"/>
      <c r="C203" s="19" t="str">
        <f aca="false">IF(B203="","",IFERROR(INDEX(顧客一覧!$C$5:$C$304,MATCH(B203,顧客一覧!$B$5:$B$304,0)),"※ID未登録"))</f>
        <v/>
      </c>
      <c r="D203" s="12" t="str">
        <f aca="false">IF(B203="","",IFERROR(INDEX(顧客一覧!$K$5:$K$304,MATCH(B203,顧客一覧!$B$5:$B$304,0))&amp;"",""))</f>
        <v/>
      </c>
      <c r="E203" s="17"/>
      <c r="F203" s="17"/>
      <c r="G203" s="29"/>
      <c r="H203" s="17"/>
      <c r="I203" s="29"/>
      <c r="J203" s="26" t="str">
        <f aca="false">IF(OR(G203="",I203=""),"",G203-I203)</f>
        <v/>
      </c>
      <c r="K203" s="26" t="str">
        <f aca="false">IF(J203="","",J203*12)</f>
        <v/>
      </c>
      <c r="L203" s="29"/>
      <c r="M203" s="27" t="str">
        <f aca="false">IF(OR(L203="",J203=""),"",IF(J203&lt;=0,"回収不可",L203/J203))</f>
        <v/>
      </c>
      <c r="N203" s="22"/>
      <c r="O203" s="17"/>
      <c r="P203" s="22"/>
      <c r="Q203" s="22"/>
      <c r="R203" s="28" t="str">
        <f aca="true">IF(OR(P203="",Q203&lt;&gt;"",O203="キャンセル"),"",P203-TODAY())</f>
        <v/>
      </c>
      <c r="S203" s="29"/>
      <c r="T203" s="22"/>
      <c r="U203" s="17"/>
      <c r="V203" s="22"/>
      <c r="W203" s="19" t="str">
        <f aca="true">IF(B203="","",IF(OR(O203="開通済",Q203&lt;&gt;""),"完了",IF(O203="キャンセル","―",IF(AND(V203&lt;&gt;"",V203&lt;TODAY()),"対応期限超過",IF(AND(P203&lt;&gt;"",P203&lt;TODAY()),"開通予定日超過",IF(AND(V203&lt;&gt;"",V203=TODAY()),"本日対応",IF(AND(P203&lt;&gt;"",P203-TODAY()&lt;=3),"開通間近","")))))))</f>
        <v/>
      </c>
      <c r="X203" s="17"/>
    </row>
    <row r="204" customFormat="false" ht="15" hidden="false" customHeight="false" outlineLevel="0" collapsed="false">
      <c r="A204" s="12" t="str">
        <f aca="false">IF(B204="","",ROW()-4)</f>
        <v/>
      </c>
      <c r="B204" s="17"/>
      <c r="C204" s="19" t="str">
        <f aca="false">IF(B204="","",IFERROR(INDEX(顧客一覧!$C$5:$C$304,MATCH(B204,顧客一覧!$B$5:$B$304,0)),"※ID未登録"))</f>
        <v/>
      </c>
      <c r="D204" s="12" t="str">
        <f aca="false">IF(B204="","",IFERROR(INDEX(顧客一覧!$K$5:$K$304,MATCH(B204,顧客一覧!$B$5:$B$304,0))&amp;"",""))</f>
        <v/>
      </c>
      <c r="E204" s="17"/>
      <c r="F204" s="17"/>
      <c r="G204" s="29"/>
      <c r="H204" s="17"/>
      <c r="I204" s="29"/>
      <c r="J204" s="26" t="str">
        <f aca="false">IF(OR(G204="",I204=""),"",G204-I204)</f>
        <v/>
      </c>
      <c r="K204" s="26" t="str">
        <f aca="false">IF(J204="","",J204*12)</f>
        <v/>
      </c>
      <c r="L204" s="29"/>
      <c r="M204" s="27" t="str">
        <f aca="false">IF(OR(L204="",J204=""),"",IF(J204&lt;=0,"回収不可",L204/J204))</f>
        <v/>
      </c>
      <c r="N204" s="22"/>
      <c r="O204" s="17"/>
      <c r="P204" s="22"/>
      <c r="Q204" s="22"/>
      <c r="R204" s="28" t="str">
        <f aca="true">IF(OR(P204="",Q204&lt;&gt;"",O204="キャンセル"),"",P204-TODAY())</f>
        <v/>
      </c>
      <c r="S204" s="29"/>
      <c r="T204" s="22"/>
      <c r="U204" s="17"/>
      <c r="V204" s="22"/>
      <c r="W204" s="19" t="str">
        <f aca="true">IF(B204="","",IF(OR(O204="開通済",Q204&lt;&gt;""),"完了",IF(O204="キャンセル","―",IF(AND(V204&lt;&gt;"",V204&lt;TODAY()),"対応期限超過",IF(AND(P204&lt;&gt;"",P204&lt;TODAY()),"開通予定日超過",IF(AND(V204&lt;&gt;"",V204=TODAY()),"本日対応",IF(AND(P204&lt;&gt;"",P204-TODAY()&lt;=3),"開通間近","")))))))</f>
        <v/>
      </c>
      <c r="X204" s="17"/>
    </row>
    <row r="205" customFormat="false" ht="15" hidden="false" customHeight="false" outlineLevel="0" collapsed="false">
      <c r="A205" s="12" t="str">
        <f aca="false">IF(B205="","",ROW()-4)</f>
        <v/>
      </c>
      <c r="B205" s="17"/>
      <c r="C205" s="19" t="str">
        <f aca="false">IF(B205="","",IFERROR(INDEX(顧客一覧!$C$5:$C$304,MATCH(B205,顧客一覧!$B$5:$B$304,0)),"※ID未登録"))</f>
        <v/>
      </c>
      <c r="D205" s="12" t="str">
        <f aca="false">IF(B205="","",IFERROR(INDEX(顧客一覧!$K$5:$K$304,MATCH(B205,顧客一覧!$B$5:$B$304,0))&amp;"",""))</f>
        <v/>
      </c>
      <c r="E205" s="17"/>
      <c r="F205" s="17"/>
      <c r="G205" s="29"/>
      <c r="H205" s="17"/>
      <c r="I205" s="29"/>
      <c r="J205" s="26" t="str">
        <f aca="false">IF(OR(G205="",I205=""),"",G205-I205)</f>
        <v/>
      </c>
      <c r="K205" s="26" t="str">
        <f aca="false">IF(J205="","",J205*12)</f>
        <v/>
      </c>
      <c r="L205" s="29"/>
      <c r="M205" s="27" t="str">
        <f aca="false">IF(OR(L205="",J205=""),"",IF(J205&lt;=0,"回収不可",L205/J205))</f>
        <v/>
      </c>
      <c r="N205" s="22"/>
      <c r="O205" s="17"/>
      <c r="P205" s="22"/>
      <c r="Q205" s="22"/>
      <c r="R205" s="28" t="str">
        <f aca="true">IF(OR(P205="",Q205&lt;&gt;"",O205="キャンセル"),"",P205-TODAY())</f>
        <v/>
      </c>
      <c r="S205" s="29"/>
      <c r="T205" s="22"/>
      <c r="U205" s="17"/>
      <c r="V205" s="22"/>
      <c r="W205" s="19" t="str">
        <f aca="true">IF(B205="","",IF(OR(O205="開通済",Q205&lt;&gt;""),"完了",IF(O205="キャンセル","―",IF(AND(V205&lt;&gt;"",V205&lt;TODAY()),"対応期限超過",IF(AND(P205&lt;&gt;"",P205&lt;TODAY()),"開通予定日超過",IF(AND(V205&lt;&gt;"",V205=TODAY()),"本日対応",IF(AND(P205&lt;&gt;"",P205-TODAY()&lt;=3),"開通間近","")))))))</f>
        <v/>
      </c>
      <c r="X205" s="17"/>
    </row>
    <row r="206" customFormat="false" ht="15" hidden="false" customHeight="false" outlineLevel="0" collapsed="false">
      <c r="A206" s="12" t="str">
        <f aca="false">IF(B206="","",ROW()-4)</f>
        <v/>
      </c>
      <c r="B206" s="17"/>
      <c r="C206" s="19" t="str">
        <f aca="false">IF(B206="","",IFERROR(INDEX(顧客一覧!$C$5:$C$304,MATCH(B206,顧客一覧!$B$5:$B$304,0)),"※ID未登録"))</f>
        <v/>
      </c>
      <c r="D206" s="12" t="str">
        <f aca="false">IF(B206="","",IFERROR(INDEX(顧客一覧!$K$5:$K$304,MATCH(B206,顧客一覧!$B$5:$B$304,0))&amp;"",""))</f>
        <v/>
      </c>
      <c r="E206" s="17"/>
      <c r="F206" s="17"/>
      <c r="G206" s="29"/>
      <c r="H206" s="17"/>
      <c r="I206" s="29"/>
      <c r="J206" s="26" t="str">
        <f aca="false">IF(OR(G206="",I206=""),"",G206-I206)</f>
        <v/>
      </c>
      <c r="K206" s="26" t="str">
        <f aca="false">IF(J206="","",J206*12)</f>
        <v/>
      </c>
      <c r="L206" s="29"/>
      <c r="M206" s="27" t="str">
        <f aca="false">IF(OR(L206="",J206=""),"",IF(J206&lt;=0,"回収不可",L206/J206))</f>
        <v/>
      </c>
      <c r="N206" s="22"/>
      <c r="O206" s="17"/>
      <c r="P206" s="22"/>
      <c r="Q206" s="22"/>
      <c r="R206" s="28" t="str">
        <f aca="true">IF(OR(P206="",Q206&lt;&gt;"",O206="キャンセル"),"",P206-TODAY())</f>
        <v/>
      </c>
      <c r="S206" s="29"/>
      <c r="T206" s="22"/>
      <c r="U206" s="17"/>
      <c r="V206" s="22"/>
      <c r="W206" s="19" t="str">
        <f aca="true">IF(B206="","",IF(OR(O206="開通済",Q206&lt;&gt;""),"完了",IF(O206="キャンセル","―",IF(AND(V206&lt;&gt;"",V206&lt;TODAY()),"対応期限超過",IF(AND(P206&lt;&gt;"",P206&lt;TODAY()),"開通予定日超過",IF(AND(V206&lt;&gt;"",V206=TODAY()),"本日対応",IF(AND(P206&lt;&gt;"",P206-TODAY()&lt;=3),"開通間近","")))))))</f>
        <v/>
      </c>
      <c r="X206" s="17"/>
    </row>
    <row r="207" customFormat="false" ht="15" hidden="false" customHeight="false" outlineLevel="0" collapsed="false">
      <c r="A207" s="12" t="str">
        <f aca="false">IF(B207="","",ROW()-4)</f>
        <v/>
      </c>
      <c r="B207" s="17"/>
      <c r="C207" s="19" t="str">
        <f aca="false">IF(B207="","",IFERROR(INDEX(顧客一覧!$C$5:$C$304,MATCH(B207,顧客一覧!$B$5:$B$304,0)),"※ID未登録"))</f>
        <v/>
      </c>
      <c r="D207" s="12" t="str">
        <f aca="false">IF(B207="","",IFERROR(INDEX(顧客一覧!$K$5:$K$304,MATCH(B207,顧客一覧!$B$5:$B$304,0))&amp;"",""))</f>
        <v/>
      </c>
      <c r="E207" s="17"/>
      <c r="F207" s="17"/>
      <c r="G207" s="29"/>
      <c r="H207" s="17"/>
      <c r="I207" s="29"/>
      <c r="J207" s="26" t="str">
        <f aca="false">IF(OR(G207="",I207=""),"",G207-I207)</f>
        <v/>
      </c>
      <c r="K207" s="26" t="str">
        <f aca="false">IF(J207="","",J207*12)</f>
        <v/>
      </c>
      <c r="L207" s="29"/>
      <c r="M207" s="27" t="str">
        <f aca="false">IF(OR(L207="",J207=""),"",IF(J207&lt;=0,"回収不可",L207/J207))</f>
        <v/>
      </c>
      <c r="N207" s="22"/>
      <c r="O207" s="17"/>
      <c r="P207" s="22"/>
      <c r="Q207" s="22"/>
      <c r="R207" s="28" t="str">
        <f aca="true">IF(OR(P207="",Q207&lt;&gt;"",O207="キャンセル"),"",P207-TODAY())</f>
        <v/>
      </c>
      <c r="S207" s="29"/>
      <c r="T207" s="22"/>
      <c r="U207" s="17"/>
      <c r="V207" s="22"/>
      <c r="W207" s="19" t="str">
        <f aca="true">IF(B207="","",IF(OR(O207="開通済",Q207&lt;&gt;""),"完了",IF(O207="キャンセル","―",IF(AND(V207&lt;&gt;"",V207&lt;TODAY()),"対応期限超過",IF(AND(P207&lt;&gt;"",P207&lt;TODAY()),"開通予定日超過",IF(AND(V207&lt;&gt;"",V207=TODAY()),"本日対応",IF(AND(P207&lt;&gt;"",P207-TODAY()&lt;=3),"開通間近","")))))))</f>
        <v/>
      </c>
      <c r="X207" s="17"/>
    </row>
    <row r="208" customFormat="false" ht="15" hidden="false" customHeight="false" outlineLevel="0" collapsed="false">
      <c r="A208" s="12" t="str">
        <f aca="false">IF(B208="","",ROW()-4)</f>
        <v/>
      </c>
      <c r="B208" s="17"/>
      <c r="C208" s="19" t="str">
        <f aca="false">IF(B208="","",IFERROR(INDEX(顧客一覧!$C$5:$C$304,MATCH(B208,顧客一覧!$B$5:$B$304,0)),"※ID未登録"))</f>
        <v/>
      </c>
      <c r="D208" s="12" t="str">
        <f aca="false">IF(B208="","",IFERROR(INDEX(顧客一覧!$K$5:$K$304,MATCH(B208,顧客一覧!$B$5:$B$304,0))&amp;"",""))</f>
        <v/>
      </c>
      <c r="E208" s="17"/>
      <c r="F208" s="17"/>
      <c r="G208" s="29"/>
      <c r="H208" s="17"/>
      <c r="I208" s="29"/>
      <c r="J208" s="26" t="str">
        <f aca="false">IF(OR(G208="",I208=""),"",G208-I208)</f>
        <v/>
      </c>
      <c r="K208" s="26" t="str">
        <f aca="false">IF(J208="","",J208*12)</f>
        <v/>
      </c>
      <c r="L208" s="29"/>
      <c r="M208" s="27" t="str">
        <f aca="false">IF(OR(L208="",J208=""),"",IF(J208&lt;=0,"回収不可",L208/J208))</f>
        <v/>
      </c>
      <c r="N208" s="22"/>
      <c r="O208" s="17"/>
      <c r="P208" s="22"/>
      <c r="Q208" s="22"/>
      <c r="R208" s="28" t="str">
        <f aca="true">IF(OR(P208="",Q208&lt;&gt;"",O208="キャンセル"),"",P208-TODAY())</f>
        <v/>
      </c>
      <c r="S208" s="29"/>
      <c r="T208" s="22"/>
      <c r="U208" s="17"/>
      <c r="V208" s="22"/>
      <c r="W208" s="19" t="str">
        <f aca="true">IF(B208="","",IF(OR(O208="開通済",Q208&lt;&gt;""),"完了",IF(O208="キャンセル","―",IF(AND(V208&lt;&gt;"",V208&lt;TODAY()),"対応期限超過",IF(AND(P208&lt;&gt;"",P208&lt;TODAY()),"開通予定日超過",IF(AND(V208&lt;&gt;"",V208=TODAY()),"本日対応",IF(AND(P208&lt;&gt;"",P208-TODAY()&lt;=3),"開通間近","")))))))</f>
        <v/>
      </c>
      <c r="X208" s="17"/>
    </row>
    <row r="209" customFormat="false" ht="15" hidden="false" customHeight="false" outlineLevel="0" collapsed="false">
      <c r="A209" s="12" t="str">
        <f aca="false">IF(B209="","",ROW()-4)</f>
        <v/>
      </c>
      <c r="B209" s="17"/>
      <c r="C209" s="19" t="str">
        <f aca="false">IF(B209="","",IFERROR(INDEX(顧客一覧!$C$5:$C$304,MATCH(B209,顧客一覧!$B$5:$B$304,0)),"※ID未登録"))</f>
        <v/>
      </c>
      <c r="D209" s="12" t="str">
        <f aca="false">IF(B209="","",IFERROR(INDEX(顧客一覧!$K$5:$K$304,MATCH(B209,顧客一覧!$B$5:$B$304,0))&amp;"",""))</f>
        <v/>
      </c>
      <c r="E209" s="17"/>
      <c r="F209" s="17"/>
      <c r="G209" s="29"/>
      <c r="H209" s="17"/>
      <c r="I209" s="29"/>
      <c r="J209" s="26" t="str">
        <f aca="false">IF(OR(G209="",I209=""),"",G209-I209)</f>
        <v/>
      </c>
      <c r="K209" s="26" t="str">
        <f aca="false">IF(J209="","",J209*12)</f>
        <v/>
      </c>
      <c r="L209" s="29"/>
      <c r="M209" s="27" t="str">
        <f aca="false">IF(OR(L209="",J209=""),"",IF(J209&lt;=0,"回収不可",L209/J209))</f>
        <v/>
      </c>
      <c r="N209" s="22"/>
      <c r="O209" s="17"/>
      <c r="P209" s="22"/>
      <c r="Q209" s="22"/>
      <c r="R209" s="28" t="str">
        <f aca="true">IF(OR(P209="",Q209&lt;&gt;"",O209="キャンセル"),"",P209-TODAY())</f>
        <v/>
      </c>
      <c r="S209" s="29"/>
      <c r="T209" s="22"/>
      <c r="U209" s="17"/>
      <c r="V209" s="22"/>
      <c r="W209" s="19" t="str">
        <f aca="true">IF(B209="","",IF(OR(O209="開通済",Q209&lt;&gt;""),"完了",IF(O209="キャンセル","―",IF(AND(V209&lt;&gt;"",V209&lt;TODAY()),"対応期限超過",IF(AND(P209&lt;&gt;"",P209&lt;TODAY()),"開通予定日超過",IF(AND(V209&lt;&gt;"",V209=TODAY()),"本日対応",IF(AND(P209&lt;&gt;"",P209-TODAY()&lt;=3),"開通間近","")))))))</f>
        <v/>
      </c>
      <c r="X209" s="17"/>
    </row>
    <row r="210" customFormat="false" ht="15" hidden="false" customHeight="false" outlineLevel="0" collapsed="false">
      <c r="A210" s="12" t="str">
        <f aca="false">IF(B210="","",ROW()-4)</f>
        <v/>
      </c>
      <c r="B210" s="17"/>
      <c r="C210" s="19" t="str">
        <f aca="false">IF(B210="","",IFERROR(INDEX(顧客一覧!$C$5:$C$304,MATCH(B210,顧客一覧!$B$5:$B$304,0)),"※ID未登録"))</f>
        <v/>
      </c>
      <c r="D210" s="12" t="str">
        <f aca="false">IF(B210="","",IFERROR(INDEX(顧客一覧!$K$5:$K$304,MATCH(B210,顧客一覧!$B$5:$B$304,0))&amp;"",""))</f>
        <v/>
      </c>
      <c r="E210" s="17"/>
      <c r="F210" s="17"/>
      <c r="G210" s="29"/>
      <c r="H210" s="17"/>
      <c r="I210" s="29"/>
      <c r="J210" s="26" t="str">
        <f aca="false">IF(OR(G210="",I210=""),"",G210-I210)</f>
        <v/>
      </c>
      <c r="K210" s="26" t="str">
        <f aca="false">IF(J210="","",J210*12)</f>
        <v/>
      </c>
      <c r="L210" s="29"/>
      <c r="M210" s="27" t="str">
        <f aca="false">IF(OR(L210="",J210=""),"",IF(J210&lt;=0,"回収不可",L210/J210))</f>
        <v/>
      </c>
      <c r="N210" s="22"/>
      <c r="O210" s="17"/>
      <c r="P210" s="22"/>
      <c r="Q210" s="22"/>
      <c r="R210" s="28" t="str">
        <f aca="true">IF(OR(P210="",Q210&lt;&gt;"",O210="キャンセル"),"",P210-TODAY())</f>
        <v/>
      </c>
      <c r="S210" s="29"/>
      <c r="T210" s="22"/>
      <c r="U210" s="17"/>
      <c r="V210" s="22"/>
      <c r="W210" s="19" t="str">
        <f aca="true">IF(B210="","",IF(OR(O210="開通済",Q210&lt;&gt;""),"完了",IF(O210="キャンセル","―",IF(AND(V210&lt;&gt;"",V210&lt;TODAY()),"対応期限超過",IF(AND(P210&lt;&gt;"",P210&lt;TODAY()),"開通予定日超過",IF(AND(V210&lt;&gt;"",V210=TODAY()),"本日対応",IF(AND(P210&lt;&gt;"",P210-TODAY()&lt;=3),"開通間近","")))))))</f>
        <v/>
      </c>
      <c r="X210" s="17"/>
    </row>
    <row r="211" customFormat="false" ht="15" hidden="false" customHeight="false" outlineLevel="0" collapsed="false">
      <c r="A211" s="12" t="str">
        <f aca="false">IF(B211="","",ROW()-4)</f>
        <v/>
      </c>
      <c r="B211" s="17"/>
      <c r="C211" s="19" t="str">
        <f aca="false">IF(B211="","",IFERROR(INDEX(顧客一覧!$C$5:$C$304,MATCH(B211,顧客一覧!$B$5:$B$304,0)),"※ID未登録"))</f>
        <v/>
      </c>
      <c r="D211" s="12" t="str">
        <f aca="false">IF(B211="","",IFERROR(INDEX(顧客一覧!$K$5:$K$304,MATCH(B211,顧客一覧!$B$5:$B$304,0))&amp;"",""))</f>
        <v/>
      </c>
      <c r="E211" s="17"/>
      <c r="F211" s="17"/>
      <c r="G211" s="29"/>
      <c r="H211" s="17"/>
      <c r="I211" s="29"/>
      <c r="J211" s="26" t="str">
        <f aca="false">IF(OR(G211="",I211=""),"",G211-I211)</f>
        <v/>
      </c>
      <c r="K211" s="26" t="str">
        <f aca="false">IF(J211="","",J211*12)</f>
        <v/>
      </c>
      <c r="L211" s="29"/>
      <c r="M211" s="27" t="str">
        <f aca="false">IF(OR(L211="",J211=""),"",IF(J211&lt;=0,"回収不可",L211/J211))</f>
        <v/>
      </c>
      <c r="N211" s="22"/>
      <c r="O211" s="17"/>
      <c r="P211" s="22"/>
      <c r="Q211" s="22"/>
      <c r="R211" s="28" t="str">
        <f aca="true">IF(OR(P211="",Q211&lt;&gt;"",O211="キャンセル"),"",P211-TODAY())</f>
        <v/>
      </c>
      <c r="S211" s="29"/>
      <c r="T211" s="22"/>
      <c r="U211" s="17"/>
      <c r="V211" s="22"/>
      <c r="W211" s="19" t="str">
        <f aca="true">IF(B211="","",IF(OR(O211="開通済",Q211&lt;&gt;""),"完了",IF(O211="キャンセル","―",IF(AND(V211&lt;&gt;"",V211&lt;TODAY()),"対応期限超過",IF(AND(P211&lt;&gt;"",P211&lt;TODAY()),"開通予定日超過",IF(AND(V211&lt;&gt;"",V211=TODAY()),"本日対応",IF(AND(P211&lt;&gt;"",P211-TODAY()&lt;=3),"開通間近","")))))))</f>
        <v/>
      </c>
      <c r="X211" s="17"/>
    </row>
    <row r="212" customFormat="false" ht="15" hidden="false" customHeight="false" outlineLevel="0" collapsed="false">
      <c r="A212" s="12" t="str">
        <f aca="false">IF(B212="","",ROW()-4)</f>
        <v/>
      </c>
      <c r="B212" s="17"/>
      <c r="C212" s="19" t="str">
        <f aca="false">IF(B212="","",IFERROR(INDEX(顧客一覧!$C$5:$C$304,MATCH(B212,顧客一覧!$B$5:$B$304,0)),"※ID未登録"))</f>
        <v/>
      </c>
      <c r="D212" s="12" t="str">
        <f aca="false">IF(B212="","",IFERROR(INDEX(顧客一覧!$K$5:$K$304,MATCH(B212,顧客一覧!$B$5:$B$304,0))&amp;"",""))</f>
        <v/>
      </c>
      <c r="E212" s="17"/>
      <c r="F212" s="17"/>
      <c r="G212" s="29"/>
      <c r="H212" s="17"/>
      <c r="I212" s="29"/>
      <c r="J212" s="26" t="str">
        <f aca="false">IF(OR(G212="",I212=""),"",G212-I212)</f>
        <v/>
      </c>
      <c r="K212" s="26" t="str">
        <f aca="false">IF(J212="","",J212*12)</f>
        <v/>
      </c>
      <c r="L212" s="29"/>
      <c r="M212" s="27" t="str">
        <f aca="false">IF(OR(L212="",J212=""),"",IF(J212&lt;=0,"回収不可",L212/J212))</f>
        <v/>
      </c>
      <c r="N212" s="22"/>
      <c r="O212" s="17"/>
      <c r="P212" s="22"/>
      <c r="Q212" s="22"/>
      <c r="R212" s="28" t="str">
        <f aca="true">IF(OR(P212="",Q212&lt;&gt;"",O212="キャンセル"),"",P212-TODAY())</f>
        <v/>
      </c>
      <c r="S212" s="29"/>
      <c r="T212" s="22"/>
      <c r="U212" s="17"/>
      <c r="V212" s="22"/>
      <c r="W212" s="19" t="str">
        <f aca="true">IF(B212="","",IF(OR(O212="開通済",Q212&lt;&gt;""),"完了",IF(O212="キャンセル","―",IF(AND(V212&lt;&gt;"",V212&lt;TODAY()),"対応期限超過",IF(AND(P212&lt;&gt;"",P212&lt;TODAY()),"開通予定日超過",IF(AND(V212&lt;&gt;"",V212=TODAY()),"本日対応",IF(AND(P212&lt;&gt;"",P212-TODAY()&lt;=3),"開通間近","")))))))</f>
        <v/>
      </c>
      <c r="X212" s="17"/>
    </row>
    <row r="213" customFormat="false" ht="15" hidden="false" customHeight="false" outlineLevel="0" collapsed="false">
      <c r="A213" s="12" t="str">
        <f aca="false">IF(B213="","",ROW()-4)</f>
        <v/>
      </c>
      <c r="B213" s="17"/>
      <c r="C213" s="19" t="str">
        <f aca="false">IF(B213="","",IFERROR(INDEX(顧客一覧!$C$5:$C$304,MATCH(B213,顧客一覧!$B$5:$B$304,0)),"※ID未登録"))</f>
        <v/>
      </c>
      <c r="D213" s="12" t="str">
        <f aca="false">IF(B213="","",IFERROR(INDEX(顧客一覧!$K$5:$K$304,MATCH(B213,顧客一覧!$B$5:$B$304,0))&amp;"",""))</f>
        <v/>
      </c>
      <c r="E213" s="17"/>
      <c r="F213" s="17"/>
      <c r="G213" s="29"/>
      <c r="H213" s="17"/>
      <c r="I213" s="29"/>
      <c r="J213" s="26" t="str">
        <f aca="false">IF(OR(G213="",I213=""),"",G213-I213)</f>
        <v/>
      </c>
      <c r="K213" s="26" t="str">
        <f aca="false">IF(J213="","",J213*12)</f>
        <v/>
      </c>
      <c r="L213" s="29"/>
      <c r="M213" s="27" t="str">
        <f aca="false">IF(OR(L213="",J213=""),"",IF(J213&lt;=0,"回収不可",L213/J213))</f>
        <v/>
      </c>
      <c r="N213" s="22"/>
      <c r="O213" s="17"/>
      <c r="P213" s="22"/>
      <c r="Q213" s="22"/>
      <c r="R213" s="28" t="str">
        <f aca="true">IF(OR(P213="",Q213&lt;&gt;"",O213="キャンセル"),"",P213-TODAY())</f>
        <v/>
      </c>
      <c r="S213" s="29"/>
      <c r="T213" s="22"/>
      <c r="U213" s="17"/>
      <c r="V213" s="22"/>
      <c r="W213" s="19" t="str">
        <f aca="true">IF(B213="","",IF(OR(O213="開通済",Q213&lt;&gt;""),"完了",IF(O213="キャンセル","―",IF(AND(V213&lt;&gt;"",V213&lt;TODAY()),"対応期限超過",IF(AND(P213&lt;&gt;"",P213&lt;TODAY()),"開通予定日超過",IF(AND(V213&lt;&gt;"",V213=TODAY()),"本日対応",IF(AND(P213&lt;&gt;"",P213-TODAY()&lt;=3),"開通間近","")))))))</f>
        <v/>
      </c>
      <c r="X213" s="17"/>
    </row>
    <row r="214" customFormat="false" ht="15" hidden="false" customHeight="false" outlineLevel="0" collapsed="false">
      <c r="A214" s="12" t="str">
        <f aca="false">IF(B214="","",ROW()-4)</f>
        <v/>
      </c>
      <c r="B214" s="17"/>
      <c r="C214" s="19" t="str">
        <f aca="false">IF(B214="","",IFERROR(INDEX(顧客一覧!$C$5:$C$304,MATCH(B214,顧客一覧!$B$5:$B$304,0)),"※ID未登録"))</f>
        <v/>
      </c>
      <c r="D214" s="12" t="str">
        <f aca="false">IF(B214="","",IFERROR(INDEX(顧客一覧!$K$5:$K$304,MATCH(B214,顧客一覧!$B$5:$B$304,0))&amp;"",""))</f>
        <v/>
      </c>
      <c r="E214" s="17"/>
      <c r="F214" s="17"/>
      <c r="G214" s="29"/>
      <c r="H214" s="17"/>
      <c r="I214" s="29"/>
      <c r="J214" s="26" t="str">
        <f aca="false">IF(OR(G214="",I214=""),"",G214-I214)</f>
        <v/>
      </c>
      <c r="K214" s="26" t="str">
        <f aca="false">IF(J214="","",J214*12)</f>
        <v/>
      </c>
      <c r="L214" s="29"/>
      <c r="M214" s="27" t="str">
        <f aca="false">IF(OR(L214="",J214=""),"",IF(J214&lt;=0,"回収不可",L214/J214))</f>
        <v/>
      </c>
      <c r="N214" s="22"/>
      <c r="O214" s="17"/>
      <c r="P214" s="22"/>
      <c r="Q214" s="22"/>
      <c r="R214" s="28" t="str">
        <f aca="true">IF(OR(P214="",Q214&lt;&gt;"",O214="キャンセル"),"",P214-TODAY())</f>
        <v/>
      </c>
      <c r="S214" s="29"/>
      <c r="T214" s="22"/>
      <c r="U214" s="17"/>
      <c r="V214" s="22"/>
      <c r="W214" s="19" t="str">
        <f aca="true">IF(B214="","",IF(OR(O214="開通済",Q214&lt;&gt;""),"完了",IF(O214="キャンセル","―",IF(AND(V214&lt;&gt;"",V214&lt;TODAY()),"対応期限超過",IF(AND(P214&lt;&gt;"",P214&lt;TODAY()),"開通予定日超過",IF(AND(V214&lt;&gt;"",V214=TODAY()),"本日対応",IF(AND(P214&lt;&gt;"",P214-TODAY()&lt;=3),"開通間近","")))))))</f>
        <v/>
      </c>
      <c r="X214" s="17"/>
    </row>
    <row r="215" customFormat="false" ht="15" hidden="false" customHeight="false" outlineLevel="0" collapsed="false">
      <c r="A215" s="12" t="str">
        <f aca="false">IF(B215="","",ROW()-4)</f>
        <v/>
      </c>
      <c r="B215" s="17"/>
      <c r="C215" s="19" t="str">
        <f aca="false">IF(B215="","",IFERROR(INDEX(顧客一覧!$C$5:$C$304,MATCH(B215,顧客一覧!$B$5:$B$304,0)),"※ID未登録"))</f>
        <v/>
      </c>
      <c r="D215" s="12" t="str">
        <f aca="false">IF(B215="","",IFERROR(INDEX(顧客一覧!$K$5:$K$304,MATCH(B215,顧客一覧!$B$5:$B$304,0))&amp;"",""))</f>
        <v/>
      </c>
      <c r="E215" s="17"/>
      <c r="F215" s="17"/>
      <c r="G215" s="29"/>
      <c r="H215" s="17"/>
      <c r="I215" s="29"/>
      <c r="J215" s="26" t="str">
        <f aca="false">IF(OR(G215="",I215=""),"",G215-I215)</f>
        <v/>
      </c>
      <c r="K215" s="26" t="str">
        <f aca="false">IF(J215="","",J215*12)</f>
        <v/>
      </c>
      <c r="L215" s="29"/>
      <c r="M215" s="27" t="str">
        <f aca="false">IF(OR(L215="",J215=""),"",IF(J215&lt;=0,"回収不可",L215/J215))</f>
        <v/>
      </c>
      <c r="N215" s="22"/>
      <c r="O215" s="17"/>
      <c r="P215" s="22"/>
      <c r="Q215" s="22"/>
      <c r="R215" s="28" t="str">
        <f aca="true">IF(OR(P215="",Q215&lt;&gt;"",O215="キャンセル"),"",P215-TODAY())</f>
        <v/>
      </c>
      <c r="S215" s="29"/>
      <c r="T215" s="22"/>
      <c r="U215" s="17"/>
      <c r="V215" s="22"/>
      <c r="W215" s="19" t="str">
        <f aca="true">IF(B215="","",IF(OR(O215="開通済",Q215&lt;&gt;""),"完了",IF(O215="キャンセル","―",IF(AND(V215&lt;&gt;"",V215&lt;TODAY()),"対応期限超過",IF(AND(P215&lt;&gt;"",P215&lt;TODAY()),"開通予定日超過",IF(AND(V215&lt;&gt;"",V215=TODAY()),"本日対応",IF(AND(P215&lt;&gt;"",P215-TODAY()&lt;=3),"開通間近","")))))))</f>
        <v/>
      </c>
      <c r="X215" s="17"/>
    </row>
    <row r="216" customFormat="false" ht="15" hidden="false" customHeight="false" outlineLevel="0" collapsed="false">
      <c r="A216" s="12" t="str">
        <f aca="false">IF(B216="","",ROW()-4)</f>
        <v/>
      </c>
      <c r="B216" s="17"/>
      <c r="C216" s="19" t="str">
        <f aca="false">IF(B216="","",IFERROR(INDEX(顧客一覧!$C$5:$C$304,MATCH(B216,顧客一覧!$B$5:$B$304,0)),"※ID未登録"))</f>
        <v/>
      </c>
      <c r="D216" s="12" t="str">
        <f aca="false">IF(B216="","",IFERROR(INDEX(顧客一覧!$K$5:$K$304,MATCH(B216,顧客一覧!$B$5:$B$304,0))&amp;"",""))</f>
        <v/>
      </c>
      <c r="E216" s="17"/>
      <c r="F216" s="17"/>
      <c r="G216" s="29"/>
      <c r="H216" s="17"/>
      <c r="I216" s="29"/>
      <c r="J216" s="26" t="str">
        <f aca="false">IF(OR(G216="",I216=""),"",G216-I216)</f>
        <v/>
      </c>
      <c r="K216" s="26" t="str">
        <f aca="false">IF(J216="","",J216*12)</f>
        <v/>
      </c>
      <c r="L216" s="29"/>
      <c r="M216" s="27" t="str">
        <f aca="false">IF(OR(L216="",J216=""),"",IF(J216&lt;=0,"回収不可",L216/J216))</f>
        <v/>
      </c>
      <c r="N216" s="22"/>
      <c r="O216" s="17"/>
      <c r="P216" s="22"/>
      <c r="Q216" s="22"/>
      <c r="R216" s="28" t="str">
        <f aca="true">IF(OR(P216="",Q216&lt;&gt;"",O216="キャンセル"),"",P216-TODAY())</f>
        <v/>
      </c>
      <c r="S216" s="29"/>
      <c r="T216" s="22"/>
      <c r="U216" s="17"/>
      <c r="V216" s="22"/>
      <c r="W216" s="19" t="str">
        <f aca="true">IF(B216="","",IF(OR(O216="開通済",Q216&lt;&gt;""),"完了",IF(O216="キャンセル","―",IF(AND(V216&lt;&gt;"",V216&lt;TODAY()),"対応期限超過",IF(AND(P216&lt;&gt;"",P216&lt;TODAY()),"開通予定日超過",IF(AND(V216&lt;&gt;"",V216=TODAY()),"本日対応",IF(AND(P216&lt;&gt;"",P216-TODAY()&lt;=3),"開通間近","")))))))</f>
        <v/>
      </c>
      <c r="X216" s="17"/>
    </row>
    <row r="217" customFormat="false" ht="15" hidden="false" customHeight="false" outlineLevel="0" collapsed="false">
      <c r="A217" s="12" t="str">
        <f aca="false">IF(B217="","",ROW()-4)</f>
        <v/>
      </c>
      <c r="B217" s="17"/>
      <c r="C217" s="19" t="str">
        <f aca="false">IF(B217="","",IFERROR(INDEX(顧客一覧!$C$5:$C$304,MATCH(B217,顧客一覧!$B$5:$B$304,0)),"※ID未登録"))</f>
        <v/>
      </c>
      <c r="D217" s="12" t="str">
        <f aca="false">IF(B217="","",IFERROR(INDEX(顧客一覧!$K$5:$K$304,MATCH(B217,顧客一覧!$B$5:$B$304,0))&amp;"",""))</f>
        <v/>
      </c>
      <c r="E217" s="17"/>
      <c r="F217" s="17"/>
      <c r="G217" s="29"/>
      <c r="H217" s="17"/>
      <c r="I217" s="29"/>
      <c r="J217" s="26" t="str">
        <f aca="false">IF(OR(G217="",I217=""),"",G217-I217)</f>
        <v/>
      </c>
      <c r="K217" s="26" t="str">
        <f aca="false">IF(J217="","",J217*12)</f>
        <v/>
      </c>
      <c r="L217" s="29"/>
      <c r="M217" s="27" t="str">
        <f aca="false">IF(OR(L217="",J217=""),"",IF(J217&lt;=0,"回収不可",L217/J217))</f>
        <v/>
      </c>
      <c r="N217" s="22"/>
      <c r="O217" s="17"/>
      <c r="P217" s="22"/>
      <c r="Q217" s="22"/>
      <c r="R217" s="28" t="str">
        <f aca="true">IF(OR(P217="",Q217&lt;&gt;"",O217="キャンセル"),"",P217-TODAY())</f>
        <v/>
      </c>
      <c r="S217" s="29"/>
      <c r="T217" s="22"/>
      <c r="U217" s="17"/>
      <c r="V217" s="22"/>
      <c r="W217" s="19" t="str">
        <f aca="true">IF(B217="","",IF(OR(O217="開通済",Q217&lt;&gt;""),"完了",IF(O217="キャンセル","―",IF(AND(V217&lt;&gt;"",V217&lt;TODAY()),"対応期限超過",IF(AND(P217&lt;&gt;"",P217&lt;TODAY()),"開通予定日超過",IF(AND(V217&lt;&gt;"",V217=TODAY()),"本日対応",IF(AND(P217&lt;&gt;"",P217-TODAY()&lt;=3),"開通間近","")))))))</f>
        <v/>
      </c>
      <c r="X217" s="17"/>
    </row>
    <row r="218" customFormat="false" ht="15" hidden="false" customHeight="false" outlineLevel="0" collapsed="false">
      <c r="A218" s="12" t="str">
        <f aca="false">IF(B218="","",ROW()-4)</f>
        <v/>
      </c>
      <c r="B218" s="17"/>
      <c r="C218" s="19" t="str">
        <f aca="false">IF(B218="","",IFERROR(INDEX(顧客一覧!$C$5:$C$304,MATCH(B218,顧客一覧!$B$5:$B$304,0)),"※ID未登録"))</f>
        <v/>
      </c>
      <c r="D218" s="12" t="str">
        <f aca="false">IF(B218="","",IFERROR(INDEX(顧客一覧!$K$5:$K$304,MATCH(B218,顧客一覧!$B$5:$B$304,0))&amp;"",""))</f>
        <v/>
      </c>
      <c r="E218" s="17"/>
      <c r="F218" s="17"/>
      <c r="G218" s="29"/>
      <c r="H218" s="17"/>
      <c r="I218" s="29"/>
      <c r="J218" s="26" t="str">
        <f aca="false">IF(OR(G218="",I218=""),"",G218-I218)</f>
        <v/>
      </c>
      <c r="K218" s="26" t="str">
        <f aca="false">IF(J218="","",J218*12)</f>
        <v/>
      </c>
      <c r="L218" s="29"/>
      <c r="M218" s="27" t="str">
        <f aca="false">IF(OR(L218="",J218=""),"",IF(J218&lt;=0,"回収不可",L218/J218))</f>
        <v/>
      </c>
      <c r="N218" s="22"/>
      <c r="O218" s="17"/>
      <c r="P218" s="22"/>
      <c r="Q218" s="22"/>
      <c r="R218" s="28" t="str">
        <f aca="true">IF(OR(P218="",Q218&lt;&gt;"",O218="キャンセル"),"",P218-TODAY())</f>
        <v/>
      </c>
      <c r="S218" s="29"/>
      <c r="T218" s="22"/>
      <c r="U218" s="17"/>
      <c r="V218" s="22"/>
      <c r="W218" s="19" t="str">
        <f aca="true">IF(B218="","",IF(OR(O218="開通済",Q218&lt;&gt;""),"完了",IF(O218="キャンセル","―",IF(AND(V218&lt;&gt;"",V218&lt;TODAY()),"対応期限超過",IF(AND(P218&lt;&gt;"",P218&lt;TODAY()),"開通予定日超過",IF(AND(V218&lt;&gt;"",V218=TODAY()),"本日対応",IF(AND(P218&lt;&gt;"",P218-TODAY()&lt;=3),"開通間近","")))))))</f>
        <v/>
      </c>
      <c r="X218" s="17"/>
    </row>
    <row r="219" customFormat="false" ht="15" hidden="false" customHeight="false" outlineLevel="0" collapsed="false">
      <c r="A219" s="12" t="str">
        <f aca="false">IF(B219="","",ROW()-4)</f>
        <v/>
      </c>
      <c r="B219" s="17"/>
      <c r="C219" s="19" t="str">
        <f aca="false">IF(B219="","",IFERROR(INDEX(顧客一覧!$C$5:$C$304,MATCH(B219,顧客一覧!$B$5:$B$304,0)),"※ID未登録"))</f>
        <v/>
      </c>
      <c r="D219" s="12" t="str">
        <f aca="false">IF(B219="","",IFERROR(INDEX(顧客一覧!$K$5:$K$304,MATCH(B219,顧客一覧!$B$5:$B$304,0))&amp;"",""))</f>
        <v/>
      </c>
      <c r="E219" s="17"/>
      <c r="F219" s="17"/>
      <c r="G219" s="29"/>
      <c r="H219" s="17"/>
      <c r="I219" s="29"/>
      <c r="J219" s="26" t="str">
        <f aca="false">IF(OR(G219="",I219=""),"",G219-I219)</f>
        <v/>
      </c>
      <c r="K219" s="26" t="str">
        <f aca="false">IF(J219="","",J219*12)</f>
        <v/>
      </c>
      <c r="L219" s="29"/>
      <c r="M219" s="27" t="str">
        <f aca="false">IF(OR(L219="",J219=""),"",IF(J219&lt;=0,"回収不可",L219/J219))</f>
        <v/>
      </c>
      <c r="N219" s="22"/>
      <c r="O219" s="17"/>
      <c r="P219" s="22"/>
      <c r="Q219" s="22"/>
      <c r="R219" s="28" t="str">
        <f aca="true">IF(OR(P219="",Q219&lt;&gt;"",O219="キャンセル"),"",P219-TODAY())</f>
        <v/>
      </c>
      <c r="S219" s="29"/>
      <c r="T219" s="22"/>
      <c r="U219" s="17"/>
      <c r="V219" s="22"/>
      <c r="W219" s="19" t="str">
        <f aca="true">IF(B219="","",IF(OR(O219="開通済",Q219&lt;&gt;""),"完了",IF(O219="キャンセル","―",IF(AND(V219&lt;&gt;"",V219&lt;TODAY()),"対応期限超過",IF(AND(P219&lt;&gt;"",P219&lt;TODAY()),"開通予定日超過",IF(AND(V219&lt;&gt;"",V219=TODAY()),"本日対応",IF(AND(P219&lt;&gt;"",P219-TODAY()&lt;=3),"開通間近","")))))))</f>
        <v/>
      </c>
      <c r="X219" s="17"/>
    </row>
    <row r="220" customFormat="false" ht="15" hidden="false" customHeight="false" outlineLevel="0" collapsed="false">
      <c r="A220" s="12" t="str">
        <f aca="false">IF(B220="","",ROW()-4)</f>
        <v/>
      </c>
      <c r="B220" s="17"/>
      <c r="C220" s="19" t="str">
        <f aca="false">IF(B220="","",IFERROR(INDEX(顧客一覧!$C$5:$C$304,MATCH(B220,顧客一覧!$B$5:$B$304,0)),"※ID未登録"))</f>
        <v/>
      </c>
      <c r="D220" s="12" t="str">
        <f aca="false">IF(B220="","",IFERROR(INDEX(顧客一覧!$K$5:$K$304,MATCH(B220,顧客一覧!$B$5:$B$304,0))&amp;"",""))</f>
        <v/>
      </c>
      <c r="E220" s="17"/>
      <c r="F220" s="17"/>
      <c r="G220" s="29"/>
      <c r="H220" s="17"/>
      <c r="I220" s="29"/>
      <c r="J220" s="26" t="str">
        <f aca="false">IF(OR(G220="",I220=""),"",G220-I220)</f>
        <v/>
      </c>
      <c r="K220" s="26" t="str">
        <f aca="false">IF(J220="","",J220*12)</f>
        <v/>
      </c>
      <c r="L220" s="29"/>
      <c r="M220" s="27" t="str">
        <f aca="false">IF(OR(L220="",J220=""),"",IF(J220&lt;=0,"回収不可",L220/J220))</f>
        <v/>
      </c>
      <c r="N220" s="22"/>
      <c r="O220" s="17"/>
      <c r="P220" s="22"/>
      <c r="Q220" s="22"/>
      <c r="R220" s="28" t="str">
        <f aca="true">IF(OR(P220="",Q220&lt;&gt;"",O220="キャンセル"),"",P220-TODAY())</f>
        <v/>
      </c>
      <c r="S220" s="29"/>
      <c r="T220" s="22"/>
      <c r="U220" s="17"/>
      <c r="V220" s="22"/>
      <c r="W220" s="19" t="str">
        <f aca="true">IF(B220="","",IF(OR(O220="開通済",Q220&lt;&gt;""),"完了",IF(O220="キャンセル","―",IF(AND(V220&lt;&gt;"",V220&lt;TODAY()),"対応期限超過",IF(AND(P220&lt;&gt;"",P220&lt;TODAY()),"開通予定日超過",IF(AND(V220&lt;&gt;"",V220=TODAY()),"本日対応",IF(AND(P220&lt;&gt;"",P220-TODAY()&lt;=3),"開通間近","")))))))</f>
        <v/>
      </c>
      <c r="X220" s="17"/>
    </row>
    <row r="221" customFormat="false" ht="15" hidden="false" customHeight="false" outlineLevel="0" collapsed="false">
      <c r="A221" s="12" t="str">
        <f aca="false">IF(B221="","",ROW()-4)</f>
        <v/>
      </c>
      <c r="B221" s="17"/>
      <c r="C221" s="19" t="str">
        <f aca="false">IF(B221="","",IFERROR(INDEX(顧客一覧!$C$5:$C$304,MATCH(B221,顧客一覧!$B$5:$B$304,0)),"※ID未登録"))</f>
        <v/>
      </c>
      <c r="D221" s="12" t="str">
        <f aca="false">IF(B221="","",IFERROR(INDEX(顧客一覧!$K$5:$K$304,MATCH(B221,顧客一覧!$B$5:$B$304,0))&amp;"",""))</f>
        <v/>
      </c>
      <c r="E221" s="17"/>
      <c r="F221" s="17"/>
      <c r="G221" s="29"/>
      <c r="H221" s="17"/>
      <c r="I221" s="29"/>
      <c r="J221" s="26" t="str">
        <f aca="false">IF(OR(G221="",I221=""),"",G221-I221)</f>
        <v/>
      </c>
      <c r="K221" s="26" t="str">
        <f aca="false">IF(J221="","",J221*12)</f>
        <v/>
      </c>
      <c r="L221" s="29"/>
      <c r="M221" s="27" t="str">
        <f aca="false">IF(OR(L221="",J221=""),"",IF(J221&lt;=0,"回収不可",L221/J221))</f>
        <v/>
      </c>
      <c r="N221" s="22"/>
      <c r="O221" s="17"/>
      <c r="P221" s="22"/>
      <c r="Q221" s="22"/>
      <c r="R221" s="28" t="str">
        <f aca="true">IF(OR(P221="",Q221&lt;&gt;"",O221="キャンセル"),"",P221-TODAY())</f>
        <v/>
      </c>
      <c r="S221" s="29"/>
      <c r="T221" s="22"/>
      <c r="U221" s="17"/>
      <c r="V221" s="22"/>
      <c r="W221" s="19" t="str">
        <f aca="true">IF(B221="","",IF(OR(O221="開通済",Q221&lt;&gt;""),"完了",IF(O221="キャンセル","―",IF(AND(V221&lt;&gt;"",V221&lt;TODAY()),"対応期限超過",IF(AND(P221&lt;&gt;"",P221&lt;TODAY()),"開通予定日超過",IF(AND(V221&lt;&gt;"",V221=TODAY()),"本日対応",IF(AND(P221&lt;&gt;"",P221-TODAY()&lt;=3),"開通間近","")))))))</f>
        <v/>
      </c>
      <c r="X221" s="17"/>
    </row>
    <row r="222" customFormat="false" ht="15" hidden="false" customHeight="false" outlineLevel="0" collapsed="false">
      <c r="A222" s="12" t="str">
        <f aca="false">IF(B222="","",ROW()-4)</f>
        <v/>
      </c>
      <c r="B222" s="17"/>
      <c r="C222" s="19" t="str">
        <f aca="false">IF(B222="","",IFERROR(INDEX(顧客一覧!$C$5:$C$304,MATCH(B222,顧客一覧!$B$5:$B$304,0)),"※ID未登録"))</f>
        <v/>
      </c>
      <c r="D222" s="12" t="str">
        <f aca="false">IF(B222="","",IFERROR(INDEX(顧客一覧!$K$5:$K$304,MATCH(B222,顧客一覧!$B$5:$B$304,0))&amp;"",""))</f>
        <v/>
      </c>
      <c r="E222" s="17"/>
      <c r="F222" s="17"/>
      <c r="G222" s="29"/>
      <c r="H222" s="17"/>
      <c r="I222" s="29"/>
      <c r="J222" s="26" t="str">
        <f aca="false">IF(OR(G222="",I222=""),"",G222-I222)</f>
        <v/>
      </c>
      <c r="K222" s="26" t="str">
        <f aca="false">IF(J222="","",J222*12)</f>
        <v/>
      </c>
      <c r="L222" s="29"/>
      <c r="M222" s="27" t="str">
        <f aca="false">IF(OR(L222="",J222=""),"",IF(J222&lt;=0,"回収不可",L222/J222))</f>
        <v/>
      </c>
      <c r="N222" s="22"/>
      <c r="O222" s="17"/>
      <c r="P222" s="22"/>
      <c r="Q222" s="22"/>
      <c r="R222" s="28" t="str">
        <f aca="true">IF(OR(P222="",Q222&lt;&gt;"",O222="キャンセル"),"",P222-TODAY())</f>
        <v/>
      </c>
      <c r="S222" s="29"/>
      <c r="T222" s="22"/>
      <c r="U222" s="17"/>
      <c r="V222" s="22"/>
      <c r="W222" s="19" t="str">
        <f aca="true">IF(B222="","",IF(OR(O222="開通済",Q222&lt;&gt;""),"完了",IF(O222="キャンセル","―",IF(AND(V222&lt;&gt;"",V222&lt;TODAY()),"対応期限超過",IF(AND(P222&lt;&gt;"",P222&lt;TODAY()),"開通予定日超過",IF(AND(V222&lt;&gt;"",V222=TODAY()),"本日対応",IF(AND(P222&lt;&gt;"",P222-TODAY()&lt;=3),"開通間近","")))))))</f>
        <v/>
      </c>
      <c r="X222" s="17"/>
    </row>
    <row r="223" customFormat="false" ht="15" hidden="false" customHeight="false" outlineLevel="0" collapsed="false">
      <c r="A223" s="12" t="str">
        <f aca="false">IF(B223="","",ROW()-4)</f>
        <v/>
      </c>
      <c r="B223" s="17"/>
      <c r="C223" s="19" t="str">
        <f aca="false">IF(B223="","",IFERROR(INDEX(顧客一覧!$C$5:$C$304,MATCH(B223,顧客一覧!$B$5:$B$304,0)),"※ID未登録"))</f>
        <v/>
      </c>
      <c r="D223" s="12" t="str">
        <f aca="false">IF(B223="","",IFERROR(INDEX(顧客一覧!$K$5:$K$304,MATCH(B223,顧客一覧!$B$5:$B$304,0))&amp;"",""))</f>
        <v/>
      </c>
      <c r="E223" s="17"/>
      <c r="F223" s="17"/>
      <c r="G223" s="29"/>
      <c r="H223" s="17"/>
      <c r="I223" s="29"/>
      <c r="J223" s="26" t="str">
        <f aca="false">IF(OR(G223="",I223=""),"",G223-I223)</f>
        <v/>
      </c>
      <c r="K223" s="26" t="str">
        <f aca="false">IF(J223="","",J223*12)</f>
        <v/>
      </c>
      <c r="L223" s="29"/>
      <c r="M223" s="27" t="str">
        <f aca="false">IF(OR(L223="",J223=""),"",IF(J223&lt;=0,"回収不可",L223/J223))</f>
        <v/>
      </c>
      <c r="N223" s="22"/>
      <c r="O223" s="17"/>
      <c r="P223" s="22"/>
      <c r="Q223" s="22"/>
      <c r="R223" s="28" t="str">
        <f aca="true">IF(OR(P223="",Q223&lt;&gt;"",O223="キャンセル"),"",P223-TODAY())</f>
        <v/>
      </c>
      <c r="S223" s="29"/>
      <c r="T223" s="22"/>
      <c r="U223" s="17"/>
      <c r="V223" s="22"/>
      <c r="W223" s="19" t="str">
        <f aca="true">IF(B223="","",IF(OR(O223="開通済",Q223&lt;&gt;""),"完了",IF(O223="キャンセル","―",IF(AND(V223&lt;&gt;"",V223&lt;TODAY()),"対応期限超過",IF(AND(P223&lt;&gt;"",P223&lt;TODAY()),"開通予定日超過",IF(AND(V223&lt;&gt;"",V223=TODAY()),"本日対応",IF(AND(P223&lt;&gt;"",P223-TODAY()&lt;=3),"開通間近","")))))))</f>
        <v/>
      </c>
      <c r="X223" s="17"/>
    </row>
    <row r="224" customFormat="false" ht="15" hidden="false" customHeight="false" outlineLevel="0" collapsed="false">
      <c r="A224" s="12" t="str">
        <f aca="false">IF(B224="","",ROW()-4)</f>
        <v/>
      </c>
      <c r="B224" s="17"/>
      <c r="C224" s="19" t="str">
        <f aca="false">IF(B224="","",IFERROR(INDEX(顧客一覧!$C$5:$C$304,MATCH(B224,顧客一覧!$B$5:$B$304,0)),"※ID未登録"))</f>
        <v/>
      </c>
      <c r="D224" s="12" t="str">
        <f aca="false">IF(B224="","",IFERROR(INDEX(顧客一覧!$K$5:$K$304,MATCH(B224,顧客一覧!$B$5:$B$304,0))&amp;"",""))</f>
        <v/>
      </c>
      <c r="E224" s="17"/>
      <c r="F224" s="17"/>
      <c r="G224" s="29"/>
      <c r="H224" s="17"/>
      <c r="I224" s="29"/>
      <c r="J224" s="26" t="str">
        <f aca="false">IF(OR(G224="",I224=""),"",G224-I224)</f>
        <v/>
      </c>
      <c r="K224" s="26" t="str">
        <f aca="false">IF(J224="","",J224*12)</f>
        <v/>
      </c>
      <c r="L224" s="29"/>
      <c r="M224" s="27" t="str">
        <f aca="false">IF(OR(L224="",J224=""),"",IF(J224&lt;=0,"回収不可",L224/J224))</f>
        <v/>
      </c>
      <c r="N224" s="22"/>
      <c r="O224" s="17"/>
      <c r="P224" s="22"/>
      <c r="Q224" s="22"/>
      <c r="R224" s="28" t="str">
        <f aca="true">IF(OR(P224="",Q224&lt;&gt;"",O224="キャンセル"),"",P224-TODAY())</f>
        <v/>
      </c>
      <c r="S224" s="29"/>
      <c r="T224" s="22"/>
      <c r="U224" s="17"/>
      <c r="V224" s="22"/>
      <c r="W224" s="19" t="str">
        <f aca="true">IF(B224="","",IF(OR(O224="開通済",Q224&lt;&gt;""),"完了",IF(O224="キャンセル","―",IF(AND(V224&lt;&gt;"",V224&lt;TODAY()),"対応期限超過",IF(AND(P224&lt;&gt;"",P224&lt;TODAY()),"開通予定日超過",IF(AND(V224&lt;&gt;"",V224=TODAY()),"本日対応",IF(AND(P224&lt;&gt;"",P224-TODAY()&lt;=3),"開通間近","")))))))</f>
        <v/>
      </c>
      <c r="X224" s="17"/>
    </row>
    <row r="225" customFormat="false" ht="15" hidden="false" customHeight="false" outlineLevel="0" collapsed="false">
      <c r="A225" s="12" t="str">
        <f aca="false">IF(B225="","",ROW()-4)</f>
        <v/>
      </c>
      <c r="B225" s="17"/>
      <c r="C225" s="19" t="str">
        <f aca="false">IF(B225="","",IFERROR(INDEX(顧客一覧!$C$5:$C$304,MATCH(B225,顧客一覧!$B$5:$B$304,0)),"※ID未登録"))</f>
        <v/>
      </c>
      <c r="D225" s="12" t="str">
        <f aca="false">IF(B225="","",IFERROR(INDEX(顧客一覧!$K$5:$K$304,MATCH(B225,顧客一覧!$B$5:$B$304,0))&amp;"",""))</f>
        <v/>
      </c>
      <c r="E225" s="17"/>
      <c r="F225" s="17"/>
      <c r="G225" s="29"/>
      <c r="H225" s="17"/>
      <c r="I225" s="29"/>
      <c r="J225" s="26" t="str">
        <f aca="false">IF(OR(G225="",I225=""),"",G225-I225)</f>
        <v/>
      </c>
      <c r="K225" s="26" t="str">
        <f aca="false">IF(J225="","",J225*12)</f>
        <v/>
      </c>
      <c r="L225" s="29"/>
      <c r="M225" s="27" t="str">
        <f aca="false">IF(OR(L225="",J225=""),"",IF(J225&lt;=0,"回収不可",L225/J225))</f>
        <v/>
      </c>
      <c r="N225" s="22"/>
      <c r="O225" s="17"/>
      <c r="P225" s="22"/>
      <c r="Q225" s="22"/>
      <c r="R225" s="28" t="str">
        <f aca="true">IF(OR(P225="",Q225&lt;&gt;"",O225="キャンセル"),"",P225-TODAY())</f>
        <v/>
      </c>
      <c r="S225" s="29"/>
      <c r="T225" s="22"/>
      <c r="U225" s="17"/>
      <c r="V225" s="22"/>
      <c r="W225" s="19" t="str">
        <f aca="true">IF(B225="","",IF(OR(O225="開通済",Q225&lt;&gt;""),"完了",IF(O225="キャンセル","―",IF(AND(V225&lt;&gt;"",V225&lt;TODAY()),"対応期限超過",IF(AND(P225&lt;&gt;"",P225&lt;TODAY()),"開通予定日超過",IF(AND(V225&lt;&gt;"",V225=TODAY()),"本日対応",IF(AND(P225&lt;&gt;"",P225-TODAY()&lt;=3),"開通間近","")))))))</f>
        <v/>
      </c>
      <c r="X225" s="17"/>
    </row>
    <row r="226" customFormat="false" ht="15" hidden="false" customHeight="false" outlineLevel="0" collapsed="false">
      <c r="A226" s="12" t="str">
        <f aca="false">IF(B226="","",ROW()-4)</f>
        <v/>
      </c>
      <c r="B226" s="17"/>
      <c r="C226" s="19" t="str">
        <f aca="false">IF(B226="","",IFERROR(INDEX(顧客一覧!$C$5:$C$304,MATCH(B226,顧客一覧!$B$5:$B$304,0)),"※ID未登録"))</f>
        <v/>
      </c>
      <c r="D226" s="12" t="str">
        <f aca="false">IF(B226="","",IFERROR(INDEX(顧客一覧!$K$5:$K$304,MATCH(B226,顧客一覧!$B$5:$B$304,0))&amp;"",""))</f>
        <v/>
      </c>
      <c r="E226" s="17"/>
      <c r="F226" s="17"/>
      <c r="G226" s="29"/>
      <c r="H226" s="17"/>
      <c r="I226" s="29"/>
      <c r="J226" s="26" t="str">
        <f aca="false">IF(OR(G226="",I226=""),"",G226-I226)</f>
        <v/>
      </c>
      <c r="K226" s="26" t="str">
        <f aca="false">IF(J226="","",J226*12)</f>
        <v/>
      </c>
      <c r="L226" s="29"/>
      <c r="M226" s="27" t="str">
        <f aca="false">IF(OR(L226="",J226=""),"",IF(J226&lt;=0,"回収不可",L226/J226))</f>
        <v/>
      </c>
      <c r="N226" s="22"/>
      <c r="O226" s="17"/>
      <c r="P226" s="22"/>
      <c r="Q226" s="22"/>
      <c r="R226" s="28" t="str">
        <f aca="true">IF(OR(P226="",Q226&lt;&gt;"",O226="キャンセル"),"",P226-TODAY())</f>
        <v/>
      </c>
      <c r="S226" s="29"/>
      <c r="T226" s="22"/>
      <c r="U226" s="17"/>
      <c r="V226" s="22"/>
      <c r="W226" s="19" t="str">
        <f aca="true">IF(B226="","",IF(OR(O226="開通済",Q226&lt;&gt;""),"完了",IF(O226="キャンセル","―",IF(AND(V226&lt;&gt;"",V226&lt;TODAY()),"対応期限超過",IF(AND(P226&lt;&gt;"",P226&lt;TODAY()),"開通予定日超過",IF(AND(V226&lt;&gt;"",V226=TODAY()),"本日対応",IF(AND(P226&lt;&gt;"",P226-TODAY()&lt;=3),"開通間近","")))))))</f>
        <v/>
      </c>
      <c r="X226" s="17"/>
    </row>
    <row r="227" customFormat="false" ht="15" hidden="false" customHeight="false" outlineLevel="0" collapsed="false">
      <c r="A227" s="12" t="str">
        <f aca="false">IF(B227="","",ROW()-4)</f>
        <v/>
      </c>
      <c r="B227" s="17"/>
      <c r="C227" s="19" t="str">
        <f aca="false">IF(B227="","",IFERROR(INDEX(顧客一覧!$C$5:$C$304,MATCH(B227,顧客一覧!$B$5:$B$304,0)),"※ID未登録"))</f>
        <v/>
      </c>
      <c r="D227" s="12" t="str">
        <f aca="false">IF(B227="","",IFERROR(INDEX(顧客一覧!$K$5:$K$304,MATCH(B227,顧客一覧!$B$5:$B$304,0))&amp;"",""))</f>
        <v/>
      </c>
      <c r="E227" s="17"/>
      <c r="F227" s="17"/>
      <c r="G227" s="29"/>
      <c r="H227" s="17"/>
      <c r="I227" s="29"/>
      <c r="J227" s="26" t="str">
        <f aca="false">IF(OR(G227="",I227=""),"",G227-I227)</f>
        <v/>
      </c>
      <c r="K227" s="26" t="str">
        <f aca="false">IF(J227="","",J227*12)</f>
        <v/>
      </c>
      <c r="L227" s="29"/>
      <c r="M227" s="27" t="str">
        <f aca="false">IF(OR(L227="",J227=""),"",IF(J227&lt;=0,"回収不可",L227/J227))</f>
        <v/>
      </c>
      <c r="N227" s="22"/>
      <c r="O227" s="17"/>
      <c r="P227" s="22"/>
      <c r="Q227" s="22"/>
      <c r="R227" s="28" t="str">
        <f aca="true">IF(OR(P227="",Q227&lt;&gt;"",O227="キャンセル"),"",P227-TODAY())</f>
        <v/>
      </c>
      <c r="S227" s="29"/>
      <c r="T227" s="22"/>
      <c r="U227" s="17"/>
      <c r="V227" s="22"/>
      <c r="W227" s="19" t="str">
        <f aca="true">IF(B227="","",IF(OR(O227="開通済",Q227&lt;&gt;""),"完了",IF(O227="キャンセル","―",IF(AND(V227&lt;&gt;"",V227&lt;TODAY()),"対応期限超過",IF(AND(P227&lt;&gt;"",P227&lt;TODAY()),"開通予定日超過",IF(AND(V227&lt;&gt;"",V227=TODAY()),"本日対応",IF(AND(P227&lt;&gt;"",P227-TODAY()&lt;=3),"開通間近","")))))))</f>
        <v/>
      </c>
      <c r="X227" s="17"/>
    </row>
    <row r="228" customFormat="false" ht="15" hidden="false" customHeight="false" outlineLevel="0" collapsed="false">
      <c r="A228" s="12" t="str">
        <f aca="false">IF(B228="","",ROW()-4)</f>
        <v/>
      </c>
      <c r="B228" s="17"/>
      <c r="C228" s="19" t="str">
        <f aca="false">IF(B228="","",IFERROR(INDEX(顧客一覧!$C$5:$C$304,MATCH(B228,顧客一覧!$B$5:$B$304,0)),"※ID未登録"))</f>
        <v/>
      </c>
      <c r="D228" s="12" t="str">
        <f aca="false">IF(B228="","",IFERROR(INDEX(顧客一覧!$K$5:$K$304,MATCH(B228,顧客一覧!$B$5:$B$304,0))&amp;"",""))</f>
        <v/>
      </c>
      <c r="E228" s="17"/>
      <c r="F228" s="17"/>
      <c r="G228" s="29"/>
      <c r="H228" s="17"/>
      <c r="I228" s="29"/>
      <c r="J228" s="26" t="str">
        <f aca="false">IF(OR(G228="",I228=""),"",G228-I228)</f>
        <v/>
      </c>
      <c r="K228" s="26" t="str">
        <f aca="false">IF(J228="","",J228*12)</f>
        <v/>
      </c>
      <c r="L228" s="29"/>
      <c r="M228" s="27" t="str">
        <f aca="false">IF(OR(L228="",J228=""),"",IF(J228&lt;=0,"回収不可",L228/J228))</f>
        <v/>
      </c>
      <c r="N228" s="22"/>
      <c r="O228" s="17"/>
      <c r="P228" s="22"/>
      <c r="Q228" s="22"/>
      <c r="R228" s="28" t="str">
        <f aca="true">IF(OR(P228="",Q228&lt;&gt;"",O228="キャンセル"),"",P228-TODAY())</f>
        <v/>
      </c>
      <c r="S228" s="29"/>
      <c r="T228" s="22"/>
      <c r="U228" s="17"/>
      <c r="V228" s="22"/>
      <c r="W228" s="19" t="str">
        <f aca="true">IF(B228="","",IF(OR(O228="開通済",Q228&lt;&gt;""),"完了",IF(O228="キャンセル","―",IF(AND(V228&lt;&gt;"",V228&lt;TODAY()),"対応期限超過",IF(AND(P228&lt;&gt;"",P228&lt;TODAY()),"開通予定日超過",IF(AND(V228&lt;&gt;"",V228=TODAY()),"本日対応",IF(AND(P228&lt;&gt;"",P228-TODAY()&lt;=3),"開通間近","")))))))</f>
        <v/>
      </c>
      <c r="X228" s="17"/>
    </row>
    <row r="229" customFormat="false" ht="15" hidden="false" customHeight="false" outlineLevel="0" collapsed="false">
      <c r="A229" s="12" t="str">
        <f aca="false">IF(B229="","",ROW()-4)</f>
        <v/>
      </c>
      <c r="B229" s="17"/>
      <c r="C229" s="19" t="str">
        <f aca="false">IF(B229="","",IFERROR(INDEX(顧客一覧!$C$5:$C$304,MATCH(B229,顧客一覧!$B$5:$B$304,0)),"※ID未登録"))</f>
        <v/>
      </c>
      <c r="D229" s="12" t="str">
        <f aca="false">IF(B229="","",IFERROR(INDEX(顧客一覧!$K$5:$K$304,MATCH(B229,顧客一覧!$B$5:$B$304,0))&amp;"",""))</f>
        <v/>
      </c>
      <c r="E229" s="17"/>
      <c r="F229" s="17"/>
      <c r="G229" s="29"/>
      <c r="H229" s="17"/>
      <c r="I229" s="29"/>
      <c r="J229" s="26" t="str">
        <f aca="false">IF(OR(G229="",I229=""),"",G229-I229)</f>
        <v/>
      </c>
      <c r="K229" s="26" t="str">
        <f aca="false">IF(J229="","",J229*12)</f>
        <v/>
      </c>
      <c r="L229" s="29"/>
      <c r="M229" s="27" t="str">
        <f aca="false">IF(OR(L229="",J229=""),"",IF(J229&lt;=0,"回収不可",L229/J229))</f>
        <v/>
      </c>
      <c r="N229" s="22"/>
      <c r="O229" s="17"/>
      <c r="P229" s="22"/>
      <c r="Q229" s="22"/>
      <c r="R229" s="28" t="str">
        <f aca="true">IF(OR(P229="",Q229&lt;&gt;"",O229="キャンセル"),"",P229-TODAY())</f>
        <v/>
      </c>
      <c r="S229" s="29"/>
      <c r="T229" s="22"/>
      <c r="U229" s="17"/>
      <c r="V229" s="22"/>
      <c r="W229" s="19" t="str">
        <f aca="true">IF(B229="","",IF(OR(O229="開通済",Q229&lt;&gt;""),"完了",IF(O229="キャンセル","―",IF(AND(V229&lt;&gt;"",V229&lt;TODAY()),"対応期限超過",IF(AND(P229&lt;&gt;"",P229&lt;TODAY()),"開通予定日超過",IF(AND(V229&lt;&gt;"",V229=TODAY()),"本日対応",IF(AND(P229&lt;&gt;"",P229-TODAY()&lt;=3),"開通間近","")))))))</f>
        <v/>
      </c>
      <c r="X229" s="17"/>
    </row>
    <row r="230" customFormat="false" ht="15" hidden="false" customHeight="false" outlineLevel="0" collapsed="false">
      <c r="A230" s="12" t="str">
        <f aca="false">IF(B230="","",ROW()-4)</f>
        <v/>
      </c>
      <c r="B230" s="17"/>
      <c r="C230" s="19" t="str">
        <f aca="false">IF(B230="","",IFERROR(INDEX(顧客一覧!$C$5:$C$304,MATCH(B230,顧客一覧!$B$5:$B$304,0)),"※ID未登録"))</f>
        <v/>
      </c>
      <c r="D230" s="12" t="str">
        <f aca="false">IF(B230="","",IFERROR(INDEX(顧客一覧!$K$5:$K$304,MATCH(B230,顧客一覧!$B$5:$B$304,0))&amp;"",""))</f>
        <v/>
      </c>
      <c r="E230" s="17"/>
      <c r="F230" s="17"/>
      <c r="G230" s="29"/>
      <c r="H230" s="17"/>
      <c r="I230" s="29"/>
      <c r="J230" s="26" t="str">
        <f aca="false">IF(OR(G230="",I230=""),"",G230-I230)</f>
        <v/>
      </c>
      <c r="K230" s="26" t="str">
        <f aca="false">IF(J230="","",J230*12)</f>
        <v/>
      </c>
      <c r="L230" s="29"/>
      <c r="M230" s="27" t="str">
        <f aca="false">IF(OR(L230="",J230=""),"",IF(J230&lt;=0,"回収不可",L230/J230))</f>
        <v/>
      </c>
      <c r="N230" s="22"/>
      <c r="O230" s="17"/>
      <c r="P230" s="22"/>
      <c r="Q230" s="22"/>
      <c r="R230" s="28" t="str">
        <f aca="true">IF(OR(P230="",Q230&lt;&gt;"",O230="キャンセル"),"",P230-TODAY())</f>
        <v/>
      </c>
      <c r="S230" s="29"/>
      <c r="T230" s="22"/>
      <c r="U230" s="17"/>
      <c r="V230" s="22"/>
      <c r="W230" s="19" t="str">
        <f aca="true">IF(B230="","",IF(OR(O230="開通済",Q230&lt;&gt;""),"完了",IF(O230="キャンセル","―",IF(AND(V230&lt;&gt;"",V230&lt;TODAY()),"対応期限超過",IF(AND(P230&lt;&gt;"",P230&lt;TODAY()),"開通予定日超過",IF(AND(V230&lt;&gt;"",V230=TODAY()),"本日対応",IF(AND(P230&lt;&gt;"",P230-TODAY()&lt;=3),"開通間近","")))))))</f>
        <v/>
      </c>
      <c r="X230" s="17"/>
    </row>
    <row r="231" customFormat="false" ht="15" hidden="false" customHeight="false" outlineLevel="0" collapsed="false">
      <c r="A231" s="12" t="str">
        <f aca="false">IF(B231="","",ROW()-4)</f>
        <v/>
      </c>
      <c r="B231" s="17"/>
      <c r="C231" s="19" t="str">
        <f aca="false">IF(B231="","",IFERROR(INDEX(顧客一覧!$C$5:$C$304,MATCH(B231,顧客一覧!$B$5:$B$304,0)),"※ID未登録"))</f>
        <v/>
      </c>
      <c r="D231" s="12" t="str">
        <f aca="false">IF(B231="","",IFERROR(INDEX(顧客一覧!$K$5:$K$304,MATCH(B231,顧客一覧!$B$5:$B$304,0))&amp;"",""))</f>
        <v/>
      </c>
      <c r="E231" s="17"/>
      <c r="F231" s="17"/>
      <c r="G231" s="29"/>
      <c r="H231" s="17"/>
      <c r="I231" s="29"/>
      <c r="J231" s="26" t="str">
        <f aca="false">IF(OR(G231="",I231=""),"",G231-I231)</f>
        <v/>
      </c>
      <c r="K231" s="26" t="str">
        <f aca="false">IF(J231="","",J231*12)</f>
        <v/>
      </c>
      <c r="L231" s="29"/>
      <c r="M231" s="27" t="str">
        <f aca="false">IF(OR(L231="",J231=""),"",IF(J231&lt;=0,"回収不可",L231/J231))</f>
        <v/>
      </c>
      <c r="N231" s="22"/>
      <c r="O231" s="17"/>
      <c r="P231" s="22"/>
      <c r="Q231" s="22"/>
      <c r="R231" s="28" t="str">
        <f aca="true">IF(OR(P231="",Q231&lt;&gt;"",O231="キャンセル"),"",P231-TODAY())</f>
        <v/>
      </c>
      <c r="S231" s="29"/>
      <c r="T231" s="22"/>
      <c r="U231" s="17"/>
      <c r="V231" s="22"/>
      <c r="W231" s="19" t="str">
        <f aca="true">IF(B231="","",IF(OR(O231="開通済",Q231&lt;&gt;""),"完了",IF(O231="キャンセル","―",IF(AND(V231&lt;&gt;"",V231&lt;TODAY()),"対応期限超過",IF(AND(P231&lt;&gt;"",P231&lt;TODAY()),"開通予定日超過",IF(AND(V231&lt;&gt;"",V231=TODAY()),"本日対応",IF(AND(P231&lt;&gt;"",P231-TODAY()&lt;=3),"開通間近","")))))))</f>
        <v/>
      </c>
      <c r="X231" s="17"/>
    </row>
    <row r="232" customFormat="false" ht="15" hidden="false" customHeight="false" outlineLevel="0" collapsed="false">
      <c r="A232" s="12" t="str">
        <f aca="false">IF(B232="","",ROW()-4)</f>
        <v/>
      </c>
      <c r="B232" s="17"/>
      <c r="C232" s="19" t="str">
        <f aca="false">IF(B232="","",IFERROR(INDEX(顧客一覧!$C$5:$C$304,MATCH(B232,顧客一覧!$B$5:$B$304,0)),"※ID未登録"))</f>
        <v/>
      </c>
      <c r="D232" s="12" t="str">
        <f aca="false">IF(B232="","",IFERROR(INDEX(顧客一覧!$K$5:$K$304,MATCH(B232,顧客一覧!$B$5:$B$304,0))&amp;"",""))</f>
        <v/>
      </c>
      <c r="E232" s="17"/>
      <c r="F232" s="17"/>
      <c r="G232" s="29"/>
      <c r="H232" s="17"/>
      <c r="I232" s="29"/>
      <c r="J232" s="26" t="str">
        <f aca="false">IF(OR(G232="",I232=""),"",G232-I232)</f>
        <v/>
      </c>
      <c r="K232" s="26" t="str">
        <f aca="false">IF(J232="","",J232*12)</f>
        <v/>
      </c>
      <c r="L232" s="29"/>
      <c r="M232" s="27" t="str">
        <f aca="false">IF(OR(L232="",J232=""),"",IF(J232&lt;=0,"回収不可",L232/J232))</f>
        <v/>
      </c>
      <c r="N232" s="22"/>
      <c r="O232" s="17"/>
      <c r="P232" s="22"/>
      <c r="Q232" s="22"/>
      <c r="R232" s="28" t="str">
        <f aca="true">IF(OR(P232="",Q232&lt;&gt;"",O232="キャンセル"),"",P232-TODAY())</f>
        <v/>
      </c>
      <c r="S232" s="29"/>
      <c r="T232" s="22"/>
      <c r="U232" s="17"/>
      <c r="V232" s="22"/>
      <c r="W232" s="19" t="str">
        <f aca="true">IF(B232="","",IF(OR(O232="開通済",Q232&lt;&gt;""),"完了",IF(O232="キャンセル","―",IF(AND(V232&lt;&gt;"",V232&lt;TODAY()),"対応期限超過",IF(AND(P232&lt;&gt;"",P232&lt;TODAY()),"開通予定日超過",IF(AND(V232&lt;&gt;"",V232=TODAY()),"本日対応",IF(AND(P232&lt;&gt;"",P232-TODAY()&lt;=3),"開通間近","")))))))</f>
        <v/>
      </c>
      <c r="X232" s="17"/>
    </row>
    <row r="233" customFormat="false" ht="15" hidden="false" customHeight="false" outlineLevel="0" collapsed="false">
      <c r="A233" s="12" t="str">
        <f aca="false">IF(B233="","",ROW()-4)</f>
        <v/>
      </c>
      <c r="B233" s="17"/>
      <c r="C233" s="19" t="str">
        <f aca="false">IF(B233="","",IFERROR(INDEX(顧客一覧!$C$5:$C$304,MATCH(B233,顧客一覧!$B$5:$B$304,0)),"※ID未登録"))</f>
        <v/>
      </c>
      <c r="D233" s="12" t="str">
        <f aca="false">IF(B233="","",IFERROR(INDEX(顧客一覧!$K$5:$K$304,MATCH(B233,顧客一覧!$B$5:$B$304,0))&amp;"",""))</f>
        <v/>
      </c>
      <c r="E233" s="17"/>
      <c r="F233" s="17"/>
      <c r="G233" s="29"/>
      <c r="H233" s="17"/>
      <c r="I233" s="29"/>
      <c r="J233" s="26" t="str">
        <f aca="false">IF(OR(G233="",I233=""),"",G233-I233)</f>
        <v/>
      </c>
      <c r="K233" s="26" t="str">
        <f aca="false">IF(J233="","",J233*12)</f>
        <v/>
      </c>
      <c r="L233" s="29"/>
      <c r="M233" s="27" t="str">
        <f aca="false">IF(OR(L233="",J233=""),"",IF(J233&lt;=0,"回収不可",L233/J233))</f>
        <v/>
      </c>
      <c r="N233" s="22"/>
      <c r="O233" s="17"/>
      <c r="P233" s="22"/>
      <c r="Q233" s="22"/>
      <c r="R233" s="28" t="str">
        <f aca="true">IF(OR(P233="",Q233&lt;&gt;"",O233="キャンセル"),"",P233-TODAY())</f>
        <v/>
      </c>
      <c r="S233" s="29"/>
      <c r="T233" s="22"/>
      <c r="U233" s="17"/>
      <c r="V233" s="22"/>
      <c r="W233" s="19" t="str">
        <f aca="true">IF(B233="","",IF(OR(O233="開通済",Q233&lt;&gt;""),"完了",IF(O233="キャンセル","―",IF(AND(V233&lt;&gt;"",V233&lt;TODAY()),"対応期限超過",IF(AND(P233&lt;&gt;"",P233&lt;TODAY()),"開通予定日超過",IF(AND(V233&lt;&gt;"",V233=TODAY()),"本日対応",IF(AND(P233&lt;&gt;"",P233-TODAY()&lt;=3),"開通間近","")))))))</f>
        <v/>
      </c>
      <c r="X233" s="17"/>
    </row>
    <row r="234" customFormat="false" ht="15" hidden="false" customHeight="false" outlineLevel="0" collapsed="false">
      <c r="A234" s="12" t="str">
        <f aca="false">IF(B234="","",ROW()-4)</f>
        <v/>
      </c>
      <c r="B234" s="17"/>
      <c r="C234" s="19" t="str">
        <f aca="false">IF(B234="","",IFERROR(INDEX(顧客一覧!$C$5:$C$304,MATCH(B234,顧客一覧!$B$5:$B$304,0)),"※ID未登録"))</f>
        <v/>
      </c>
      <c r="D234" s="12" t="str">
        <f aca="false">IF(B234="","",IFERROR(INDEX(顧客一覧!$K$5:$K$304,MATCH(B234,顧客一覧!$B$5:$B$304,0))&amp;"",""))</f>
        <v/>
      </c>
      <c r="E234" s="17"/>
      <c r="F234" s="17"/>
      <c r="G234" s="29"/>
      <c r="H234" s="17"/>
      <c r="I234" s="29"/>
      <c r="J234" s="26" t="str">
        <f aca="false">IF(OR(G234="",I234=""),"",G234-I234)</f>
        <v/>
      </c>
      <c r="K234" s="26" t="str">
        <f aca="false">IF(J234="","",J234*12)</f>
        <v/>
      </c>
      <c r="L234" s="29"/>
      <c r="M234" s="27" t="str">
        <f aca="false">IF(OR(L234="",J234=""),"",IF(J234&lt;=0,"回収不可",L234/J234))</f>
        <v/>
      </c>
      <c r="N234" s="22"/>
      <c r="O234" s="17"/>
      <c r="P234" s="22"/>
      <c r="Q234" s="22"/>
      <c r="R234" s="28" t="str">
        <f aca="true">IF(OR(P234="",Q234&lt;&gt;"",O234="キャンセル"),"",P234-TODAY())</f>
        <v/>
      </c>
      <c r="S234" s="29"/>
      <c r="T234" s="22"/>
      <c r="U234" s="17"/>
      <c r="V234" s="22"/>
      <c r="W234" s="19" t="str">
        <f aca="true">IF(B234="","",IF(OR(O234="開通済",Q234&lt;&gt;""),"完了",IF(O234="キャンセル","―",IF(AND(V234&lt;&gt;"",V234&lt;TODAY()),"対応期限超過",IF(AND(P234&lt;&gt;"",P234&lt;TODAY()),"開通予定日超過",IF(AND(V234&lt;&gt;"",V234=TODAY()),"本日対応",IF(AND(P234&lt;&gt;"",P234-TODAY()&lt;=3),"開通間近","")))))))</f>
        <v/>
      </c>
      <c r="X234" s="17"/>
    </row>
    <row r="235" customFormat="false" ht="15" hidden="false" customHeight="false" outlineLevel="0" collapsed="false">
      <c r="A235" s="12" t="str">
        <f aca="false">IF(B235="","",ROW()-4)</f>
        <v/>
      </c>
      <c r="B235" s="17"/>
      <c r="C235" s="19" t="str">
        <f aca="false">IF(B235="","",IFERROR(INDEX(顧客一覧!$C$5:$C$304,MATCH(B235,顧客一覧!$B$5:$B$304,0)),"※ID未登録"))</f>
        <v/>
      </c>
      <c r="D235" s="12" t="str">
        <f aca="false">IF(B235="","",IFERROR(INDEX(顧客一覧!$K$5:$K$304,MATCH(B235,顧客一覧!$B$5:$B$304,0))&amp;"",""))</f>
        <v/>
      </c>
      <c r="E235" s="17"/>
      <c r="F235" s="17"/>
      <c r="G235" s="29"/>
      <c r="H235" s="17"/>
      <c r="I235" s="29"/>
      <c r="J235" s="26" t="str">
        <f aca="false">IF(OR(G235="",I235=""),"",G235-I235)</f>
        <v/>
      </c>
      <c r="K235" s="26" t="str">
        <f aca="false">IF(J235="","",J235*12)</f>
        <v/>
      </c>
      <c r="L235" s="29"/>
      <c r="M235" s="27" t="str">
        <f aca="false">IF(OR(L235="",J235=""),"",IF(J235&lt;=0,"回収不可",L235/J235))</f>
        <v/>
      </c>
      <c r="N235" s="22"/>
      <c r="O235" s="17"/>
      <c r="P235" s="22"/>
      <c r="Q235" s="22"/>
      <c r="R235" s="28" t="str">
        <f aca="true">IF(OR(P235="",Q235&lt;&gt;"",O235="キャンセル"),"",P235-TODAY())</f>
        <v/>
      </c>
      <c r="S235" s="29"/>
      <c r="T235" s="22"/>
      <c r="U235" s="17"/>
      <c r="V235" s="22"/>
      <c r="W235" s="19" t="str">
        <f aca="true">IF(B235="","",IF(OR(O235="開通済",Q235&lt;&gt;""),"完了",IF(O235="キャンセル","―",IF(AND(V235&lt;&gt;"",V235&lt;TODAY()),"対応期限超過",IF(AND(P235&lt;&gt;"",P235&lt;TODAY()),"開通予定日超過",IF(AND(V235&lt;&gt;"",V235=TODAY()),"本日対応",IF(AND(P235&lt;&gt;"",P235-TODAY()&lt;=3),"開通間近","")))))))</f>
        <v/>
      </c>
      <c r="X235" s="17"/>
    </row>
    <row r="236" customFormat="false" ht="15" hidden="false" customHeight="false" outlineLevel="0" collapsed="false">
      <c r="A236" s="12" t="str">
        <f aca="false">IF(B236="","",ROW()-4)</f>
        <v/>
      </c>
      <c r="B236" s="17"/>
      <c r="C236" s="19" t="str">
        <f aca="false">IF(B236="","",IFERROR(INDEX(顧客一覧!$C$5:$C$304,MATCH(B236,顧客一覧!$B$5:$B$304,0)),"※ID未登録"))</f>
        <v/>
      </c>
      <c r="D236" s="12" t="str">
        <f aca="false">IF(B236="","",IFERROR(INDEX(顧客一覧!$K$5:$K$304,MATCH(B236,顧客一覧!$B$5:$B$304,0))&amp;"",""))</f>
        <v/>
      </c>
      <c r="E236" s="17"/>
      <c r="F236" s="17"/>
      <c r="G236" s="29"/>
      <c r="H236" s="17"/>
      <c r="I236" s="29"/>
      <c r="J236" s="26" t="str">
        <f aca="false">IF(OR(G236="",I236=""),"",G236-I236)</f>
        <v/>
      </c>
      <c r="K236" s="26" t="str">
        <f aca="false">IF(J236="","",J236*12)</f>
        <v/>
      </c>
      <c r="L236" s="29"/>
      <c r="M236" s="27" t="str">
        <f aca="false">IF(OR(L236="",J236=""),"",IF(J236&lt;=0,"回収不可",L236/J236))</f>
        <v/>
      </c>
      <c r="N236" s="22"/>
      <c r="O236" s="17"/>
      <c r="P236" s="22"/>
      <c r="Q236" s="22"/>
      <c r="R236" s="28" t="str">
        <f aca="true">IF(OR(P236="",Q236&lt;&gt;"",O236="キャンセル"),"",P236-TODAY())</f>
        <v/>
      </c>
      <c r="S236" s="29"/>
      <c r="T236" s="22"/>
      <c r="U236" s="17"/>
      <c r="V236" s="22"/>
      <c r="W236" s="19" t="str">
        <f aca="true">IF(B236="","",IF(OR(O236="開通済",Q236&lt;&gt;""),"完了",IF(O236="キャンセル","―",IF(AND(V236&lt;&gt;"",V236&lt;TODAY()),"対応期限超過",IF(AND(P236&lt;&gt;"",P236&lt;TODAY()),"開通予定日超過",IF(AND(V236&lt;&gt;"",V236=TODAY()),"本日対応",IF(AND(P236&lt;&gt;"",P236-TODAY()&lt;=3),"開通間近","")))))))</f>
        <v/>
      </c>
      <c r="X236" s="17"/>
    </row>
    <row r="237" customFormat="false" ht="15" hidden="false" customHeight="false" outlineLevel="0" collapsed="false">
      <c r="A237" s="12" t="str">
        <f aca="false">IF(B237="","",ROW()-4)</f>
        <v/>
      </c>
      <c r="B237" s="17"/>
      <c r="C237" s="19" t="str">
        <f aca="false">IF(B237="","",IFERROR(INDEX(顧客一覧!$C$5:$C$304,MATCH(B237,顧客一覧!$B$5:$B$304,0)),"※ID未登録"))</f>
        <v/>
      </c>
      <c r="D237" s="12" t="str">
        <f aca="false">IF(B237="","",IFERROR(INDEX(顧客一覧!$K$5:$K$304,MATCH(B237,顧客一覧!$B$5:$B$304,0))&amp;"",""))</f>
        <v/>
      </c>
      <c r="E237" s="17"/>
      <c r="F237" s="17"/>
      <c r="G237" s="29"/>
      <c r="H237" s="17"/>
      <c r="I237" s="29"/>
      <c r="J237" s="26" t="str">
        <f aca="false">IF(OR(G237="",I237=""),"",G237-I237)</f>
        <v/>
      </c>
      <c r="K237" s="26" t="str">
        <f aca="false">IF(J237="","",J237*12)</f>
        <v/>
      </c>
      <c r="L237" s="29"/>
      <c r="M237" s="27" t="str">
        <f aca="false">IF(OR(L237="",J237=""),"",IF(J237&lt;=0,"回収不可",L237/J237))</f>
        <v/>
      </c>
      <c r="N237" s="22"/>
      <c r="O237" s="17"/>
      <c r="P237" s="22"/>
      <c r="Q237" s="22"/>
      <c r="R237" s="28" t="str">
        <f aca="true">IF(OR(P237="",Q237&lt;&gt;"",O237="キャンセル"),"",P237-TODAY())</f>
        <v/>
      </c>
      <c r="S237" s="29"/>
      <c r="T237" s="22"/>
      <c r="U237" s="17"/>
      <c r="V237" s="22"/>
      <c r="W237" s="19" t="str">
        <f aca="true">IF(B237="","",IF(OR(O237="開通済",Q237&lt;&gt;""),"完了",IF(O237="キャンセル","―",IF(AND(V237&lt;&gt;"",V237&lt;TODAY()),"対応期限超過",IF(AND(P237&lt;&gt;"",P237&lt;TODAY()),"開通予定日超過",IF(AND(V237&lt;&gt;"",V237=TODAY()),"本日対応",IF(AND(P237&lt;&gt;"",P237-TODAY()&lt;=3),"開通間近","")))))))</f>
        <v/>
      </c>
      <c r="X237" s="17"/>
    </row>
    <row r="238" customFormat="false" ht="15" hidden="false" customHeight="false" outlineLevel="0" collapsed="false">
      <c r="A238" s="12" t="str">
        <f aca="false">IF(B238="","",ROW()-4)</f>
        <v/>
      </c>
      <c r="B238" s="17"/>
      <c r="C238" s="19" t="str">
        <f aca="false">IF(B238="","",IFERROR(INDEX(顧客一覧!$C$5:$C$304,MATCH(B238,顧客一覧!$B$5:$B$304,0)),"※ID未登録"))</f>
        <v/>
      </c>
      <c r="D238" s="12" t="str">
        <f aca="false">IF(B238="","",IFERROR(INDEX(顧客一覧!$K$5:$K$304,MATCH(B238,顧客一覧!$B$5:$B$304,0))&amp;"",""))</f>
        <v/>
      </c>
      <c r="E238" s="17"/>
      <c r="F238" s="17"/>
      <c r="G238" s="29"/>
      <c r="H238" s="17"/>
      <c r="I238" s="29"/>
      <c r="J238" s="26" t="str">
        <f aca="false">IF(OR(G238="",I238=""),"",G238-I238)</f>
        <v/>
      </c>
      <c r="K238" s="26" t="str">
        <f aca="false">IF(J238="","",J238*12)</f>
        <v/>
      </c>
      <c r="L238" s="29"/>
      <c r="M238" s="27" t="str">
        <f aca="false">IF(OR(L238="",J238=""),"",IF(J238&lt;=0,"回収不可",L238/J238))</f>
        <v/>
      </c>
      <c r="N238" s="22"/>
      <c r="O238" s="17"/>
      <c r="P238" s="22"/>
      <c r="Q238" s="22"/>
      <c r="R238" s="28" t="str">
        <f aca="true">IF(OR(P238="",Q238&lt;&gt;"",O238="キャンセル"),"",P238-TODAY())</f>
        <v/>
      </c>
      <c r="S238" s="29"/>
      <c r="T238" s="22"/>
      <c r="U238" s="17"/>
      <c r="V238" s="22"/>
      <c r="W238" s="19" t="str">
        <f aca="true">IF(B238="","",IF(OR(O238="開通済",Q238&lt;&gt;""),"完了",IF(O238="キャンセル","―",IF(AND(V238&lt;&gt;"",V238&lt;TODAY()),"対応期限超過",IF(AND(P238&lt;&gt;"",P238&lt;TODAY()),"開通予定日超過",IF(AND(V238&lt;&gt;"",V238=TODAY()),"本日対応",IF(AND(P238&lt;&gt;"",P238-TODAY()&lt;=3),"開通間近","")))))))</f>
        <v/>
      </c>
      <c r="X238" s="17"/>
    </row>
    <row r="239" customFormat="false" ht="15" hidden="false" customHeight="false" outlineLevel="0" collapsed="false">
      <c r="A239" s="12" t="str">
        <f aca="false">IF(B239="","",ROW()-4)</f>
        <v/>
      </c>
      <c r="B239" s="17"/>
      <c r="C239" s="19" t="str">
        <f aca="false">IF(B239="","",IFERROR(INDEX(顧客一覧!$C$5:$C$304,MATCH(B239,顧客一覧!$B$5:$B$304,0)),"※ID未登録"))</f>
        <v/>
      </c>
      <c r="D239" s="12" t="str">
        <f aca="false">IF(B239="","",IFERROR(INDEX(顧客一覧!$K$5:$K$304,MATCH(B239,顧客一覧!$B$5:$B$304,0))&amp;"",""))</f>
        <v/>
      </c>
      <c r="E239" s="17"/>
      <c r="F239" s="17"/>
      <c r="G239" s="29"/>
      <c r="H239" s="17"/>
      <c r="I239" s="29"/>
      <c r="J239" s="26" t="str">
        <f aca="false">IF(OR(G239="",I239=""),"",G239-I239)</f>
        <v/>
      </c>
      <c r="K239" s="26" t="str">
        <f aca="false">IF(J239="","",J239*12)</f>
        <v/>
      </c>
      <c r="L239" s="29"/>
      <c r="M239" s="27" t="str">
        <f aca="false">IF(OR(L239="",J239=""),"",IF(J239&lt;=0,"回収不可",L239/J239))</f>
        <v/>
      </c>
      <c r="N239" s="22"/>
      <c r="O239" s="17"/>
      <c r="P239" s="22"/>
      <c r="Q239" s="22"/>
      <c r="R239" s="28" t="str">
        <f aca="true">IF(OR(P239="",Q239&lt;&gt;"",O239="キャンセル"),"",P239-TODAY())</f>
        <v/>
      </c>
      <c r="S239" s="29"/>
      <c r="T239" s="22"/>
      <c r="U239" s="17"/>
      <c r="V239" s="22"/>
      <c r="W239" s="19" t="str">
        <f aca="true">IF(B239="","",IF(OR(O239="開通済",Q239&lt;&gt;""),"完了",IF(O239="キャンセル","―",IF(AND(V239&lt;&gt;"",V239&lt;TODAY()),"対応期限超過",IF(AND(P239&lt;&gt;"",P239&lt;TODAY()),"開通予定日超過",IF(AND(V239&lt;&gt;"",V239=TODAY()),"本日対応",IF(AND(P239&lt;&gt;"",P239-TODAY()&lt;=3),"開通間近","")))))))</f>
        <v/>
      </c>
      <c r="X239" s="17"/>
    </row>
    <row r="240" customFormat="false" ht="15" hidden="false" customHeight="false" outlineLevel="0" collapsed="false">
      <c r="A240" s="12" t="str">
        <f aca="false">IF(B240="","",ROW()-4)</f>
        <v/>
      </c>
      <c r="B240" s="17"/>
      <c r="C240" s="19" t="str">
        <f aca="false">IF(B240="","",IFERROR(INDEX(顧客一覧!$C$5:$C$304,MATCH(B240,顧客一覧!$B$5:$B$304,0)),"※ID未登録"))</f>
        <v/>
      </c>
      <c r="D240" s="12" t="str">
        <f aca="false">IF(B240="","",IFERROR(INDEX(顧客一覧!$K$5:$K$304,MATCH(B240,顧客一覧!$B$5:$B$304,0))&amp;"",""))</f>
        <v/>
      </c>
      <c r="E240" s="17"/>
      <c r="F240" s="17"/>
      <c r="G240" s="29"/>
      <c r="H240" s="17"/>
      <c r="I240" s="29"/>
      <c r="J240" s="26" t="str">
        <f aca="false">IF(OR(G240="",I240=""),"",G240-I240)</f>
        <v/>
      </c>
      <c r="K240" s="26" t="str">
        <f aca="false">IF(J240="","",J240*12)</f>
        <v/>
      </c>
      <c r="L240" s="29"/>
      <c r="M240" s="27" t="str">
        <f aca="false">IF(OR(L240="",J240=""),"",IF(J240&lt;=0,"回収不可",L240/J240))</f>
        <v/>
      </c>
      <c r="N240" s="22"/>
      <c r="O240" s="17"/>
      <c r="P240" s="22"/>
      <c r="Q240" s="22"/>
      <c r="R240" s="28" t="str">
        <f aca="true">IF(OR(P240="",Q240&lt;&gt;"",O240="キャンセル"),"",P240-TODAY())</f>
        <v/>
      </c>
      <c r="S240" s="29"/>
      <c r="T240" s="22"/>
      <c r="U240" s="17"/>
      <c r="V240" s="22"/>
      <c r="W240" s="19" t="str">
        <f aca="true">IF(B240="","",IF(OR(O240="開通済",Q240&lt;&gt;""),"完了",IF(O240="キャンセル","―",IF(AND(V240&lt;&gt;"",V240&lt;TODAY()),"対応期限超過",IF(AND(P240&lt;&gt;"",P240&lt;TODAY()),"開通予定日超過",IF(AND(V240&lt;&gt;"",V240=TODAY()),"本日対応",IF(AND(P240&lt;&gt;"",P240-TODAY()&lt;=3),"開通間近","")))))))</f>
        <v/>
      </c>
      <c r="X240" s="17"/>
    </row>
    <row r="241" customFormat="false" ht="15" hidden="false" customHeight="false" outlineLevel="0" collapsed="false">
      <c r="A241" s="12" t="str">
        <f aca="false">IF(B241="","",ROW()-4)</f>
        <v/>
      </c>
      <c r="B241" s="17"/>
      <c r="C241" s="19" t="str">
        <f aca="false">IF(B241="","",IFERROR(INDEX(顧客一覧!$C$5:$C$304,MATCH(B241,顧客一覧!$B$5:$B$304,0)),"※ID未登録"))</f>
        <v/>
      </c>
      <c r="D241" s="12" t="str">
        <f aca="false">IF(B241="","",IFERROR(INDEX(顧客一覧!$K$5:$K$304,MATCH(B241,顧客一覧!$B$5:$B$304,0))&amp;"",""))</f>
        <v/>
      </c>
      <c r="E241" s="17"/>
      <c r="F241" s="17"/>
      <c r="G241" s="29"/>
      <c r="H241" s="17"/>
      <c r="I241" s="29"/>
      <c r="J241" s="26" t="str">
        <f aca="false">IF(OR(G241="",I241=""),"",G241-I241)</f>
        <v/>
      </c>
      <c r="K241" s="26" t="str">
        <f aca="false">IF(J241="","",J241*12)</f>
        <v/>
      </c>
      <c r="L241" s="29"/>
      <c r="M241" s="27" t="str">
        <f aca="false">IF(OR(L241="",J241=""),"",IF(J241&lt;=0,"回収不可",L241/J241))</f>
        <v/>
      </c>
      <c r="N241" s="22"/>
      <c r="O241" s="17"/>
      <c r="P241" s="22"/>
      <c r="Q241" s="22"/>
      <c r="R241" s="28" t="str">
        <f aca="true">IF(OR(P241="",Q241&lt;&gt;"",O241="キャンセル"),"",P241-TODAY())</f>
        <v/>
      </c>
      <c r="S241" s="29"/>
      <c r="T241" s="22"/>
      <c r="U241" s="17"/>
      <c r="V241" s="22"/>
      <c r="W241" s="19" t="str">
        <f aca="true">IF(B241="","",IF(OR(O241="開通済",Q241&lt;&gt;""),"完了",IF(O241="キャンセル","―",IF(AND(V241&lt;&gt;"",V241&lt;TODAY()),"対応期限超過",IF(AND(P241&lt;&gt;"",P241&lt;TODAY()),"開通予定日超過",IF(AND(V241&lt;&gt;"",V241=TODAY()),"本日対応",IF(AND(P241&lt;&gt;"",P241-TODAY()&lt;=3),"開通間近","")))))))</f>
        <v/>
      </c>
      <c r="X241" s="17"/>
    </row>
    <row r="242" customFormat="false" ht="15" hidden="false" customHeight="false" outlineLevel="0" collapsed="false">
      <c r="A242" s="12" t="str">
        <f aca="false">IF(B242="","",ROW()-4)</f>
        <v/>
      </c>
      <c r="B242" s="17"/>
      <c r="C242" s="19" t="str">
        <f aca="false">IF(B242="","",IFERROR(INDEX(顧客一覧!$C$5:$C$304,MATCH(B242,顧客一覧!$B$5:$B$304,0)),"※ID未登録"))</f>
        <v/>
      </c>
      <c r="D242" s="12" t="str">
        <f aca="false">IF(B242="","",IFERROR(INDEX(顧客一覧!$K$5:$K$304,MATCH(B242,顧客一覧!$B$5:$B$304,0))&amp;"",""))</f>
        <v/>
      </c>
      <c r="E242" s="17"/>
      <c r="F242" s="17"/>
      <c r="G242" s="29"/>
      <c r="H242" s="17"/>
      <c r="I242" s="29"/>
      <c r="J242" s="26" t="str">
        <f aca="false">IF(OR(G242="",I242=""),"",G242-I242)</f>
        <v/>
      </c>
      <c r="K242" s="26" t="str">
        <f aca="false">IF(J242="","",J242*12)</f>
        <v/>
      </c>
      <c r="L242" s="29"/>
      <c r="M242" s="27" t="str">
        <f aca="false">IF(OR(L242="",J242=""),"",IF(J242&lt;=0,"回収不可",L242/J242))</f>
        <v/>
      </c>
      <c r="N242" s="22"/>
      <c r="O242" s="17"/>
      <c r="P242" s="22"/>
      <c r="Q242" s="22"/>
      <c r="R242" s="28" t="str">
        <f aca="true">IF(OR(P242="",Q242&lt;&gt;"",O242="キャンセル"),"",P242-TODAY())</f>
        <v/>
      </c>
      <c r="S242" s="29"/>
      <c r="T242" s="22"/>
      <c r="U242" s="17"/>
      <c r="V242" s="22"/>
      <c r="W242" s="19" t="str">
        <f aca="true">IF(B242="","",IF(OR(O242="開通済",Q242&lt;&gt;""),"完了",IF(O242="キャンセル","―",IF(AND(V242&lt;&gt;"",V242&lt;TODAY()),"対応期限超過",IF(AND(P242&lt;&gt;"",P242&lt;TODAY()),"開通予定日超過",IF(AND(V242&lt;&gt;"",V242=TODAY()),"本日対応",IF(AND(P242&lt;&gt;"",P242-TODAY()&lt;=3),"開通間近","")))))))</f>
        <v/>
      </c>
      <c r="X242" s="17"/>
    </row>
    <row r="243" customFormat="false" ht="15" hidden="false" customHeight="false" outlineLevel="0" collapsed="false">
      <c r="A243" s="12" t="str">
        <f aca="false">IF(B243="","",ROW()-4)</f>
        <v/>
      </c>
      <c r="B243" s="17"/>
      <c r="C243" s="19" t="str">
        <f aca="false">IF(B243="","",IFERROR(INDEX(顧客一覧!$C$5:$C$304,MATCH(B243,顧客一覧!$B$5:$B$304,0)),"※ID未登録"))</f>
        <v/>
      </c>
      <c r="D243" s="12" t="str">
        <f aca="false">IF(B243="","",IFERROR(INDEX(顧客一覧!$K$5:$K$304,MATCH(B243,顧客一覧!$B$5:$B$304,0))&amp;"",""))</f>
        <v/>
      </c>
      <c r="E243" s="17"/>
      <c r="F243" s="17"/>
      <c r="G243" s="29"/>
      <c r="H243" s="17"/>
      <c r="I243" s="29"/>
      <c r="J243" s="26" t="str">
        <f aca="false">IF(OR(G243="",I243=""),"",G243-I243)</f>
        <v/>
      </c>
      <c r="K243" s="26" t="str">
        <f aca="false">IF(J243="","",J243*12)</f>
        <v/>
      </c>
      <c r="L243" s="29"/>
      <c r="M243" s="27" t="str">
        <f aca="false">IF(OR(L243="",J243=""),"",IF(J243&lt;=0,"回収不可",L243/J243))</f>
        <v/>
      </c>
      <c r="N243" s="22"/>
      <c r="O243" s="17"/>
      <c r="P243" s="22"/>
      <c r="Q243" s="22"/>
      <c r="R243" s="28" t="str">
        <f aca="true">IF(OR(P243="",Q243&lt;&gt;"",O243="キャンセル"),"",P243-TODAY())</f>
        <v/>
      </c>
      <c r="S243" s="29"/>
      <c r="T243" s="22"/>
      <c r="U243" s="17"/>
      <c r="V243" s="22"/>
      <c r="W243" s="19" t="str">
        <f aca="true">IF(B243="","",IF(OR(O243="開通済",Q243&lt;&gt;""),"完了",IF(O243="キャンセル","―",IF(AND(V243&lt;&gt;"",V243&lt;TODAY()),"対応期限超過",IF(AND(P243&lt;&gt;"",P243&lt;TODAY()),"開通予定日超過",IF(AND(V243&lt;&gt;"",V243=TODAY()),"本日対応",IF(AND(P243&lt;&gt;"",P243-TODAY()&lt;=3),"開通間近","")))))))</f>
        <v/>
      </c>
      <c r="X243" s="17"/>
    </row>
    <row r="244" customFormat="false" ht="15" hidden="false" customHeight="false" outlineLevel="0" collapsed="false">
      <c r="A244" s="12" t="str">
        <f aca="false">IF(B244="","",ROW()-4)</f>
        <v/>
      </c>
      <c r="B244" s="17"/>
      <c r="C244" s="19" t="str">
        <f aca="false">IF(B244="","",IFERROR(INDEX(顧客一覧!$C$5:$C$304,MATCH(B244,顧客一覧!$B$5:$B$304,0)),"※ID未登録"))</f>
        <v/>
      </c>
      <c r="D244" s="12" t="str">
        <f aca="false">IF(B244="","",IFERROR(INDEX(顧客一覧!$K$5:$K$304,MATCH(B244,顧客一覧!$B$5:$B$304,0))&amp;"",""))</f>
        <v/>
      </c>
      <c r="E244" s="17"/>
      <c r="F244" s="17"/>
      <c r="G244" s="29"/>
      <c r="H244" s="17"/>
      <c r="I244" s="29"/>
      <c r="J244" s="26" t="str">
        <f aca="false">IF(OR(G244="",I244=""),"",G244-I244)</f>
        <v/>
      </c>
      <c r="K244" s="26" t="str">
        <f aca="false">IF(J244="","",J244*12)</f>
        <v/>
      </c>
      <c r="L244" s="29"/>
      <c r="M244" s="27" t="str">
        <f aca="false">IF(OR(L244="",J244=""),"",IF(J244&lt;=0,"回収不可",L244/J244))</f>
        <v/>
      </c>
      <c r="N244" s="22"/>
      <c r="O244" s="17"/>
      <c r="P244" s="22"/>
      <c r="Q244" s="22"/>
      <c r="R244" s="28" t="str">
        <f aca="true">IF(OR(P244="",Q244&lt;&gt;"",O244="キャンセル"),"",P244-TODAY())</f>
        <v/>
      </c>
      <c r="S244" s="29"/>
      <c r="T244" s="22"/>
      <c r="U244" s="17"/>
      <c r="V244" s="22"/>
      <c r="W244" s="19" t="str">
        <f aca="true">IF(B244="","",IF(OR(O244="開通済",Q244&lt;&gt;""),"完了",IF(O244="キャンセル","―",IF(AND(V244&lt;&gt;"",V244&lt;TODAY()),"対応期限超過",IF(AND(P244&lt;&gt;"",P244&lt;TODAY()),"開通予定日超過",IF(AND(V244&lt;&gt;"",V244=TODAY()),"本日対応",IF(AND(P244&lt;&gt;"",P244-TODAY()&lt;=3),"開通間近","")))))))</f>
        <v/>
      </c>
      <c r="X244" s="17"/>
    </row>
    <row r="245" customFormat="false" ht="15" hidden="false" customHeight="false" outlineLevel="0" collapsed="false">
      <c r="A245" s="12" t="str">
        <f aca="false">IF(B245="","",ROW()-4)</f>
        <v/>
      </c>
      <c r="B245" s="17"/>
      <c r="C245" s="19" t="str">
        <f aca="false">IF(B245="","",IFERROR(INDEX(顧客一覧!$C$5:$C$304,MATCH(B245,顧客一覧!$B$5:$B$304,0)),"※ID未登録"))</f>
        <v/>
      </c>
      <c r="D245" s="12" t="str">
        <f aca="false">IF(B245="","",IFERROR(INDEX(顧客一覧!$K$5:$K$304,MATCH(B245,顧客一覧!$B$5:$B$304,0))&amp;"",""))</f>
        <v/>
      </c>
      <c r="E245" s="17"/>
      <c r="F245" s="17"/>
      <c r="G245" s="29"/>
      <c r="H245" s="17"/>
      <c r="I245" s="29"/>
      <c r="J245" s="26" t="str">
        <f aca="false">IF(OR(G245="",I245=""),"",G245-I245)</f>
        <v/>
      </c>
      <c r="K245" s="26" t="str">
        <f aca="false">IF(J245="","",J245*12)</f>
        <v/>
      </c>
      <c r="L245" s="29"/>
      <c r="M245" s="27" t="str">
        <f aca="false">IF(OR(L245="",J245=""),"",IF(J245&lt;=0,"回収不可",L245/J245))</f>
        <v/>
      </c>
      <c r="N245" s="22"/>
      <c r="O245" s="17"/>
      <c r="P245" s="22"/>
      <c r="Q245" s="22"/>
      <c r="R245" s="28" t="str">
        <f aca="true">IF(OR(P245="",Q245&lt;&gt;"",O245="キャンセル"),"",P245-TODAY())</f>
        <v/>
      </c>
      <c r="S245" s="29"/>
      <c r="T245" s="22"/>
      <c r="U245" s="17"/>
      <c r="V245" s="22"/>
      <c r="W245" s="19" t="str">
        <f aca="true">IF(B245="","",IF(OR(O245="開通済",Q245&lt;&gt;""),"完了",IF(O245="キャンセル","―",IF(AND(V245&lt;&gt;"",V245&lt;TODAY()),"対応期限超過",IF(AND(P245&lt;&gt;"",P245&lt;TODAY()),"開通予定日超過",IF(AND(V245&lt;&gt;"",V245=TODAY()),"本日対応",IF(AND(P245&lt;&gt;"",P245-TODAY()&lt;=3),"開通間近","")))))))</f>
        <v/>
      </c>
      <c r="X245" s="17"/>
    </row>
    <row r="246" customFormat="false" ht="15" hidden="false" customHeight="false" outlineLevel="0" collapsed="false">
      <c r="A246" s="12" t="str">
        <f aca="false">IF(B246="","",ROW()-4)</f>
        <v/>
      </c>
      <c r="B246" s="17"/>
      <c r="C246" s="19" t="str">
        <f aca="false">IF(B246="","",IFERROR(INDEX(顧客一覧!$C$5:$C$304,MATCH(B246,顧客一覧!$B$5:$B$304,0)),"※ID未登録"))</f>
        <v/>
      </c>
      <c r="D246" s="12" t="str">
        <f aca="false">IF(B246="","",IFERROR(INDEX(顧客一覧!$K$5:$K$304,MATCH(B246,顧客一覧!$B$5:$B$304,0))&amp;"",""))</f>
        <v/>
      </c>
      <c r="E246" s="17"/>
      <c r="F246" s="17"/>
      <c r="G246" s="29"/>
      <c r="H246" s="17"/>
      <c r="I246" s="29"/>
      <c r="J246" s="26" t="str">
        <f aca="false">IF(OR(G246="",I246=""),"",G246-I246)</f>
        <v/>
      </c>
      <c r="K246" s="26" t="str">
        <f aca="false">IF(J246="","",J246*12)</f>
        <v/>
      </c>
      <c r="L246" s="29"/>
      <c r="M246" s="27" t="str">
        <f aca="false">IF(OR(L246="",J246=""),"",IF(J246&lt;=0,"回収不可",L246/J246))</f>
        <v/>
      </c>
      <c r="N246" s="22"/>
      <c r="O246" s="17"/>
      <c r="P246" s="22"/>
      <c r="Q246" s="22"/>
      <c r="R246" s="28" t="str">
        <f aca="true">IF(OR(P246="",Q246&lt;&gt;"",O246="キャンセル"),"",P246-TODAY())</f>
        <v/>
      </c>
      <c r="S246" s="29"/>
      <c r="T246" s="22"/>
      <c r="U246" s="17"/>
      <c r="V246" s="22"/>
      <c r="W246" s="19" t="str">
        <f aca="true">IF(B246="","",IF(OR(O246="開通済",Q246&lt;&gt;""),"完了",IF(O246="キャンセル","―",IF(AND(V246&lt;&gt;"",V246&lt;TODAY()),"対応期限超過",IF(AND(P246&lt;&gt;"",P246&lt;TODAY()),"開通予定日超過",IF(AND(V246&lt;&gt;"",V246=TODAY()),"本日対応",IF(AND(P246&lt;&gt;"",P246-TODAY()&lt;=3),"開通間近","")))))))</f>
        <v/>
      </c>
      <c r="X246" s="17"/>
    </row>
    <row r="247" customFormat="false" ht="15" hidden="false" customHeight="false" outlineLevel="0" collapsed="false">
      <c r="A247" s="12" t="str">
        <f aca="false">IF(B247="","",ROW()-4)</f>
        <v/>
      </c>
      <c r="B247" s="17"/>
      <c r="C247" s="19" t="str">
        <f aca="false">IF(B247="","",IFERROR(INDEX(顧客一覧!$C$5:$C$304,MATCH(B247,顧客一覧!$B$5:$B$304,0)),"※ID未登録"))</f>
        <v/>
      </c>
      <c r="D247" s="12" t="str">
        <f aca="false">IF(B247="","",IFERROR(INDEX(顧客一覧!$K$5:$K$304,MATCH(B247,顧客一覧!$B$5:$B$304,0))&amp;"",""))</f>
        <v/>
      </c>
      <c r="E247" s="17"/>
      <c r="F247" s="17"/>
      <c r="G247" s="29"/>
      <c r="H247" s="17"/>
      <c r="I247" s="29"/>
      <c r="J247" s="26" t="str">
        <f aca="false">IF(OR(G247="",I247=""),"",G247-I247)</f>
        <v/>
      </c>
      <c r="K247" s="26" t="str">
        <f aca="false">IF(J247="","",J247*12)</f>
        <v/>
      </c>
      <c r="L247" s="29"/>
      <c r="M247" s="27" t="str">
        <f aca="false">IF(OR(L247="",J247=""),"",IF(J247&lt;=0,"回収不可",L247/J247))</f>
        <v/>
      </c>
      <c r="N247" s="22"/>
      <c r="O247" s="17"/>
      <c r="P247" s="22"/>
      <c r="Q247" s="22"/>
      <c r="R247" s="28" t="str">
        <f aca="true">IF(OR(P247="",Q247&lt;&gt;"",O247="キャンセル"),"",P247-TODAY())</f>
        <v/>
      </c>
      <c r="S247" s="29"/>
      <c r="T247" s="22"/>
      <c r="U247" s="17"/>
      <c r="V247" s="22"/>
      <c r="W247" s="19" t="str">
        <f aca="true">IF(B247="","",IF(OR(O247="開通済",Q247&lt;&gt;""),"完了",IF(O247="キャンセル","―",IF(AND(V247&lt;&gt;"",V247&lt;TODAY()),"対応期限超過",IF(AND(P247&lt;&gt;"",P247&lt;TODAY()),"開通予定日超過",IF(AND(V247&lt;&gt;"",V247=TODAY()),"本日対応",IF(AND(P247&lt;&gt;"",P247-TODAY()&lt;=3),"開通間近","")))))))</f>
        <v/>
      </c>
      <c r="X247" s="17"/>
    </row>
    <row r="248" customFormat="false" ht="15" hidden="false" customHeight="false" outlineLevel="0" collapsed="false">
      <c r="A248" s="12" t="str">
        <f aca="false">IF(B248="","",ROW()-4)</f>
        <v/>
      </c>
      <c r="B248" s="17"/>
      <c r="C248" s="19" t="str">
        <f aca="false">IF(B248="","",IFERROR(INDEX(顧客一覧!$C$5:$C$304,MATCH(B248,顧客一覧!$B$5:$B$304,0)),"※ID未登録"))</f>
        <v/>
      </c>
      <c r="D248" s="12" t="str">
        <f aca="false">IF(B248="","",IFERROR(INDEX(顧客一覧!$K$5:$K$304,MATCH(B248,顧客一覧!$B$5:$B$304,0))&amp;"",""))</f>
        <v/>
      </c>
      <c r="E248" s="17"/>
      <c r="F248" s="17"/>
      <c r="G248" s="29"/>
      <c r="H248" s="17"/>
      <c r="I248" s="29"/>
      <c r="J248" s="26" t="str">
        <f aca="false">IF(OR(G248="",I248=""),"",G248-I248)</f>
        <v/>
      </c>
      <c r="K248" s="26" t="str">
        <f aca="false">IF(J248="","",J248*12)</f>
        <v/>
      </c>
      <c r="L248" s="29"/>
      <c r="M248" s="27" t="str">
        <f aca="false">IF(OR(L248="",J248=""),"",IF(J248&lt;=0,"回収不可",L248/J248))</f>
        <v/>
      </c>
      <c r="N248" s="22"/>
      <c r="O248" s="17"/>
      <c r="P248" s="22"/>
      <c r="Q248" s="22"/>
      <c r="R248" s="28" t="str">
        <f aca="true">IF(OR(P248="",Q248&lt;&gt;"",O248="キャンセル"),"",P248-TODAY())</f>
        <v/>
      </c>
      <c r="S248" s="29"/>
      <c r="T248" s="22"/>
      <c r="U248" s="17"/>
      <c r="V248" s="22"/>
      <c r="W248" s="19" t="str">
        <f aca="true">IF(B248="","",IF(OR(O248="開通済",Q248&lt;&gt;""),"完了",IF(O248="キャンセル","―",IF(AND(V248&lt;&gt;"",V248&lt;TODAY()),"対応期限超過",IF(AND(P248&lt;&gt;"",P248&lt;TODAY()),"開通予定日超過",IF(AND(V248&lt;&gt;"",V248=TODAY()),"本日対応",IF(AND(P248&lt;&gt;"",P248-TODAY()&lt;=3),"開通間近","")))))))</f>
        <v/>
      </c>
      <c r="X248" s="17"/>
    </row>
    <row r="249" customFormat="false" ht="15" hidden="false" customHeight="false" outlineLevel="0" collapsed="false">
      <c r="A249" s="12" t="str">
        <f aca="false">IF(B249="","",ROW()-4)</f>
        <v/>
      </c>
      <c r="B249" s="17"/>
      <c r="C249" s="19" t="str">
        <f aca="false">IF(B249="","",IFERROR(INDEX(顧客一覧!$C$5:$C$304,MATCH(B249,顧客一覧!$B$5:$B$304,0)),"※ID未登録"))</f>
        <v/>
      </c>
      <c r="D249" s="12" t="str">
        <f aca="false">IF(B249="","",IFERROR(INDEX(顧客一覧!$K$5:$K$304,MATCH(B249,顧客一覧!$B$5:$B$304,0))&amp;"",""))</f>
        <v/>
      </c>
      <c r="E249" s="17"/>
      <c r="F249" s="17"/>
      <c r="G249" s="29"/>
      <c r="H249" s="17"/>
      <c r="I249" s="29"/>
      <c r="J249" s="26" t="str">
        <f aca="false">IF(OR(G249="",I249=""),"",G249-I249)</f>
        <v/>
      </c>
      <c r="K249" s="26" t="str">
        <f aca="false">IF(J249="","",J249*12)</f>
        <v/>
      </c>
      <c r="L249" s="29"/>
      <c r="M249" s="27" t="str">
        <f aca="false">IF(OR(L249="",J249=""),"",IF(J249&lt;=0,"回収不可",L249/J249))</f>
        <v/>
      </c>
      <c r="N249" s="22"/>
      <c r="O249" s="17"/>
      <c r="P249" s="22"/>
      <c r="Q249" s="22"/>
      <c r="R249" s="28" t="str">
        <f aca="true">IF(OR(P249="",Q249&lt;&gt;"",O249="キャンセル"),"",P249-TODAY())</f>
        <v/>
      </c>
      <c r="S249" s="29"/>
      <c r="T249" s="22"/>
      <c r="U249" s="17"/>
      <c r="V249" s="22"/>
      <c r="W249" s="19" t="str">
        <f aca="true">IF(B249="","",IF(OR(O249="開通済",Q249&lt;&gt;""),"完了",IF(O249="キャンセル","―",IF(AND(V249&lt;&gt;"",V249&lt;TODAY()),"対応期限超過",IF(AND(P249&lt;&gt;"",P249&lt;TODAY()),"開通予定日超過",IF(AND(V249&lt;&gt;"",V249=TODAY()),"本日対応",IF(AND(P249&lt;&gt;"",P249-TODAY()&lt;=3),"開通間近","")))))))</f>
        <v/>
      </c>
      <c r="X249" s="17"/>
    </row>
    <row r="250" customFormat="false" ht="15" hidden="false" customHeight="false" outlineLevel="0" collapsed="false">
      <c r="A250" s="12" t="str">
        <f aca="false">IF(B250="","",ROW()-4)</f>
        <v/>
      </c>
      <c r="B250" s="17"/>
      <c r="C250" s="19" t="str">
        <f aca="false">IF(B250="","",IFERROR(INDEX(顧客一覧!$C$5:$C$304,MATCH(B250,顧客一覧!$B$5:$B$304,0)),"※ID未登録"))</f>
        <v/>
      </c>
      <c r="D250" s="12" t="str">
        <f aca="false">IF(B250="","",IFERROR(INDEX(顧客一覧!$K$5:$K$304,MATCH(B250,顧客一覧!$B$5:$B$304,0))&amp;"",""))</f>
        <v/>
      </c>
      <c r="E250" s="17"/>
      <c r="F250" s="17"/>
      <c r="G250" s="29"/>
      <c r="H250" s="17"/>
      <c r="I250" s="29"/>
      <c r="J250" s="26" t="str">
        <f aca="false">IF(OR(G250="",I250=""),"",G250-I250)</f>
        <v/>
      </c>
      <c r="K250" s="26" t="str">
        <f aca="false">IF(J250="","",J250*12)</f>
        <v/>
      </c>
      <c r="L250" s="29"/>
      <c r="M250" s="27" t="str">
        <f aca="false">IF(OR(L250="",J250=""),"",IF(J250&lt;=0,"回収不可",L250/J250))</f>
        <v/>
      </c>
      <c r="N250" s="22"/>
      <c r="O250" s="17"/>
      <c r="P250" s="22"/>
      <c r="Q250" s="22"/>
      <c r="R250" s="28" t="str">
        <f aca="true">IF(OR(P250="",Q250&lt;&gt;"",O250="キャンセル"),"",P250-TODAY())</f>
        <v/>
      </c>
      <c r="S250" s="29"/>
      <c r="T250" s="22"/>
      <c r="U250" s="17"/>
      <c r="V250" s="22"/>
      <c r="W250" s="19" t="str">
        <f aca="true">IF(B250="","",IF(OR(O250="開通済",Q250&lt;&gt;""),"完了",IF(O250="キャンセル","―",IF(AND(V250&lt;&gt;"",V250&lt;TODAY()),"対応期限超過",IF(AND(P250&lt;&gt;"",P250&lt;TODAY()),"開通予定日超過",IF(AND(V250&lt;&gt;"",V250=TODAY()),"本日対応",IF(AND(P250&lt;&gt;"",P250-TODAY()&lt;=3),"開通間近","")))))))</f>
        <v/>
      </c>
      <c r="X250" s="17"/>
    </row>
    <row r="251" customFormat="false" ht="15" hidden="false" customHeight="false" outlineLevel="0" collapsed="false">
      <c r="A251" s="12" t="str">
        <f aca="false">IF(B251="","",ROW()-4)</f>
        <v/>
      </c>
      <c r="B251" s="17"/>
      <c r="C251" s="19" t="str">
        <f aca="false">IF(B251="","",IFERROR(INDEX(顧客一覧!$C$5:$C$304,MATCH(B251,顧客一覧!$B$5:$B$304,0)),"※ID未登録"))</f>
        <v/>
      </c>
      <c r="D251" s="12" t="str">
        <f aca="false">IF(B251="","",IFERROR(INDEX(顧客一覧!$K$5:$K$304,MATCH(B251,顧客一覧!$B$5:$B$304,0))&amp;"",""))</f>
        <v/>
      </c>
      <c r="E251" s="17"/>
      <c r="F251" s="17"/>
      <c r="G251" s="29"/>
      <c r="H251" s="17"/>
      <c r="I251" s="29"/>
      <c r="J251" s="26" t="str">
        <f aca="false">IF(OR(G251="",I251=""),"",G251-I251)</f>
        <v/>
      </c>
      <c r="K251" s="26" t="str">
        <f aca="false">IF(J251="","",J251*12)</f>
        <v/>
      </c>
      <c r="L251" s="29"/>
      <c r="M251" s="27" t="str">
        <f aca="false">IF(OR(L251="",J251=""),"",IF(J251&lt;=0,"回収不可",L251/J251))</f>
        <v/>
      </c>
      <c r="N251" s="22"/>
      <c r="O251" s="17"/>
      <c r="P251" s="22"/>
      <c r="Q251" s="22"/>
      <c r="R251" s="28" t="str">
        <f aca="true">IF(OR(P251="",Q251&lt;&gt;"",O251="キャンセル"),"",P251-TODAY())</f>
        <v/>
      </c>
      <c r="S251" s="29"/>
      <c r="T251" s="22"/>
      <c r="U251" s="17"/>
      <c r="V251" s="22"/>
      <c r="W251" s="19" t="str">
        <f aca="true">IF(B251="","",IF(OR(O251="開通済",Q251&lt;&gt;""),"完了",IF(O251="キャンセル","―",IF(AND(V251&lt;&gt;"",V251&lt;TODAY()),"対応期限超過",IF(AND(P251&lt;&gt;"",P251&lt;TODAY()),"開通予定日超過",IF(AND(V251&lt;&gt;"",V251=TODAY()),"本日対応",IF(AND(P251&lt;&gt;"",P251-TODAY()&lt;=3),"開通間近","")))))))</f>
        <v/>
      </c>
      <c r="X251" s="17"/>
    </row>
    <row r="252" customFormat="false" ht="15" hidden="false" customHeight="false" outlineLevel="0" collapsed="false">
      <c r="A252" s="12" t="str">
        <f aca="false">IF(B252="","",ROW()-4)</f>
        <v/>
      </c>
      <c r="B252" s="17"/>
      <c r="C252" s="19" t="str">
        <f aca="false">IF(B252="","",IFERROR(INDEX(顧客一覧!$C$5:$C$304,MATCH(B252,顧客一覧!$B$5:$B$304,0)),"※ID未登録"))</f>
        <v/>
      </c>
      <c r="D252" s="12" t="str">
        <f aca="false">IF(B252="","",IFERROR(INDEX(顧客一覧!$K$5:$K$304,MATCH(B252,顧客一覧!$B$5:$B$304,0))&amp;"",""))</f>
        <v/>
      </c>
      <c r="E252" s="17"/>
      <c r="F252" s="17"/>
      <c r="G252" s="29"/>
      <c r="H252" s="17"/>
      <c r="I252" s="29"/>
      <c r="J252" s="26" t="str">
        <f aca="false">IF(OR(G252="",I252=""),"",G252-I252)</f>
        <v/>
      </c>
      <c r="K252" s="26" t="str">
        <f aca="false">IF(J252="","",J252*12)</f>
        <v/>
      </c>
      <c r="L252" s="29"/>
      <c r="M252" s="27" t="str">
        <f aca="false">IF(OR(L252="",J252=""),"",IF(J252&lt;=0,"回収不可",L252/J252))</f>
        <v/>
      </c>
      <c r="N252" s="22"/>
      <c r="O252" s="17"/>
      <c r="P252" s="22"/>
      <c r="Q252" s="22"/>
      <c r="R252" s="28" t="str">
        <f aca="true">IF(OR(P252="",Q252&lt;&gt;"",O252="キャンセル"),"",P252-TODAY())</f>
        <v/>
      </c>
      <c r="S252" s="29"/>
      <c r="T252" s="22"/>
      <c r="U252" s="17"/>
      <c r="V252" s="22"/>
      <c r="W252" s="19" t="str">
        <f aca="true">IF(B252="","",IF(OR(O252="開通済",Q252&lt;&gt;""),"完了",IF(O252="キャンセル","―",IF(AND(V252&lt;&gt;"",V252&lt;TODAY()),"対応期限超過",IF(AND(P252&lt;&gt;"",P252&lt;TODAY()),"開通予定日超過",IF(AND(V252&lt;&gt;"",V252=TODAY()),"本日対応",IF(AND(P252&lt;&gt;"",P252-TODAY()&lt;=3),"開通間近","")))))))</f>
        <v/>
      </c>
      <c r="X252" s="17"/>
    </row>
    <row r="253" customFormat="false" ht="15" hidden="false" customHeight="false" outlineLevel="0" collapsed="false">
      <c r="A253" s="12" t="str">
        <f aca="false">IF(B253="","",ROW()-4)</f>
        <v/>
      </c>
      <c r="B253" s="17"/>
      <c r="C253" s="19" t="str">
        <f aca="false">IF(B253="","",IFERROR(INDEX(顧客一覧!$C$5:$C$304,MATCH(B253,顧客一覧!$B$5:$B$304,0)),"※ID未登録"))</f>
        <v/>
      </c>
      <c r="D253" s="12" t="str">
        <f aca="false">IF(B253="","",IFERROR(INDEX(顧客一覧!$K$5:$K$304,MATCH(B253,顧客一覧!$B$5:$B$304,0))&amp;"",""))</f>
        <v/>
      </c>
      <c r="E253" s="17"/>
      <c r="F253" s="17"/>
      <c r="G253" s="29"/>
      <c r="H253" s="17"/>
      <c r="I253" s="29"/>
      <c r="J253" s="26" t="str">
        <f aca="false">IF(OR(G253="",I253=""),"",G253-I253)</f>
        <v/>
      </c>
      <c r="K253" s="26" t="str">
        <f aca="false">IF(J253="","",J253*12)</f>
        <v/>
      </c>
      <c r="L253" s="29"/>
      <c r="M253" s="27" t="str">
        <f aca="false">IF(OR(L253="",J253=""),"",IF(J253&lt;=0,"回収不可",L253/J253))</f>
        <v/>
      </c>
      <c r="N253" s="22"/>
      <c r="O253" s="17"/>
      <c r="P253" s="22"/>
      <c r="Q253" s="22"/>
      <c r="R253" s="28" t="str">
        <f aca="true">IF(OR(P253="",Q253&lt;&gt;"",O253="キャンセル"),"",P253-TODAY())</f>
        <v/>
      </c>
      <c r="S253" s="29"/>
      <c r="T253" s="22"/>
      <c r="U253" s="17"/>
      <c r="V253" s="22"/>
      <c r="W253" s="19" t="str">
        <f aca="true">IF(B253="","",IF(OR(O253="開通済",Q253&lt;&gt;""),"完了",IF(O253="キャンセル","―",IF(AND(V253&lt;&gt;"",V253&lt;TODAY()),"対応期限超過",IF(AND(P253&lt;&gt;"",P253&lt;TODAY()),"開通予定日超過",IF(AND(V253&lt;&gt;"",V253=TODAY()),"本日対応",IF(AND(P253&lt;&gt;"",P253-TODAY()&lt;=3),"開通間近","")))))))</f>
        <v/>
      </c>
      <c r="X253" s="17"/>
    </row>
    <row r="254" customFormat="false" ht="15" hidden="false" customHeight="false" outlineLevel="0" collapsed="false">
      <c r="A254" s="12" t="str">
        <f aca="false">IF(B254="","",ROW()-4)</f>
        <v/>
      </c>
      <c r="B254" s="17"/>
      <c r="C254" s="19" t="str">
        <f aca="false">IF(B254="","",IFERROR(INDEX(顧客一覧!$C$5:$C$304,MATCH(B254,顧客一覧!$B$5:$B$304,0)),"※ID未登録"))</f>
        <v/>
      </c>
      <c r="D254" s="12" t="str">
        <f aca="false">IF(B254="","",IFERROR(INDEX(顧客一覧!$K$5:$K$304,MATCH(B254,顧客一覧!$B$5:$B$304,0))&amp;"",""))</f>
        <v/>
      </c>
      <c r="E254" s="17"/>
      <c r="F254" s="17"/>
      <c r="G254" s="29"/>
      <c r="H254" s="17"/>
      <c r="I254" s="29"/>
      <c r="J254" s="26" t="str">
        <f aca="false">IF(OR(G254="",I254=""),"",G254-I254)</f>
        <v/>
      </c>
      <c r="K254" s="26" t="str">
        <f aca="false">IF(J254="","",J254*12)</f>
        <v/>
      </c>
      <c r="L254" s="29"/>
      <c r="M254" s="27" t="str">
        <f aca="false">IF(OR(L254="",J254=""),"",IF(J254&lt;=0,"回収不可",L254/J254))</f>
        <v/>
      </c>
      <c r="N254" s="22"/>
      <c r="O254" s="17"/>
      <c r="P254" s="22"/>
      <c r="Q254" s="22"/>
      <c r="R254" s="28" t="str">
        <f aca="true">IF(OR(P254="",Q254&lt;&gt;"",O254="キャンセル"),"",P254-TODAY())</f>
        <v/>
      </c>
      <c r="S254" s="29"/>
      <c r="T254" s="22"/>
      <c r="U254" s="17"/>
      <c r="V254" s="22"/>
      <c r="W254" s="19" t="str">
        <f aca="true">IF(B254="","",IF(OR(O254="開通済",Q254&lt;&gt;""),"完了",IF(O254="キャンセル","―",IF(AND(V254&lt;&gt;"",V254&lt;TODAY()),"対応期限超過",IF(AND(P254&lt;&gt;"",P254&lt;TODAY()),"開通予定日超過",IF(AND(V254&lt;&gt;"",V254=TODAY()),"本日対応",IF(AND(P254&lt;&gt;"",P254-TODAY()&lt;=3),"開通間近","")))))))</f>
        <v/>
      </c>
      <c r="X254" s="17"/>
    </row>
    <row r="255" customFormat="false" ht="15" hidden="false" customHeight="false" outlineLevel="0" collapsed="false">
      <c r="A255" s="12" t="str">
        <f aca="false">IF(B255="","",ROW()-4)</f>
        <v/>
      </c>
      <c r="B255" s="17"/>
      <c r="C255" s="19" t="str">
        <f aca="false">IF(B255="","",IFERROR(INDEX(顧客一覧!$C$5:$C$304,MATCH(B255,顧客一覧!$B$5:$B$304,0)),"※ID未登録"))</f>
        <v/>
      </c>
      <c r="D255" s="12" t="str">
        <f aca="false">IF(B255="","",IFERROR(INDEX(顧客一覧!$K$5:$K$304,MATCH(B255,顧客一覧!$B$5:$B$304,0))&amp;"",""))</f>
        <v/>
      </c>
      <c r="E255" s="17"/>
      <c r="F255" s="17"/>
      <c r="G255" s="29"/>
      <c r="H255" s="17"/>
      <c r="I255" s="29"/>
      <c r="J255" s="26" t="str">
        <f aca="false">IF(OR(G255="",I255=""),"",G255-I255)</f>
        <v/>
      </c>
      <c r="K255" s="26" t="str">
        <f aca="false">IF(J255="","",J255*12)</f>
        <v/>
      </c>
      <c r="L255" s="29"/>
      <c r="M255" s="27" t="str">
        <f aca="false">IF(OR(L255="",J255=""),"",IF(J255&lt;=0,"回収不可",L255/J255))</f>
        <v/>
      </c>
      <c r="N255" s="22"/>
      <c r="O255" s="17"/>
      <c r="P255" s="22"/>
      <c r="Q255" s="22"/>
      <c r="R255" s="28" t="str">
        <f aca="true">IF(OR(P255="",Q255&lt;&gt;"",O255="キャンセル"),"",P255-TODAY())</f>
        <v/>
      </c>
      <c r="S255" s="29"/>
      <c r="T255" s="22"/>
      <c r="U255" s="17"/>
      <c r="V255" s="22"/>
      <c r="W255" s="19" t="str">
        <f aca="true">IF(B255="","",IF(OR(O255="開通済",Q255&lt;&gt;""),"完了",IF(O255="キャンセル","―",IF(AND(V255&lt;&gt;"",V255&lt;TODAY()),"対応期限超過",IF(AND(P255&lt;&gt;"",P255&lt;TODAY()),"開通予定日超過",IF(AND(V255&lt;&gt;"",V255=TODAY()),"本日対応",IF(AND(P255&lt;&gt;"",P255-TODAY()&lt;=3),"開通間近","")))))))</f>
        <v/>
      </c>
      <c r="X255" s="17"/>
    </row>
    <row r="256" customFormat="false" ht="15" hidden="false" customHeight="false" outlineLevel="0" collapsed="false">
      <c r="A256" s="12" t="str">
        <f aca="false">IF(B256="","",ROW()-4)</f>
        <v/>
      </c>
      <c r="B256" s="17"/>
      <c r="C256" s="19" t="str">
        <f aca="false">IF(B256="","",IFERROR(INDEX(顧客一覧!$C$5:$C$304,MATCH(B256,顧客一覧!$B$5:$B$304,0)),"※ID未登録"))</f>
        <v/>
      </c>
      <c r="D256" s="12" t="str">
        <f aca="false">IF(B256="","",IFERROR(INDEX(顧客一覧!$K$5:$K$304,MATCH(B256,顧客一覧!$B$5:$B$304,0))&amp;"",""))</f>
        <v/>
      </c>
      <c r="E256" s="17"/>
      <c r="F256" s="17"/>
      <c r="G256" s="29"/>
      <c r="H256" s="17"/>
      <c r="I256" s="29"/>
      <c r="J256" s="26" t="str">
        <f aca="false">IF(OR(G256="",I256=""),"",G256-I256)</f>
        <v/>
      </c>
      <c r="K256" s="26" t="str">
        <f aca="false">IF(J256="","",J256*12)</f>
        <v/>
      </c>
      <c r="L256" s="29"/>
      <c r="M256" s="27" t="str">
        <f aca="false">IF(OR(L256="",J256=""),"",IF(J256&lt;=0,"回収不可",L256/J256))</f>
        <v/>
      </c>
      <c r="N256" s="22"/>
      <c r="O256" s="17"/>
      <c r="P256" s="22"/>
      <c r="Q256" s="22"/>
      <c r="R256" s="28" t="str">
        <f aca="true">IF(OR(P256="",Q256&lt;&gt;"",O256="キャンセル"),"",P256-TODAY())</f>
        <v/>
      </c>
      <c r="S256" s="29"/>
      <c r="T256" s="22"/>
      <c r="U256" s="17"/>
      <c r="V256" s="22"/>
      <c r="W256" s="19" t="str">
        <f aca="true">IF(B256="","",IF(OR(O256="開通済",Q256&lt;&gt;""),"完了",IF(O256="キャンセル","―",IF(AND(V256&lt;&gt;"",V256&lt;TODAY()),"対応期限超過",IF(AND(P256&lt;&gt;"",P256&lt;TODAY()),"開通予定日超過",IF(AND(V256&lt;&gt;"",V256=TODAY()),"本日対応",IF(AND(P256&lt;&gt;"",P256-TODAY()&lt;=3),"開通間近","")))))))</f>
        <v/>
      </c>
      <c r="X256" s="17"/>
    </row>
    <row r="257" customFormat="false" ht="15" hidden="false" customHeight="false" outlineLevel="0" collapsed="false">
      <c r="A257" s="12" t="str">
        <f aca="false">IF(B257="","",ROW()-4)</f>
        <v/>
      </c>
      <c r="B257" s="17"/>
      <c r="C257" s="19" t="str">
        <f aca="false">IF(B257="","",IFERROR(INDEX(顧客一覧!$C$5:$C$304,MATCH(B257,顧客一覧!$B$5:$B$304,0)),"※ID未登録"))</f>
        <v/>
      </c>
      <c r="D257" s="12" t="str">
        <f aca="false">IF(B257="","",IFERROR(INDEX(顧客一覧!$K$5:$K$304,MATCH(B257,顧客一覧!$B$5:$B$304,0))&amp;"",""))</f>
        <v/>
      </c>
      <c r="E257" s="17"/>
      <c r="F257" s="17"/>
      <c r="G257" s="29"/>
      <c r="H257" s="17"/>
      <c r="I257" s="29"/>
      <c r="J257" s="26" t="str">
        <f aca="false">IF(OR(G257="",I257=""),"",G257-I257)</f>
        <v/>
      </c>
      <c r="K257" s="26" t="str">
        <f aca="false">IF(J257="","",J257*12)</f>
        <v/>
      </c>
      <c r="L257" s="29"/>
      <c r="M257" s="27" t="str">
        <f aca="false">IF(OR(L257="",J257=""),"",IF(J257&lt;=0,"回収不可",L257/J257))</f>
        <v/>
      </c>
      <c r="N257" s="22"/>
      <c r="O257" s="17"/>
      <c r="P257" s="22"/>
      <c r="Q257" s="22"/>
      <c r="R257" s="28" t="str">
        <f aca="true">IF(OR(P257="",Q257&lt;&gt;"",O257="キャンセル"),"",P257-TODAY())</f>
        <v/>
      </c>
      <c r="S257" s="29"/>
      <c r="T257" s="22"/>
      <c r="U257" s="17"/>
      <c r="V257" s="22"/>
      <c r="W257" s="19" t="str">
        <f aca="true">IF(B257="","",IF(OR(O257="開通済",Q257&lt;&gt;""),"完了",IF(O257="キャンセル","―",IF(AND(V257&lt;&gt;"",V257&lt;TODAY()),"対応期限超過",IF(AND(P257&lt;&gt;"",P257&lt;TODAY()),"開通予定日超過",IF(AND(V257&lt;&gt;"",V257=TODAY()),"本日対応",IF(AND(P257&lt;&gt;"",P257-TODAY()&lt;=3),"開通間近","")))))))</f>
        <v/>
      </c>
      <c r="X257" s="17"/>
    </row>
    <row r="258" customFormat="false" ht="15" hidden="false" customHeight="false" outlineLevel="0" collapsed="false">
      <c r="A258" s="12" t="str">
        <f aca="false">IF(B258="","",ROW()-4)</f>
        <v/>
      </c>
      <c r="B258" s="17"/>
      <c r="C258" s="19" t="str">
        <f aca="false">IF(B258="","",IFERROR(INDEX(顧客一覧!$C$5:$C$304,MATCH(B258,顧客一覧!$B$5:$B$304,0)),"※ID未登録"))</f>
        <v/>
      </c>
      <c r="D258" s="12" t="str">
        <f aca="false">IF(B258="","",IFERROR(INDEX(顧客一覧!$K$5:$K$304,MATCH(B258,顧客一覧!$B$5:$B$304,0))&amp;"",""))</f>
        <v/>
      </c>
      <c r="E258" s="17"/>
      <c r="F258" s="17"/>
      <c r="G258" s="29"/>
      <c r="H258" s="17"/>
      <c r="I258" s="29"/>
      <c r="J258" s="26" t="str">
        <f aca="false">IF(OR(G258="",I258=""),"",G258-I258)</f>
        <v/>
      </c>
      <c r="K258" s="26" t="str">
        <f aca="false">IF(J258="","",J258*12)</f>
        <v/>
      </c>
      <c r="L258" s="29"/>
      <c r="M258" s="27" t="str">
        <f aca="false">IF(OR(L258="",J258=""),"",IF(J258&lt;=0,"回収不可",L258/J258))</f>
        <v/>
      </c>
      <c r="N258" s="22"/>
      <c r="O258" s="17"/>
      <c r="P258" s="22"/>
      <c r="Q258" s="22"/>
      <c r="R258" s="28" t="str">
        <f aca="true">IF(OR(P258="",Q258&lt;&gt;"",O258="キャンセル"),"",P258-TODAY())</f>
        <v/>
      </c>
      <c r="S258" s="29"/>
      <c r="T258" s="22"/>
      <c r="U258" s="17"/>
      <c r="V258" s="22"/>
      <c r="W258" s="19" t="str">
        <f aca="true">IF(B258="","",IF(OR(O258="開通済",Q258&lt;&gt;""),"完了",IF(O258="キャンセル","―",IF(AND(V258&lt;&gt;"",V258&lt;TODAY()),"対応期限超過",IF(AND(P258&lt;&gt;"",P258&lt;TODAY()),"開通予定日超過",IF(AND(V258&lt;&gt;"",V258=TODAY()),"本日対応",IF(AND(P258&lt;&gt;"",P258-TODAY()&lt;=3),"開通間近","")))))))</f>
        <v/>
      </c>
      <c r="X258" s="17"/>
    </row>
    <row r="259" customFormat="false" ht="15" hidden="false" customHeight="false" outlineLevel="0" collapsed="false">
      <c r="A259" s="12" t="str">
        <f aca="false">IF(B259="","",ROW()-4)</f>
        <v/>
      </c>
      <c r="B259" s="17"/>
      <c r="C259" s="19" t="str">
        <f aca="false">IF(B259="","",IFERROR(INDEX(顧客一覧!$C$5:$C$304,MATCH(B259,顧客一覧!$B$5:$B$304,0)),"※ID未登録"))</f>
        <v/>
      </c>
      <c r="D259" s="12" t="str">
        <f aca="false">IF(B259="","",IFERROR(INDEX(顧客一覧!$K$5:$K$304,MATCH(B259,顧客一覧!$B$5:$B$304,0))&amp;"",""))</f>
        <v/>
      </c>
      <c r="E259" s="17"/>
      <c r="F259" s="17"/>
      <c r="G259" s="29"/>
      <c r="H259" s="17"/>
      <c r="I259" s="29"/>
      <c r="J259" s="26" t="str">
        <f aca="false">IF(OR(G259="",I259=""),"",G259-I259)</f>
        <v/>
      </c>
      <c r="K259" s="26" t="str">
        <f aca="false">IF(J259="","",J259*12)</f>
        <v/>
      </c>
      <c r="L259" s="29"/>
      <c r="M259" s="27" t="str">
        <f aca="false">IF(OR(L259="",J259=""),"",IF(J259&lt;=0,"回収不可",L259/J259))</f>
        <v/>
      </c>
      <c r="N259" s="22"/>
      <c r="O259" s="17"/>
      <c r="P259" s="22"/>
      <c r="Q259" s="22"/>
      <c r="R259" s="28" t="str">
        <f aca="true">IF(OR(P259="",Q259&lt;&gt;"",O259="キャンセル"),"",P259-TODAY())</f>
        <v/>
      </c>
      <c r="S259" s="29"/>
      <c r="T259" s="22"/>
      <c r="U259" s="17"/>
      <c r="V259" s="22"/>
      <c r="W259" s="19" t="str">
        <f aca="true">IF(B259="","",IF(OR(O259="開通済",Q259&lt;&gt;""),"完了",IF(O259="キャンセル","―",IF(AND(V259&lt;&gt;"",V259&lt;TODAY()),"対応期限超過",IF(AND(P259&lt;&gt;"",P259&lt;TODAY()),"開通予定日超過",IF(AND(V259&lt;&gt;"",V259=TODAY()),"本日対応",IF(AND(P259&lt;&gt;"",P259-TODAY()&lt;=3),"開通間近","")))))))</f>
        <v/>
      </c>
      <c r="X259" s="17"/>
    </row>
    <row r="260" customFormat="false" ht="15" hidden="false" customHeight="false" outlineLevel="0" collapsed="false">
      <c r="A260" s="12" t="str">
        <f aca="false">IF(B260="","",ROW()-4)</f>
        <v/>
      </c>
      <c r="B260" s="17"/>
      <c r="C260" s="19" t="str">
        <f aca="false">IF(B260="","",IFERROR(INDEX(顧客一覧!$C$5:$C$304,MATCH(B260,顧客一覧!$B$5:$B$304,0)),"※ID未登録"))</f>
        <v/>
      </c>
      <c r="D260" s="12" t="str">
        <f aca="false">IF(B260="","",IFERROR(INDEX(顧客一覧!$K$5:$K$304,MATCH(B260,顧客一覧!$B$5:$B$304,0))&amp;"",""))</f>
        <v/>
      </c>
      <c r="E260" s="17"/>
      <c r="F260" s="17"/>
      <c r="G260" s="29"/>
      <c r="H260" s="17"/>
      <c r="I260" s="29"/>
      <c r="J260" s="26" t="str">
        <f aca="false">IF(OR(G260="",I260=""),"",G260-I260)</f>
        <v/>
      </c>
      <c r="K260" s="26" t="str">
        <f aca="false">IF(J260="","",J260*12)</f>
        <v/>
      </c>
      <c r="L260" s="29"/>
      <c r="M260" s="27" t="str">
        <f aca="false">IF(OR(L260="",J260=""),"",IF(J260&lt;=0,"回収不可",L260/J260))</f>
        <v/>
      </c>
      <c r="N260" s="22"/>
      <c r="O260" s="17"/>
      <c r="P260" s="22"/>
      <c r="Q260" s="22"/>
      <c r="R260" s="28" t="str">
        <f aca="true">IF(OR(P260="",Q260&lt;&gt;"",O260="キャンセル"),"",P260-TODAY())</f>
        <v/>
      </c>
      <c r="S260" s="29"/>
      <c r="T260" s="22"/>
      <c r="U260" s="17"/>
      <c r="V260" s="22"/>
      <c r="W260" s="19" t="str">
        <f aca="true">IF(B260="","",IF(OR(O260="開通済",Q260&lt;&gt;""),"完了",IF(O260="キャンセル","―",IF(AND(V260&lt;&gt;"",V260&lt;TODAY()),"対応期限超過",IF(AND(P260&lt;&gt;"",P260&lt;TODAY()),"開通予定日超過",IF(AND(V260&lt;&gt;"",V260=TODAY()),"本日対応",IF(AND(P260&lt;&gt;"",P260-TODAY()&lt;=3),"開通間近","")))))))</f>
        <v/>
      </c>
      <c r="X260" s="17"/>
    </row>
    <row r="261" customFormat="false" ht="15" hidden="false" customHeight="false" outlineLevel="0" collapsed="false">
      <c r="A261" s="12" t="str">
        <f aca="false">IF(B261="","",ROW()-4)</f>
        <v/>
      </c>
      <c r="B261" s="17"/>
      <c r="C261" s="19" t="str">
        <f aca="false">IF(B261="","",IFERROR(INDEX(顧客一覧!$C$5:$C$304,MATCH(B261,顧客一覧!$B$5:$B$304,0)),"※ID未登録"))</f>
        <v/>
      </c>
      <c r="D261" s="12" t="str">
        <f aca="false">IF(B261="","",IFERROR(INDEX(顧客一覧!$K$5:$K$304,MATCH(B261,顧客一覧!$B$5:$B$304,0))&amp;"",""))</f>
        <v/>
      </c>
      <c r="E261" s="17"/>
      <c r="F261" s="17"/>
      <c r="G261" s="29"/>
      <c r="H261" s="17"/>
      <c r="I261" s="29"/>
      <c r="J261" s="26" t="str">
        <f aca="false">IF(OR(G261="",I261=""),"",G261-I261)</f>
        <v/>
      </c>
      <c r="K261" s="26" t="str">
        <f aca="false">IF(J261="","",J261*12)</f>
        <v/>
      </c>
      <c r="L261" s="29"/>
      <c r="M261" s="27" t="str">
        <f aca="false">IF(OR(L261="",J261=""),"",IF(J261&lt;=0,"回収不可",L261/J261))</f>
        <v/>
      </c>
      <c r="N261" s="22"/>
      <c r="O261" s="17"/>
      <c r="P261" s="22"/>
      <c r="Q261" s="22"/>
      <c r="R261" s="28" t="str">
        <f aca="true">IF(OR(P261="",Q261&lt;&gt;"",O261="キャンセル"),"",P261-TODAY())</f>
        <v/>
      </c>
      <c r="S261" s="29"/>
      <c r="T261" s="22"/>
      <c r="U261" s="17"/>
      <c r="V261" s="22"/>
      <c r="W261" s="19" t="str">
        <f aca="true">IF(B261="","",IF(OR(O261="開通済",Q261&lt;&gt;""),"完了",IF(O261="キャンセル","―",IF(AND(V261&lt;&gt;"",V261&lt;TODAY()),"対応期限超過",IF(AND(P261&lt;&gt;"",P261&lt;TODAY()),"開通予定日超過",IF(AND(V261&lt;&gt;"",V261=TODAY()),"本日対応",IF(AND(P261&lt;&gt;"",P261-TODAY()&lt;=3),"開通間近","")))))))</f>
        <v/>
      </c>
      <c r="X261" s="17"/>
    </row>
    <row r="262" customFormat="false" ht="15" hidden="false" customHeight="false" outlineLevel="0" collapsed="false">
      <c r="A262" s="12" t="str">
        <f aca="false">IF(B262="","",ROW()-4)</f>
        <v/>
      </c>
      <c r="B262" s="17"/>
      <c r="C262" s="19" t="str">
        <f aca="false">IF(B262="","",IFERROR(INDEX(顧客一覧!$C$5:$C$304,MATCH(B262,顧客一覧!$B$5:$B$304,0)),"※ID未登録"))</f>
        <v/>
      </c>
      <c r="D262" s="12" t="str">
        <f aca="false">IF(B262="","",IFERROR(INDEX(顧客一覧!$K$5:$K$304,MATCH(B262,顧客一覧!$B$5:$B$304,0))&amp;"",""))</f>
        <v/>
      </c>
      <c r="E262" s="17"/>
      <c r="F262" s="17"/>
      <c r="G262" s="29"/>
      <c r="H262" s="17"/>
      <c r="I262" s="29"/>
      <c r="J262" s="26" t="str">
        <f aca="false">IF(OR(G262="",I262=""),"",G262-I262)</f>
        <v/>
      </c>
      <c r="K262" s="26" t="str">
        <f aca="false">IF(J262="","",J262*12)</f>
        <v/>
      </c>
      <c r="L262" s="29"/>
      <c r="M262" s="27" t="str">
        <f aca="false">IF(OR(L262="",J262=""),"",IF(J262&lt;=0,"回収不可",L262/J262))</f>
        <v/>
      </c>
      <c r="N262" s="22"/>
      <c r="O262" s="17"/>
      <c r="P262" s="22"/>
      <c r="Q262" s="22"/>
      <c r="R262" s="28" t="str">
        <f aca="true">IF(OR(P262="",Q262&lt;&gt;"",O262="キャンセル"),"",P262-TODAY())</f>
        <v/>
      </c>
      <c r="S262" s="29"/>
      <c r="T262" s="22"/>
      <c r="U262" s="17"/>
      <c r="V262" s="22"/>
      <c r="W262" s="19" t="str">
        <f aca="true">IF(B262="","",IF(OR(O262="開通済",Q262&lt;&gt;""),"完了",IF(O262="キャンセル","―",IF(AND(V262&lt;&gt;"",V262&lt;TODAY()),"対応期限超過",IF(AND(P262&lt;&gt;"",P262&lt;TODAY()),"開通予定日超過",IF(AND(V262&lt;&gt;"",V262=TODAY()),"本日対応",IF(AND(P262&lt;&gt;"",P262-TODAY()&lt;=3),"開通間近","")))))))</f>
        <v/>
      </c>
      <c r="X262" s="17"/>
    </row>
    <row r="263" customFormat="false" ht="15" hidden="false" customHeight="false" outlineLevel="0" collapsed="false">
      <c r="A263" s="12" t="str">
        <f aca="false">IF(B263="","",ROW()-4)</f>
        <v/>
      </c>
      <c r="B263" s="17"/>
      <c r="C263" s="19" t="str">
        <f aca="false">IF(B263="","",IFERROR(INDEX(顧客一覧!$C$5:$C$304,MATCH(B263,顧客一覧!$B$5:$B$304,0)),"※ID未登録"))</f>
        <v/>
      </c>
      <c r="D263" s="12" t="str">
        <f aca="false">IF(B263="","",IFERROR(INDEX(顧客一覧!$K$5:$K$304,MATCH(B263,顧客一覧!$B$5:$B$304,0))&amp;"",""))</f>
        <v/>
      </c>
      <c r="E263" s="17"/>
      <c r="F263" s="17"/>
      <c r="G263" s="29"/>
      <c r="H263" s="17"/>
      <c r="I263" s="29"/>
      <c r="J263" s="26" t="str">
        <f aca="false">IF(OR(G263="",I263=""),"",G263-I263)</f>
        <v/>
      </c>
      <c r="K263" s="26" t="str">
        <f aca="false">IF(J263="","",J263*12)</f>
        <v/>
      </c>
      <c r="L263" s="29"/>
      <c r="M263" s="27" t="str">
        <f aca="false">IF(OR(L263="",J263=""),"",IF(J263&lt;=0,"回収不可",L263/J263))</f>
        <v/>
      </c>
      <c r="N263" s="22"/>
      <c r="O263" s="17"/>
      <c r="P263" s="22"/>
      <c r="Q263" s="22"/>
      <c r="R263" s="28" t="str">
        <f aca="true">IF(OR(P263="",Q263&lt;&gt;"",O263="キャンセル"),"",P263-TODAY())</f>
        <v/>
      </c>
      <c r="S263" s="29"/>
      <c r="T263" s="22"/>
      <c r="U263" s="17"/>
      <c r="V263" s="22"/>
      <c r="W263" s="19" t="str">
        <f aca="true">IF(B263="","",IF(OR(O263="開通済",Q263&lt;&gt;""),"完了",IF(O263="キャンセル","―",IF(AND(V263&lt;&gt;"",V263&lt;TODAY()),"対応期限超過",IF(AND(P263&lt;&gt;"",P263&lt;TODAY()),"開通予定日超過",IF(AND(V263&lt;&gt;"",V263=TODAY()),"本日対応",IF(AND(P263&lt;&gt;"",P263-TODAY()&lt;=3),"開通間近","")))))))</f>
        <v/>
      </c>
      <c r="X263" s="17"/>
    </row>
    <row r="264" customFormat="false" ht="15" hidden="false" customHeight="false" outlineLevel="0" collapsed="false">
      <c r="A264" s="12" t="str">
        <f aca="false">IF(B264="","",ROW()-4)</f>
        <v/>
      </c>
      <c r="B264" s="17"/>
      <c r="C264" s="19" t="str">
        <f aca="false">IF(B264="","",IFERROR(INDEX(顧客一覧!$C$5:$C$304,MATCH(B264,顧客一覧!$B$5:$B$304,0)),"※ID未登録"))</f>
        <v/>
      </c>
      <c r="D264" s="12" t="str">
        <f aca="false">IF(B264="","",IFERROR(INDEX(顧客一覧!$K$5:$K$304,MATCH(B264,顧客一覧!$B$5:$B$304,0))&amp;"",""))</f>
        <v/>
      </c>
      <c r="E264" s="17"/>
      <c r="F264" s="17"/>
      <c r="G264" s="29"/>
      <c r="H264" s="17"/>
      <c r="I264" s="29"/>
      <c r="J264" s="26" t="str">
        <f aca="false">IF(OR(G264="",I264=""),"",G264-I264)</f>
        <v/>
      </c>
      <c r="K264" s="26" t="str">
        <f aca="false">IF(J264="","",J264*12)</f>
        <v/>
      </c>
      <c r="L264" s="29"/>
      <c r="M264" s="27" t="str">
        <f aca="false">IF(OR(L264="",J264=""),"",IF(J264&lt;=0,"回収不可",L264/J264))</f>
        <v/>
      </c>
      <c r="N264" s="22"/>
      <c r="O264" s="17"/>
      <c r="P264" s="22"/>
      <c r="Q264" s="22"/>
      <c r="R264" s="28" t="str">
        <f aca="true">IF(OR(P264="",Q264&lt;&gt;"",O264="キャンセル"),"",P264-TODAY())</f>
        <v/>
      </c>
      <c r="S264" s="29"/>
      <c r="T264" s="22"/>
      <c r="U264" s="17"/>
      <c r="V264" s="22"/>
      <c r="W264" s="19" t="str">
        <f aca="true">IF(B264="","",IF(OR(O264="開通済",Q264&lt;&gt;""),"完了",IF(O264="キャンセル","―",IF(AND(V264&lt;&gt;"",V264&lt;TODAY()),"対応期限超過",IF(AND(P264&lt;&gt;"",P264&lt;TODAY()),"開通予定日超過",IF(AND(V264&lt;&gt;"",V264=TODAY()),"本日対応",IF(AND(P264&lt;&gt;"",P264-TODAY()&lt;=3),"開通間近","")))))))</f>
        <v/>
      </c>
      <c r="X264" s="17"/>
    </row>
    <row r="265" customFormat="false" ht="15" hidden="false" customHeight="false" outlineLevel="0" collapsed="false">
      <c r="A265" s="12" t="str">
        <f aca="false">IF(B265="","",ROW()-4)</f>
        <v/>
      </c>
      <c r="B265" s="17"/>
      <c r="C265" s="19" t="str">
        <f aca="false">IF(B265="","",IFERROR(INDEX(顧客一覧!$C$5:$C$304,MATCH(B265,顧客一覧!$B$5:$B$304,0)),"※ID未登録"))</f>
        <v/>
      </c>
      <c r="D265" s="12" t="str">
        <f aca="false">IF(B265="","",IFERROR(INDEX(顧客一覧!$K$5:$K$304,MATCH(B265,顧客一覧!$B$5:$B$304,0))&amp;"",""))</f>
        <v/>
      </c>
      <c r="E265" s="17"/>
      <c r="F265" s="17"/>
      <c r="G265" s="29"/>
      <c r="H265" s="17"/>
      <c r="I265" s="29"/>
      <c r="J265" s="26" t="str">
        <f aca="false">IF(OR(G265="",I265=""),"",G265-I265)</f>
        <v/>
      </c>
      <c r="K265" s="26" t="str">
        <f aca="false">IF(J265="","",J265*12)</f>
        <v/>
      </c>
      <c r="L265" s="29"/>
      <c r="M265" s="27" t="str">
        <f aca="false">IF(OR(L265="",J265=""),"",IF(J265&lt;=0,"回収不可",L265/J265))</f>
        <v/>
      </c>
      <c r="N265" s="22"/>
      <c r="O265" s="17"/>
      <c r="P265" s="22"/>
      <c r="Q265" s="22"/>
      <c r="R265" s="28" t="str">
        <f aca="true">IF(OR(P265="",Q265&lt;&gt;"",O265="キャンセル"),"",P265-TODAY())</f>
        <v/>
      </c>
      <c r="S265" s="29"/>
      <c r="T265" s="22"/>
      <c r="U265" s="17"/>
      <c r="V265" s="22"/>
      <c r="W265" s="19" t="str">
        <f aca="true">IF(B265="","",IF(OR(O265="開通済",Q265&lt;&gt;""),"完了",IF(O265="キャンセル","―",IF(AND(V265&lt;&gt;"",V265&lt;TODAY()),"対応期限超過",IF(AND(P265&lt;&gt;"",P265&lt;TODAY()),"開通予定日超過",IF(AND(V265&lt;&gt;"",V265=TODAY()),"本日対応",IF(AND(P265&lt;&gt;"",P265-TODAY()&lt;=3),"開通間近","")))))))</f>
        <v/>
      </c>
      <c r="X265" s="17"/>
    </row>
    <row r="266" customFormat="false" ht="15" hidden="false" customHeight="false" outlineLevel="0" collapsed="false">
      <c r="A266" s="12" t="str">
        <f aca="false">IF(B266="","",ROW()-4)</f>
        <v/>
      </c>
      <c r="B266" s="17"/>
      <c r="C266" s="19" t="str">
        <f aca="false">IF(B266="","",IFERROR(INDEX(顧客一覧!$C$5:$C$304,MATCH(B266,顧客一覧!$B$5:$B$304,0)),"※ID未登録"))</f>
        <v/>
      </c>
      <c r="D266" s="12" t="str">
        <f aca="false">IF(B266="","",IFERROR(INDEX(顧客一覧!$K$5:$K$304,MATCH(B266,顧客一覧!$B$5:$B$304,0))&amp;"",""))</f>
        <v/>
      </c>
      <c r="E266" s="17"/>
      <c r="F266" s="17"/>
      <c r="G266" s="29"/>
      <c r="H266" s="17"/>
      <c r="I266" s="29"/>
      <c r="J266" s="26" t="str">
        <f aca="false">IF(OR(G266="",I266=""),"",G266-I266)</f>
        <v/>
      </c>
      <c r="K266" s="26" t="str">
        <f aca="false">IF(J266="","",J266*12)</f>
        <v/>
      </c>
      <c r="L266" s="29"/>
      <c r="M266" s="27" t="str">
        <f aca="false">IF(OR(L266="",J266=""),"",IF(J266&lt;=0,"回収不可",L266/J266))</f>
        <v/>
      </c>
      <c r="N266" s="22"/>
      <c r="O266" s="17"/>
      <c r="P266" s="22"/>
      <c r="Q266" s="22"/>
      <c r="R266" s="28" t="str">
        <f aca="true">IF(OR(P266="",Q266&lt;&gt;"",O266="キャンセル"),"",P266-TODAY())</f>
        <v/>
      </c>
      <c r="S266" s="29"/>
      <c r="T266" s="22"/>
      <c r="U266" s="17"/>
      <c r="V266" s="22"/>
      <c r="W266" s="19" t="str">
        <f aca="true">IF(B266="","",IF(OR(O266="開通済",Q266&lt;&gt;""),"完了",IF(O266="キャンセル","―",IF(AND(V266&lt;&gt;"",V266&lt;TODAY()),"対応期限超過",IF(AND(P266&lt;&gt;"",P266&lt;TODAY()),"開通予定日超過",IF(AND(V266&lt;&gt;"",V266=TODAY()),"本日対応",IF(AND(P266&lt;&gt;"",P266-TODAY()&lt;=3),"開通間近","")))))))</f>
        <v/>
      </c>
      <c r="X266" s="17"/>
    </row>
    <row r="267" customFormat="false" ht="15" hidden="false" customHeight="false" outlineLevel="0" collapsed="false">
      <c r="A267" s="12" t="str">
        <f aca="false">IF(B267="","",ROW()-4)</f>
        <v/>
      </c>
      <c r="B267" s="17"/>
      <c r="C267" s="19" t="str">
        <f aca="false">IF(B267="","",IFERROR(INDEX(顧客一覧!$C$5:$C$304,MATCH(B267,顧客一覧!$B$5:$B$304,0)),"※ID未登録"))</f>
        <v/>
      </c>
      <c r="D267" s="12" t="str">
        <f aca="false">IF(B267="","",IFERROR(INDEX(顧客一覧!$K$5:$K$304,MATCH(B267,顧客一覧!$B$5:$B$304,0))&amp;"",""))</f>
        <v/>
      </c>
      <c r="E267" s="17"/>
      <c r="F267" s="17"/>
      <c r="G267" s="29"/>
      <c r="H267" s="17"/>
      <c r="I267" s="29"/>
      <c r="J267" s="26" t="str">
        <f aca="false">IF(OR(G267="",I267=""),"",G267-I267)</f>
        <v/>
      </c>
      <c r="K267" s="26" t="str">
        <f aca="false">IF(J267="","",J267*12)</f>
        <v/>
      </c>
      <c r="L267" s="29"/>
      <c r="M267" s="27" t="str">
        <f aca="false">IF(OR(L267="",J267=""),"",IF(J267&lt;=0,"回収不可",L267/J267))</f>
        <v/>
      </c>
      <c r="N267" s="22"/>
      <c r="O267" s="17"/>
      <c r="P267" s="22"/>
      <c r="Q267" s="22"/>
      <c r="R267" s="28" t="str">
        <f aca="true">IF(OR(P267="",Q267&lt;&gt;"",O267="キャンセル"),"",P267-TODAY())</f>
        <v/>
      </c>
      <c r="S267" s="29"/>
      <c r="T267" s="22"/>
      <c r="U267" s="17"/>
      <c r="V267" s="22"/>
      <c r="W267" s="19" t="str">
        <f aca="true">IF(B267="","",IF(OR(O267="開通済",Q267&lt;&gt;""),"完了",IF(O267="キャンセル","―",IF(AND(V267&lt;&gt;"",V267&lt;TODAY()),"対応期限超過",IF(AND(P267&lt;&gt;"",P267&lt;TODAY()),"開通予定日超過",IF(AND(V267&lt;&gt;"",V267=TODAY()),"本日対応",IF(AND(P267&lt;&gt;"",P267-TODAY()&lt;=3),"開通間近","")))))))</f>
        <v/>
      </c>
      <c r="X267" s="17"/>
    </row>
    <row r="268" customFormat="false" ht="15" hidden="false" customHeight="false" outlineLevel="0" collapsed="false">
      <c r="A268" s="12" t="str">
        <f aca="false">IF(B268="","",ROW()-4)</f>
        <v/>
      </c>
      <c r="B268" s="17"/>
      <c r="C268" s="19" t="str">
        <f aca="false">IF(B268="","",IFERROR(INDEX(顧客一覧!$C$5:$C$304,MATCH(B268,顧客一覧!$B$5:$B$304,0)),"※ID未登録"))</f>
        <v/>
      </c>
      <c r="D268" s="12" t="str">
        <f aca="false">IF(B268="","",IFERROR(INDEX(顧客一覧!$K$5:$K$304,MATCH(B268,顧客一覧!$B$5:$B$304,0))&amp;"",""))</f>
        <v/>
      </c>
      <c r="E268" s="17"/>
      <c r="F268" s="17"/>
      <c r="G268" s="29"/>
      <c r="H268" s="17"/>
      <c r="I268" s="29"/>
      <c r="J268" s="26" t="str">
        <f aca="false">IF(OR(G268="",I268=""),"",G268-I268)</f>
        <v/>
      </c>
      <c r="K268" s="26" t="str">
        <f aca="false">IF(J268="","",J268*12)</f>
        <v/>
      </c>
      <c r="L268" s="29"/>
      <c r="M268" s="27" t="str">
        <f aca="false">IF(OR(L268="",J268=""),"",IF(J268&lt;=0,"回収不可",L268/J268))</f>
        <v/>
      </c>
      <c r="N268" s="22"/>
      <c r="O268" s="17"/>
      <c r="P268" s="22"/>
      <c r="Q268" s="22"/>
      <c r="R268" s="28" t="str">
        <f aca="true">IF(OR(P268="",Q268&lt;&gt;"",O268="キャンセル"),"",P268-TODAY())</f>
        <v/>
      </c>
      <c r="S268" s="29"/>
      <c r="T268" s="22"/>
      <c r="U268" s="17"/>
      <c r="V268" s="22"/>
      <c r="W268" s="19" t="str">
        <f aca="true">IF(B268="","",IF(OR(O268="開通済",Q268&lt;&gt;""),"完了",IF(O268="キャンセル","―",IF(AND(V268&lt;&gt;"",V268&lt;TODAY()),"対応期限超過",IF(AND(P268&lt;&gt;"",P268&lt;TODAY()),"開通予定日超過",IF(AND(V268&lt;&gt;"",V268=TODAY()),"本日対応",IF(AND(P268&lt;&gt;"",P268-TODAY()&lt;=3),"開通間近","")))))))</f>
        <v/>
      </c>
      <c r="X268" s="17"/>
    </row>
    <row r="269" customFormat="false" ht="15" hidden="false" customHeight="false" outlineLevel="0" collapsed="false">
      <c r="A269" s="12" t="str">
        <f aca="false">IF(B269="","",ROW()-4)</f>
        <v/>
      </c>
      <c r="B269" s="17"/>
      <c r="C269" s="19" t="str">
        <f aca="false">IF(B269="","",IFERROR(INDEX(顧客一覧!$C$5:$C$304,MATCH(B269,顧客一覧!$B$5:$B$304,0)),"※ID未登録"))</f>
        <v/>
      </c>
      <c r="D269" s="12" t="str">
        <f aca="false">IF(B269="","",IFERROR(INDEX(顧客一覧!$K$5:$K$304,MATCH(B269,顧客一覧!$B$5:$B$304,0))&amp;"",""))</f>
        <v/>
      </c>
      <c r="E269" s="17"/>
      <c r="F269" s="17"/>
      <c r="G269" s="29"/>
      <c r="H269" s="17"/>
      <c r="I269" s="29"/>
      <c r="J269" s="26" t="str">
        <f aca="false">IF(OR(G269="",I269=""),"",G269-I269)</f>
        <v/>
      </c>
      <c r="K269" s="26" t="str">
        <f aca="false">IF(J269="","",J269*12)</f>
        <v/>
      </c>
      <c r="L269" s="29"/>
      <c r="M269" s="27" t="str">
        <f aca="false">IF(OR(L269="",J269=""),"",IF(J269&lt;=0,"回収不可",L269/J269))</f>
        <v/>
      </c>
      <c r="N269" s="22"/>
      <c r="O269" s="17"/>
      <c r="P269" s="22"/>
      <c r="Q269" s="22"/>
      <c r="R269" s="28" t="str">
        <f aca="true">IF(OR(P269="",Q269&lt;&gt;"",O269="キャンセル"),"",P269-TODAY())</f>
        <v/>
      </c>
      <c r="S269" s="29"/>
      <c r="T269" s="22"/>
      <c r="U269" s="17"/>
      <c r="V269" s="22"/>
      <c r="W269" s="19" t="str">
        <f aca="true">IF(B269="","",IF(OR(O269="開通済",Q269&lt;&gt;""),"完了",IF(O269="キャンセル","―",IF(AND(V269&lt;&gt;"",V269&lt;TODAY()),"対応期限超過",IF(AND(P269&lt;&gt;"",P269&lt;TODAY()),"開通予定日超過",IF(AND(V269&lt;&gt;"",V269=TODAY()),"本日対応",IF(AND(P269&lt;&gt;"",P269-TODAY()&lt;=3),"開通間近","")))))))</f>
        <v/>
      </c>
      <c r="X269" s="17"/>
    </row>
    <row r="270" customFormat="false" ht="15" hidden="false" customHeight="false" outlineLevel="0" collapsed="false">
      <c r="A270" s="12" t="str">
        <f aca="false">IF(B270="","",ROW()-4)</f>
        <v/>
      </c>
      <c r="B270" s="17"/>
      <c r="C270" s="19" t="str">
        <f aca="false">IF(B270="","",IFERROR(INDEX(顧客一覧!$C$5:$C$304,MATCH(B270,顧客一覧!$B$5:$B$304,0)),"※ID未登録"))</f>
        <v/>
      </c>
      <c r="D270" s="12" t="str">
        <f aca="false">IF(B270="","",IFERROR(INDEX(顧客一覧!$K$5:$K$304,MATCH(B270,顧客一覧!$B$5:$B$304,0))&amp;"",""))</f>
        <v/>
      </c>
      <c r="E270" s="17"/>
      <c r="F270" s="17"/>
      <c r="G270" s="29"/>
      <c r="H270" s="17"/>
      <c r="I270" s="29"/>
      <c r="J270" s="26" t="str">
        <f aca="false">IF(OR(G270="",I270=""),"",G270-I270)</f>
        <v/>
      </c>
      <c r="K270" s="26" t="str">
        <f aca="false">IF(J270="","",J270*12)</f>
        <v/>
      </c>
      <c r="L270" s="29"/>
      <c r="M270" s="27" t="str">
        <f aca="false">IF(OR(L270="",J270=""),"",IF(J270&lt;=0,"回収不可",L270/J270))</f>
        <v/>
      </c>
      <c r="N270" s="22"/>
      <c r="O270" s="17"/>
      <c r="P270" s="22"/>
      <c r="Q270" s="22"/>
      <c r="R270" s="28" t="str">
        <f aca="true">IF(OR(P270="",Q270&lt;&gt;"",O270="キャンセル"),"",P270-TODAY())</f>
        <v/>
      </c>
      <c r="S270" s="29"/>
      <c r="T270" s="22"/>
      <c r="U270" s="17"/>
      <c r="V270" s="22"/>
      <c r="W270" s="19" t="str">
        <f aca="true">IF(B270="","",IF(OR(O270="開通済",Q270&lt;&gt;""),"完了",IF(O270="キャンセル","―",IF(AND(V270&lt;&gt;"",V270&lt;TODAY()),"対応期限超過",IF(AND(P270&lt;&gt;"",P270&lt;TODAY()),"開通予定日超過",IF(AND(V270&lt;&gt;"",V270=TODAY()),"本日対応",IF(AND(P270&lt;&gt;"",P270-TODAY()&lt;=3),"開通間近","")))))))</f>
        <v/>
      </c>
      <c r="X270" s="17"/>
    </row>
    <row r="271" customFormat="false" ht="15" hidden="false" customHeight="false" outlineLevel="0" collapsed="false">
      <c r="A271" s="12" t="str">
        <f aca="false">IF(B271="","",ROW()-4)</f>
        <v/>
      </c>
      <c r="B271" s="17"/>
      <c r="C271" s="19" t="str">
        <f aca="false">IF(B271="","",IFERROR(INDEX(顧客一覧!$C$5:$C$304,MATCH(B271,顧客一覧!$B$5:$B$304,0)),"※ID未登録"))</f>
        <v/>
      </c>
      <c r="D271" s="12" t="str">
        <f aca="false">IF(B271="","",IFERROR(INDEX(顧客一覧!$K$5:$K$304,MATCH(B271,顧客一覧!$B$5:$B$304,0))&amp;"",""))</f>
        <v/>
      </c>
      <c r="E271" s="17"/>
      <c r="F271" s="17"/>
      <c r="G271" s="29"/>
      <c r="H271" s="17"/>
      <c r="I271" s="29"/>
      <c r="J271" s="26" t="str">
        <f aca="false">IF(OR(G271="",I271=""),"",G271-I271)</f>
        <v/>
      </c>
      <c r="K271" s="26" t="str">
        <f aca="false">IF(J271="","",J271*12)</f>
        <v/>
      </c>
      <c r="L271" s="29"/>
      <c r="M271" s="27" t="str">
        <f aca="false">IF(OR(L271="",J271=""),"",IF(J271&lt;=0,"回収不可",L271/J271))</f>
        <v/>
      </c>
      <c r="N271" s="22"/>
      <c r="O271" s="17"/>
      <c r="P271" s="22"/>
      <c r="Q271" s="22"/>
      <c r="R271" s="28" t="str">
        <f aca="true">IF(OR(P271="",Q271&lt;&gt;"",O271="キャンセル"),"",P271-TODAY())</f>
        <v/>
      </c>
      <c r="S271" s="29"/>
      <c r="T271" s="22"/>
      <c r="U271" s="17"/>
      <c r="V271" s="22"/>
      <c r="W271" s="19" t="str">
        <f aca="true">IF(B271="","",IF(OR(O271="開通済",Q271&lt;&gt;""),"完了",IF(O271="キャンセル","―",IF(AND(V271&lt;&gt;"",V271&lt;TODAY()),"対応期限超過",IF(AND(P271&lt;&gt;"",P271&lt;TODAY()),"開通予定日超過",IF(AND(V271&lt;&gt;"",V271=TODAY()),"本日対応",IF(AND(P271&lt;&gt;"",P271-TODAY()&lt;=3),"開通間近","")))))))</f>
        <v/>
      </c>
      <c r="X271" s="17"/>
    </row>
    <row r="272" customFormat="false" ht="15" hidden="false" customHeight="false" outlineLevel="0" collapsed="false">
      <c r="A272" s="12" t="str">
        <f aca="false">IF(B272="","",ROW()-4)</f>
        <v/>
      </c>
      <c r="B272" s="17"/>
      <c r="C272" s="19" t="str">
        <f aca="false">IF(B272="","",IFERROR(INDEX(顧客一覧!$C$5:$C$304,MATCH(B272,顧客一覧!$B$5:$B$304,0)),"※ID未登録"))</f>
        <v/>
      </c>
      <c r="D272" s="12" t="str">
        <f aca="false">IF(B272="","",IFERROR(INDEX(顧客一覧!$K$5:$K$304,MATCH(B272,顧客一覧!$B$5:$B$304,0))&amp;"",""))</f>
        <v/>
      </c>
      <c r="E272" s="17"/>
      <c r="F272" s="17"/>
      <c r="G272" s="29"/>
      <c r="H272" s="17"/>
      <c r="I272" s="29"/>
      <c r="J272" s="26" t="str">
        <f aca="false">IF(OR(G272="",I272=""),"",G272-I272)</f>
        <v/>
      </c>
      <c r="K272" s="26" t="str">
        <f aca="false">IF(J272="","",J272*12)</f>
        <v/>
      </c>
      <c r="L272" s="29"/>
      <c r="M272" s="27" t="str">
        <f aca="false">IF(OR(L272="",J272=""),"",IF(J272&lt;=0,"回収不可",L272/J272))</f>
        <v/>
      </c>
      <c r="N272" s="22"/>
      <c r="O272" s="17"/>
      <c r="P272" s="22"/>
      <c r="Q272" s="22"/>
      <c r="R272" s="28" t="str">
        <f aca="true">IF(OR(P272="",Q272&lt;&gt;"",O272="キャンセル"),"",P272-TODAY())</f>
        <v/>
      </c>
      <c r="S272" s="29"/>
      <c r="T272" s="22"/>
      <c r="U272" s="17"/>
      <c r="V272" s="22"/>
      <c r="W272" s="19" t="str">
        <f aca="true">IF(B272="","",IF(OR(O272="開通済",Q272&lt;&gt;""),"完了",IF(O272="キャンセル","―",IF(AND(V272&lt;&gt;"",V272&lt;TODAY()),"対応期限超過",IF(AND(P272&lt;&gt;"",P272&lt;TODAY()),"開通予定日超過",IF(AND(V272&lt;&gt;"",V272=TODAY()),"本日対応",IF(AND(P272&lt;&gt;"",P272-TODAY()&lt;=3),"開通間近","")))))))</f>
        <v/>
      </c>
      <c r="X272" s="17"/>
    </row>
    <row r="273" customFormat="false" ht="15" hidden="false" customHeight="false" outlineLevel="0" collapsed="false">
      <c r="A273" s="12" t="str">
        <f aca="false">IF(B273="","",ROW()-4)</f>
        <v/>
      </c>
      <c r="B273" s="17"/>
      <c r="C273" s="19" t="str">
        <f aca="false">IF(B273="","",IFERROR(INDEX(顧客一覧!$C$5:$C$304,MATCH(B273,顧客一覧!$B$5:$B$304,0)),"※ID未登録"))</f>
        <v/>
      </c>
      <c r="D273" s="12" t="str">
        <f aca="false">IF(B273="","",IFERROR(INDEX(顧客一覧!$K$5:$K$304,MATCH(B273,顧客一覧!$B$5:$B$304,0))&amp;"",""))</f>
        <v/>
      </c>
      <c r="E273" s="17"/>
      <c r="F273" s="17"/>
      <c r="G273" s="29"/>
      <c r="H273" s="17"/>
      <c r="I273" s="29"/>
      <c r="J273" s="26" t="str">
        <f aca="false">IF(OR(G273="",I273=""),"",G273-I273)</f>
        <v/>
      </c>
      <c r="K273" s="26" t="str">
        <f aca="false">IF(J273="","",J273*12)</f>
        <v/>
      </c>
      <c r="L273" s="29"/>
      <c r="M273" s="27" t="str">
        <f aca="false">IF(OR(L273="",J273=""),"",IF(J273&lt;=0,"回収不可",L273/J273))</f>
        <v/>
      </c>
      <c r="N273" s="22"/>
      <c r="O273" s="17"/>
      <c r="P273" s="22"/>
      <c r="Q273" s="22"/>
      <c r="R273" s="28" t="str">
        <f aca="true">IF(OR(P273="",Q273&lt;&gt;"",O273="キャンセル"),"",P273-TODAY())</f>
        <v/>
      </c>
      <c r="S273" s="29"/>
      <c r="T273" s="22"/>
      <c r="U273" s="17"/>
      <c r="V273" s="22"/>
      <c r="W273" s="19" t="str">
        <f aca="true">IF(B273="","",IF(OR(O273="開通済",Q273&lt;&gt;""),"完了",IF(O273="キャンセル","―",IF(AND(V273&lt;&gt;"",V273&lt;TODAY()),"対応期限超過",IF(AND(P273&lt;&gt;"",P273&lt;TODAY()),"開通予定日超過",IF(AND(V273&lt;&gt;"",V273=TODAY()),"本日対応",IF(AND(P273&lt;&gt;"",P273-TODAY()&lt;=3),"開通間近","")))))))</f>
        <v/>
      </c>
      <c r="X273" s="17"/>
    </row>
    <row r="274" customFormat="false" ht="15" hidden="false" customHeight="false" outlineLevel="0" collapsed="false">
      <c r="A274" s="12" t="str">
        <f aca="false">IF(B274="","",ROW()-4)</f>
        <v/>
      </c>
      <c r="B274" s="17"/>
      <c r="C274" s="19" t="str">
        <f aca="false">IF(B274="","",IFERROR(INDEX(顧客一覧!$C$5:$C$304,MATCH(B274,顧客一覧!$B$5:$B$304,0)),"※ID未登録"))</f>
        <v/>
      </c>
      <c r="D274" s="12" t="str">
        <f aca="false">IF(B274="","",IFERROR(INDEX(顧客一覧!$K$5:$K$304,MATCH(B274,顧客一覧!$B$5:$B$304,0))&amp;"",""))</f>
        <v/>
      </c>
      <c r="E274" s="17"/>
      <c r="F274" s="17"/>
      <c r="G274" s="29"/>
      <c r="H274" s="17"/>
      <c r="I274" s="29"/>
      <c r="J274" s="26" t="str">
        <f aca="false">IF(OR(G274="",I274=""),"",G274-I274)</f>
        <v/>
      </c>
      <c r="K274" s="26" t="str">
        <f aca="false">IF(J274="","",J274*12)</f>
        <v/>
      </c>
      <c r="L274" s="29"/>
      <c r="M274" s="27" t="str">
        <f aca="false">IF(OR(L274="",J274=""),"",IF(J274&lt;=0,"回収不可",L274/J274))</f>
        <v/>
      </c>
      <c r="N274" s="22"/>
      <c r="O274" s="17"/>
      <c r="P274" s="22"/>
      <c r="Q274" s="22"/>
      <c r="R274" s="28" t="str">
        <f aca="true">IF(OR(P274="",Q274&lt;&gt;"",O274="キャンセル"),"",P274-TODAY())</f>
        <v/>
      </c>
      <c r="S274" s="29"/>
      <c r="T274" s="22"/>
      <c r="U274" s="17"/>
      <c r="V274" s="22"/>
      <c r="W274" s="19" t="str">
        <f aca="true">IF(B274="","",IF(OR(O274="開通済",Q274&lt;&gt;""),"完了",IF(O274="キャンセル","―",IF(AND(V274&lt;&gt;"",V274&lt;TODAY()),"対応期限超過",IF(AND(P274&lt;&gt;"",P274&lt;TODAY()),"開通予定日超過",IF(AND(V274&lt;&gt;"",V274=TODAY()),"本日対応",IF(AND(P274&lt;&gt;"",P274-TODAY()&lt;=3),"開通間近","")))))))</f>
        <v/>
      </c>
      <c r="X274" s="17"/>
    </row>
    <row r="275" customFormat="false" ht="15" hidden="false" customHeight="false" outlineLevel="0" collapsed="false">
      <c r="A275" s="12" t="str">
        <f aca="false">IF(B275="","",ROW()-4)</f>
        <v/>
      </c>
      <c r="B275" s="17"/>
      <c r="C275" s="19" t="str">
        <f aca="false">IF(B275="","",IFERROR(INDEX(顧客一覧!$C$5:$C$304,MATCH(B275,顧客一覧!$B$5:$B$304,0)),"※ID未登録"))</f>
        <v/>
      </c>
      <c r="D275" s="12" t="str">
        <f aca="false">IF(B275="","",IFERROR(INDEX(顧客一覧!$K$5:$K$304,MATCH(B275,顧客一覧!$B$5:$B$304,0))&amp;"",""))</f>
        <v/>
      </c>
      <c r="E275" s="17"/>
      <c r="F275" s="17"/>
      <c r="G275" s="29"/>
      <c r="H275" s="17"/>
      <c r="I275" s="29"/>
      <c r="J275" s="26" t="str">
        <f aca="false">IF(OR(G275="",I275=""),"",G275-I275)</f>
        <v/>
      </c>
      <c r="K275" s="26" t="str">
        <f aca="false">IF(J275="","",J275*12)</f>
        <v/>
      </c>
      <c r="L275" s="29"/>
      <c r="M275" s="27" t="str">
        <f aca="false">IF(OR(L275="",J275=""),"",IF(J275&lt;=0,"回収不可",L275/J275))</f>
        <v/>
      </c>
      <c r="N275" s="22"/>
      <c r="O275" s="17"/>
      <c r="P275" s="22"/>
      <c r="Q275" s="22"/>
      <c r="R275" s="28" t="str">
        <f aca="true">IF(OR(P275="",Q275&lt;&gt;"",O275="キャンセル"),"",P275-TODAY())</f>
        <v/>
      </c>
      <c r="S275" s="29"/>
      <c r="T275" s="22"/>
      <c r="U275" s="17"/>
      <c r="V275" s="22"/>
      <c r="W275" s="19" t="str">
        <f aca="true">IF(B275="","",IF(OR(O275="開通済",Q275&lt;&gt;""),"完了",IF(O275="キャンセル","―",IF(AND(V275&lt;&gt;"",V275&lt;TODAY()),"対応期限超過",IF(AND(P275&lt;&gt;"",P275&lt;TODAY()),"開通予定日超過",IF(AND(V275&lt;&gt;"",V275=TODAY()),"本日対応",IF(AND(P275&lt;&gt;"",P275-TODAY()&lt;=3),"開通間近","")))))))</f>
        <v/>
      </c>
      <c r="X275" s="17"/>
    </row>
    <row r="276" customFormat="false" ht="15" hidden="false" customHeight="false" outlineLevel="0" collapsed="false">
      <c r="A276" s="12" t="str">
        <f aca="false">IF(B276="","",ROW()-4)</f>
        <v/>
      </c>
      <c r="B276" s="17"/>
      <c r="C276" s="19" t="str">
        <f aca="false">IF(B276="","",IFERROR(INDEX(顧客一覧!$C$5:$C$304,MATCH(B276,顧客一覧!$B$5:$B$304,0)),"※ID未登録"))</f>
        <v/>
      </c>
      <c r="D276" s="12" t="str">
        <f aca="false">IF(B276="","",IFERROR(INDEX(顧客一覧!$K$5:$K$304,MATCH(B276,顧客一覧!$B$5:$B$304,0))&amp;"",""))</f>
        <v/>
      </c>
      <c r="E276" s="17"/>
      <c r="F276" s="17"/>
      <c r="G276" s="29"/>
      <c r="H276" s="17"/>
      <c r="I276" s="29"/>
      <c r="J276" s="26" t="str">
        <f aca="false">IF(OR(G276="",I276=""),"",G276-I276)</f>
        <v/>
      </c>
      <c r="K276" s="26" t="str">
        <f aca="false">IF(J276="","",J276*12)</f>
        <v/>
      </c>
      <c r="L276" s="29"/>
      <c r="M276" s="27" t="str">
        <f aca="false">IF(OR(L276="",J276=""),"",IF(J276&lt;=0,"回収不可",L276/J276))</f>
        <v/>
      </c>
      <c r="N276" s="22"/>
      <c r="O276" s="17"/>
      <c r="P276" s="22"/>
      <c r="Q276" s="22"/>
      <c r="R276" s="28" t="str">
        <f aca="true">IF(OR(P276="",Q276&lt;&gt;"",O276="キャンセル"),"",P276-TODAY())</f>
        <v/>
      </c>
      <c r="S276" s="29"/>
      <c r="T276" s="22"/>
      <c r="U276" s="17"/>
      <c r="V276" s="22"/>
      <c r="W276" s="19" t="str">
        <f aca="true">IF(B276="","",IF(OR(O276="開通済",Q276&lt;&gt;""),"完了",IF(O276="キャンセル","―",IF(AND(V276&lt;&gt;"",V276&lt;TODAY()),"対応期限超過",IF(AND(P276&lt;&gt;"",P276&lt;TODAY()),"開通予定日超過",IF(AND(V276&lt;&gt;"",V276=TODAY()),"本日対応",IF(AND(P276&lt;&gt;"",P276-TODAY()&lt;=3),"開通間近","")))))))</f>
        <v/>
      </c>
      <c r="X276" s="17"/>
    </row>
    <row r="277" customFormat="false" ht="15" hidden="false" customHeight="false" outlineLevel="0" collapsed="false">
      <c r="A277" s="12" t="str">
        <f aca="false">IF(B277="","",ROW()-4)</f>
        <v/>
      </c>
      <c r="B277" s="17"/>
      <c r="C277" s="19" t="str">
        <f aca="false">IF(B277="","",IFERROR(INDEX(顧客一覧!$C$5:$C$304,MATCH(B277,顧客一覧!$B$5:$B$304,0)),"※ID未登録"))</f>
        <v/>
      </c>
      <c r="D277" s="12" t="str">
        <f aca="false">IF(B277="","",IFERROR(INDEX(顧客一覧!$K$5:$K$304,MATCH(B277,顧客一覧!$B$5:$B$304,0))&amp;"",""))</f>
        <v/>
      </c>
      <c r="E277" s="17"/>
      <c r="F277" s="17"/>
      <c r="G277" s="29"/>
      <c r="H277" s="17"/>
      <c r="I277" s="29"/>
      <c r="J277" s="26" t="str">
        <f aca="false">IF(OR(G277="",I277=""),"",G277-I277)</f>
        <v/>
      </c>
      <c r="K277" s="26" t="str">
        <f aca="false">IF(J277="","",J277*12)</f>
        <v/>
      </c>
      <c r="L277" s="29"/>
      <c r="M277" s="27" t="str">
        <f aca="false">IF(OR(L277="",J277=""),"",IF(J277&lt;=0,"回収不可",L277/J277))</f>
        <v/>
      </c>
      <c r="N277" s="22"/>
      <c r="O277" s="17"/>
      <c r="P277" s="22"/>
      <c r="Q277" s="22"/>
      <c r="R277" s="28" t="str">
        <f aca="true">IF(OR(P277="",Q277&lt;&gt;"",O277="キャンセル"),"",P277-TODAY())</f>
        <v/>
      </c>
      <c r="S277" s="29"/>
      <c r="T277" s="22"/>
      <c r="U277" s="17"/>
      <c r="V277" s="22"/>
      <c r="W277" s="19" t="str">
        <f aca="true">IF(B277="","",IF(OR(O277="開通済",Q277&lt;&gt;""),"完了",IF(O277="キャンセル","―",IF(AND(V277&lt;&gt;"",V277&lt;TODAY()),"対応期限超過",IF(AND(P277&lt;&gt;"",P277&lt;TODAY()),"開通予定日超過",IF(AND(V277&lt;&gt;"",V277=TODAY()),"本日対応",IF(AND(P277&lt;&gt;"",P277-TODAY()&lt;=3),"開通間近","")))))))</f>
        <v/>
      </c>
      <c r="X277" s="17"/>
    </row>
    <row r="278" customFormat="false" ht="15" hidden="false" customHeight="false" outlineLevel="0" collapsed="false">
      <c r="A278" s="12" t="str">
        <f aca="false">IF(B278="","",ROW()-4)</f>
        <v/>
      </c>
      <c r="B278" s="17"/>
      <c r="C278" s="19" t="str">
        <f aca="false">IF(B278="","",IFERROR(INDEX(顧客一覧!$C$5:$C$304,MATCH(B278,顧客一覧!$B$5:$B$304,0)),"※ID未登録"))</f>
        <v/>
      </c>
      <c r="D278" s="12" t="str">
        <f aca="false">IF(B278="","",IFERROR(INDEX(顧客一覧!$K$5:$K$304,MATCH(B278,顧客一覧!$B$5:$B$304,0))&amp;"",""))</f>
        <v/>
      </c>
      <c r="E278" s="17"/>
      <c r="F278" s="17"/>
      <c r="G278" s="29"/>
      <c r="H278" s="17"/>
      <c r="I278" s="29"/>
      <c r="J278" s="26" t="str">
        <f aca="false">IF(OR(G278="",I278=""),"",G278-I278)</f>
        <v/>
      </c>
      <c r="K278" s="26" t="str">
        <f aca="false">IF(J278="","",J278*12)</f>
        <v/>
      </c>
      <c r="L278" s="29"/>
      <c r="M278" s="27" t="str">
        <f aca="false">IF(OR(L278="",J278=""),"",IF(J278&lt;=0,"回収不可",L278/J278))</f>
        <v/>
      </c>
      <c r="N278" s="22"/>
      <c r="O278" s="17"/>
      <c r="P278" s="22"/>
      <c r="Q278" s="22"/>
      <c r="R278" s="28" t="str">
        <f aca="true">IF(OR(P278="",Q278&lt;&gt;"",O278="キャンセル"),"",P278-TODAY())</f>
        <v/>
      </c>
      <c r="S278" s="29"/>
      <c r="T278" s="22"/>
      <c r="U278" s="17"/>
      <c r="V278" s="22"/>
      <c r="W278" s="19" t="str">
        <f aca="true">IF(B278="","",IF(OR(O278="開通済",Q278&lt;&gt;""),"完了",IF(O278="キャンセル","―",IF(AND(V278&lt;&gt;"",V278&lt;TODAY()),"対応期限超過",IF(AND(P278&lt;&gt;"",P278&lt;TODAY()),"開通予定日超過",IF(AND(V278&lt;&gt;"",V278=TODAY()),"本日対応",IF(AND(P278&lt;&gt;"",P278-TODAY()&lt;=3),"開通間近","")))))))</f>
        <v/>
      </c>
      <c r="X278" s="17"/>
    </row>
    <row r="279" customFormat="false" ht="15" hidden="false" customHeight="false" outlineLevel="0" collapsed="false">
      <c r="A279" s="12" t="str">
        <f aca="false">IF(B279="","",ROW()-4)</f>
        <v/>
      </c>
      <c r="B279" s="17"/>
      <c r="C279" s="19" t="str">
        <f aca="false">IF(B279="","",IFERROR(INDEX(顧客一覧!$C$5:$C$304,MATCH(B279,顧客一覧!$B$5:$B$304,0)),"※ID未登録"))</f>
        <v/>
      </c>
      <c r="D279" s="12" t="str">
        <f aca="false">IF(B279="","",IFERROR(INDEX(顧客一覧!$K$5:$K$304,MATCH(B279,顧客一覧!$B$5:$B$304,0))&amp;"",""))</f>
        <v/>
      </c>
      <c r="E279" s="17"/>
      <c r="F279" s="17"/>
      <c r="G279" s="29"/>
      <c r="H279" s="17"/>
      <c r="I279" s="29"/>
      <c r="J279" s="26" t="str">
        <f aca="false">IF(OR(G279="",I279=""),"",G279-I279)</f>
        <v/>
      </c>
      <c r="K279" s="26" t="str">
        <f aca="false">IF(J279="","",J279*12)</f>
        <v/>
      </c>
      <c r="L279" s="29"/>
      <c r="M279" s="27" t="str">
        <f aca="false">IF(OR(L279="",J279=""),"",IF(J279&lt;=0,"回収不可",L279/J279))</f>
        <v/>
      </c>
      <c r="N279" s="22"/>
      <c r="O279" s="17"/>
      <c r="P279" s="22"/>
      <c r="Q279" s="22"/>
      <c r="R279" s="28" t="str">
        <f aca="true">IF(OR(P279="",Q279&lt;&gt;"",O279="キャンセル"),"",P279-TODAY())</f>
        <v/>
      </c>
      <c r="S279" s="29"/>
      <c r="T279" s="22"/>
      <c r="U279" s="17"/>
      <c r="V279" s="22"/>
      <c r="W279" s="19" t="str">
        <f aca="true">IF(B279="","",IF(OR(O279="開通済",Q279&lt;&gt;""),"完了",IF(O279="キャンセル","―",IF(AND(V279&lt;&gt;"",V279&lt;TODAY()),"対応期限超過",IF(AND(P279&lt;&gt;"",P279&lt;TODAY()),"開通予定日超過",IF(AND(V279&lt;&gt;"",V279=TODAY()),"本日対応",IF(AND(P279&lt;&gt;"",P279-TODAY()&lt;=3),"開通間近","")))))))</f>
        <v/>
      </c>
      <c r="X279" s="17"/>
    </row>
    <row r="280" customFormat="false" ht="15" hidden="false" customHeight="false" outlineLevel="0" collapsed="false">
      <c r="A280" s="12" t="str">
        <f aca="false">IF(B280="","",ROW()-4)</f>
        <v/>
      </c>
      <c r="B280" s="17"/>
      <c r="C280" s="19" t="str">
        <f aca="false">IF(B280="","",IFERROR(INDEX(顧客一覧!$C$5:$C$304,MATCH(B280,顧客一覧!$B$5:$B$304,0)),"※ID未登録"))</f>
        <v/>
      </c>
      <c r="D280" s="12" t="str">
        <f aca="false">IF(B280="","",IFERROR(INDEX(顧客一覧!$K$5:$K$304,MATCH(B280,顧客一覧!$B$5:$B$304,0))&amp;"",""))</f>
        <v/>
      </c>
      <c r="E280" s="17"/>
      <c r="F280" s="17"/>
      <c r="G280" s="29"/>
      <c r="H280" s="17"/>
      <c r="I280" s="29"/>
      <c r="J280" s="26" t="str">
        <f aca="false">IF(OR(G280="",I280=""),"",G280-I280)</f>
        <v/>
      </c>
      <c r="K280" s="26" t="str">
        <f aca="false">IF(J280="","",J280*12)</f>
        <v/>
      </c>
      <c r="L280" s="29"/>
      <c r="M280" s="27" t="str">
        <f aca="false">IF(OR(L280="",J280=""),"",IF(J280&lt;=0,"回収不可",L280/J280))</f>
        <v/>
      </c>
      <c r="N280" s="22"/>
      <c r="O280" s="17"/>
      <c r="P280" s="22"/>
      <c r="Q280" s="22"/>
      <c r="R280" s="28" t="str">
        <f aca="true">IF(OR(P280="",Q280&lt;&gt;"",O280="キャンセル"),"",P280-TODAY())</f>
        <v/>
      </c>
      <c r="S280" s="29"/>
      <c r="T280" s="22"/>
      <c r="U280" s="17"/>
      <c r="V280" s="22"/>
      <c r="W280" s="19" t="str">
        <f aca="true">IF(B280="","",IF(OR(O280="開通済",Q280&lt;&gt;""),"完了",IF(O280="キャンセル","―",IF(AND(V280&lt;&gt;"",V280&lt;TODAY()),"対応期限超過",IF(AND(P280&lt;&gt;"",P280&lt;TODAY()),"開通予定日超過",IF(AND(V280&lt;&gt;"",V280=TODAY()),"本日対応",IF(AND(P280&lt;&gt;"",P280-TODAY()&lt;=3),"開通間近","")))))))</f>
        <v/>
      </c>
      <c r="X280" s="17"/>
    </row>
    <row r="281" customFormat="false" ht="15" hidden="false" customHeight="false" outlineLevel="0" collapsed="false">
      <c r="A281" s="12" t="str">
        <f aca="false">IF(B281="","",ROW()-4)</f>
        <v/>
      </c>
      <c r="B281" s="17"/>
      <c r="C281" s="19" t="str">
        <f aca="false">IF(B281="","",IFERROR(INDEX(顧客一覧!$C$5:$C$304,MATCH(B281,顧客一覧!$B$5:$B$304,0)),"※ID未登録"))</f>
        <v/>
      </c>
      <c r="D281" s="12" t="str">
        <f aca="false">IF(B281="","",IFERROR(INDEX(顧客一覧!$K$5:$K$304,MATCH(B281,顧客一覧!$B$5:$B$304,0))&amp;"",""))</f>
        <v/>
      </c>
      <c r="E281" s="17"/>
      <c r="F281" s="17"/>
      <c r="G281" s="29"/>
      <c r="H281" s="17"/>
      <c r="I281" s="29"/>
      <c r="J281" s="26" t="str">
        <f aca="false">IF(OR(G281="",I281=""),"",G281-I281)</f>
        <v/>
      </c>
      <c r="K281" s="26" t="str">
        <f aca="false">IF(J281="","",J281*12)</f>
        <v/>
      </c>
      <c r="L281" s="29"/>
      <c r="M281" s="27" t="str">
        <f aca="false">IF(OR(L281="",J281=""),"",IF(J281&lt;=0,"回収不可",L281/J281))</f>
        <v/>
      </c>
      <c r="N281" s="22"/>
      <c r="O281" s="17"/>
      <c r="P281" s="22"/>
      <c r="Q281" s="22"/>
      <c r="R281" s="28" t="str">
        <f aca="true">IF(OR(P281="",Q281&lt;&gt;"",O281="キャンセル"),"",P281-TODAY())</f>
        <v/>
      </c>
      <c r="S281" s="29"/>
      <c r="T281" s="22"/>
      <c r="U281" s="17"/>
      <c r="V281" s="22"/>
      <c r="W281" s="19" t="str">
        <f aca="true">IF(B281="","",IF(OR(O281="開通済",Q281&lt;&gt;""),"完了",IF(O281="キャンセル","―",IF(AND(V281&lt;&gt;"",V281&lt;TODAY()),"対応期限超過",IF(AND(P281&lt;&gt;"",P281&lt;TODAY()),"開通予定日超過",IF(AND(V281&lt;&gt;"",V281=TODAY()),"本日対応",IF(AND(P281&lt;&gt;"",P281-TODAY()&lt;=3),"開通間近","")))))))</f>
        <v/>
      </c>
      <c r="X281" s="17"/>
    </row>
    <row r="282" customFormat="false" ht="15" hidden="false" customHeight="false" outlineLevel="0" collapsed="false">
      <c r="A282" s="12" t="str">
        <f aca="false">IF(B282="","",ROW()-4)</f>
        <v/>
      </c>
      <c r="B282" s="17"/>
      <c r="C282" s="19" t="str">
        <f aca="false">IF(B282="","",IFERROR(INDEX(顧客一覧!$C$5:$C$304,MATCH(B282,顧客一覧!$B$5:$B$304,0)),"※ID未登録"))</f>
        <v/>
      </c>
      <c r="D282" s="12" t="str">
        <f aca="false">IF(B282="","",IFERROR(INDEX(顧客一覧!$K$5:$K$304,MATCH(B282,顧客一覧!$B$5:$B$304,0))&amp;"",""))</f>
        <v/>
      </c>
      <c r="E282" s="17"/>
      <c r="F282" s="17"/>
      <c r="G282" s="29"/>
      <c r="H282" s="17"/>
      <c r="I282" s="29"/>
      <c r="J282" s="26" t="str">
        <f aca="false">IF(OR(G282="",I282=""),"",G282-I282)</f>
        <v/>
      </c>
      <c r="K282" s="26" t="str">
        <f aca="false">IF(J282="","",J282*12)</f>
        <v/>
      </c>
      <c r="L282" s="29"/>
      <c r="M282" s="27" t="str">
        <f aca="false">IF(OR(L282="",J282=""),"",IF(J282&lt;=0,"回収不可",L282/J282))</f>
        <v/>
      </c>
      <c r="N282" s="22"/>
      <c r="O282" s="17"/>
      <c r="P282" s="22"/>
      <c r="Q282" s="22"/>
      <c r="R282" s="28" t="str">
        <f aca="true">IF(OR(P282="",Q282&lt;&gt;"",O282="キャンセル"),"",P282-TODAY())</f>
        <v/>
      </c>
      <c r="S282" s="29"/>
      <c r="T282" s="22"/>
      <c r="U282" s="17"/>
      <c r="V282" s="22"/>
      <c r="W282" s="19" t="str">
        <f aca="true">IF(B282="","",IF(OR(O282="開通済",Q282&lt;&gt;""),"完了",IF(O282="キャンセル","―",IF(AND(V282&lt;&gt;"",V282&lt;TODAY()),"対応期限超過",IF(AND(P282&lt;&gt;"",P282&lt;TODAY()),"開通予定日超過",IF(AND(V282&lt;&gt;"",V282=TODAY()),"本日対応",IF(AND(P282&lt;&gt;"",P282-TODAY()&lt;=3),"開通間近","")))))))</f>
        <v/>
      </c>
      <c r="X282" s="17"/>
    </row>
    <row r="283" customFormat="false" ht="15" hidden="false" customHeight="false" outlineLevel="0" collapsed="false">
      <c r="A283" s="12" t="str">
        <f aca="false">IF(B283="","",ROW()-4)</f>
        <v/>
      </c>
      <c r="B283" s="17"/>
      <c r="C283" s="19" t="str">
        <f aca="false">IF(B283="","",IFERROR(INDEX(顧客一覧!$C$5:$C$304,MATCH(B283,顧客一覧!$B$5:$B$304,0)),"※ID未登録"))</f>
        <v/>
      </c>
      <c r="D283" s="12" t="str">
        <f aca="false">IF(B283="","",IFERROR(INDEX(顧客一覧!$K$5:$K$304,MATCH(B283,顧客一覧!$B$5:$B$304,0))&amp;"",""))</f>
        <v/>
      </c>
      <c r="E283" s="17"/>
      <c r="F283" s="17"/>
      <c r="G283" s="29"/>
      <c r="H283" s="17"/>
      <c r="I283" s="29"/>
      <c r="J283" s="26" t="str">
        <f aca="false">IF(OR(G283="",I283=""),"",G283-I283)</f>
        <v/>
      </c>
      <c r="K283" s="26" t="str">
        <f aca="false">IF(J283="","",J283*12)</f>
        <v/>
      </c>
      <c r="L283" s="29"/>
      <c r="M283" s="27" t="str">
        <f aca="false">IF(OR(L283="",J283=""),"",IF(J283&lt;=0,"回収不可",L283/J283))</f>
        <v/>
      </c>
      <c r="N283" s="22"/>
      <c r="O283" s="17"/>
      <c r="P283" s="22"/>
      <c r="Q283" s="22"/>
      <c r="R283" s="28" t="str">
        <f aca="true">IF(OR(P283="",Q283&lt;&gt;"",O283="キャンセル"),"",P283-TODAY())</f>
        <v/>
      </c>
      <c r="S283" s="29"/>
      <c r="T283" s="22"/>
      <c r="U283" s="17"/>
      <c r="V283" s="22"/>
      <c r="W283" s="19" t="str">
        <f aca="true">IF(B283="","",IF(OR(O283="開通済",Q283&lt;&gt;""),"完了",IF(O283="キャンセル","―",IF(AND(V283&lt;&gt;"",V283&lt;TODAY()),"対応期限超過",IF(AND(P283&lt;&gt;"",P283&lt;TODAY()),"開通予定日超過",IF(AND(V283&lt;&gt;"",V283=TODAY()),"本日対応",IF(AND(P283&lt;&gt;"",P283-TODAY()&lt;=3),"開通間近","")))))))</f>
        <v/>
      </c>
      <c r="X283" s="17"/>
    </row>
    <row r="284" customFormat="false" ht="15" hidden="false" customHeight="false" outlineLevel="0" collapsed="false">
      <c r="A284" s="12" t="str">
        <f aca="false">IF(B284="","",ROW()-4)</f>
        <v/>
      </c>
      <c r="B284" s="17"/>
      <c r="C284" s="19" t="str">
        <f aca="false">IF(B284="","",IFERROR(INDEX(顧客一覧!$C$5:$C$304,MATCH(B284,顧客一覧!$B$5:$B$304,0)),"※ID未登録"))</f>
        <v/>
      </c>
      <c r="D284" s="12" t="str">
        <f aca="false">IF(B284="","",IFERROR(INDEX(顧客一覧!$K$5:$K$304,MATCH(B284,顧客一覧!$B$5:$B$304,0))&amp;"",""))</f>
        <v/>
      </c>
      <c r="E284" s="17"/>
      <c r="F284" s="17"/>
      <c r="G284" s="29"/>
      <c r="H284" s="17"/>
      <c r="I284" s="29"/>
      <c r="J284" s="26" t="str">
        <f aca="false">IF(OR(G284="",I284=""),"",G284-I284)</f>
        <v/>
      </c>
      <c r="K284" s="26" t="str">
        <f aca="false">IF(J284="","",J284*12)</f>
        <v/>
      </c>
      <c r="L284" s="29"/>
      <c r="M284" s="27" t="str">
        <f aca="false">IF(OR(L284="",J284=""),"",IF(J284&lt;=0,"回収不可",L284/J284))</f>
        <v/>
      </c>
      <c r="N284" s="22"/>
      <c r="O284" s="17"/>
      <c r="P284" s="22"/>
      <c r="Q284" s="22"/>
      <c r="R284" s="28" t="str">
        <f aca="true">IF(OR(P284="",Q284&lt;&gt;"",O284="キャンセル"),"",P284-TODAY())</f>
        <v/>
      </c>
      <c r="S284" s="29"/>
      <c r="T284" s="22"/>
      <c r="U284" s="17"/>
      <c r="V284" s="22"/>
      <c r="W284" s="19" t="str">
        <f aca="true">IF(B284="","",IF(OR(O284="開通済",Q284&lt;&gt;""),"完了",IF(O284="キャンセル","―",IF(AND(V284&lt;&gt;"",V284&lt;TODAY()),"対応期限超過",IF(AND(P284&lt;&gt;"",P284&lt;TODAY()),"開通予定日超過",IF(AND(V284&lt;&gt;"",V284=TODAY()),"本日対応",IF(AND(P284&lt;&gt;"",P284-TODAY()&lt;=3),"開通間近","")))))))</f>
        <v/>
      </c>
      <c r="X284" s="17"/>
    </row>
    <row r="285" customFormat="false" ht="15" hidden="false" customHeight="false" outlineLevel="0" collapsed="false">
      <c r="A285" s="12" t="str">
        <f aca="false">IF(B285="","",ROW()-4)</f>
        <v/>
      </c>
      <c r="B285" s="17"/>
      <c r="C285" s="19" t="str">
        <f aca="false">IF(B285="","",IFERROR(INDEX(顧客一覧!$C$5:$C$304,MATCH(B285,顧客一覧!$B$5:$B$304,0)),"※ID未登録"))</f>
        <v/>
      </c>
      <c r="D285" s="12" t="str">
        <f aca="false">IF(B285="","",IFERROR(INDEX(顧客一覧!$K$5:$K$304,MATCH(B285,顧客一覧!$B$5:$B$304,0))&amp;"",""))</f>
        <v/>
      </c>
      <c r="E285" s="17"/>
      <c r="F285" s="17"/>
      <c r="G285" s="29"/>
      <c r="H285" s="17"/>
      <c r="I285" s="29"/>
      <c r="J285" s="26" t="str">
        <f aca="false">IF(OR(G285="",I285=""),"",G285-I285)</f>
        <v/>
      </c>
      <c r="K285" s="26" t="str">
        <f aca="false">IF(J285="","",J285*12)</f>
        <v/>
      </c>
      <c r="L285" s="29"/>
      <c r="M285" s="27" t="str">
        <f aca="false">IF(OR(L285="",J285=""),"",IF(J285&lt;=0,"回収不可",L285/J285))</f>
        <v/>
      </c>
      <c r="N285" s="22"/>
      <c r="O285" s="17"/>
      <c r="P285" s="22"/>
      <c r="Q285" s="22"/>
      <c r="R285" s="28" t="str">
        <f aca="true">IF(OR(P285="",Q285&lt;&gt;"",O285="キャンセル"),"",P285-TODAY())</f>
        <v/>
      </c>
      <c r="S285" s="29"/>
      <c r="T285" s="22"/>
      <c r="U285" s="17"/>
      <c r="V285" s="22"/>
      <c r="W285" s="19" t="str">
        <f aca="true">IF(B285="","",IF(OR(O285="開通済",Q285&lt;&gt;""),"完了",IF(O285="キャンセル","―",IF(AND(V285&lt;&gt;"",V285&lt;TODAY()),"対応期限超過",IF(AND(P285&lt;&gt;"",P285&lt;TODAY()),"開通予定日超過",IF(AND(V285&lt;&gt;"",V285=TODAY()),"本日対応",IF(AND(P285&lt;&gt;"",P285-TODAY()&lt;=3),"開通間近","")))))))</f>
        <v/>
      </c>
      <c r="X285" s="17"/>
    </row>
    <row r="286" customFormat="false" ht="15" hidden="false" customHeight="false" outlineLevel="0" collapsed="false">
      <c r="A286" s="12" t="str">
        <f aca="false">IF(B286="","",ROW()-4)</f>
        <v/>
      </c>
      <c r="B286" s="17"/>
      <c r="C286" s="19" t="str">
        <f aca="false">IF(B286="","",IFERROR(INDEX(顧客一覧!$C$5:$C$304,MATCH(B286,顧客一覧!$B$5:$B$304,0)),"※ID未登録"))</f>
        <v/>
      </c>
      <c r="D286" s="12" t="str">
        <f aca="false">IF(B286="","",IFERROR(INDEX(顧客一覧!$K$5:$K$304,MATCH(B286,顧客一覧!$B$5:$B$304,0))&amp;"",""))</f>
        <v/>
      </c>
      <c r="E286" s="17"/>
      <c r="F286" s="17"/>
      <c r="G286" s="29"/>
      <c r="H286" s="17"/>
      <c r="I286" s="29"/>
      <c r="J286" s="26" t="str">
        <f aca="false">IF(OR(G286="",I286=""),"",G286-I286)</f>
        <v/>
      </c>
      <c r="K286" s="26" t="str">
        <f aca="false">IF(J286="","",J286*12)</f>
        <v/>
      </c>
      <c r="L286" s="29"/>
      <c r="M286" s="27" t="str">
        <f aca="false">IF(OR(L286="",J286=""),"",IF(J286&lt;=0,"回収不可",L286/J286))</f>
        <v/>
      </c>
      <c r="N286" s="22"/>
      <c r="O286" s="17"/>
      <c r="P286" s="22"/>
      <c r="Q286" s="22"/>
      <c r="R286" s="28" t="str">
        <f aca="true">IF(OR(P286="",Q286&lt;&gt;"",O286="キャンセル"),"",P286-TODAY())</f>
        <v/>
      </c>
      <c r="S286" s="29"/>
      <c r="T286" s="22"/>
      <c r="U286" s="17"/>
      <c r="V286" s="22"/>
      <c r="W286" s="19" t="str">
        <f aca="true">IF(B286="","",IF(OR(O286="開通済",Q286&lt;&gt;""),"完了",IF(O286="キャンセル","―",IF(AND(V286&lt;&gt;"",V286&lt;TODAY()),"対応期限超過",IF(AND(P286&lt;&gt;"",P286&lt;TODAY()),"開通予定日超過",IF(AND(V286&lt;&gt;"",V286=TODAY()),"本日対応",IF(AND(P286&lt;&gt;"",P286-TODAY()&lt;=3),"開通間近","")))))))</f>
        <v/>
      </c>
      <c r="X286" s="17"/>
    </row>
    <row r="287" customFormat="false" ht="15" hidden="false" customHeight="false" outlineLevel="0" collapsed="false">
      <c r="A287" s="12" t="str">
        <f aca="false">IF(B287="","",ROW()-4)</f>
        <v/>
      </c>
      <c r="B287" s="17"/>
      <c r="C287" s="19" t="str">
        <f aca="false">IF(B287="","",IFERROR(INDEX(顧客一覧!$C$5:$C$304,MATCH(B287,顧客一覧!$B$5:$B$304,0)),"※ID未登録"))</f>
        <v/>
      </c>
      <c r="D287" s="12" t="str">
        <f aca="false">IF(B287="","",IFERROR(INDEX(顧客一覧!$K$5:$K$304,MATCH(B287,顧客一覧!$B$5:$B$304,0))&amp;"",""))</f>
        <v/>
      </c>
      <c r="E287" s="17"/>
      <c r="F287" s="17"/>
      <c r="G287" s="29"/>
      <c r="H287" s="17"/>
      <c r="I287" s="29"/>
      <c r="J287" s="26" t="str">
        <f aca="false">IF(OR(G287="",I287=""),"",G287-I287)</f>
        <v/>
      </c>
      <c r="K287" s="26" t="str">
        <f aca="false">IF(J287="","",J287*12)</f>
        <v/>
      </c>
      <c r="L287" s="29"/>
      <c r="M287" s="27" t="str">
        <f aca="false">IF(OR(L287="",J287=""),"",IF(J287&lt;=0,"回収不可",L287/J287))</f>
        <v/>
      </c>
      <c r="N287" s="22"/>
      <c r="O287" s="17"/>
      <c r="P287" s="22"/>
      <c r="Q287" s="22"/>
      <c r="R287" s="28" t="str">
        <f aca="true">IF(OR(P287="",Q287&lt;&gt;"",O287="キャンセル"),"",P287-TODAY())</f>
        <v/>
      </c>
      <c r="S287" s="29"/>
      <c r="T287" s="22"/>
      <c r="U287" s="17"/>
      <c r="V287" s="22"/>
      <c r="W287" s="19" t="str">
        <f aca="true">IF(B287="","",IF(OR(O287="開通済",Q287&lt;&gt;""),"完了",IF(O287="キャンセル","―",IF(AND(V287&lt;&gt;"",V287&lt;TODAY()),"対応期限超過",IF(AND(P287&lt;&gt;"",P287&lt;TODAY()),"開通予定日超過",IF(AND(V287&lt;&gt;"",V287=TODAY()),"本日対応",IF(AND(P287&lt;&gt;"",P287-TODAY()&lt;=3),"開通間近","")))))))</f>
        <v/>
      </c>
      <c r="X287" s="17"/>
    </row>
    <row r="288" customFormat="false" ht="15" hidden="false" customHeight="false" outlineLevel="0" collapsed="false">
      <c r="A288" s="12" t="str">
        <f aca="false">IF(B288="","",ROW()-4)</f>
        <v/>
      </c>
      <c r="B288" s="17"/>
      <c r="C288" s="19" t="str">
        <f aca="false">IF(B288="","",IFERROR(INDEX(顧客一覧!$C$5:$C$304,MATCH(B288,顧客一覧!$B$5:$B$304,0)),"※ID未登録"))</f>
        <v/>
      </c>
      <c r="D288" s="12" t="str">
        <f aca="false">IF(B288="","",IFERROR(INDEX(顧客一覧!$K$5:$K$304,MATCH(B288,顧客一覧!$B$5:$B$304,0))&amp;"",""))</f>
        <v/>
      </c>
      <c r="E288" s="17"/>
      <c r="F288" s="17"/>
      <c r="G288" s="29"/>
      <c r="H288" s="17"/>
      <c r="I288" s="29"/>
      <c r="J288" s="26" t="str">
        <f aca="false">IF(OR(G288="",I288=""),"",G288-I288)</f>
        <v/>
      </c>
      <c r="K288" s="26" t="str">
        <f aca="false">IF(J288="","",J288*12)</f>
        <v/>
      </c>
      <c r="L288" s="29"/>
      <c r="M288" s="27" t="str">
        <f aca="false">IF(OR(L288="",J288=""),"",IF(J288&lt;=0,"回収不可",L288/J288))</f>
        <v/>
      </c>
      <c r="N288" s="22"/>
      <c r="O288" s="17"/>
      <c r="P288" s="22"/>
      <c r="Q288" s="22"/>
      <c r="R288" s="28" t="str">
        <f aca="true">IF(OR(P288="",Q288&lt;&gt;"",O288="キャンセル"),"",P288-TODAY())</f>
        <v/>
      </c>
      <c r="S288" s="29"/>
      <c r="T288" s="22"/>
      <c r="U288" s="17"/>
      <c r="V288" s="22"/>
      <c r="W288" s="19" t="str">
        <f aca="true">IF(B288="","",IF(OR(O288="開通済",Q288&lt;&gt;""),"完了",IF(O288="キャンセル","―",IF(AND(V288&lt;&gt;"",V288&lt;TODAY()),"対応期限超過",IF(AND(P288&lt;&gt;"",P288&lt;TODAY()),"開通予定日超過",IF(AND(V288&lt;&gt;"",V288=TODAY()),"本日対応",IF(AND(P288&lt;&gt;"",P288-TODAY()&lt;=3),"開通間近","")))))))</f>
        <v/>
      </c>
      <c r="X288" s="17"/>
    </row>
    <row r="289" customFormat="false" ht="15" hidden="false" customHeight="false" outlineLevel="0" collapsed="false">
      <c r="A289" s="12" t="str">
        <f aca="false">IF(B289="","",ROW()-4)</f>
        <v/>
      </c>
      <c r="B289" s="17"/>
      <c r="C289" s="19" t="str">
        <f aca="false">IF(B289="","",IFERROR(INDEX(顧客一覧!$C$5:$C$304,MATCH(B289,顧客一覧!$B$5:$B$304,0)),"※ID未登録"))</f>
        <v/>
      </c>
      <c r="D289" s="12" t="str">
        <f aca="false">IF(B289="","",IFERROR(INDEX(顧客一覧!$K$5:$K$304,MATCH(B289,顧客一覧!$B$5:$B$304,0))&amp;"",""))</f>
        <v/>
      </c>
      <c r="E289" s="17"/>
      <c r="F289" s="17"/>
      <c r="G289" s="29"/>
      <c r="H289" s="17"/>
      <c r="I289" s="29"/>
      <c r="J289" s="26" t="str">
        <f aca="false">IF(OR(G289="",I289=""),"",G289-I289)</f>
        <v/>
      </c>
      <c r="K289" s="26" t="str">
        <f aca="false">IF(J289="","",J289*12)</f>
        <v/>
      </c>
      <c r="L289" s="29"/>
      <c r="M289" s="27" t="str">
        <f aca="false">IF(OR(L289="",J289=""),"",IF(J289&lt;=0,"回収不可",L289/J289))</f>
        <v/>
      </c>
      <c r="N289" s="22"/>
      <c r="O289" s="17"/>
      <c r="P289" s="22"/>
      <c r="Q289" s="22"/>
      <c r="R289" s="28" t="str">
        <f aca="true">IF(OR(P289="",Q289&lt;&gt;"",O289="キャンセル"),"",P289-TODAY())</f>
        <v/>
      </c>
      <c r="S289" s="29"/>
      <c r="T289" s="22"/>
      <c r="U289" s="17"/>
      <c r="V289" s="22"/>
      <c r="W289" s="19" t="str">
        <f aca="true">IF(B289="","",IF(OR(O289="開通済",Q289&lt;&gt;""),"完了",IF(O289="キャンセル","―",IF(AND(V289&lt;&gt;"",V289&lt;TODAY()),"対応期限超過",IF(AND(P289&lt;&gt;"",P289&lt;TODAY()),"開通予定日超過",IF(AND(V289&lt;&gt;"",V289=TODAY()),"本日対応",IF(AND(P289&lt;&gt;"",P289-TODAY()&lt;=3),"開通間近","")))))))</f>
        <v/>
      </c>
      <c r="X289" s="17"/>
    </row>
    <row r="290" customFormat="false" ht="15" hidden="false" customHeight="false" outlineLevel="0" collapsed="false">
      <c r="A290" s="12" t="str">
        <f aca="false">IF(B290="","",ROW()-4)</f>
        <v/>
      </c>
      <c r="B290" s="17"/>
      <c r="C290" s="19" t="str">
        <f aca="false">IF(B290="","",IFERROR(INDEX(顧客一覧!$C$5:$C$304,MATCH(B290,顧客一覧!$B$5:$B$304,0)),"※ID未登録"))</f>
        <v/>
      </c>
      <c r="D290" s="12" t="str">
        <f aca="false">IF(B290="","",IFERROR(INDEX(顧客一覧!$K$5:$K$304,MATCH(B290,顧客一覧!$B$5:$B$304,0))&amp;"",""))</f>
        <v/>
      </c>
      <c r="E290" s="17"/>
      <c r="F290" s="17"/>
      <c r="G290" s="29"/>
      <c r="H290" s="17"/>
      <c r="I290" s="29"/>
      <c r="J290" s="26" t="str">
        <f aca="false">IF(OR(G290="",I290=""),"",G290-I290)</f>
        <v/>
      </c>
      <c r="K290" s="26" t="str">
        <f aca="false">IF(J290="","",J290*12)</f>
        <v/>
      </c>
      <c r="L290" s="29"/>
      <c r="M290" s="27" t="str">
        <f aca="false">IF(OR(L290="",J290=""),"",IF(J290&lt;=0,"回収不可",L290/J290))</f>
        <v/>
      </c>
      <c r="N290" s="22"/>
      <c r="O290" s="17"/>
      <c r="P290" s="22"/>
      <c r="Q290" s="22"/>
      <c r="R290" s="28" t="str">
        <f aca="true">IF(OR(P290="",Q290&lt;&gt;"",O290="キャンセル"),"",P290-TODAY())</f>
        <v/>
      </c>
      <c r="S290" s="29"/>
      <c r="T290" s="22"/>
      <c r="U290" s="17"/>
      <c r="V290" s="22"/>
      <c r="W290" s="19" t="str">
        <f aca="true">IF(B290="","",IF(OR(O290="開通済",Q290&lt;&gt;""),"完了",IF(O290="キャンセル","―",IF(AND(V290&lt;&gt;"",V290&lt;TODAY()),"対応期限超過",IF(AND(P290&lt;&gt;"",P290&lt;TODAY()),"開通予定日超過",IF(AND(V290&lt;&gt;"",V290=TODAY()),"本日対応",IF(AND(P290&lt;&gt;"",P290-TODAY()&lt;=3),"開通間近","")))))))</f>
        <v/>
      </c>
      <c r="X290" s="17"/>
    </row>
    <row r="291" customFormat="false" ht="15" hidden="false" customHeight="false" outlineLevel="0" collapsed="false">
      <c r="A291" s="12" t="str">
        <f aca="false">IF(B291="","",ROW()-4)</f>
        <v/>
      </c>
      <c r="B291" s="17"/>
      <c r="C291" s="19" t="str">
        <f aca="false">IF(B291="","",IFERROR(INDEX(顧客一覧!$C$5:$C$304,MATCH(B291,顧客一覧!$B$5:$B$304,0)),"※ID未登録"))</f>
        <v/>
      </c>
      <c r="D291" s="12" t="str">
        <f aca="false">IF(B291="","",IFERROR(INDEX(顧客一覧!$K$5:$K$304,MATCH(B291,顧客一覧!$B$5:$B$304,0))&amp;"",""))</f>
        <v/>
      </c>
      <c r="E291" s="17"/>
      <c r="F291" s="17"/>
      <c r="G291" s="29"/>
      <c r="H291" s="17"/>
      <c r="I291" s="29"/>
      <c r="J291" s="26" t="str">
        <f aca="false">IF(OR(G291="",I291=""),"",G291-I291)</f>
        <v/>
      </c>
      <c r="K291" s="26" t="str">
        <f aca="false">IF(J291="","",J291*12)</f>
        <v/>
      </c>
      <c r="L291" s="29"/>
      <c r="M291" s="27" t="str">
        <f aca="false">IF(OR(L291="",J291=""),"",IF(J291&lt;=0,"回収不可",L291/J291))</f>
        <v/>
      </c>
      <c r="N291" s="22"/>
      <c r="O291" s="17"/>
      <c r="P291" s="22"/>
      <c r="Q291" s="22"/>
      <c r="R291" s="28" t="str">
        <f aca="true">IF(OR(P291="",Q291&lt;&gt;"",O291="キャンセル"),"",P291-TODAY())</f>
        <v/>
      </c>
      <c r="S291" s="29"/>
      <c r="T291" s="22"/>
      <c r="U291" s="17"/>
      <c r="V291" s="22"/>
      <c r="W291" s="19" t="str">
        <f aca="true">IF(B291="","",IF(OR(O291="開通済",Q291&lt;&gt;""),"完了",IF(O291="キャンセル","―",IF(AND(V291&lt;&gt;"",V291&lt;TODAY()),"対応期限超過",IF(AND(P291&lt;&gt;"",P291&lt;TODAY()),"開通予定日超過",IF(AND(V291&lt;&gt;"",V291=TODAY()),"本日対応",IF(AND(P291&lt;&gt;"",P291-TODAY()&lt;=3),"開通間近","")))))))</f>
        <v/>
      </c>
      <c r="X291" s="17"/>
    </row>
    <row r="292" customFormat="false" ht="15" hidden="false" customHeight="false" outlineLevel="0" collapsed="false">
      <c r="A292" s="12" t="str">
        <f aca="false">IF(B292="","",ROW()-4)</f>
        <v/>
      </c>
      <c r="B292" s="17"/>
      <c r="C292" s="19" t="str">
        <f aca="false">IF(B292="","",IFERROR(INDEX(顧客一覧!$C$5:$C$304,MATCH(B292,顧客一覧!$B$5:$B$304,0)),"※ID未登録"))</f>
        <v/>
      </c>
      <c r="D292" s="12" t="str">
        <f aca="false">IF(B292="","",IFERROR(INDEX(顧客一覧!$K$5:$K$304,MATCH(B292,顧客一覧!$B$5:$B$304,0))&amp;"",""))</f>
        <v/>
      </c>
      <c r="E292" s="17"/>
      <c r="F292" s="17"/>
      <c r="G292" s="29"/>
      <c r="H292" s="17"/>
      <c r="I292" s="29"/>
      <c r="J292" s="26" t="str">
        <f aca="false">IF(OR(G292="",I292=""),"",G292-I292)</f>
        <v/>
      </c>
      <c r="K292" s="26" t="str">
        <f aca="false">IF(J292="","",J292*12)</f>
        <v/>
      </c>
      <c r="L292" s="29"/>
      <c r="M292" s="27" t="str">
        <f aca="false">IF(OR(L292="",J292=""),"",IF(J292&lt;=0,"回収不可",L292/J292))</f>
        <v/>
      </c>
      <c r="N292" s="22"/>
      <c r="O292" s="17"/>
      <c r="P292" s="22"/>
      <c r="Q292" s="22"/>
      <c r="R292" s="28" t="str">
        <f aca="true">IF(OR(P292="",Q292&lt;&gt;"",O292="キャンセル"),"",P292-TODAY())</f>
        <v/>
      </c>
      <c r="S292" s="29"/>
      <c r="T292" s="22"/>
      <c r="U292" s="17"/>
      <c r="V292" s="22"/>
      <c r="W292" s="19" t="str">
        <f aca="true">IF(B292="","",IF(OR(O292="開通済",Q292&lt;&gt;""),"完了",IF(O292="キャンセル","―",IF(AND(V292&lt;&gt;"",V292&lt;TODAY()),"対応期限超過",IF(AND(P292&lt;&gt;"",P292&lt;TODAY()),"開通予定日超過",IF(AND(V292&lt;&gt;"",V292=TODAY()),"本日対応",IF(AND(P292&lt;&gt;"",P292-TODAY()&lt;=3),"開通間近","")))))))</f>
        <v/>
      </c>
      <c r="X292" s="17"/>
    </row>
    <row r="293" customFormat="false" ht="15" hidden="false" customHeight="false" outlineLevel="0" collapsed="false">
      <c r="A293" s="12" t="str">
        <f aca="false">IF(B293="","",ROW()-4)</f>
        <v/>
      </c>
      <c r="B293" s="17"/>
      <c r="C293" s="19" t="str">
        <f aca="false">IF(B293="","",IFERROR(INDEX(顧客一覧!$C$5:$C$304,MATCH(B293,顧客一覧!$B$5:$B$304,0)),"※ID未登録"))</f>
        <v/>
      </c>
      <c r="D293" s="12" t="str">
        <f aca="false">IF(B293="","",IFERROR(INDEX(顧客一覧!$K$5:$K$304,MATCH(B293,顧客一覧!$B$5:$B$304,0))&amp;"",""))</f>
        <v/>
      </c>
      <c r="E293" s="17"/>
      <c r="F293" s="17"/>
      <c r="G293" s="29"/>
      <c r="H293" s="17"/>
      <c r="I293" s="29"/>
      <c r="J293" s="26" t="str">
        <f aca="false">IF(OR(G293="",I293=""),"",G293-I293)</f>
        <v/>
      </c>
      <c r="K293" s="26" t="str">
        <f aca="false">IF(J293="","",J293*12)</f>
        <v/>
      </c>
      <c r="L293" s="29"/>
      <c r="M293" s="27" t="str">
        <f aca="false">IF(OR(L293="",J293=""),"",IF(J293&lt;=0,"回収不可",L293/J293))</f>
        <v/>
      </c>
      <c r="N293" s="22"/>
      <c r="O293" s="17"/>
      <c r="P293" s="22"/>
      <c r="Q293" s="22"/>
      <c r="R293" s="28" t="str">
        <f aca="true">IF(OR(P293="",Q293&lt;&gt;"",O293="キャンセル"),"",P293-TODAY())</f>
        <v/>
      </c>
      <c r="S293" s="29"/>
      <c r="T293" s="22"/>
      <c r="U293" s="17"/>
      <c r="V293" s="22"/>
      <c r="W293" s="19" t="str">
        <f aca="true">IF(B293="","",IF(OR(O293="開通済",Q293&lt;&gt;""),"完了",IF(O293="キャンセル","―",IF(AND(V293&lt;&gt;"",V293&lt;TODAY()),"対応期限超過",IF(AND(P293&lt;&gt;"",P293&lt;TODAY()),"開通予定日超過",IF(AND(V293&lt;&gt;"",V293=TODAY()),"本日対応",IF(AND(P293&lt;&gt;"",P293-TODAY()&lt;=3),"開通間近","")))))))</f>
        <v/>
      </c>
      <c r="X293" s="17"/>
    </row>
    <row r="294" customFormat="false" ht="15" hidden="false" customHeight="false" outlineLevel="0" collapsed="false">
      <c r="A294" s="12" t="str">
        <f aca="false">IF(B294="","",ROW()-4)</f>
        <v/>
      </c>
      <c r="B294" s="17"/>
      <c r="C294" s="19" t="str">
        <f aca="false">IF(B294="","",IFERROR(INDEX(顧客一覧!$C$5:$C$304,MATCH(B294,顧客一覧!$B$5:$B$304,0)),"※ID未登録"))</f>
        <v/>
      </c>
      <c r="D294" s="12" t="str">
        <f aca="false">IF(B294="","",IFERROR(INDEX(顧客一覧!$K$5:$K$304,MATCH(B294,顧客一覧!$B$5:$B$304,0))&amp;"",""))</f>
        <v/>
      </c>
      <c r="E294" s="17"/>
      <c r="F294" s="17"/>
      <c r="G294" s="29"/>
      <c r="H294" s="17"/>
      <c r="I294" s="29"/>
      <c r="J294" s="26" t="str">
        <f aca="false">IF(OR(G294="",I294=""),"",G294-I294)</f>
        <v/>
      </c>
      <c r="K294" s="26" t="str">
        <f aca="false">IF(J294="","",J294*12)</f>
        <v/>
      </c>
      <c r="L294" s="29"/>
      <c r="M294" s="27" t="str">
        <f aca="false">IF(OR(L294="",J294=""),"",IF(J294&lt;=0,"回収不可",L294/J294))</f>
        <v/>
      </c>
      <c r="N294" s="22"/>
      <c r="O294" s="17"/>
      <c r="P294" s="22"/>
      <c r="Q294" s="22"/>
      <c r="R294" s="28" t="str">
        <f aca="true">IF(OR(P294="",Q294&lt;&gt;"",O294="キャンセル"),"",P294-TODAY())</f>
        <v/>
      </c>
      <c r="S294" s="29"/>
      <c r="T294" s="22"/>
      <c r="U294" s="17"/>
      <c r="V294" s="22"/>
      <c r="W294" s="19" t="str">
        <f aca="true">IF(B294="","",IF(OR(O294="開通済",Q294&lt;&gt;""),"完了",IF(O294="キャンセル","―",IF(AND(V294&lt;&gt;"",V294&lt;TODAY()),"対応期限超過",IF(AND(P294&lt;&gt;"",P294&lt;TODAY()),"開通予定日超過",IF(AND(V294&lt;&gt;"",V294=TODAY()),"本日対応",IF(AND(P294&lt;&gt;"",P294-TODAY()&lt;=3),"開通間近","")))))))</f>
        <v/>
      </c>
      <c r="X294" s="17"/>
    </row>
    <row r="295" customFormat="false" ht="15" hidden="false" customHeight="false" outlineLevel="0" collapsed="false">
      <c r="A295" s="12" t="str">
        <f aca="false">IF(B295="","",ROW()-4)</f>
        <v/>
      </c>
      <c r="B295" s="17"/>
      <c r="C295" s="19" t="str">
        <f aca="false">IF(B295="","",IFERROR(INDEX(顧客一覧!$C$5:$C$304,MATCH(B295,顧客一覧!$B$5:$B$304,0)),"※ID未登録"))</f>
        <v/>
      </c>
      <c r="D295" s="12" t="str">
        <f aca="false">IF(B295="","",IFERROR(INDEX(顧客一覧!$K$5:$K$304,MATCH(B295,顧客一覧!$B$5:$B$304,0))&amp;"",""))</f>
        <v/>
      </c>
      <c r="E295" s="17"/>
      <c r="F295" s="17"/>
      <c r="G295" s="29"/>
      <c r="H295" s="17"/>
      <c r="I295" s="29"/>
      <c r="J295" s="26" t="str">
        <f aca="false">IF(OR(G295="",I295=""),"",G295-I295)</f>
        <v/>
      </c>
      <c r="K295" s="26" t="str">
        <f aca="false">IF(J295="","",J295*12)</f>
        <v/>
      </c>
      <c r="L295" s="29"/>
      <c r="M295" s="27" t="str">
        <f aca="false">IF(OR(L295="",J295=""),"",IF(J295&lt;=0,"回収不可",L295/J295))</f>
        <v/>
      </c>
      <c r="N295" s="22"/>
      <c r="O295" s="17"/>
      <c r="P295" s="22"/>
      <c r="Q295" s="22"/>
      <c r="R295" s="28" t="str">
        <f aca="true">IF(OR(P295="",Q295&lt;&gt;"",O295="キャンセル"),"",P295-TODAY())</f>
        <v/>
      </c>
      <c r="S295" s="29"/>
      <c r="T295" s="22"/>
      <c r="U295" s="17"/>
      <c r="V295" s="22"/>
      <c r="W295" s="19" t="str">
        <f aca="true">IF(B295="","",IF(OR(O295="開通済",Q295&lt;&gt;""),"完了",IF(O295="キャンセル","―",IF(AND(V295&lt;&gt;"",V295&lt;TODAY()),"対応期限超過",IF(AND(P295&lt;&gt;"",P295&lt;TODAY()),"開通予定日超過",IF(AND(V295&lt;&gt;"",V295=TODAY()),"本日対応",IF(AND(P295&lt;&gt;"",P295-TODAY()&lt;=3),"開通間近","")))))))</f>
        <v/>
      </c>
      <c r="X295" s="17"/>
    </row>
    <row r="296" customFormat="false" ht="15" hidden="false" customHeight="false" outlineLevel="0" collapsed="false">
      <c r="A296" s="12" t="str">
        <f aca="false">IF(B296="","",ROW()-4)</f>
        <v/>
      </c>
      <c r="B296" s="17"/>
      <c r="C296" s="19" t="str">
        <f aca="false">IF(B296="","",IFERROR(INDEX(顧客一覧!$C$5:$C$304,MATCH(B296,顧客一覧!$B$5:$B$304,0)),"※ID未登録"))</f>
        <v/>
      </c>
      <c r="D296" s="12" t="str">
        <f aca="false">IF(B296="","",IFERROR(INDEX(顧客一覧!$K$5:$K$304,MATCH(B296,顧客一覧!$B$5:$B$304,0))&amp;"",""))</f>
        <v/>
      </c>
      <c r="E296" s="17"/>
      <c r="F296" s="17"/>
      <c r="G296" s="29"/>
      <c r="H296" s="17"/>
      <c r="I296" s="29"/>
      <c r="J296" s="26" t="str">
        <f aca="false">IF(OR(G296="",I296=""),"",G296-I296)</f>
        <v/>
      </c>
      <c r="K296" s="26" t="str">
        <f aca="false">IF(J296="","",J296*12)</f>
        <v/>
      </c>
      <c r="L296" s="29"/>
      <c r="M296" s="27" t="str">
        <f aca="false">IF(OR(L296="",J296=""),"",IF(J296&lt;=0,"回収不可",L296/J296))</f>
        <v/>
      </c>
      <c r="N296" s="22"/>
      <c r="O296" s="17"/>
      <c r="P296" s="22"/>
      <c r="Q296" s="22"/>
      <c r="R296" s="28" t="str">
        <f aca="true">IF(OR(P296="",Q296&lt;&gt;"",O296="キャンセル"),"",P296-TODAY())</f>
        <v/>
      </c>
      <c r="S296" s="29"/>
      <c r="T296" s="22"/>
      <c r="U296" s="17"/>
      <c r="V296" s="22"/>
      <c r="W296" s="19" t="str">
        <f aca="true">IF(B296="","",IF(OR(O296="開通済",Q296&lt;&gt;""),"完了",IF(O296="キャンセル","―",IF(AND(V296&lt;&gt;"",V296&lt;TODAY()),"対応期限超過",IF(AND(P296&lt;&gt;"",P296&lt;TODAY()),"開通予定日超過",IF(AND(V296&lt;&gt;"",V296=TODAY()),"本日対応",IF(AND(P296&lt;&gt;"",P296-TODAY()&lt;=3),"開通間近","")))))))</f>
        <v/>
      </c>
      <c r="X296" s="17"/>
    </row>
    <row r="297" customFormat="false" ht="15" hidden="false" customHeight="false" outlineLevel="0" collapsed="false">
      <c r="A297" s="12" t="str">
        <f aca="false">IF(B297="","",ROW()-4)</f>
        <v/>
      </c>
      <c r="B297" s="17"/>
      <c r="C297" s="19" t="str">
        <f aca="false">IF(B297="","",IFERROR(INDEX(顧客一覧!$C$5:$C$304,MATCH(B297,顧客一覧!$B$5:$B$304,0)),"※ID未登録"))</f>
        <v/>
      </c>
      <c r="D297" s="12" t="str">
        <f aca="false">IF(B297="","",IFERROR(INDEX(顧客一覧!$K$5:$K$304,MATCH(B297,顧客一覧!$B$5:$B$304,0))&amp;"",""))</f>
        <v/>
      </c>
      <c r="E297" s="17"/>
      <c r="F297" s="17"/>
      <c r="G297" s="29"/>
      <c r="H297" s="17"/>
      <c r="I297" s="29"/>
      <c r="J297" s="26" t="str">
        <f aca="false">IF(OR(G297="",I297=""),"",G297-I297)</f>
        <v/>
      </c>
      <c r="K297" s="26" t="str">
        <f aca="false">IF(J297="","",J297*12)</f>
        <v/>
      </c>
      <c r="L297" s="29"/>
      <c r="M297" s="27" t="str">
        <f aca="false">IF(OR(L297="",J297=""),"",IF(J297&lt;=0,"回収不可",L297/J297))</f>
        <v/>
      </c>
      <c r="N297" s="22"/>
      <c r="O297" s="17"/>
      <c r="P297" s="22"/>
      <c r="Q297" s="22"/>
      <c r="R297" s="28" t="str">
        <f aca="true">IF(OR(P297="",Q297&lt;&gt;"",O297="キャンセル"),"",P297-TODAY())</f>
        <v/>
      </c>
      <c r="S297" s="29"/>
      <c r="T297" s="22"/>
      <c r="U297" s="17"/>
      <c r="V297" s="22"/>
      <c r="W297" s="19" t="str">
        <f aca="true">IF(B297="","",IF(OR(O297="開通済",Q297&lt;&gt;""),"完了",IF(O297="キャンセル","―",IF(AND(V297&lt;&gt;"",V297&lt;TODAY()),"対応期限超過",IF(AND(P297&lt;&gt;"",P297&lt;TODAY()),"開通予定日超過",IF(AND(V297&lt;&gt;"",V297=TODAY()),"本日対応",IF(AND(P297&lt;&gt;"",P297-TODAY()&lt;=3),"開通間近","")))))))</f>
        <v/>
      </c>
      <c r="X297" s="17"/>
    </row>
    <row r="298" customFormat="false" ht="15" hidden="false" customHeight="false" outlineLevel="0" collapsed="false">
      <c r="A298" s="12" t="str">
        <f aca="false">IF(B298="","",ROW()-4)</f>
        <v/>
      </c>
      <c r="B298" s="17"/>
      <c r="C298" s="19" t="str">
        <f aca="false">IF(B298="","",IFERROR(INDEX(顧客一覧!$C$5:$C$304,MATCH(B298,顧客一覧!$B$5:$B$304,0)),"※ID未登録"))</f>
        <v/>
      </c>
      <c r="D298" s="12" t="str">
        <f aca="false">IF(B298="","",IFERROR(INDEX(顧客一覧!$K$5:$K$304,MATCH(B298,顧客一覧!$B$5:$B$304,0))&amp;"",""))</f>
        <v/>
      </c>
      <c r="E298" s="17"/>
      <c r="F298" s="17"/>
      <c r="G298" s="29"/>
      <c r="H298" s="17"/>
      <c r="I298" s="29"/>
      <c r="J298" s="26" t="str">
        <f aca="false">IF(OR(G298="",I298=""),"",G298-I298)</f>
        <v/>
      </c>
      <c r="K298" s="26" t="str">
        <f aca="false">IF(J298="","",J298*12)</f>
        <v/>
      </c>
      <c r="L298" s="29"/>
      <c r="M298" s="27" t="str">
        <f aca="false">IF(OR(L298="",J298=""),"",IF(J298&lt;=0,"回収不可",L298/J298))</f>
        <v/>
      </c>
      <c r="N298" s="22"/>
      <c r="O298" s="17"/>
      <c r="P298" s="22"/>
      <c r="Q298" s="22"/>
      <c r="R298" s="28" t="str">
        <f aca="true">IF(OR(P298="",Q298&lt;&gt;"",O298="キャンセル"),"",P298-TODAY())</f>
        <v/>
      </c>
      <c r="S298" s="29"/>
      <c r="T298" s="22"/>
      <c r="U298" s="17"/>
      <c r="V298" s="22"/>
      <c r="W298" s="19" t="str">
        <f aca="true">IF(B298="","",IF(OR(O298="開通済",Q298&lt;&gt;""),"完了",IF(O298="キャンセル","―",IF(AND(V298&lt;&gt;"",V298&lt;TODAY()),"対応期限超過",IF(AND(P298&lt;&gt;"",P298&lt;TODAY()),"開通予定日超過",IF(AND(V298&lt;&gt;"",V298=TODAY()),"本日対応",IF(AND(P298&lt;&gt;"",P298-TODAY()&lt;=3),"開通間近","")))))))</f>
        <v/>
      </c>
      <c r="X298" s="17"/>
    </row>
    <row r="299" customFormat="false" ht="15" hidden="false" customHeight="false" outlineLevel="0" collapsed="false">
      <c r="A299" s="12" t="str">
        <f aca="false">IF(B299="","",ROW()-4)</f>
        <v/>
      </c>
      <c r="B299" s="17"/>
      <c r="C299" s="19" t="str">
        <f aca="false">IF(B299="","",IFERROR(INDEX(顧客一覧!$C$5:$C$304,MATCH(B299,顧客一覧!$B$5:$B$304,0)),"※ID未登録"))</f>
        <v/>
      </c>
      <c r="D299" s="12" t="str">
        <f aca="false">IF(B299="","",IFERROR(INDEX(顧客一覧!$K$5:$K$304,MATCH(B299,顧客一覧!$B$5:$B$304,0))&amp;"",""))</f>
        <v/>
      </c>
      <c r="E299" s="17"/>
      <c r="F299" s="17"/>
      <c r="G299" s="29"/>
      <c r="H299" s="17"/>
      <c r="I299" s="29"/>
      <c r="J299" s="26" t="str">
        <f aca="false">IF(OR(G299="",I299=""),"",G299-I299)</f>
        <v/>
      </c>
      <c r="K299" s="26" t="str">
        <f aca="false">IF(J299="","",J299*12)</f>
        <v/>
      </c>
      <c r="L299" s="29"/>
      <c r="M299" s="27" t="str">
        <f aca="false">IF(OR(L299="",J299=""),"",IF(J299&lt;=0,"回収不可",L299/J299))</f>
        <v/>
      </c>
      <c r="N299" s="22"/>
      <c r="O299" s="17"/>
      <c r="P299" s="22"/>
      <c r="Q299" s="22"/>
      <c r="R299" s="28" t="str">
        <f aca="true">IF(OR(P299="",Q299&lt;&gt;"",O299="キャンセル"),"",P299-TODAY())</f>
        <v/>
      </c>
      <c r="S299" s="29"/>
      <c r="T299" s="22"/>
      <c r="U299" s="17"/>
      <c r="V299" s="22"/>
      <c r="W299" s="19" t="str">
        <f aca="true">IF(B299="","",IF(OR(O299="開通済",Q299&lt;&gt;""),"完了",IF(O299="キャンセル","―",IF(AND(V299&lt;&gt;"",V299&lt;TODAY()),"対応期限超過",IF(AND(P299&lt;&gt;"",P299&lt;TODAY()),"開通予定日超過",IF(AND(V299&lt;&gt;"",V299=TODAY()),"本日対応",IF(AND(P299&lt;&gt;"",P299-TODAY()&lt;=3),"開通間近","")))))))</f>
        <v/>
      </c>
      <c r="X299" s="17"/>
    </row>
    <row r="300" customFormat="false" ht="15" hidden="false" customHeight="false" outlineLevel="0" collapsed="false">
      <c r="A300" s="12" t="str">
        <f aca="false">IF(B300="","",ROW()-4)</f>
        <v/>
      </c>
      <c r="B300" s="17"/>
      <c r="C300" s="19" t="str">
        <f aca="false">IF(B300="","",IFERROR(INDEX(顧客一覧!$C$5:$C$304,MATCH(B300,顧客一覧!$B$5:$B$304,0)),"※ID未登録"))</f>
        <v/>
      </c>
      <c r="D300" s="12" t="str">
        <f aca="false">IF(B300="","",IFERROR(INDEX(顧客一覧!$K$5:$K$304,MATCH(B300,顧客一覧!$B$5:$B$304,0))&amp;"",""))</f>
        <v/>
      </c>
      <c r="E300" s="17"/>
      <c r="F300" s="17"/>
      <c r="G300" s="29"/>
      <c r="H300" s="17"/>
      <c r="I300" s="29"/>
      <c r="J300" s="26" t="str">
        <f aca="false">IF(OR(G300="",I300=""),"",G300-I300)</f>
        <v/>
      </c>
      <c r="K300" s="26" t="str">
        <f aca="false">IF(J300="","",J300*12)</f>
        <v/>
      </c>
      <c r="L300" s="29"/>
      <c r="M300" s="27" t="str">
        <f aca="false">IF(OR(L300="",J300=""),"",IF(J300&lt;=0,"回収不可",L300/J300))</f>
        <v/>
      </c>
      <c r="N300" s="22"/>
      <c r="O300" s="17"/>
      <c r="P300" s="22"/>
      <c r="Q300" s="22"/>
      <c r="R300" s="28" t="str">
        <f aca="true">IF(OR(P300="",Q300&lt;&gt;"",O300="キャンセル"),"",P300-TODAY())</f>
        <v/>
      </c>
      <c r="S300" s="29"/>
      <c r="T300" s="22"/>
      <c r="U300" s="17"/>
      <c r="V300" s="22"/>
      <c r="W300" s="19" t="str">
        <f aca="true">IF(B300="","",IF(OR(O300="開通済",Q300&lt;&gt;""),"完了",IF(O300="キャンセル","―",IF(AND(V300&lt;&gt;"",V300&lt;TODAY()),"対応期限超過",IF(AND(P300&lt;&gt;"",P300&lt;TODAY()),"開通予定日超過",IF(AND(V300&lt;&gt;"",V300=TODAY()),"本日対応",IF(AND(P300&lt;&gt;"",P300-TODAY()&lt;=3),"開通間近","")))))))</f>
        <v/>
      </c>
      <c r="X300" s="17"/>
    </row>
    <row r="301" customFormat="false" ht="15" hidden="false" customHeight="false" outlineLevel="0" collapsed="false">
      <c r="A301" s="12" t="str">
        <f aca="false">IF(B301="","",ROW()-4)</f>
        <v/>
      </c>
      <c r="B301" s="17"/>
      <c r="C301" s="19" t="str">
        <f aca="false">IF(B301="","",IFERROR(INDEX(顧客一覧!$C$5:$C$304,MATCH(B301,顧客一覧!$B$5:$B$304,0)),"※ID未登録"))</f>
        <v/>
      </c>
      <c r="D301" s="12" t="str">
        <f aca="false">IF(B301="","",IFERROR(INDEX(顧客一覧!$K$5:$K$304,MATCH(B301,顧客一覧!$B$5:$B$304,0))&amp;"",""))</f>
        <v/>
      </c>
      <c r="E301" s="17"/>
      <c r="F301" s="17"/>
      <c r="G301" s="29"/>
      <c r="H301" s="17"/>
      <c r="I301" s="29"/>
      <c r="J301" s="26" t="str">
        <f aca="false">IF(OR(G301="",I301=""),"",G301-I301)</f>
        <v/>
      </c>
      <c r="K301" s="26" t="str">
        <f aca="false">IF(J301="","",J301*12)</f>
        <v/>
      </c>
      <c r="L301" s="29"/>
      <c r="M301" s="27" t="str">
        <f aca="false">IF(OR(L301="",J301=""),"",IF(J301&lt;=0,"回収不可",L301/J301))</f>
        <v/>
      </c>
      <c r="N301" s="22"/>
      <c r="O301" s="17"/>
      <c r="P301" s="22"/>
      <c r="Q301" s="22"/>
      <c r="R301" s="28" t="str">
        <f aca="true">IF(OR(P301="",Q301&lt;&gt;"",O301="キャンセル"),"",P301-TODAY())</f>
        <v/>
      </c>
      <c r="S301" s="29"/>
      <c r="T301" s="22"/>
      <c r="U301" s="17"/>
      <c r="V301" s="22"/>
      <c r="W301" s="19" t="str">
        <f aca="true">IF(B301="","",IF(OR(O301="開通済",Q301&lt;&gt;""),"完了",IF(O301="キャンセル","―",IF(AND(V301&lt;&gt;"",V301&lt;TODAY()),"対応期限超過",IF(AND(P301&lt;&gt;"",P301&lt;TODAY()),"開通予定日超過",IF(AND(V301&lt;&gt;"",V301=TODAY()),"本日対応",IF(AND(P301&lt;&gt;"",P301-TODAY()&lt;=3),"開通間近","")))))))</f>
        <v/>
      </c>
      <c r="X301" s="17"/>
    </row>
    <row r="302" customFormat="false" ht="15" hidden="false" customHeight="false" outlineLevel="0" collapsed="false">
      <c r="A302" s="12" t="str">
        <f aca="false">IF(B302="","",ROW()-4)</f>
        <v/>
      </c>
      <c r="B302" s="17"/>
      <c r="C302" s="19" t="str">
        <f aca="false">IF(B302="","",IFERROR(INDEX(顧客一覧!$C$5:$C$304,MATCH(B302,顧客一覧!$B$5:$B$304,0)),"※ID未登録"))</f>
        <v/>
      </c>
      <c r="D302" s="12" t="str">
        <f aca="false">IF(B302="","",IFERROR(INDEX(顧客一覧!$K$5:$K$304,MATCH(B302,顧客一覧!$B$5:$B$304,0))&amp;"",""))</f>
        <v/>
      </c>
      <c r="E302" s="17"/>
      <c r="F302" s="17"/>
      <c r="G302" s="29"/>
      <c r="H302" s="17"/>
      <c r="I302" s="29"/>
      <c r="J302" s="26" t="str">
        <f aca="false">IF(OR(G302="",I302=""),"",G302-I302)</f>
        <v/>
      </c>
      <c r="K302" s="26" t="str">
        <f aca="false">IF(J302="","",J302*12)</f>
        <v/>
      </c>
      <c r="L302" s="29"/>
      <c r="M302" s="27" t="str">
        <f aca="false">IF(OR(L302="",J302=""),"",IF(J302&lt;=0,"回収不可",L302/J302))</f>
        <v/>
      </c>
      <c r="N302" s="22"/>
      <c r="O302" s="17"/>
      <c r="P302" s="22"/>
      <c r="Q302" s="22"/>
      <c r="R302" s="28" t="str">
        <f aca="true">IF(OR(P302="",Q302&lt;&gt;"",O302="キャンセル"),"",P302-TODAY())</f>
        <v/>
      </c>
      <c r="S302" s="29"/>
      <c r="T302" s="22"/>
      <c r="U302" s="17"/>
      <c r="V302" s="22"/>
      <c r="W302" s="19" t="str">
        <f aca="true">IF(B302="","",IF(OR(O302="開通済",Q302&lt;&gt;""),"完了",IF(O302="キャンセル","―",IF(AND(V302&lt;&gt;"",V302&lt;TODAY()),"対応期限超過",IF(AND(P302&lt;&gt;"",P302&lt;TODAY()),"開通予定日超過",IF(AND(V302&lt;&gt;"",V302=TODAY()),"本日対応",IF(AND(P302&lt;&gt;"",P302-TODAY()&lt;=3),"開通間近","")))))))</f>
        <v/>
      </c>
      <c r="X302" s="17"/>
    </row>
    <row r="303" customFormat="false" ht="15" hidden="false" customHeight="false" outlineLevel="0" collapsed="false">
      <c r="A303" s="12" t="str">
        <f aca="false">IF(B303="","",ROW()-4)</f>
        <v/>
      </c>
      <c r="B303" s="17"/>
      <c r="C303" s="19" t="str">
        <f aca="false">IF(B303="","",IFERROR(INDEX(顧客一覧!$C$5:$C$304,MATCH(B303,顧客一覧!$B$5:$B$304,0)),"※ID未登録"))</f>
        <v/>
      </c>
      <c r="D303" s="12" t="str">
        <f aca="false">IF(B303="","",IFERROR(INDEX(顧客一覧!$K$5:$K$304,MATCH(B303,顧客一覧!$B$5:$B$304,0))&amp;"",""))</f>
        <v/>
      </c>
      <c r="E303" s="17"/>
      <c r="F303" s="17"/>
      <c r="G303" s="29"/>
      <c r="H303" s="17"/>
      <c r="I303" s="29"/>
      <c r="J303" s="26" t="str">
        <f aca="false">IF(OR(G303="",I303=""),"",G303-I303)</f>
        <v/>
      </c>
      <c r="K303" s="26" t="str">
        <f aca="false">IF(J303="","",J303*12)</f>
        <v/>
      </c>
      <c r="L303" s="29"/>
      <c r="M303" s="27" t="str">
        <f aca="false">IF(OR(L303="",J303=""),"",IF(J303&lt;=0,"回収不可",L303/J303))</f>
        <v/>
      </c>
      <c r="N303" s="22"/>
      <c r="O303" s="17"/>
      <c r="P303" s="22"/>
      <c r="Q303" s="22"/>
      <c r="R303" s="28" t="str">
        <f aca="true">IF(OR(P303="",Q303&lt;&gt;"",O303="キャンセル"),"",P303-TODAY())</f>
        <v/>
      </c>
      <c r="S303" s="29"/>
      <c r="T303" s="22"/>
      <c r="U303" s="17"/>
      <c r="V303" s="22"/>
      <c r="W303" s="19" t="str">
        <f aca="true">IF(B303="","",IF(OR(O303="開通済",Q303&lt;&gt;""),"完了",IF(O303="キャンセル","―",IF(AND(V303&lt;&gt;"",V303&lt;TODAY()),"対応期限超過",IF(AND(P303&lt;&gt;"",P303&lt;TODAY()),"開通予定日超過",IF(AND(V303&lt;&gt;"",V303=TODAY()),"本日対応",IF(AND(P303&lt;&gt;"",P303-TODAY()&lt;=3),"開通間近","")))))))</f>
        <v/>
      </c>
      <c r="X303" s="17"/>
    </row>
    <row r="304" customFormat="false" ht="15" hidden="false" customHeight="false" outlineLevel="0" collapsed="false">
      <c r="A304" s="12" t="str">
        <f aca="false">IF(B304="","",ROW()-4)</f>
        <v/>
      </c>
      <c r="B304" s="17"/>
      <c r="C304" s="19" t="str">
        <f aca="false">IF(B304="","",IFERROR(INDEX(顧客一覧!$C$5:$C$304,MATCH(B304,顧客一覧!$B$5:$B$304,0)),"※ID未登録"))</f>
        <v/>
      </c>
      <c r="D304" s="12" t="str">
        <f aca="false">IF(B304="","",IFERROR(INDEX(顧客一覧!$K$5:$K$304,MATCH(B304,顧客一覧!$B$5:$B$304,0))&amp;"",""))</f>
        <v/>
      </c>
      <c r="E304" s="17"/>
      <c r="F304" s="17"/>
      <c r="G304" s="29"/>
      <c r="H304" s="17"/>
      <c r="I304" s="29"/>
      <c r="J304" s="26" t="str">
        <f aca="false">IF(OR(G304="",I304=""),"",G304-I304)</f>
        <v/>
      </c>
      <c r="K304" s="26" t="str">
        <f aca="false">IF(J304="","",J304*12)</f>
        <v/>
      </c>
      <c r="L304" s="29"/>
      <c r="M304" s="27" t="str">
        <f aca="false">IF(OR(L304="",J304=""),"",IF(J304&lt;=0,"回収不可",L304/J304))</f>
        <v/>
      </c>
      <c r="N304" s="22"/>
      <c r="O304" s="17"/>
      <c r="P304" s="22"/>
      <c r="Q304" s="22"/>
      <c r="R304" s="28" t="str">
        <f aca="true">IF(OR(P304="",Q304&lt;&gt;"",O304="キャンセル"),"",P304-TODAY())</f>
        <v/>
      </c>
      <c r="S304" s="29"/>
      <c r="T304" s="22"/>
      <c r="U304" s="17"/>
      <c r="V304" s="22"/>
      <c r="W304" s="19" t="str">
        <f aca="true">IF(B304="","",IF(OR(O304="開通済",Q304&lt;&gt;""),"完了",IF(O304="キャンセル","―",IF(AND(V304&lt;&gt;"",V304&lt;TODAY()),"対応期限超過",IF(AND(P304&lt;&gt;"",P304&lt;TODAY()),"開通予定日超過",IF(AND(V304&lt;&gt;"",V304=TODAY()),"本日対応",IF(AND(P304&lt;&gt;"",P304-TODAY()&lt;=3),"開通間近","")))))))</f>
        <v/>
      </c>
      <c r="X304" s="17"/>
    </row>
    <row r="305" customFormat="false" ht="15" hidden="false" customHeight="false" outlineLevel="0" collapsed="false">
      <c r="A305" s="12" t="str">
        <f aca="false">IF(B305="","",ROW()-4)</f>
        <v/>
      </c>
      <c r="B305" s="17"/>
      <c r="C305" s="19" t="str">
        <f aca="false">IF(B305="","",IFERROR(INDEX(顧客一覧!$C$5:$C$304,MATCH(B305,顧客一覧!$B$5:$B$304,0)),"※ID未登録"))</f>
        <v/>
      </c>
      <c r="D305" s="12" t="str">
        <f aca="false">IF(B305="","",IFERROR(INDEX(顧客一覧!$K$5:$K$304,MATCH(B305,顧客一覧!$B$5:$B$304,0))&amp;"",""))</f>
        <v/>
      </c>
      <c r="E305" s="17"/>
      <c r="F305" s="17"/>
      <c r="G305" s="29"/>
      <c r="H305" s="17"/>
      <c r="I305" s="29"/>
      <c r="J305" s="26" t="str">
        <f aca="false">IF(OR(G305="",I305=""),"",G305-I305)</f>
        <v/>
      </c>
      <c r="K305" s="26" t="str">
        <f aca="false">IF(J305="","",J305*12)</f>
        <v/>
      </c>
      <c r="L305" s="29"/>
      <c r="M305" s="27" t="str">
        <f aca="false">IF(OR(L305="",J305=""),"",IF(J305&lt;=0,"回収不可",L305/J305))</f>
        <v/>
      </c>
      <c r="N305" s="22"/>
      <c r="O305" s="17"/>
      <c r="P305" s="22"/>
      <c r="Q305" s="22"/>
      <c r="R305" s="28" t="str">
        <f aca="true">IF(OR(P305="",Q305&lt;&gt;"",O305="キャンセル"),"",P305-TODAY())</f>
        <v/>
      </c>
      <c r="S305" s="29"/>
      <c r="T305" s="22"/>
      <c r="U305" s="17"/>
      <c r="V305" s="22"/>
      <c r="W305" s="19" t="str">
        <f aca="true">IF(B305="","",IF(OR(O305="開通済",Q305&lt;&gt;""),"完了",IF(O305="キャンセル","―",IF(AND(V305&lt;&gt;"",V305&lt;TODAY()),"対応期限超過",IF(AND(P305&lt;&gt;"",P305&lt;TODAY()),"開通予定日超過",IF(AND(V305&lt;&gt;"",V305=TODAY()),"本日対応",IF(AND(P305&lt;&gt;"",P305-TODAY()&lt;=3),"開通間近","")))))))</f>
        <v/>
      </c>
      <c r="X305" s="17"/>
    </row>
    <row r="306" customFormat="false" ht="15" hidden="false" customHeight="false" outlineLevel="0" collapsed="false">
      <c r="A306" s="12" t="str">
        <f aca="false">IF(B306="","",ROW()-4)</f>
        <v/>
      </c>
      <c r="B306" s="17"/>
      <c r="C306" s="19" t="str">
        <f aca="false">IF(B306="","",IFERROR(INDEX(顧客一覧!$C$5:$C$304,MATCH(B306,顧客一覧!$B$5:$B$304,0)),"※ID未登録"))</f>
        <v/>
      </c>
      <c r="D306" s="12" t="str">
        <f aca="false">IF(B306="","",IFERROR(INDEX(顧客一覧!$K$5:$K$304,MATCH(B306,顧客一覧!$B$5:$B$304,0))&amp;"",""))</f>
        <v/>
      </c>
      <c r="E306" s="17"/>
      <c r="F306" s="17"/>
      <c r="G306" s="29"/>
      <c r="H306" s="17"/>
      <c r="I306" s="29"/>
      <c r="J306" s="26" t="str">
        <f aca="false">IF(OR(G306="",I306=""),"",G306-I306)</f>
        <v/>
      </c>
      <c r="K306" s="26" t="str">
        <f aca="false">IF(J306="","",J306*12)</f>
        <v/>
      </c>
      <c r="L306" s="29"/>
      <c r="M306" s="27" t="str">
        <f aca="false">IF(OR(L306="",J306=""),"",IF(J306&lt;=0,"回収不可",L306/J306))</f>
        <v/>
      </c>
      <c r="N306" s="22"/>
      <c r="O306" s="17"/>
      <c r="P306" s="22"/>
      <c r="Q306" s="22"/>
      <c r="R306" s="28" t="str">
        <f aca="true">IF(OR(P306="",Q306&lt;&gt;"",O306="キャンセル"),"",P306-TODAY())</f>
        <v/>
      </c>
      <c r="S306" s="29"/>
      <c r="T306" s="22"/>
      <c r="U306" s="17"/>
      <c r="V306" s="22"/>
      <c r="W306" s="19" t="str">
        <f aca="true">IF(B306="","",IF(OR(O306="開通済",Q306&lt;&gt;""),"完了",IF(O306="キャンセル","―",IF(AND(V306&lt;&gt;"",V306&lt;TODAY()),"対応期限超過",IF(AND(P306&lt;&gt;"",P306&lt;TODAY()),"開通予定日超過",IF(AND(V306&lt;&gt;"",V306=TODAY()),"本日対応",IF(AND(P306&lt;&gt;"",P306-TODAY()&lt;=3),"開通間近","")))))))</f>
        <v/>
      </c>
      <c r="X306" s="17"/>
    </row>
    <row r="307" customFormat="false" ht="15" hidden="false" customHeight="false" outlineLevel="0" collapsed="false">
      <c r="A307" s="12" t="str">
        <f aca="false">IF(B307="","",ROW()-4)</f>
        <v/>
      </c>
      <c r="B307" s="17"/>
      <c r="C307" s="19" t="str">
        <f aca="false">IF(B307="","",IFERROR(INDEX(顧客一覧!$C$5:$C$304,MATCH(B307,顧客一覧!$B$5:$B$304,0)),"※ID未登録"))</f>
        <v/>
      </c>
      <c r="D307" s="12" t="str">
        <f aca="false">IF(B307="","",IFERROR(INDEX(顧客一覧!$K$5:$K$304,MATCH(B307,顧客一覧!$B$5:$B$304,0))&amp;"",""))</f>
        <v/>
      </c>
      <c r="E307" s="17"/>
      <c r="F307" s="17"/>
      <c r="G307" s="29"/>
      <c r="H307" s="17"/>
      <c r="I307" s="29"/>
      <c r="J307" s="26" t="str">
        <f aca="false">IF(OR(G307="",I307=""),"",G307-I307)</f>
        <v/>
      </c>
      <c r="K307" s="26" t="str">
        <f aca="false">IF(J307="","",J307*12)</f>
        <v/>
      </c>
      <c r="L307" s="29"/>
      <c r="M307" s="27" t="str">
        <f aca="false">IF(OR(L307="",J307=""),"",IF(J307&lt;=0,"回収不可",L307/J307))</f>
        <v/>
      </c>
      <c r="N307" s="22"/>
      <c r="O307" s="17"/>
      <c r="P307" s="22"/>
      <c r="Q307" s="22"/>
      <c r="R307" s="28" t="str">
        <f aca="true">IF(OR(P307="",Q307&lt;&gt;"",O307="キャンセル"),"",P307-TODAY())</f>
        <v/>
      </c>
      <c r="S307" s="29"/>
      <c r="T307" s="22"/>
      <c r="U307" s="17"/>
      <c r="V307" s="22"/>
      <c r="W307" s="19" t="str">
        <f aca="true">IF(B307="","",IF(OR(O307="開通済",Q307&lt;&gt;""),"完了",IF(O307="キャンセル","―",IF(AND(V307&lt;&gt;"",V307&lt;TODAY()),"対応期限超過",IF(AND(P307&lt;&gt;"",P307&lt;TODAY()),"開通予定日超過",IF(AND(V307&lt;&gt;"",V307=TODAY()),"本日対応",IF(AND(P307&lt;&gt;"",P307-TODAY()&lt;=3),"開通間近","")))))))</f>
        <v/>
      </c>
      <c r="X307" s="17"/>
    </row>
    <row r="308" customFormat="false" ht="15" hidden="false" customHeight="false" outlineLevel="0" collapsed="false">
      <c r="A308" s="12" t="str">
        <f aca="false">IF(B308="","",ROW()-4)</f>
        <v/>
      </c>
      <c r="B308" s="17"/>
      <c r="C308" s="19" t="str">
        <f aca="false">IF(B308="","",IFERROR(INDEX(顧客一覧!$C$5:$C$304,MATCH(B308,顧客一覧!$B$5:$B$304,0)),"※ID未登録"))</f>
        <v/>
      </c>
      <c r="D308" s="12" t="str">
        <f aca="false">IF(B308="","",IFERROR(INDEX(顧客一覧!$K$5:$K$304,MATCH(B308,顧客一覧!$B$5:$B$304,0))&amp;"",""))</f>
        <v/>
      </c>
      <c r="E308" s="17"/>
      <c r="F308" s="17"/>
      <c r="G308" s="29"/>
      <c r="H308" s="17"/>
      <c r="I308" s="29"/>
      <c r="J308" s="26" t="str">
        <f aca="false">IF(OR(G308="",I308=""),"",G308-I308)</f>
        <v/>
      </c>
      <c r="K308" s="26" t="str">
        <f aca="false">IF(J308="","",J308*12)</f>
        <v/>
      </c>
      <c r="L308" s="29"/>
      <c r="M308" s="27" t="str">
        <f aca="false">IF(OR(L308="",J308=""),"",IF(J308&lt;=0,"回収不可",L308/J308))</f>
        <v/>
      </c>
      <c r="N308" s="22"/>
      <c r="O308" s="17"/>
      <c r="P308" s="22"/>
      <c r="Q308" s="22"/>
      <c r="R308" s="28" t="str">
        <f aca="true">IF(OR(P308="",Q308&lt;&gt;"",O308="キャンセル"),"",P308-TODAY())</f>
        <v/>
      </c>
      <c r="S308" s="29"/>
      <c r="T308" s="22"/>
      <c r="U308" s="17"/>
      <c r="V308" s="22"/>
      <c r="W308" s="19" t="str">
        <f aca="true">IF(B308="","",IF(OR(O308="開通済",Q308&lt;&gt;""),"完了",IF(O308="キャンセル","―",IF(AND(V308&lt;&gt;"",V308&lt;TODAY()),"対応期限超過",IF(AND(P308&lt;&gt;"",P308&lt;TODAY()),"開通予定日超過",IF(AND(V308&lt;&gt;"",V308=TODAY()),"本日対応",IF(AND(P308&lt;&gt;"",P308-TODAY()&lt;=3),"開通間近","")))))))</f>
        <v/>
      </c>
      <c r="X308" s="17"/>
    </row>
    <row r="309" customFormat="false" ht="15" hidden="false" customHeight="false" outlineLevel="0" collapsed="false">
      <c r="A309" s="12" t="str">
        <f aca="false">IF(B309="","",ROW()-4)</f>
        <v/>
      </c>
      <c r="B309" s="17"/>
      <c r="C309" s="19" t="str">
        <f aca="false">IF(B309="","",IFERROR(INDEX(顧客一覧!$C$5:$C$304,MATCH(B309,顧客一覧!$B$5:$B$304,0)),"※ID未登録"))</f>
        <v/>
      </c>
      <c r="D309" s="12" t="str">
        <f aca="false">IF(B309="","",IFERROR(INDEX(顧客一覧!$K$5:$K$304,MATCH(B309,顧客一覧!$B$5:$B$304,0))&amp;"",""))</f>
        <v/>
      </c>
      <c r="E309" s="17"/>
      <c r="F309" s="17"/>
      <c r="G309" s="29"/>
      <c r="H309" s="17"/>
      <c r="I309" s="29"/>
      <c r="J309" s="26" t="str">
        <f aca="false">IF(OR(G309="",I309=""),"",G309-I309)</f>
        <v/>
      </c>
      <c r="K309" s="26" t="str">
        <f aca="false">IF(J309="","",J309*12)</f>
        <v/>
      </c>
      <c r="L309" s="29"/>
      <c r="M309" s="27" t="str">
        <f aca="false">IF(OR(L309="",J309=""),"",IF(J309&lt;=0,"回収不可",L309/J309))</f>
        <v/>
      </c>
      <c r="N309" s="22"/>
      <c r="O309" s="17"/>
      <c r="P309" s="22"/>
      <c r="Q309" s="22"/>
      <c r="R309" s="28" t="str">
        <f aca="true">IF(OR(P309="",Q309&lt;&gt;"",O309="キャンセル"),"",P309-TODAY())</f>
        <v/>
      </c>
      <c r="S309" s="29"/>
      <c r="T309" s="22"/>
      <c r="U309" s="17"/>
      <c r="V309" s="22"/>
      <c r="W309" s="19" t="str">
        <f aca="true">IF(B309="","",IF(OR(O309="開通済",Q309&lt;&gt;""),"完了",IF(O309="キャンセル","―",IF(AND(V309&lt;&gt;"",V309&lt;TODAY()),"対応期限超過",IF(AND(P309&lt;&gt;"",P309&lt;TODAY()),"開通予定日超過",IF(AND(V309&lt;&gt;"",V309=TODAY()),"本日対応",IF(AND(P309&lt;&gt;"",P309-TODAY()&lt;=3),"開通間近","")))))))</f>
        <v/>
      </c>
      <c r="X309" s="17"/>
    </row>
    <row r="310" customFormat="false" ht="15" hidden="false" customHeight="false" outlineLevel="0" collapsed="false">
      <c r="A310" s="12" t="str">
        <f aca="false">IF(B310="","",ROW()-4)</f>
        <v/>
      </c>
      <c r="B310" s="17"/>
      <c r="C310" s="19" t="str">
        <f aca="false">IF(B310="","",IFERROR(INDEX(顧客一覧!$C$5:$C$304,MATCH(B310,顧客一覧!$B$5:$B$304,0)),"※ID未登録"))</f>
        <v/>
      </c>
      <c r="D310" s="12" t="str">
        <f aca="false">IF(B310="","",IFERROR(INDEX(顧客一覧!$K$5:$K$304,MATCH(B310,顧客一覧!$B$5:$B$304,0))&amp;"",""))</f>
        <v/>
      </c>
      <c r="E310" s="17"/>
      <c r="F310" s="17"/>
      <c r="G310" s="29"/>
      <c r="H310" s="17"/>
      <c r="I310" s="29"/>
      <c r="J310" s="26" t="str">
        <f aca="false">IF(OR(G310="",I310=""),"",G310-I310)</f>
        <v/>
      </c>
      <c r="K310" s="26" t="str">
        <f aca="false">IF(J310="","",J310*12)</f>
        <v/>
      </c>
      <c r="L310" s="29"/>
      <c r="M310" s="27" t="str">
        <f aca="false">IF(OR(L310="",J310=""),"",IF(J310&lt;=0,"回収不可",L310/J310))</f>
        <v/>
      </c>
      <c r="N310" s="22"/>
      <c r="O310" s="17"/>
      <c r="P310" s="22"/>
      <c r="Q310" s="22"/>
      <c r="R310" s="28" t="str">
        <f aca="true">IF(OR(P310="",Q310&lt;&gt;"",O310="キャンセル"),"",P310-TODAY())</f>
        <v/>
      </c>
      <c r="S310" s="29"/>
      <c r="T310" s="22"/>
      <c r="U310" s="17"/>
      <c r="V310" s="22"/>
      <c r="W310" s="19" t="str">
        <f aca="true">IF(B310="","",IF(OR(O310="開通済",Q310&lt;&gt;""),"完了",IF(O310="キャンセル","―",IF(AND(V310&lt;&gt;"",V310&lt;TODAY()),"対応期限超過",IF(AND(P310&lt;&gt;"",P310&lt;TODAY()),"開通予定日超過",IF(AND(V310&lt;&gt;"",V310=TODAY()),"本日対応",IF(AND(P310&lt;&gt;"",P310-TODAY()&lt;=3),"開通間近","")))))))</f>
        <v/>
      </c>
      <c r="X310" s="17"/>
    </row>
    <row r="311" customFormat="false" ht="15" hidden="false" customHeight="false" outlineLevel="0" collapsed="false">
      <c r="A311" s="12" t="str">
        <f aca="false">IF(B311="","",ROW()-4)</f>
        <v/>
      </c>
      <c r="B311" s="17"/>
      <c r="C311" s="19" t="str">
        <f aca="false">IF(B311="","",IFERROR(INDEX(顧客一覧!$C$5:$C$304,MATCH(B311,顧客一覧!$B$5:$B$304,0)),"※ID未登録"))</f>
        <v/>
      </c>
      <c r="D311" s="12" t="str">
        <f aca="false">IF(B311="","",IFERROR(INDEX(顧客一覧!$K$5:$K$304,MATCH(B311,顧客一覧!$B$5:$B$304,0))&amp;"",""))</f>
        <v/>
      </c>
      <c r="E311" s="17"/>
      <c r="F311" s="17"/>
      <c r="G311" s="29"/>
      <c r="H311" s="17"/>
      <c r="I311" s="29"/>
      <c r="J311" s="26" t="str">
        <f aca="false">IF(OR(G311="",I311=""),"",G311-I311)</f>
        <v/>
      </c>
      <c r="K311" s="26" t="str">
        <f aca="false">IF(J311="","",J311*12)</f>
        <v/>
      </c>
      <c r="L311" s="29"/>
      <c r="M311" s="27" t="str">
        <f aca="false">IF(OR(L311="",J311=""),"",IF(J311&lt;=0,"回収不可",L311/J311))</f>
        <v/>
      </c>
      <c r="N311" s="22"/>
      <c r="O311" s="17"/>
      <c r="P311" s="22"/>
      <c r="Q311" s="22"/>
      <c r="R311" s="28" t="str">
        <f aca="true">IF(OR(P311="",Q311&lt;&gt;"",O311="キャンセル"),"",P311-TODAY())</f>
        <v/>
      </c>
      <c r="S311" s="29"/>
      <c r="T311" s="22"/>
      <c r="U311" s="17"/>
      <c r="V311" s="22"/>
      <c r="W311" s="19" t="str">
        <f aca="true">IF(B311="","",IF(OR(O311="開通済",Q311&lt;&gt;""),"完了",IF(O311="キャンセル","―",IF(AND(V311&lt;&gt;"",V311&lt;TODAY()),"対応期限超過",IF(AND(P311&lt;&gt;"",P311&lt;TODAY()),"開通予定日超過",IF(AND(V311&lt;&gt;"",V311=TODAY()),"本日対応",IF(AND(P311&lt;&gt;"",P311-TODAY()&lt;=3),"開通間近","")))))))</f>
        <v/>
      </c>
      <c r="X311" s="17"/>
    </row>
    <row r="312" customFormat="false" ht="15" hidden="false" customHeight="false" outlineLevel="0" collapsed="false">
      <c r="A312" s="12" t="str">
        <f aca="false">IF(B312="","",ROW()-4)</f>
        <v/>
      </c>
      <c r="B312" s="17"/>
      <c r="C312" s="19" t="str">
        <f aca="false">IF(B312="","",IFERROR(INDEX(顧客一覧!$C$5:$C$304,MATCH(B312,顧客一覧!$B$5:$B$304,0)),"※ID未登録"))</f>
        <v/>
      </c>
      <c r="D312" s="12" t="str">
        <f aca="false">IF(B312="","",IFERROR(INDEX(顧客一覧!$K$5:$K$304,MATCH(B312,顧客一覧!$B$5:$B$304,0))&amp;"",""))</f>
        <v/>
      </c>
      <c r="E312" s="17"/>
      <c r="F312" s="17"/>
      <c r="G312" s="29"/>
      <c r="H312" s="17"/>
      <c r="I312" s="29"/>
      <c r="J312" s="26" t="str">
        <f aca="false">IF(OR(G312="",I312=""),"",G312-I312)</f>
        <v/>
      </c>
      <c r="K312" s="26" t="str">
        <f aca="false">IF(J312="","",J312*12)</f>
        <v/>
      </c>
      <c r="L312" s="29"/>
      <c r="M312" s="27" t="str">
        <f aca="false">IF(OR(L312="",J312=""),"",IF(J312&lt;=0,"回収不可",L312/J312))</f>
        <v/>
      </c>
      <c r="N312" s="22"/>
      <c r="O312" s="17"/>
      <c r="P312" s="22"/>
      <c r="Q312" s="22"/>
      <c r="R312" s="28" t="str">
        <f aca="true">IF(OR(P312="",Q312&lt;&gt;"",O312="キャンセル"),"",P312-TODAY())</f>
        <v/>
      </c>
      <c r="S312" s="29"/>
      <c r="T312" s="22"/>
      <c r="U312" s="17"/>
      <c r="V312" s="22"/>
      <c r="W312" s="19" t="str">
        <f aca="true">IF(B312="","",IF(OR(O312="開通済",Q312&lt;&gt;""),"完了",IF(O312="キャンセル","―",IF(AND(V312&lt;&gt;"",V312&lt;TODAY()),"対応期限超過",IF(AND(P312&lt;&gt;"",P312&lt;TODAY()),"開通予定日超過",IF(AND(V312&lt;&gt;"",V312=TODAY()),"本日対応",IF(AND(P312&lt;&gt;"",P312-TODAY()&lt;=3),"開通間近","")))))))</f>
        <v/>
      </c>
      <c r="X312" s="17"/>
    </row>
    <row r="313" customFormat="false" ht="15" hidden="false" customHeight="false" outlineLevel="0" collapsed="false">
      <c r="A313" s="12" t="str">
        <f aca="false">IF(B313="","",ROW()-4)</f>
        <v/>
      </c>
      <c r="B313" s="17"/>
      <c r="C313" s="19" t="str">
        <f aca="false">IF(B313="","",IFERROR(INDEX(顧客一覧!$C$5:$C$304,MATCH(B313,顧客一覧!$B$5:$B$304,0)),"※ID未登録"))</f>
        <v/>
      </c>
      <c r="D313" s="12" t="str">
        <f aca="false">IF(B313="","",IFERROR(INDEX(顧客一覧!$K$5:$K$304,MATCH(B313,顧客一覧!$B$5:$B$304,0))&amp;"",""))</f>
        <v/>
      </c>
      <c r="E313" s="17"/>
      <c r="F313" s="17"/>
      <c r="G313" s="29"/>
      <c r="H313" s="17"/>
      <c r="I313" s="29"/>
      <c r="J313" s="26" t="str">
        <f aca="false">IF(OR(G313="",I313=""),"",G313-I313)</f>
        <v/>
      </c>
      <c r="K313" s="26" t="str">
        <f aca="false">IF(J313="","",J313*12)</f>
        <v/>
      </c>
      <c r="L313" s="29"/>
      <c r="M313" s="27" t="str">
        <f aca="false">IF(OR(L313="",J313=""),"",IF(J313&lt;=0,"回収不可",L313/J313))</f>
        <v/>
      </c>
      <c r="N313" s="22"/>
      <c r="O313" s="17"/>
      <c r="P313" s="22"/>
      <c r="Q313" s="22"/>
      <c r="R313" s="28" t="str">
        <f aca="true">IF(OR(P313="",Q313&lt;&gt;"",O313="キャンセル"),"",P313-TODAY())</f>
        <v/>
      </c>
      <c r="S313" s="29"/>
      <c r="T313" s="22"/>
      <c r="U313" s="17"/>
      <c r="V313" s="22"/>
      <c r="W313" s="19" t="str">
        <f aca="true">IF(B313="","",IF(OR(O313="開通済",Q313&lt;&gt;""),"完了",IF(O313="キャンセル","―",IF(AND(V313&lt;&gt;"",V313&lt;TODAY()),"対応期限超過",IF(AND(P313&lt;&gt;"",P313&lt;TODAY()),"開通予定日超過",IF(AND(V313&lt;&gt;"",V313=TODAY()),"本日対応",IF(AND(P313&lt;&gt;"",P313-TODAY()&lt;=3),"開通間近","")))))))</f>
        <v/>
      </c>
      <c r="X313" s="17"/>
    </row>
    <row r="314" customFormat="false" ht="15" hidden="false" customHeight="false" outlineLevel="0" collapsed="false">
      <c r="A314" s="12" t="str">
        <f aca="false">IF(B314="","",ROW()-4)</f>
        <v/>
      </c>
      <c r="B314" s="17"/>
      <c r="C314" s="19" t="str">
        <f aca="false">IF(B314="","",IFERROR(INDEX(顧客一覧!$C$5:$C$304,MATCH(B314,顧客一覧!$B$5:$B$304,0)),"※ID未登録"))</f>
        <v/>
      </c>
      <c r="D314" s="12" t="str">
        <f aca="false">IF(B314="","",IFERROR(INDEX(顧客一覧!$K$5:$K$304,MATCH(B314,顧客一覧!$B$5:$B$304,0))&amp;"",""))</f>
        <v/>
      </c>
      <c r="E314" s="17"/>
      <c r="F314" s="17"/>
      <c r="G314" s="29"/>
      <c r="H314" s="17"/>
      <c r="I314" s="29"/>
      <c r="J314" s="26" t="str">
        <f aca="false">IF(OR(G314="",I314=""),"",G314-I314)</f>
        <v/>
      </c>
      <c r="K314" s="26" t="str">
        <f aca="false">IF(J314="","",J314*12)</f>
        <v/>
      </c>
      <c r="L314" s="29"/>
      <c r="M314" s="27" t="str">
        <f aca="false">IF(OR(L314="",J314=""),"",IF(J314&lt;=0,"回収不可",L314/J314))</f>
        <v/>
      </c>
      <c r="N314" s="22"/>
      <c r="O314" s="17"/>
      <c r="P314" s="22"/>
      <c r="Q314" s="22"/>
      <c r="R314" s="28" t="str">
        <f aca="true">IF(OR(P314="",Q314&lt;&gt;"",O314="キャンセル"),"",P314-TODAY())</f>
        <v/>
      </c>
      <c r="S314" s="29"/>
      <c r="T314" s="22"/>
      <c r="U314" s="17"/>
      <c r="V314" s="22"/>
      <c r="W314" s="19" t="str">
        <f aca="true">IF(B314="","",IF(OR(O314="開通済",Q314&lt;&gt;""),"完了",IF(O314="キャンセル","―",IF(AND(V314&lt;&gt;"",V314&lt;TODAY()),"対応期限超過",IF(AND(P314&lt;&gt;"",P314&lt;TODAY()),"開通予定日超過",IF(AND(V314&lt;&gt;"",V314=TODAY()),"本日対応",IF(AND(P314&lt;&gt;"",P314-TODAY()&lt;=3),"開通間近","")))))))</f>
        <v/>
      </c>
      <c r="X314" s="17"/>
    </row>
    <row r="315" customFormat="false" ht="15" hidden="false" customHeight="false" outlineLevel="0" collapsed="false">
      <c r="A315" s="12" t="str">
        <f aca="false">IF(B315="","",ROW()-4)</f>
        <v/>
      </c>
      <c r="B315" s="17"/>
      <c r="C315" s="19" t="str">
        <f aca="false">IF(B315="","",IFERROR(INDEX(顧客一覧!$C$5:$C$304,MATCH(B315,顧客一覧!$B$5:$B$304,0)),"※ID未登録"))</f>
        <v/>
      </c>
      <c r="D315" s="12" t="str">
        <f aca="false">IF(B315="","",IFERROR(INDEX(顧客一覧!$K$5:$K$304,MATCH(B315,顧客一覧!$B$5:$B$304,0))&amp;"",""))</f>
        <v/>
      </c>
      <c r="E315" s="17"/>
      <c r="F315" s="17"/>
      <c r="G315" s="29"/>
      <c r="H315" s="17"/>
      <c r="I315" s="29"/>
      <c r="J315" s="26" t="str">
        <f aca="false">IF(OR(G315="",I315=""),"",G315-I315)</f>
        <v/>
      </c>
      <c r="K315" s="26" t="str">
        <f aca="false">IF(J315="","",J315*12)</f>
        <v/>
      </c>
      <c r="L315" s="29"/>
      <c r="M315" s="27" t="str">
        <f aca="false">IF(OR(L315="",J315=""),"",IF(J315&lt;=0,"回収不可",L315/J315))</f>
        <v/>
      </c>
      <c r="N315" s="22"/>
      <c r="O315" s="17"/>
      <c r="P315" s="22"/>
      <c r="Q315" s="22"/>
      <c r="R315" s="28" t="str">
        <f aca="true">IF(OR(P315="",Q315&lt;&gt;"",O315="キャンセル"),"",P315-TODAY())</f>
        <v/>
      </c>
      <c r="S315" s="29"/>
      <c r="T315" s="22"/>
      <c r="U315" s="17"/>
      <c r="V315" s="22"/>
      <c r="W315" s="19" t="str">
        <f aca="true">IF(B315="","",IF(OR(O315="開通済",Q315&lt;&gt;""),"完了",IF(O315="キャンセル","―",IF(AND(V315&lt;&gt;"",V315&lt;TODAY()),"対応期限超過",IF(AND(P315&lt;&gt;"",P315&lt;TODAY()),"開通予定日超過",IF(AND(V315&lt;&gt;"",V315=TODAY()),"本日対応",IF(AND(P315&lt;&gt;"",P315-TODAY()&lt;=3),"開通間近","")))))))</f>
        <v/>
      </c>
      <c r="X315" s="17"/>
    </row>
    <row r="316" customFormat="false" ht="15" hidden="false" customHeight="false" outlineLevel="0" collapsed="false">
      <c r="A316" s="12" t="str">
        <f aca="false">IF(B316="","",ROW()-4)</f>
        <v/>
      </c>
      <c r="B316" s="17"/>
      <c r="C316" s="19" t="str">
        <f aca="false">IF(B316="","",IFERROR(INDEX(顧客一覧!$C$5:$C$304,MATCH(B316,顧客一覧!$B$5:$B$304,0)),"※ID未登録"))</f>
        <v/>
      </c>
      <c r="D316" s="12" t="str">
        <f aca="false">IF(B316="","",IFERROR(INDEX(顧客一覧!$K$5:$K$304,MATCH(B316,顧客一覧!$B$5:$B$304,0))&amp;"",""))</f>
        <v/>
      </c>
      <c r="E316" s="17"/>
      <c r="F316" s="17"/>
      <c r="G316" s="29"/>
      <c r="H316" s="17"/>
      <c r="I316" s="29"/>
      <c r="J316" s="26" t="str">
        <f aca="false">IF(OR(G316="",I316=""),"",G316-I316)</f>
        <v/>
      </c>
      <c r="K316" s="26" t="str">
        <f aca="false">IF(J316="","",J316*12)</f>
        <v/>
      </c>
      <c r="L316" s="29"/>
      <c r="M316" s="27" t="str">
        <f aca="false">IF(OR(L316="",J316=""),"",IF(J316&lt;=0,"回収不可",L316/J316))</f>
        <v/>
      </c>
      <c r="N316" s="22"/>
      <c r="O316" s="17"/>
      <c r="P316" s="22"/>
      <c r="Q316" s="22"/>
      <c r="R316" s="28" t="str">
        <f aca="true">IF(OR(P316="",Q316&lt;&gt;"",O316="キャンセル"),"",P316-TODAY())</f>
        <v/>
      </c>
      <c r="S316" s="29"/>
      <c r="T316" s="22"/>
      <c r="U316" s="17"/>
      <c r="V316" s="22"/>
      <c r="W316" s="19" t="str">
        <f aca="true">IF(B316="","",IF(OR(O316="開通済",Q316&lt;&gt;""),"完了",IF(O316="キャンセル","―",IF(AND(V316&lt;&gt;"",V316&lt;TODAY()),"対応期限超過",IF(AND(P316&lt;&gt;"",P316&lt;TODAY()),"開通予定日超過",IF(AND(V316&lt;&gt;"",V316=TODAY()),"本日対応",IF(AND(P316&lt;&gt;"",P316-TODAY()&lt;=3),"開通間近","")))))))</f>
        <v/>
      </c>
      <c r="X316" s="17"/>
    </row>
    <row r="317" customFormat="false" ht="15" hidden="false" customHeight="false" outlineLevel="0" collapsed="false">
      <c r="A317" s="12" t="str">
        <f aca="false">IF(B317="","",ROW()-4)</f>
        <v/>
      </c>
      <c r="B317" s="17"/>
      <c r="C317" s="19" t="str">
        <f aca="false">IF(B317="","",IFERROR(INDEX(顧客一覧!$C$5:$C$304,MATCH(B317,顧客一覧!$B$5:$B$304,0)),"※ID未登録"))</f>
        <v/>
      </c>
      <c r="D317" s="12" t="str">
        <f aca="false">IF(B317="","",IFERROR(INDEX(顧客一覧!$K$5:$K$304,MATCH(B317,顧客一覧!$B$5:$B$304,0))&amp;"",""))</f>
        <v/>
      </c>
      <c r="E317" s="17"/>
      <c r="F317" s="17"/>
      <c r="G317" s="29"/>
      <c r="H317" s="17"/>
      <c r="I317" s="29"/>
      <c r="J317" s="26" t="str">
        <f aca="false">IF(OR(G317="",I317=""),"",G317-I317)</f>
        <v/>
      </c>
      <c r="K317" s="26" t="str">
        <f aca="false">IF(J317="","",J317*12)</f>
        <v/>
      </c>
      <c r="L317" s="29"/>
      <c r="M317" s="27" t="str">
        <f aca="false">IF(OR(L317="",J317=""),"",IF(J317&lt;=0,"回収不可",L317/J317))</f>
        <v/>
      </c>
      <c r="N317" s="22"/>
      <c r="O317" s="17"/>
      <c r="P317" s="22"/>
      <c r="Q317" s="22"/>
      <c r="R317" s="28" t="str">
        <f aca="true">IF(OR(P317="",Q317&lt;&gt;"",O317="キャンセル"),"",P317-TODAY())</f>
        <v/>
      </c>
      <c r="S317" s="29"/>
      <c r="T317" s="22"/>
      <c r="U317" s="17"/>
      <c r="V317" s="22"/>
      <c r="W317" s="19" t="str">
        <f aca="true">IF(B317="","",IF(OR(O317="開通済",Q317&lt;&gt;""),"完了",IF(O317="キャンセル","―",IF(AND(V317&lt;&gt;"",V317&lt;TODAY()),"対応期限超過",IF(AND(P317&lt;&gt;"",P317&lt;TODAY()),"開通予定日超過",IF(AND(V317&lt;&gt;"",V317=TODAY()),"本日対応",IF(AND(P317&lt;&gt;"",P317-TODAY()&lt;=3),"開通間近","")))))))</f>
        <v/>
      </c>
      <c r="X317" s="17"/>
    </row>
    <row r="318" customFormat="false" ht="15" hidden="false" customHeight="false" outlineLevel="0" collapsed="false">
      <c r="A318" s="12" t="str">
        <f aca="false">IF(B318="","",ROW()-4)</f>
        <v/>
      </c>
      <c r="B318" s="17"/>
      <c r="C318" s="19" t="str">
        <f aca="false">IF(B318="","",IFERROR(INDEX(顧客一覧!$C$5:$C$304,MATCH(B318,顧客一覧!$B$5:$B$304,0)),"※ID未登録"))</f>
        <v/>
      </c>
      <c r="D318" s="12" t="str">
        <f aca="false">IF(B318="","",IFERROR(INDEX(顧客一覧!$K$5:$K$304,MATCH(B318,顧客一覧!$B$5:$B$304,0))&amp;"",""))</f>
        <v/>
      </c>
      <c r="E318" s="17"/>
      <c r="F318" s="17"/>
      <c r="G318" s="29"/>
      <c r="H318" s="17"/>
      <c r="I318" s="29"/>
      <c r="J318" s="26" t="str">
        <f aca="false">IF(OR(G318="",I318=""),"",G318-I318)</f>
        <v/>
      </c>
      <c r="K318" s="26" t="str">
        <f aca="false">IF(J318="","",J318*12)</f>
        <v/>
      </c>
      <c r="L318" s="29"/>
      <c r="M318" s="27" t="str">
        <f aca="false">IF(OR(L318="",J318=""),"",IF(J318&lt;=0,"回収不可",L318/J318))</f>
        <v/>
      </c>
      <c r="N318" s="22"/>
      <c r="O318" s="17"/>
      <c r="P318" s="22"/>
      <c r="Q318" s="22"/>
      <c r="R318" s="28" t="str">
        <f aca="true">IF(OR(P318="",Q318&lt;&gt;"",O318="キャンセル"),"",P318-TODAY())</f>
        <v/>
      </c>
      <c r="S318" s="29"/>
      <c r="T318" s="22"/>
      <c r="U318" s="17"/>
      <c r="V318" s="22"/>
      <c r="W318" s="19" t="str">
        <f aca="true">IF(B318="","",IF(OR(O318="開通済",Q318&lt;&gt;""),"完了",IF(O318="キャンセル","―",IF(AND(V318&lt;&gt;"",V318&lt;TODAY()),"対応期限超過",IF(AND(P318&lt;&gt;"",P318&lt;TODAY()),"開通予定日超過",IF(AND(V318&lt;&gt;"",V318=TODAY()),"本日対応",IF(AND(P318&lt;&gt;"",P318-TODAY()&lt;=3),"開通間近","")))))))</f>
        <v/>
      </c>
      <c r="X318" s="17"/>
    </row>
    <row r="319" customFormat="false" ht="15" hidden="false" customHeight="false" outlineLevel="0" collapsed="false">
      <c r="A319" s="12" t="str">
        <f aca="false">IF(B319="","",ROW()-4)</f>
        <v/>
      </c>
      <c r="B319" s="17"/>
      <c r="C319" s="19" t="str">
        <f aca="false">IF(B319="","",IFERROR(INDEX(顧客一覧!$C$5:$C$304,MATCH(B319,顧客一覧!$B$5:$B$304,0)),"※ID未登録"))</f>
        <v/>
      </c>
      <c r="D319" s="12" t="str">
        <f aca="false">IF(B319="","",IFERROR(INDEX(顧客一覧!$K$5:$K$304,MATCH(B319,顧客一覧!$B$5:$B$304,0))&amp;"",""))</f>
        <v/>
      </c>
      <c r="E319" s="17"/>
      <c r="F319" s="17"/>
      <c r="G319" s="29"/>
      <c r="H319" s="17"/>
      <c r="I319" s="29"/>
      <c r="J319" s="26" t="str">
        <f aca="false">IF(OR(G319="",I319=""),"",G319-I319)</f>
        <v/>
      </c>
      <c r="K319" s="26" t="str">
        <f aca="false">IF(J319="","",J319*12)</f>
        <v/>
      </c>
      <c r="L319" s="29"/>
      <c r="M319" s="27" t="str">
        <f aca="false">IF(OR(L319="",J319=""),"",IF(J319&lt;=0,"回収不可",L319/J319))</f>
        <v/>
      </c>
      <c r="N319" s="22"/>
      <c r="O319" s="17"/>
      <c r="P319" s="22"/>
      <c r="Q319" s="22"/>
      <c r="R319" s="28" t="str">
        <f aca="true">IF(OR(P319="",Q319&lt;&gt;"",O319="キャンセル"),"",P319-TODAY())</f>
        <v/>
      </c>
      <c r="S319" s="29"/>
      <c r="T319" s="22"/>
      <c r="U319" s="17"/>
      <c r="V319" s="22"/>
      <c r="W319" s="19" t="str">
        <f aca="true">IF(B319="","",IF(OR(O319="開通済",Q319&lt;&gt;""),"完了",IF(O319="キャンセル","―",IF(AND(V319&lt;&gt;"",V319&lt;TODAY()),"対応期限超過",IF(AND(P319&lt;&gt;"",P319&lt;TODAY()),"開通予定日超過",IF(AND(V319&lt;&gt;"",V319=TODAY()),"本日対応",IF(AND(P319&lt;&gt;"",P319-TODAY()&lt;=3),"開通間近","")))))))</f>
        <v/>
      </c>
      <c r="X319" s="17"/>
    </row>
    <row r="320" customFormat="false" ht="15" hidden="false" customHeight="false" outlineLevel="0" collapsed="false">
      <c r="A320" s="12" t="str">
        <f aca="false">IF(B320="","",ROW()-4)</f>
        <v/>
      </c>
      <c r="B320" s="17"/>
      <c r="C320" s="19" t="str">
        <f aca="false">IF(B320="","",IFERROR(INDEX(顧客一覧!$C$5:$C$304,MATCH(B320,顧客一覧!$B$5:$B$304,0)),"※ID未登録"))</f>
        <v/>
      </c>
      <c r="D320" s="12" t="str">
        <f aca="false">IF(B320="","",IFERROR(INDEX(顧客一覧!$K$5:$K$304,MATCH(B320,顧客一覧!$B$5:$B$304,0))&amp;"",""))</f>
        <v/>
      </c>
      <c r="E320" s="17"/>
      <c r="F320" s="17"/>
      <c r="G320" s="29"/>
      <c r="H320" s="17"/>
      <c r="I320" s="29"/>
      <c r="J320" s="26" t="str">
        <f aca="false">IF(OR(G320="",I320=""),"",G320-I320)</f>
        <v/>
      </c>
      <c r="K320" s="26" t="str">
        <f aca="false">IF(J320="","",J320*12)</f>
        <v/>
      </c>
      <c r="L320" s="29"/>
      <c r="M320" s="27" t="str">
        <f aca="false">IF(OR(L320="",J320=""),"",IF(J320&lt;=0,"回収不可",L320/J320))</f>
        <v/>
      </c>
      <c r="N320" s="22"/>
      <c r="O320" s="17"/>
      <c r="P320" s="22"/>
      <c r="Q320" s="22"/>
      <c r="R320" s="28" t="str">
        <f aca="true">IF(OR(P320="",Q320&lt;&gt;"",O320="キャンセル"),"",P320-TODAY())</f>
        <v/>
      </c>
      <c r="S320" s="29"/>
      <c r="T320" s="22"/>
      <c r="U320" s="17"/>
      <c r="V320" s="22"/>
      <c r="W320" s="19" t="str">
        <f aca="true">IF(B320="","",IF(OR(O320="開通済",Q320&lt;&gt;""),"完了",IF(O320="キャンセル","―",IF(AND(V320&lt;&gt;"",V320&lt;TODAY()),"対応期限超過",IF(AND(P320&lt;&gt;"",P320&lt;TODAY()),"開通予定日超過",IF(AND(V320&lt;&gt;"",V320=TODAY()),"本日対応",IF(AND(P320&lt;&gt;"",P320-TODAY()&lt;=3),"開通間近","")))))))</f>
        <v/>
      </c>
      <c r="X320" s="17"/>
    </row>
    <row r="321" customFormat="false" ht="15" hidden="false" customHeight="false" outlineLevel="0" collapsed="false">
      <c r="A321" s="12" t="str">
        <f aca="false">IF(B321="","",ROW()-4)</f>
        <v/>
      </c>
      <c r="B321" s="17"/>
      <c r="C321" s="19" t="str">
        <f aca="false">IF(B321="","",IFERROR(INDEX(顧客一覧!$C$5:$C$304,MATCH(B321,顧客一覧!$B$5:$B$304,0)),"※ID未登録"))</f>
        <v/>
      </c>
      <c r="D321" s="12" t="str">
        <f aca="false">IF(B321="","",IFERROR(INDEX(顧客一覧!$K$5:$K$304,MATCH(B321,顧客一覧!$B$5:$B$304,0))&amp;"",""))</f>
        <v/>
      </c>
      <c r="E321" s="17"/>
      <c r="F321" s="17"/>
      <c r="G321" s="29"/>
      <c r="H321" s="17"/>
      <c r="I321" s="29"/>
      <c r="J321" s="26" t="str">
        <f aca="false">IF(OR(G321="",I321=""),"",G321-I321)</f>
        <v/>
      </c>
      <c r="K321" s="26" t="str">
        <f aca="false">IF(J321="","",J321*12)</f>
        <v/>
      </c>
      <c r="L321" s="29"/>
      <c r="M321" s="27" t="str">
        <f aca="false">IF(OR(L321="",J321=""),"",IF(J321&lt;=0,"回収不可",L321/J321))</f>
        <v/>
      </c>
      <c r="N321" s="22"/>
      <c r="O321" s="17"/>
      <c r="P321" s="22"/>
      <c r="Q321" s="22"/>
      <c r="R321" s="28" t="str">
        <f aca="true">IF(OR(P321="",Q321&lt;&gt;"",O321="キャンセル"),"",P321-TODAY())</f>
        <v/>
      </c>
      <c r="S321" s="29"/>
      <c r="T321" s="22"/>
      <c r="U321" s="17"/>
      <c r="V321" s="22"/>
      <c r="W321" s="19" t="str">
        <f aca="true">IF(B321="","",IF(OR(O321="開通済",Q321&lt;&gt;""),"完了",IF(O321="キャンセル","―",IF(AND(V321&lt;&gt;"",V321&lt;TODAY()),"対応期限超過",IF(AND(P321&lt;&gt;"",P321&lt;TODAY()),"開通予定日超過",IF(AND(V321&lt;&gt;"",V321=TODAY()),"本日対応",IF(AND(P321&lt;&gt;"",P321-TODAY()&lt;=3),"開通間近","")))))))</f>
        <v/>
      </c>
      <c r="X321" s="17"/>
    </row>
    <row r="322" customFormat="false" ht="15" hidden="false" customHeight="false" outlineLevel="0" collapsed="false">
      <c r="A322" s="12" t="str">
        <f aca="false">IF(B322="","",ROW()-4)</f>
        <v/>
      </c>
      <c r="B322" s="17"/>
      <c r="C322" s="19" t="str">
        <f aca="false">IF(B322="","",IFERROR(INDEX(顧客一覧!$C$5:$C$304,MATCH(B322,顧客一覧!$B$5:$B$304,0)),"※ID未登録"))</f>
        <v/>
      </c>
      <c r="D322" s="12" t="str">
        <f aca="false">IF(B322="","",IFERROR(INDEX(顧客一覧!$K$5:$K$304,MATCH(B322,顧客一覧!$B$5:$B$304,0))&amp;"",""))</f>
        <v/>
      </c>
      <c r="E322" s="17"/>
      <c r="F322" s="17"/>
      <c r="G322" s="29"/>
      <c r="H322" s="17"/>
      <c r="I322" s="29"/>
      <c r="J322" s="26" t="str">
        <f aca="false">IF(OR(G322="",I322=""),"",G322-I322)</f>
        <v/>
      </c>
      <c r="K322" s="26" t="str">
        <f aca="false">IF(J322="","",J322*12)</f>
        <v/>
      </c>
      <c r="L322" s="29"/>
      <c r="M322" s="27" t="str">
        <f aca="false">IF(OR(L322="",J322=""),"",IF(J322&lt;=0,"回収不可",L322/J322))</f>
        <v/>
      </c>
      <c r="N322" s="22"/>
      <c r="O322" s="17"/>
      <c r="P322" s="22"/>
      <c r="Q322" s="22"/>
      <c r="R322" s="28" t="str">
        <f aca="true">IF(OR(P322="",Q322&lt;&gt;"",O322="キャンセル"),"",P322-TODAY())</f>
        <v/>
      </c>
      <c r="S322" s="29"/>
      <c r="T322" s="22"/>
      <c r="U322" s="17"/>
      <c r="V322" s="22"/>
      <c r="W322" s="19" t="str">
        <f aca="true">IF(B322="","",IF(OR(O322="開通済",Q322&lt;&gt;""),"完了",IF(O322="キャンセル","―",IF(AND(V322&lt;&gt;"",V322&lt;TODAY()),"対応期限超過",IF(AND(P322&lt;&gt;"",P322&lt;TODAY()),"開通予定日超過",IF(AND(V322&lt;&gt;"",V322=TODAY()),"本日対応",IF(AND(P322&lt;&gt;"",P322-TODAY()&lt;=3),"開通間近","")))))))</f>
        <v/>
      </c>
      <c r="X322" s="17"/>
    </row>
    <row r="323" customFormat="false" ht="15" hidden="false" customHeight="false" outlineLevel="0" collapsed="false">
      <c r="A323" s="12" t="str">
        <f aca="false">IF(B323="","",ROW()-4)</f>
        <v/>
      </c>
      <c r="B323" s="17"/>
      <c r="C323" s="19" t="str">
        <f aca="false">IF(B323="","",IFERROR(INDEX(顧客一覧!$C$5:$C$304,MATCH(B323,顧客一覧!$B$5:$B$304,0)),"※ID未登録"))</f>
        <v/>
      </c>
      <c r="D323" s="12" t="str">
        <f aca="false">IF(B323="","",IFERROR(INDEX(顧客一覧!$K$5:$K$304,MATCH(B323,顧客一覧!$B$5:$B$304,0))&amp;"",""))</f>
        <v/>
      </c>
      <c r="E323" s="17"/>
      <c r="F323" s="17"/>
      <c r="G323" s="29"/>
      <c r="H323" s="17"/>
      <c r="I323" s="29"/>
      <c r="J323" s="26" t="str">
        <f aca="false">IF(OR(G323="",I323=""),"",G323-I323)</f>
        <v/>
      </c>
      <c r="K323" s="26" t="str">
        <f aca="false">IF(J323="","",J323*12)</f>
        <v/>
      </c>
      <c r="L323" s="29"/>
      <c r="M323" s="27" t="str">
        <f aca="false">IF(OR(L323="",J323=""),"",IF(J323&lt;=0,"回収不可",L323/J323))</f>
        <v/>
      </c>
      <c r="N323" s="22"/>
      <c r="O323" s="17"/>
      <c r="P323" s="22"/>
      <c r="Q323" s="22"/>
      <c r="R323" s="28" t="str">
        <f aca="true">IF(OR(P323="",Q323&lt;&gt;"",O323="キャンセル"),"",P323-TODAY())</f>
        <v/>
      </c>
      <c r="S323" s="29"/>
      <c r="T323" s="22"/>
      <c r="U323" s="17"/>
      <c r="V323" s="22"/>
      <c r="W323" s="19" t="str">
        <f aca="true">IF(B323="","",IF(OR(O323="開通済",Q323&lt;&gt;""),"完了",IF(O323="キャンセル","―",IF(AND(V323&lt;&gt;"",V323&lt;TODAY()),"対応期限超過",IF(AND(P323&lt;&gt;"",P323&lt;TODAY()),"開通予定日超過",IF(AND(V323&lt;&gt;"",V323=TODAY()),"本日対応",IF(AND(P323&lt;&gt;"",P323-TODAY()&lt;=3),"開通間近","")))))))</f>
        <v/>
      </c>
      <c r="X323" s="17"/>
    </row>
    <row r="324" customFormat="false" ht="15" hidden="false" customHeight="false" outlineLevel="0" collapsed="false">
      <c r="A324" s="12" t="str">
        <f aca="false">IF(B324="","",ROW()-4)</f>
        <v/>
      </c>
      <c r="B324" s="17"/>
      <c r="C324" s="19" t="str">
        <f aca="false">IF(B324="","",IFERROR(INDEX(顧客一覧!$C$5:$C$304,MATCH(B324,顧客一覧!$B$5:$B$304,0)),"※ID未登録"))</f>
        <v/>
      </c>
      <c r="D324" s="12" t="str">
        <f aca="false">IF(B324="","",IFERROR(INDEX(顧客一覧!$K$5:$K$304,MATCH(B324,顧客一覧!$B$5:$B$304,0))&amp;"",""))</f>
        <v/>
      </c>
      <c r="E324" s="17"/>
      <c r="F324" s="17"/>
      <c r="G324" s="29"/>
      <c r="H324" s="17"/>
      <c r="I324" s="29"/>
      <c r="J324" s="26" t="str">
        <f aca="false">IF(OR(G324="",I324=""),"",G324-I324)</f>
        <v/>
      </c>
      <c r="K324" s="26" t="str">
        <f aca="false">IF(J324="","",J324*12)</f>
        <v/>
      </c>
      <c r="L324" s="29"/>
      <c r="M324" s="27" t="str">
        <f aca="false">IF(OR(L324="",J324=""),"",IF(J324&lt;=0,"回収不可",L324/J324))</f>
        <v/>
      </c>
      <c r="N324" s="22"/>
      <c r="O324" s="17"/>
      <c r="P324" s="22"/>
      <c r="Q324" s="22"/>
      <c r="R324" s="28" t="str">
        <f aca="true">IF(OR(P324="",Q324&lt;&gt;"",O324="キャンセル"),"",P324-TODAY())</f>
        <v/>
      </c>
      <c r="S324" s="29"/>
      <c r="T324" s="22"/>
      <c r="U324" s="17"/>
      <c r="V324" s="22"/>
      <c r="W324" s="19" t="str">
        <f aca="true">IF(B324="","",IF(OR(O324="開通済",Q324&lt;&gt;""),"完了",IF(O324="キャンセル","―",IF(AND(V324&lt;&gt;"",V324&lt;TODAY()),"対応期限超過",IF(AND(P324&lt;&gt;"",P324&lt;TODAY()),"開通予定日超過",IF(AND(V324&lt;&gt;"",V324=TODAY()),"本日対応",IF(AND(P324&lt;&gt;"",P324-TODAY()&lt;=3),"開通間近","")))))))</f>
        <v/>
      </c>
      <c r="X324" s="17"/>
    </row>
    <row r="325" customFormat="false" ht="15" hidden="false" customHeight="false" outlineLevel="0" collapsed="false">
      <c r="A325" s="12" t="str">
        <f aca="false">IF(B325="","",ROW()-4)</f>
        <v/>
      </c>
      <c r="B325" s="17"/>
      <c r="C325" s="19" t="str">
        <f aca="false">IF(B325="","",IFERROR(INDEX(顧客一覧!$C$5:$C$304,MATCH(B325,顧客一覧!$B$5:$B$304,0)),"※ID未登録"))</f>
        <v/>
      </c>
      <c r="D325" s="12" t="str">
        <f aca="false">IF(B325="","",IFERROR(INDEX(顧客一覧!$K$5:$K$304,MATCH(B325,顧客一覧!$B$5:$B$304,0))&amp;"",""))</f>
        <v/>
      </c>
      <c r="E325" s="17"/>
      <c r="F325" s="17"/>
      <c r="G325" s="29"/>
      <c r="H325" s="17"/>
      <c r="I325" s="29"/>
      <c r="J325" s="26" t="str">
        <f aca="false">IF(OR(G325="",I325=""),"",G325-I325)</f>
        <v/>
      </c>
      <c r="K325" s="26" t="str">
        <f aca="false">IF(J325="","",J325*12)</f>
        <v/>
      </c>
      <c r="L325" s="29"/>
      <c r="M325" s="27" t="str">
        <f aca="false">IF(OR(L325="",J325=""),"",IF(J325&lt;=0,"回収不可",L325/J325))</f>
        <v/>
      </c>
      <c r="N325" s="22"/>
      <c r="O325" s="17"/>
      <c r="P325" s="22"/>
      <c r="Q325" s="22"/>
      <c r="R325" s="28" t="str">
        <f aca="true">IF(OR(P325="",Q325&lt;&gt;"",O325="キャンセル"),"",P325-TODAY())</f>
        <v/>
      </c>
      <c r="S325" s="29"/>
      <c r="T325" s="22"/>
      <c r="U325" s="17"/>
      <c r="V325" s="22"/>
      <c r="W325" s="19" t="str">
        <f aca="true">IF(B325="","",IF(OR(O325="開通済",Q325&lt;&gt;""),"完了",IF(O325="キャンセル","―",IF(AND(V325&lt;&gt;"",V325&lt;TODAY()),"対応期限超過",IF(AND(P325&lt;&gt;"",P325&lt;TODAY()),"開通予定日超過",IF(AND(V325&lt;&gt;"",V325=TODAY()),"本日対応",IF(AND(P325&lt;&gt;"",P325-TODAY()&lt;=3),"開通間近","")))))))</f>
        <v/>
      </c>
      <c r="X325" s="17"/>
    </row>
    <row r="326" customFormat="false" ht="15" hidden="false" customHeight="false" outlineLevel="0" collapsed="false">
      <c r="A326" s="12" t="str">
        <f aca="false">IF(B326="","",ROW()-4)</f>
        <v/>
      </c>
      <c r="B326" s="17"/>
      <c r="C326" s="19" t="str">
        <f aca="false">IF(B326="","",IFERROR(INDEX(顧客一覧!$C$5:$C$304,MATCH(B326,顧客一覧!$B$5:$B$304,0)),"※ID未登録"))</f>
        <v/>
      </c>
      <c r="D326" s="12" t="str">
        <f aca="false">IF(B326="","",IFERROR(INDEX(顧客一覧!$K$5:$K$304,MATCH(B326,顧客一覧!$B$5:$B$304,0))&amp;"",""))</f>
        <v/>
      </c>
      <c r="E326" s="17"/>
      <c r="F326" s="17"/>
      <c r="G326" s="29"/>
      <c r="H326" s="17"/>
      <c r="I326" s="29"/>
      <c r="J326" s="26" t="str">
        <f aca="false">IF(OR(G326="",I326=""),"",G326-I326)</f>
        <v/>
      </c>
      <c r="K326" s="26" t="str">
        <f aca="false">IF(J326="","",J326*12)</f>
        <v/>
      </c>
      <c r="L326" s="29"/>
      <c r="M326" s="27" t="str">
        <f aca="false">IF(OR(L326="",J326=""),"",IF(J326&lt;=0,"回収不可",L326/J326))</f>
        <v/>
      </c>
      <c r="N326" s="22"/>
      <c r="O326" s="17"/>
      <c r="P326" s="22"/>
      <c r="Q326" s="22"/>
      <c r="R326" s="28" t="str">
        <f aca="true">IF(OR(P326="",Q326&lt;&gt;"",O326="キャンセル"),"",P326-TODAY())</f>
        <v/>
      </c>
      <c r="S326" s="29"/>
      <c r="T326" s="22"/>
      <c r="U326" s="17"/>
      <c r="V326" s="22"/>
      <c r="W326" s="19" t="str">
        <f aca="true">IF(B326="","",IF(OR(O326="開通済",Q326&lt;&gt;""),"完了",IF(O326="キャンセル","―",IF(AND(V326&lt;&gt;"",V326&lt;TODAY()),"対応期限超過",IF(AND(P326&lt;&gt;"",P326&lt;TODAY()),"開通予定日超過",IF(AND(V326&lt;&gt;"",V326=TODAY()),"本日対応",IF(AND(P326&lt;&gt;"",P326-TODAY()&lt;=3),"開通間近","")))))))</f>
        <v/>
      </c>
      <c r="X326" s="17"/>
    </row>
    <row r="327" customFormat="false" ht="15" hidden="false" customHeight="false" outlineLevel="0" collapsed="false">
      <c r="A327" s="12" t="str">
        <f aca="false">IF(B327="","",ROW()-4)</f>
        <v/>
      </c>
      <c r="B327" s="17"/>
      <c r="C327" s="19" t="str">
        <f aca="false">IF(B327="","",IFERROR(INDEX(顧客一覧!$C$5:$C$304,MATCH(B327,顧客一覧!$B$5:$B$304,0)),"※ID未登録"))</f>
        <v/>
      </c>
      <c r="D327" s="12" t="str">
        <f aca="false">IF(B327="","",IFERROR(INDEX(顧客一覧!$K$5:$K$304,MATCH(B327,顧客一覧!$B$5:$B$304,0))&amp;"",""))</f>
        <v/>
      </c>
      <c r="E327" s="17"/>
      <c r="F327" s="17"/>
      <c r="G327" s="29"/>
      <c r="H327" s="17"/>
      <c r="I327" s="29"/>
      <c r="J327" s="26" t="str">
        <f aca="false">IF(OR(G327="",I327=""),"",G327-I327)</f>
        <v/>
      </c>
      <c r="K327" s="26" t="str">
        <f aca="false">IF(J327="","",J327*12)</f>
        <v/>
      </c>
      <c r="L327" s="29"/>
      <c r="M327" s="27" t="str">
        <f aca="false">IF(OR(L327="",J327=""),"",IF(J327&lt;=0,"回収不可",L327/J327))</f>
        <v/>
      </c>
      <c r="N327" s="22"/>
      <c r="O327" s="17"/>
      <c r="P327" s="22"/>
      <c r="Q327" s="22"/>
      <c r="R327" s="28" t="str">
        <f aca="true">IF(OR(P327="",Q327&lt;&gt;"",O327="キャンセル"),"",P327-TODAY())</f>
        <v/>
      </c>
      <c r="S327" s="29"/>
      <c r="T327" s="22"/>
      <c r="U327" s="17"/>
      <c r="V327" s="22"/>
      <c r="W327" s="19" t="str">
        <f aca="true">IF(B327="","",IF(OR(O327="開通済",Q327&lt;&gt;""),"完了",IF(O327="キャンセル","―",IF(AND(V327&lt;&gt;"",V327&lt;TODAY()),"対応期限超過",IF(AND(P327&lt;&gt;"",P327&lt;TODAY()),"開通予定日超過",IF(AND(V327&lt;&gt;"",V327=TODAY()),"本日対応",IF(AND(P327&lt;&gt;"",P327-TODAY()&lt;=3),"開通間近","")))))))</f>
        <v/>
      </c>
      <c r="X327" s="17"/>
    </row>
    <row r="328" customFormat="false" ht="15" hidden="false" customHeight="false" outlineLevel="0" collapsed="false">
      <c r="A328" s="12" t="str">
        <f aca="false">IF(B328="","",ROW()-4)</f>
        <v/>
      </c>
      <c r="B328" s="17"/>
      <c r="C328" s="19" t="str">
        <f aca="false">IF(B328="","",IFERROR(INDEX(顧客一覧!$C$5:$C$304,MATCH(B328,顧客一覧!$B$5:$B$304,0)),"※ID未登録"))</f>
        <v/>
      </c>
      <c r="D328" s="12" t="str">
        <f aca="false">IF(B328="","",IFERROR(INDEX(顧客一覧!$K$5:$K$304,MATCH(B328,顧客一覧!$B$5:$B$304,0))&amp;"",""))</f>
        <v/>
      </c>
      <c r="E328" s="17"/>
      <c r="F328" s="17"/>
      <c r="G328" s="29"/>
      <c r="H328" s="17"/>
      <c r="I328" s="29"/>
      <c r="J328" s="26" t="str">
        <f aca="false">IF(OR(G328="",I328=""),"",G328-I328)</f>
        <v/>
      </c>
      <c r="K328" s="26" t="str">
        <f aca="false">IF(J328="","",J328*12)</f>
        <v/>
      </c>
      <c r="L328" s="29"/>
      <c r="M328" s="27" t="str">
        <f aca="false">IF(OR(L328="",J328=""),"",IF(J328&lt;=0,"回収不可",L328/J328))</f>
        <v/>
      </c>
      <c r="N328" s="22"/>
      <c r="O328" s="17"/>
      <c r="P328" s="22"/>
      <c r="Q328" s="22"/>
      <c r="R328" s="28" t="str">
        <f aca="true">IF(OR(P328="",Q328&lt;&gt;"",O328="キャンセル"),"",P328-TODAY())</f>
        <v/>
      </c>
      <c r="S328" s="29"/>
      <c r="T328" s="22"/>
      <c r="U328" s="17"/>
      <c r="V328" s="22"/>
      <c r="W328" s="19" t="str">
        <f aca="true">IF(B328="","",IF(OR(O328="開通済",Q328&lt;&gt;""),"完了",IF(O328="キャンセル","―",IF(AND(V328&lt;&gt;"",V328&lt;TODAY()),"対応期限超過",IF(AND(P328&lt;&gt;"",P328&lt;TODAY()),"開通予定日超過",IF(AND(V328&lt;&gt;"",V328=TODAY()),"本日対応",IF(AND(P328&lt;&gt;"",P328-TODAY()&lt;=3),"開通間近","")))))))</f>
        <v/>
      </c>
      <c r="X328" s="17"/>
    </row>
    <row r="329" customFormat="false" ht="15" hidden="false" customHeight="false" outlineLevel="0" collapsed="false">
      <c r="A329" s="12" t="str">
        <f aca="false">IF(B329="","",ROW()-4)</f>
        <v/>
      </c>
      <c r="B329" s="17"/>
      <c r="C329" s="19" t="str">
        <f aca="false">IF(B329="","",IFERROR(INDEX(顧客一覧!$C$5:$C$304,MATCH(B329,顧客一覧!$B$5:$B$304,0)),"※ID未登録"))</f>
        <v/>
      </c>
      <c r="D329" s="12" t="str">
        <f aca="false">IF(B329="","",IFERROR(INDEX(顧客一覧!$K$5:$K$304,MATCH(B329,顧客一覧!$B$5:$B$304,0))&amp;"",""))</f>
        <v/>
      </c>
      <c r="E329" s="17"/>
      <c r="F329" s="17"/>
      <c r="G329" s="29"/>
      <c r="H329" s="17"/>
      <c r="I329" s="29"/>
      <c r="J329" s="26" t="str">
        <f aca="false">IF(OR(G329="",I329=""),"",G329-I329)</f>
        <v/>
      </c>
      <c r="K329" s="26" t="str">
        <f aca="false">IF(J329="","",J329*12)</f>
        <v/>
      </c>
      <c r="L329" s="29"/>
      <c r="M329" s="27" t="str">
        <f aca="false">IF(OR(L329="",J329=""),"",IF(J329&lt;=0,"回収不可",L329/J329))</f>
        <v/>
      </c>
      <c r="N329" s="22"/>
      <c r="O329" s="17"/>
      <c r="P329" s="22"/>
      <c r="Q329" s="22"/>
      <c r="R329" s="28" t="str">
        <f aca="true">IF(OR(P329="",Q329&lt;&gt;"",O329="キャンセル"),"",P329-TODAY())</f>
        <v/>
      </c>
      <c r="S329" s="29"/>
      <c r="T329" s="22"/>
      <c r="U329" s="17"/>
      <c r="V329" s="22"/>
      <c r="W329" s="19" t="str">
        <f aca="true">IF(B329="","",IF(OR(O329="開通済",Q329&lt;&gt;""),"完了",IF(O329="キャンセル","―",IF(AND(V329&lt;&gt;"",V329&lt;TODAY()),"対応期限超過",IF(AND(P329&lt;&gt;"",P329&lt;TODAY()),"開通予定日超過",IF(AND(V329&lt;&gt;"",V329=TODAY()),"本日対応",IF(AND(P329&lt;&gt;"",P329-TODAY()&lt;=3),"開通間近","")))))))</f>
        <v/>
      </c>
      <c r="X329" s="17"/>
    </row>
    <row r="330" customFormat="false" ht="15" hidden="false" customHeight="false" outlineLevel="0" collapsed="false">
      <c r="A330" s="12" t="str">
        <f aca="false">IF(B330="","",ROW()-4)</f>
        <v/>
      </c>
      <c r="B330" s="17"/>
      <c r="C330" s="19" t="str">
        <f aca="false">IF(B330="","",IFERROR(INDEX(顧客一覧!$C$5:$C$304,MATCH(B330,顧客一覧!$B$5:$B$304,0)),"※ID未登録"))</f>
        <v/>
      </c>
      <c r="D330" s="12" t="str">
        <f aca="false">IF(B330="","",IFERROR(INDEX(顧客一覧!$K$5:$K$304,MATCH(B330,顧客一覧!$B$5:$B$304,0))&amp;"",""))</f>
        <v/>
      </c>
      <c r="E330" s="17"/>
      <c r="F330" s="17"/>
      <c r="G330" s="29"/>
      <c r="H330" s="17"/>
      <c r="I330" s="29"/>
      <c r="J330" s="26" t="str">
        <f aca="false">IF(OR(G330="",I330=""),"",G330-I330)</f>
        <v/>
      </c>
      <c r="K330" s="26" t="str">
        <f aca="false">IF(J330="","",J330*12)</f>
        <v/>
      </c>
      <c r="L330" s="29"/>
      <c r="M330" s="27" t="str">
        <f aca="false">IF(OR(L330="",J330=""),"",IF(J330&lt;=0,"回収不可",L330/J330))</f>
        <v/>
      </c>
      <c r="N330" s="22"/>
      <c r="O330" s="17"/>
      <c r="P330" s="22"/>
      <c r="Q330" s="22"/>
      <c r="R330" s="28" t="str">
        <f aca="true">IF(OR(P330="",Q330&lt;&gt;"",O330="キャンセル"),"",P330-TODAY())</f>
        <v/>
      </c>
      <c r="S330" s="29"/>
      <c r="T330" s="22"/>
      <c r="U330" s="17"/>
      <c r="V330" s="22"/>
      <c r="W330" s="19" t="str">
        <f aca="true">IF(B330="","",IF(OR(O330="開通済",Q330&lt;&gt;""),"完了",IF(O330="キャンセル","―",IF(AND(V330&lt;&gt;"",V330&lt;TODAY()),"対応期限超過",IF(AND(P330&lt;&gt;"",P330&lt;TODAY()),"開通予定日超過",IF(AND(V330&lt;&gt;"",V330=TODAY()),"本日対応",IF(AND(P330&lt;&gt;"",P330-TODAY()&lt;=3),"開通間近","")))))))</f>
        <v/>
      </c>
      <c r="X330" s="17"/>
    </row>
    <row r="331" customFormat="false" ht="15" hidden="false" customHeight="false" outlineLevel="0" collapsed="false">
      <c r="A331" s="12" t="str">
        <f aca="false">IF(B331="","",ROW()-4)</f>
        <v/>
      </c>
      <c r="B331" s="17"/>
      <c r="C331" s="19" t="str">
        <f aca="false">IF(B331="","",IFERROR(INDEX(顧客一覧!$C$5:$C$304,MATCH(B331,顧客一覧!$B$5:$B$304,0)),"※ID未登録"))</f>
        <v/>
      </c>
      <c r="D331" s="12" t="str">
        <f aca="false">IF(B331="","",IFERROR(INDEX(顧客一覧!$K$5:$K$304,MATCH(B331,顧客一覧!$B$5:$B$304,0))&amp;"",""))</f>
        <v/>
      </c>
      <c r="E331" s="17"/>
      <c r="F331" s="17"/>
      <c r="G331" s="29"/>
      <c r="H331" s="17"/>
      <c r="I331" s="29"/>
      <c r="J331" s="26" t="str">
        <f aca="false">IF(OR(G331="",I331=""),"",G331-I331)</f>
        <v/>
      </c>
      <c r="K331" s="26" t="str">
        <f aca="false">IF(J331="","",J331*12)</f>
        <v/>
      </c>
      <c r="L331" s="29"/>
      <c r="M331" s="27" t="str">
        <f aca="false">IF(OR(L331="",J331=""),"",IF(J331&lt;=0,"回収不可",L331/J331))</f>
        <v/>
      </c>
      <c r="N331" s="22"/>
      <c r="O331" s="17"/>
      <c r="P331" s="22"/>
      <c r="Q331" s="22"/>
      <c r="R331" s="28" t="str">
        <f aca="true">IF(OR(P331="",Q331&lt;&gt;"",O331="キャンセル"),"",P331-TODAY())</f>
        <v/>
      </c>
      <c r="S331" s="29"/>
      <c r="T331" s="22"/>
      <c r="U331" s="17"/>
      <c r="V331" s="22"/>
      <c r="W331" s="19" t="str">
        <f aca="true">IF(B331="","",IF(OR(O331="開通済",Q331&lt;&gt;""),"完了",IF(O331="キャンセル","―",IF(AND(V331&lt;&gt;"",V331&lt;TODAY()),"対応期限超過",IF(AND(P331&lt;&gt;"",P331&lt;TODAY()),"開通予定日超過",IF(AND(V331&lt;&gt;"",V331=TODAY()),"本日対応",IF(AND(P331&lt;&gt;"",P331-TODAY()&lt;=3),"開通間近","")))))))</f>
        <v/>
      </c>
      <c r="X331" s="17"/>
    </row>
    <row r="332" customFormat="false" ht="15" hidden="false" customHeight="false" outlineLevel="0" collapsed="false">
      <c r="A332" s="12" t="str">
        <f aca="false">IF(B332="","",ROW()-4)</f>
        <v/>
      </c>
      <c r="B332" s="17"/>
      <c r="C332" s="19" t="str">
        <f aca="false">IF(B332="","",IFERROR(INDEX(顧客一覧!$C$5:$C$304,MATCH(B332,顧客一覧!$B$5:$B$304,0)),"※ID未登録"))</f>
        <v/>
      </c>
      <c r="D332" s="12" t="str">
        <f aca="false">IF(B332="","",IFERROR(INDEX(顧客一覧!$K$5:$K$304,MATCH(B332,顧客一覧!$B$5:$B$304,0))&amp;"",""))</f>
        <v/>
      </c>
      <c r="E332" s="17"/>
      <c r="F332" s="17"/>
      <c r="G332" s="29"/>
      <c r="H332" s="17"/>
      <c r="I332" s="29"/>
      <c r="J332" s="26" t="str">
        <f aca="false">IF(OR(G332="",I332=""),"",G332-I332)</f>
        <v/>
      </c>
      <c r="K332" s="26" t="str">
        <f aca="false">IF(J332="","",J332*12)</f>
        <v/>
      </c>
      <c r="L332" s="29"/>
      <c r="M332" s="27" t="str">
        <f aca="false">IF(OR(L332="",J332=""),"",IF(J332&lt;=0,"回収不可",L332/J332))</f>
        <v/>
      </c>
      <c r="N332" s="22"/>
      <c r="O332" s="17"/>
      <c r="P332" s="22"/>
      <c r="Q332" s="22"/>
      <c r="R332" s="28" t="str">
        <f aca="true">IF(OR(P332="",Q332&lt;&gt;"",O332="キャンセル"),"",P332-TODAY())</f>
        <v/>
      </c>
      <c r="S332" s="29"/>
      <c r="T332" s="22"/>
      <c r="U332" s="17"/>
      <c r="V332" s="22"/>
      <c r="W332" s="19" t="str">
        <f aca="true">IF(B332="","",IF(OR(O332="開通済",Q332&lt;&gt;""),"完了",IF(O332="キャンセル","―",IF(AND(V332&lt;&gt;"",V332&lt;TODAY()),"対応期限超過",IF(AND(P332&lt;&gt;"",P332&lt;TODAY()),"開通予定日超過",IF(AND(V332&lt;&gt;"",V332=TODAY()),"本日対応",IF(AND(P332&lt;&gt;"",P332-TODAY()&lt;=3),"開通間近","")))))))</f>
        <v/>
      </c>
      <c r="X332" s="17"/>
    </row>
    <row r="333" customFormat="false" ht="15" hidden="false" customHeight="false" outlineLevel="0" collapsed="false">
      <c r="A333" s="12" t="str">
        <f aca="false">IF(B333="","",ROW()-4)</f>
        <v/>
      </c>
      <c r="B333" s="17"/>
      <c r="C333" s="19" t="str">
        <f aca="false">IF(B333="","",IFERROR(INDEX(顧客一覧!$C$5:$C$304,MATCH(B333,顧客一覧!$B$5:$B$304,0)),"※ID未登録"))</f>
        <v/>
      </c>
      <c r="D333" s="12" t="str">
        <f aca="false">IF(B333="","",IFERROR(INDEX(顧客一覧!$K$5:$K$304,MATCH(B333,顧客一覧!$B$5:$B$304,0))&amp;"",""))</f>
        <v/>
      </c>
      <c r="E333" s="17"/>
      <c r="F333" s="17"/>
      <c r="G333" s="29"/>
      <c r="H333" s="17"/>
      <c r="I333" s="29"/>
      <c r="J333" s="26" t="str">
        <f aca="false">IF(OR(G333="",I333=""),"",G333-I333)</f>
        <v/>
      </c>
      <c r="K333" s="26" t="str">
        <f aca="false">IF(J333="","",J333*12)</f>
        <v/>
      </c>
      <c r="L333" s="29"/>
      <c r="M333" s="27" t="str">
        <f aca="false">IF(OR(L333="",J333=""),"",IF(J333&lt;=0,"回収不可",L333/J333))</f>
        <v/>
      </c>
      <c r="N333" s="22"/>
      <c r="O333" s="17"/>
      <c r="P333" s="22"/>
      <c r="Q333" s="22"/>
      <c r="R333" s="28" t="str">
        <f aca="true">IF(OR(P333="",Q333&lt;&gt;"",O333="キャンセル"),"",P333-TODAY())</f>
        <v/>
      </c>
      <c r="S333" s="29"/>
      <c r="T333" s="22"/>
      <c r="U333" s="17"/>
      <c r="V333" s="22"/>
      <c r="W333" s="19" t="str">
        <f aca="true">IF(B333="","",IF(OR(O333="開通済",Q333&lt;&gt;""),"完了",IF(O333="キャンセル","―",IF(AND(V333&lt;&gt;"",V333&lt;TODAY()),"対応期限超過",IF(AND(P333&lt;&gt;"",P333&lt;TODAY()),"開通予定日超過",IF(AND(V333&lt;&gt;"",V333=TODAY()),"本日対応",IF(AND(P333&lt;&gt;"",P333-TODAY()&lt;=3),"開通間近","")))))))</f>
        <v/>
      </c>
      <c r="X333" s="17"/>
    </row>
    <row r="334" customFormat="false" ht="15" hidden="false" customHeight="false" outlineLevel="0" collapsed="false">
      <c r="A334" s="12" t="str">
        <f aca="false">IF(B334="","",ROW()-4)</f>
        <v/>
      </c>
      <c r="B334" s="17"/>
      <c r="C334" s="19" t="str">
        <f aca="false">IF(B334="","",IFERROR(INDEX(顧客一覧!$C$5:$C$304,MATCH(B334,顧客一覧!$B$5:$B$304,0)),"※ID未登録"))</f>
        <v/>
      </c>
      <c r="D334" s="12" t="str">
        <f aca="false">IF(B334="","",IFERROR(INDEX(顧客一覧!$K$5:$K$304,MATCH(B334,顧客一覧!$B$5:$B$304,0))&amp;"",""))</f>
        <v/>
      </c>
      <c r="E334" s="17"/>
      <c r="F334" s="17"/>
      <c r="G334" s="29"/>
      <c r="H334" s="17"/>
      <c r="I334" s="29"/>
      <c r="J334" s="26" t="str">
        <f aca="false">IF(OR(G334="",I334=""),"",G334-I334)</f>
        <v/>
      </c>
      <c r="K334" s="26" t="str">
        <f aca="false">IF(J334="","",J334*12)</f>
        <v/>
      </c>
      <c r="L334" s="29"/>
      <c r="M334" s="27" t="str">
        <f aca="false">IF(OR(L334="",J334=""),"",IF(J334&lt;=0,"回収不可",L334/J334))</f>
        <v/>
      </c>
      <c r="N334" s="22"/>
      <c r="O334" s="17"/>
      <c r="P334" s="22"/>
      <c r="Q334" s="22"/>
      <c r="R334" s="28" t="str">
        <f aca="true">IF(OR(P334="",Q334&lt;&gt;"",O334="キャンセル"),"",P334-TODAY())</f>
        <v/>
      </c>
      <c r="S334" s="29"/>
      <c r="T334" s="22"/>
      <c r="U334" s="17"/>
      <c r="V334" s="22"/>
      <c r="W334" s="19" t="str">
        <f aca="true">IF(B334="","",IF(OR(O334="開通済",Q334&lt;&gt;""),"完了",IF(O334="キャンセル","―",IF(AND(V334&lt;&gt;"",V334&lt;TODAY()),"対応期限超過",IF(AND(P334&lt;&gt;"",P334&lt;TODAY()),"開通予定日超過",IF(AND(V334&lt;&gt;"",V334=TODAY()),"本日対応",IF(AND(P334&lt;&gt;"",P334-TODAY()&lt;=3),"開通間近","")))))))</f>
        <v/>
      </c>
      <c r="X334" s="17"/>
    </row>
    <row r="335" customFormat="false" ht="15" hidden="false" customHeight="false" outlineLevel="0" collapsed="false">
      <c r="A335" s="12" t="str">
        <f aca="false">IF(B335="","",ROW()-4)</f>
        <v/>
      </c>
      <c r="B335" s="17"/>
      <c r="C335" s="19" t="str">
        <f aca="false">IF(B335="","",IFERROR(INDEX(顧客一覧!$C$5:$C$304,MATCH(B335,顧客一覧!$B$5:$B$304,0)),"※ID未登録"))</f>
        <v/>
      </c>
      <c r="D335" s="12" t="str">
        <f aca="false">IF(B335="","",IFERROR(INDEX(顧客一覧!$K$5:$K$304,MATCH(B335,顧客一覧!$B$5:$B$304,0))&amp;"",""))</f>
        <v/>
      </c>
      <c r="E335" s="17"/>
      <c r="F335" s="17"/>
      <c r="G335" s="29"/>
      <c r="H335" s="17"/>
      <c r="I335" s="29"/>
      <c r="J335" s="26" t="str">
        <f aca="false">IF(OR(G335="",I335=""),"",G335-I335)</f>
        <v/>
      </c>
      <c r="K335" s="26" t="str">
        <f aca="false">IF(J335="","",J335*12)</f>
        <v/>
      </c>
      <c r="L335" s="29"/>
      <c r="M335" s="27" t="str">
        <f aca="false">IF(OR(L335="",J335=""),"",IF(J335&lt;=0,"回収不可",L335/J335))</f>
        <v/>
      </c>
      <c r="N335" s="22"/>
      <c r="O335" s="17"/>
      <c r="P335" s="22"/>
      <c r="Q335" s="22"/>
      <c r="R335" s="28" t="str">
        <f aca="true">IF(OR(P335="",Q335&lt;&gt;"",O335="キャンセル"),"",P335-TODAY())</f>
        <v/>
      </c>
      <c r="S335" s="29"/>
      <c r="T335" s="22"/>
      <c r="U335" s="17"/>
      <c r="V335" s="22"/>
      <c r="W335" s="19" t="str">
        <f aca="true">IF(B335="","",IF(OR(O335="開通済",Q335&lt;&gt;""),"完了",IF(O335="キャンセル","―",IF(AND(V335&lt;&gt;"",V335&lt;TODAY()),"対応期限超過",IF(AND(P335&lt;&gt;"",P335&lt;TODAY()),"開通予定日超過",IF(AND(V335&lt;&gt;"",V335=TODAY()),"本日対応",IF(AND(P335&lt;&gt;"",P335-TODAY()&lt;=3),"開通間近","")))))))</f>
        <v/>
      </c>
      <c r="X335" s="17"/>
    </row>
    <row r="336" customFormat="false" ht="15" hidden="false" customHeight="false" outlineLevel="0" collapsed="false">
      <c r="A336" s="12" t="str">
        <f aca="false">IF(B336="","",ROW()-4)</f>
        <v/>
      </c>
      <c r="B336" s="17"/>
      <c r="C336" s="19" t="str">
        <f aca="false">IF(B336="","",IFERROR(INDEX(顧客一覧!$C$5:$C$304,MATCH(B336,顧客一覧!$B$5:$B$304,0)),"※ID未登録"))</f>
        <v/>
      </c>
      <c r="D336" s="12" t="str">
        <f aca="false">IF(B336="","",IFERROR(INDEX(顧客一覧!$K$5:$K$304,MATCH(B336,顧客一覧!$B$5:$B$304,0))&amp;"",""))</f>
        <v/>
      </c>
      <c r="E336" s="17"/>
      <c r="F336" s="17"/>
      <c r="G336" s="29"/>
      <c r="H336" s="17"/>
      <c r="I336" s="29"/>
      <c r="J336" s="26" t="str">
        <f aca="false">IF(OR(G336="",I336=""),"",G336-I336)</f>
        <v/>
      </c>
      <c r="K336" s="26" t="str">
        <f aca="false">IF(J336="","",J336*12)</f>
        <v/>
      </c>
      <c r="L336" s="29"/>
      <c r="M336" s="27" t="str">
        <f aca="false">IF(OR(L336="",J336=""),"",IF(J336&lt;=0,"回収不可",L336/J336))</f>
        <v/>
      </c>
      <c r="N336" s="22"/>
      <c r="O336" s="17"/>
      <c r="P336" s="22"/>
      <c r="Q336" s="22"/>
      <c r="R336" s="28" t="str">
        <f aca="true">IF(OR(P336="",Q336&lt;&gt;"",O336="キャンセル"),"",P336-TODAY())</f>
        <v/>
      </c>
      <c r="S336" s="29"/>
      <c r="T336" s="22"/>
      <c r="U336" s="17"/>
      <c r="V336" s="22"/>
      <c r="W336" s="19" t="str">
        <f aca="true">IF(B336="","",IF(OR(O336="開通済",Q336&lt;&gt;""),"完了",IF(O336="キャンセル","―",IF(AND(V336&lt;&gt;"",V336&lt;TODAY()),"対応期限超過",IF(AND(P336&lt;&gt;"",P336&lt;TODAY()),"開通予定日超過",IF(AND(V336&lt;&gt;"",V336=TODAY()),"本日対応",IF(AND(P336&lt;&gt;"",P336-TODAY()&lt;=3),"開通間近","")))))))</f>
        <v/>
      </c>
      <c r="X336" s="17"/>
    </row>
    <row r="337" customFormat="false" ht="15" hidden="false" customHeight="false" outlineLevel="0" collapsed="false">
      <c r="A337" s="12" t="str">
        <f aca="false">IF(B337="","",ROW()-4)</f>
        <v/>
      </c>
      <c r="B337" s="17"/>
      <c r="C337" s="19" t="str">
        <f aca="false">IF(B337="","",IFERROR(INDEX(顧客一覧!$C$5:$C$304,MATCH(B337,顧客一覧!$B$5:$B$304,0)),"※ID未登録"))</f>
        <v/>
      </c>
      <c r="D337" s="12" t="str">
        <f aca="false">IF(B337="","",IFERROR(INDEX(顧客一覧!$K$5:$K$304,MATCH(B337,顧客一覧!$B$5:$B$304,0))&amp;"",""))</f>
        <v/>
      </c>
      <c r="E337" s="17"/>
      <c r="F337" s="17"/>
      <c r="G337" s="29"/>
      <c r="H337" s="17"/>
      <c r="I337" s="29"/>
      <c r="J337" s="26" t="str">
        <f aca="false">IF(OR(G337="",I337=""),"",G337-I337)</f>
        <v/>
      </c>
      <c r="K337" s="26" t="str">
        <f aca="false">IF(J337="","",J337*12)</f>
        <v/>
      </c>
      <c r="L337" s="29"/>
      <c r="M337" s="27" t="str">
        <f aca="false">IF(OR(L337="",J337=""),"",IF(J337&lt;=0,"回収不可",L337/J337))</f>
        <v/>
      </c>
      <c r="N337" s="22"/>
      <c r="O337" s="17"/>
      <c r="P337" s="22"/>
      <c r="Q337" s="22"/>
      <c r="R337" s="28" t="str">
        <f aca="true">IF(OR(P337="",Q337&lt;&gt;"",O337="キャンセル"),"",P337-TODAY())</f>
        <v/>
      </c>
      <c r="S337" s="29"/>
      <c r="T337" s="22"/>
      <c r="U337" s="17"/>
      <c r="V337" s="22"/>
      <c r="W337" s="19" t="str">
        <f aca="true">IF(B337="","",IF(OR(O337="開通済",Q337&lt;&gt;""),"完了",IF(O337="キャンセル","―",IF(AND(V337&lt;&gt;"",V337&lt;TODAY()),"対応期限超過",IF(AND(P337&lt;&gt;"",P337&lt;TODAY()),"開通予定日超過",IF(AND(V337&lt;&gt;"",V337=TODAY()),"本日対応",IF(AND(P337&lt;&gt;"",P337-TODAY()&lt;=3),"開通間近","")))))))</f>
        <v/>
      </c>
      <c r="X337" s="17"/>
    </row>
    <row r="338" customFormat="false" ht="15" hidden="false" customHeight="false" outlineLevel="0" collapsed="false">
      <c r="A338" s="12" t="str">
        <f aca="false">IF(B338="","",ROW()-4)</f>
        <v/>
      </c>
      <c r="B338" s="17"/>
      <c r="C338" s="19" t="str">
        <f aca="false">IF(B338="","",IFERROR(INDEX(顧客一覧!$C$5:$C$304,MATCH(B338,顧客一覧!$B$5:$B$304,0)),"※ID未登録"))</f>
        <v/>
      </c>
      <c r="D338" s="12" t="str">
        <f aca="false">IF(B338="","",IFERROR(INDEX(顧客一覧!$K$5:$K$304,MATCH(B338,顧客一覧!$B$5:$B$304,0))&amp;"",""))</f>
        <v/>
      </c>
      <c r="E338" s="17"/>
      <c r="F338" s="17"/>
      <c r="G338" s="29"/>
      <c r="H338" s="17"/>
      <c r="I338" s="29"/>
      <c r="J338" s="26" t="str">
        <f aca="false">IF(OR(G338="",I338=""),"",G338-I338)</f>
        <v/>
      </c>
      <c r="K338" s="26" t="str">
        <f aca="false">IF(J338="","",J338*12)</f>
        <v/>
      </c>
      <c r="L338" s="29"/>
      <c r="M338" s="27" t="str">
        <f aca="false">IF(OR(L338="",J338=""),"",IF(J338&lt;=0,"回収不可",L338/J338))</f>
        <v/>
      </c>
      <c r="N338" s="22"/>
      <c r="O338" s="17"/>
      <c r="P338" s="22"/>
      <c r="Q338" s="22"/>
      <c r="R338" s="28" t="str">
        <f aca="true">IF(OR(P338="",Q338&lt;&gt;"",O338="キャンセル"),"",P338-TODAY())</f>
        <v/>
      </c>
      <c r="S338" s="29"/>
      <c r="T338" s="22"/>
      <c r="U338" s="17"/>
      <c r="V338" s="22"/>
      <c r="W338" s="19" t="str">
        <f aca="true">IF(B338="","",IF(OR(O338="開通済",Q338&lt;&gt;""),"完了",IF(O338="キャンセル","―",IF(AND(V338&lt;&gt;"",V338&lt;TODAY()),"対応期限超過",IF(AND(P338&lt;&gt;"",P338&lt;TODAY()),"開通予定日超過",IF(AND(V338&lt;&gt;"",V338=TODAY()),"本日対応",IF(AND(P338&lt;&gt;"",P338-TODAY()&lt;=3),"開通間近","")))))))</f>
        <v/>
      </c>
      <c r="X338" s="17"/>
    </row>
    <row r="339" customFormat="false" ht="15" hidden="false" customHeight="false" outlineLevel="0" collapsed="false">
      <c r="A339" s="12" t="str">
        <f aca="false">IF(B339="","",ROW()-4)</f>
        <v/>
      </c>
      <c r="B339" s="17"/>
      <c r="C339" s="19" t="str">
        <f aca="false">IF(B339="","",IFERROR(INDEX(顧客一覧!$C$5:$C$304,MATCH(B339,顧客一覧!$B$5:$B$304,0)),"※ID未登録"))</f>
        <v/>
      </c>
      <c r="D339" s="12" t="str">
        <f aca="false">IF(B339="","",IFERROR(INDEX(顧客一覧!$K$5:$K$304,MATCH(B339,顧客一覧!$B$5:$B$304,0))&amp;"",""))</f>
        <v/>
      </c>
      <c r="E339" s="17"/>
      <c r="F339" s="17"/>
      <c r="G339" s="29"/>
      <c r="H339" s="17"/>
      <c r="I339" s="29"/>
      <c r="J339" s="26" t="str">
        <f aca="false">IF(OR(G339="",I339=""),"",G339-I339)</f>
        <v/>
      </c>
      <c r="K339" s="26" t="str">
        <f aca="false">IF(J339="","",J339*12)</f>
        <v/>
      </c>
      <c r="L339" s="29"/>
      <c r="M339" s="27" t="str">
        <f aca="false">IF(OR(L339="",J339=""),"",IF(J339&lt;=0,"回収不可",L339/J339))</f>
        <v/>
      </c>
      <c r="N339" s="22"/>
      <c r="O339" s="17"/>
      <c r="P339" s="22"/>
      <c r="Q339" s="22"/>
      <c r="R339" s="28" t="str">
        <f aca="true">IF(OR(P339="",Q339&lt;&gt;"",O339="キャンセル"),"",P339-TODAY())</f>
        <v/>
      </c>
      <c r="S339" s="29"/>
      <c r="T339" s="22"/>
      <c r="U339" s="17"/>
      <c r="V339" s="22"/>
      <c r="W339" s="19" t="str">
        <f aca="true">IF(B339="","",IF(OR(O339="開通済",Q339&lt;&gt;""),"完了",IF(O339="キャンセル","―",IF(AND(V339&lt;&gt;"",V339&lt;TODAY()),"対応期限超過",IF(AND(P339&lt;&gt;"",P339&lt;TODAY()),"開通予定日超過",IF(AND(V339&lt;&gt;"",V339=TODAY()),"本日対応",IF(AND(P339&lt;&gt;"",P339-TODAY()&lt;=3),"開通間近","")))))))</f>
        <v/>
      </c>
      <c r="X339" s="17"/>
    </row>
    <row r="340" customFormat="false" ht="15" hidden="false" customHeight="false" outlineLevel="0" collapsed="false">
      <c r="A340" s="12" t="str">
        <f aca="false">IF(B340="","",ROW()-4)</f>
        <v/>
      </c>
      <c r="B340" s="17"/>
      <c r="C340" s="19" t="str">
        <f aca="false">IF(B340="","",IFERROR(INDEX(顧客一覧!$C$5:$C$304,MATCH(B340,顧客一覧!$B$5:$B$304,0)),"※ID未登録"))</f>
        <v/>
      </c>
      <c r="D340" s="12" t="str">
        <f aca="false">IF(B340="","",IFERROR(INDEX(顧客一覧!$K$5:$K$304,MATCH(B340,顧客一覧!$B$5:$B$304,0))&amp;"",""))</f>
        <v/>
      </c>
      <c r="E340" s="17"/>
      <c r="F340" s="17"/>
      <c r="G340" s="29"/>
      <c r="H340" s="17"/>
      <c r="I340" s="29"/>
      <c r="J340" s="26" t="str">
        <f aca="false">IF(OR(G340="",I340=""),"",G340-I340)</f>
        <v/>
      </c>
      <c r="K340" s="26" t="str">
        <f aca="false">IF(J340="","",J340*12)</f>
        <v/>
      </c>
      <c r="L340" s="29"/>
      <c r="M340" s="27" t="str">
        <f aca="false">IF(OR(L340="",J340=""),"",IF(J340&lt;=0,"回収不可",L340/J340))</f>
        <v/>
      </c>
      <c r="N340" s="22"/>
      <c r="O340" s="17"/>
      <c r="P340" s="22"/>
      <c r="Q340" s="22"/>
      <c r="R340" s="28" t="str">
        <f aca="true">IF(OR(P340="",Q340&lt;&gt;"",O340="キャンセル"),"",P340-TODAY())</f>
        <v/>
      </c>
      <c r="S340" s="29"/>
      <c r="T340" s="22"/>
      <c r="U340" s="17"/>
      <c r="V340" s="22"/>
      <c r="W340" s="19" t="str">
        <f aca="true">IF(B340="","",IF(OR(O340="開通済",Q340&lt;&gt;""),"完了",IF(O340="キャンセル","―",IF(AND(V340&lt;&gt;"",V340&lt;TODAY()),"対応期限超過",IF(AND(P340&lt;&gt;"",P340&lt;TODAY()),"開通予定日超過",IF(AND(V340&lt;&gt;"",V340=TODAY()),"本日対応",IF(AND(P340&lt;&gt;"",P340-TODAY()&lt;=3),"開通間近","")))))))</f>
        <v/>
      </c>
      <c r="X340" s="17"/>
    </row>
    <row r="341" customFormat="false" ht="15" hidden="false" customHeight="false" outlineLevel="0" collapsed="false">
      <c r="A341" s="12" t="str">
        <f aca="false">IF(B341="","",ROW()-4)</f>
        <v/>
      </c>
      <c r="B341" s="17"/>
      <c r="C341" s="19" t="str">
        <f aca="false">IF(B341="","",IFERROR(INDEX(顧客一覧!$C$5:$C$304,MATCH(B341,顧客一覧!$B$5:$B$304,0)),"※ID未登録"))</f>
        <v/>
      </c>
      <c r="D341" s="12" t="str">
        <f aca="false">IF(B341="","",IFERROR(INDEX(顧客一覧!$K$5:$K$304,MATCH(B341,顧客一覧!$B$5:$B$304,0))&amp;"",""))</f>
        <v/>
      </c>
      <c r="E341" s="17"/>
      <c r="F341" s="17"/>
      <c r="G341" s="29"/>
      <c r="H341" s="17"/>
      <c r="I341" s="29"/>
      <c r="J341" s="26" t="str">
        <f aca="false">IF(OR(G341="",I341=""),"",G341-I341)</f>
        <v/>
      </c>
      <c r="K341" s="26" t="str">
        <f aca="false">IF(J341="","",J341*12)</f>
        <v/>
      </c>
      <c r="L341" s="29"/>
      <c r="M341" s="27" t="str">
        <f aca="false">IF(OR(L341="",J341=""),"",IF(J341&lt;=0,"回収不可",L341/J341))</f>
        <v/>
      </c>
      <c r="N341" s="22"/>
      <c r="O341" s="17"/>
      <c r="P341" s="22"/>
      <c r="Q341" s="22"/>
      <c r="R341" s="28" t="str">
        <f aca="true">IF(OR(P341="",Q341&lt;&gt;"",O341="キャンセル"),"",P341-TODAY())</f>
        <v/>
      </c>
      <c r="S341" s="29"/>
      <c r="T341" s="22"/>
      <c r="U341" s="17"/>
      <c r="V341" s="22"/>
      <c r="W341" s="19" t="str">
        <f aca="true">IF(B341="","",IF(OR(O341="開通済",Q341&lt;&gt;""),"完了",IF(O341="キャンセル","―",IF(AND(V341&lt;&gt;"",V341&lt;TODAY()),"対応期限超過",IF(AND(P341&lt;&gt;"",P341&lt;TODAY()),"開通予定日超過",IF(AND(V341&lt;&gt;"",V341=TODAY()),"本日対応",IF(AND(P341&lt;&gt;"",P341-TODAY()&lt;=3),"開通間近","")))))))</f>
        <v/>
      </c>
      <c r="X341" s="17"/>
    </row>
    <row r="342" customFormat="false" ht="15" hidden="false" customHeight="false" outlineLevel="0" collapsed="false">
      <c r="A342" s="12" t="str">
        <f aca="false">IF(B342="","",ROW()-4)</f>
        <v/>
      </c>
      <c r="B342" s="17"/>
      <c r="C342" s="19" t="str">
        <f aca="false">IF(B342="","",IFERROR(INDEX(顧客一覧!$C$5:$C$304,MATCH(B342,顧客一覧!$B$5:$B$304,0)),"※ID未登録"))</f>
        <v/>
      </c>
      <c r="D342" s="12" t="str">
        <f aca="false">IF(B342="","",IFERROR(INDEX(顧客一覧!$K$5:$K$304,MATCH(B342,顧客一覧!$B$5:$B$304,0))&amp;"",""))</f>
        <v/>
      </c>
      <c r="E342" s="17"/>
      <c r="F342" s="17"/>
      <c r="G342" s="29"/>
      <c r="H342" s="17"/>
      <c r="I342" s="29"/>
      <c r="J342" s="26" t="str">
        <f aca="false">IF(OR(G342="",I342=""),"",G342-I342)</f>
        <v/>
      </c>
      <c r="K342" s="26" t="str">
        <f aca="false">IF(J342="","",J342*12)</f>
        <v/>
      </c>
      <c r="L342" s="29"/>
      <c r="M342" s="27" t="str">
        <f aca="false">IF(OR(L342="",J342=""),"",IF(J342&lt;=0,"回収不可",L342/J342))</f>
        <v/>
      </c>
      <c r="N342" s="22"/>
      <c r="O342" s="17"/>
      <c r="P342" s="22"/>
      <c r="Q342" s="22"/>
      <c r="R342" s="28" t="str">
        <f aca="true">IF(OR(P342="",Q342&lt;&gt;"",O342="キャンセル"),"",P342-TODAY())</f>
        <v/>
      </c>
      <c r="S342" s="29"/>
      <c r="T342" s="22"/>
      <c r="U342" s="17"/>
      <c r="V342" s="22"/>
      <c r="W342" s="19" t="str">
        <f aca="true">IF(B342="","",IF(OR(O342="開通済",Q342&lt;&gt;""),"完了",IF(O342="キャンセル","―",IF(AND(V342&lt;&gt;"",V342&lt;TODAY()),"対応期限超過",IF(AND(P342&lt;&gt;"",P342&lt;TODAY()),"開通予定日超過",IF(AND(V342&lt;&gt;"",V342=TODAY()),"本日対応",IF(AND(P342&lt;&gt;"",P342-TODAY()&lt;=3),"開通間近","")))))))</f>
        <v/>
      </c>
      <c r="X342" s="17"/>
    </row>
    <row r="343" customFormat="false" ht="15" hidden="false" customHeight="false" outlineLevel="0" collapsed="false">
      <c r="A343" s="12" t="str">
        <f aca="false">IF(B343="","",ROW()-4)</f>
        <v/>
      </c>
      <c r="B343" s="17"/>
      <c r="C343" s="19" t="str">
        <f aca="false">IF(B343="","",IFERROR(INDEX(顧客一覧!$C$5:$C$304,MATCH(B343,顧客一覧!$B$5:$B$304,0)),"※ID未登録"))</f>
        <v/>
      </c>
      <c r="D343" s="12" t="str">
        <f aca="false">IF(B343="","",IFERROR(INDEX(顧客一覧!$K$5:$K$304,MATCH(B343,顧客一覧!$B$5:$B$304,0))&amp;"",""))</f>
        <v/>
      </c>
      <c r="E343" s="17"/>
      <c r="F343" s="17"/>
      <c r="G343" s="29"/>
      <c r="H343" s="17"/>
      <c r="I343" s="29"/>
      <c r="J343" s="26" t="str">
        <f aca="false">IF(OR(G343="",I343=""),"",G343-I343)</f>
        <v/>
      </c>
      <c r="K343" s="26" t="str">
        <f aca="false">IF(J343="","",J343*12)</f>
        <v/>
      </c>
      <c r="L343" s="29"/>
      <c r="M343" s="27" t="str">
        <f aca="false">IF(OR(L343="",J343=""),"",IF(J343&lt;=0,"回収不可",L343/J343))</f>
        <v/>
      </c>
      <c r="N343" s="22"/>
      <c r="O343" s="17"/>
      <c r="P343" s="22"/>
      <c r="Q343" s="22"/>
      <c r="R343" s="28" t="str">
        <f aca="true">IF(OR(P343="",Q343&lt;&gt;"",O343="キャンセル"),"",P343-TODAY())</f>
        <v/>
      </c>
      <c r="S343" s="29"/>
      <c r="T343" s="22"/>
      <c r="U343" s="17"/>
      <c r="V343" s="22"/>
      <c r="W343" s="19" t="str">
        <f aca="true">IF(B343="","",IF(OR(O343="開通済",Q343&lt;&gt;""),"完了",IF(O343="キャンセル","―",IF(AND(V343&lt;&gt;"",V343&lt;TODAY()),"対応期限超過",IF(AND(P343&lt;&gt;"",P343&lt;TODAY()),"開通予定日超過",IF(AND(V343&lt;&gt;"",V343=TODAY()),"本日対応",IF(AND(P343&lt;&gt;"",P343-TODAY()&lt;=3),"開通間近","")))))))</f>
        <v/>
      </c>
      <c r="X343" s="17"/>
    </row>
    <row r="344" customFormat="false" ht="15" hidden="false" customHeight="false" outlineLevel="0" collapsed="false">
      <c r="A344" s="12" t="str">
        <f aca="false">IF(B344="","",ROW()-4)</f>
        <v/>
      </c>
      <c r="B344" s="17"/>
      <c r="C344" s="19" t="str">
        <f aca="false">IF(B344="","",IFERROR(INDEX(顧客一覧!$C$5:$C$304,MATCH(B344,顧客一覧!$B$5:$B$304,0)),"※ID未登録"))</f>
        <v/>
      </c>
      <c r="D344" s="12" t="str">
        <f aca="false">IF(B344="","",IFERROR(INDEX(顧客一覧!$K$5:$K$304,MATCH(B344,顧客一覧!$B$5:$B$304,0))&amp;"",""))</f>
        <v/>
      </c>
      <c r="E344" s="17"/>
      <c r="F344" s="17"/>
      <c r="G344" s="29"/>
      <c r="H344" s="17"/>
      <c r="I344" s="29"/>
      <c r="J344" s="26" t="str">
        <f aca="false">IF(OR(G344="",I344=""),"",G344-I344)</f>
        <v/>
      </c>
      <c r="K344" s="26" t="str">
        <f aca="false">IF(J344="","",J344*12)</f>
        <v/>
      </c>
      <c r="L344" s="29"/>
      <c r="M344" s="27" t="str">
        <f aca="false">IF(OR(L344="",J344=""),"",IF(J344&lt;=0,"回収不可",L344/J344))</f>
        <v/>
      </c>
      <c r="N344" s="22"/>
      <c r="O344" s="17"/>
      <c r="P344" s="22"/>
      <c r="Q344" s="22"/>
      <c r="R344" s="28" t="str">
        <f aca="true">IF(OR(P344="",Q344&lt;&gt;"",O344="キャンセル"),"",P344-TODAY())</f>
        <v/>
      </c>
      <c r="S344" s="29"/>
      <c r="T344" s="22"/>
      <c r="U344" s="17"/>
      <c r="V344" s="22"/>
      <c r="W344" s="19" t="str">
        <f aca="true">IF(B344="","",IF(OR(O344="開通済",Q344&lt;&gt;""),"完了",IF(O344="キャンセル","―",IF(AND(V344&lt;&gt;"",V344&lt;TODAY()),"対応期限超過",IF(AND(P344&lt;&gt;"",P344&lt;TODAY()),"開通予定日超過",IF(AND(V344&lt;&gt;"",V344=TODAY()),"本日対応",IF(AND(P344&lt;&gt;"",P344-TODAY()&lt;=3),"開通間近","")))))))</f>
        <v/>
      </c>
      <c r="X344" s="17"/>
    </row>
    <row r="345" customFormat="false" ht="15" hidden="false" customHeight="false" outlineLevel="0" collapsed="false">
      <c r="A345" s="12" t="str">
        <f aca="false">IF(B345="","",ROW()-4)</f>
        <v/>
      </c>
      <c r="B345" s="17"/>
      <c r="C345" s="19" t="str">
        <f aca="false">IF(B345="","",IFERROR(INDEX(顧客一覧!$C$5:$C$304,MATCH(B345,顧客一覧!$B$5:$B$304,0)),"※ID未登録"))</f>
        <v/>
      </c>
      <c r="D345" s="12" t="str">
        <f aca="false">IF(B345="","",IFERROR(INDEX(顧客一覧!$K$5:$K$304,MATCH(B345,顧客一覧!$B$5:$B$304,0))&amp;"",""))</f>
        <v/>
      </c>
      <c r="E345" s="17"/>
      <c r="F345" s="17"/>
      <c r="G345" s="29"/>
      <c r="H345" s="17"/>
      <c r="I345" s="29"/>
      <c r="J345" s="26" t="str">
        <f aca="false">IF(OR(G345="",I345=""),"",G345-I345)</f>
        <v/>
      </c>
      <c r="K345" s="26" t="str">
        <f aca="false">IF(J345="","",J345*12)</f>
        <v/>
      </c>
      <c r="L345" s="29"/>
      <c r="M345" s="27" t="str">
        <f aca="false">IF(OR(L345="",J345=""),"",IF(J345&lt;=0,"回収不可",L345/J345))</f>
        <v/>
      </c>
      <c r="N345" s="22"/>
      <c r="O345" s="17"/>
      <c r="P345" s="22"/>
      <c r="Q345" s="22"/>
      <c r="R345" s="28" t="str">
        <f aca="true">IF(OR(P345="",Q345&lt;&gt;"",O345="キャンセル"),"",P345-TODAY())</f>
        <v/>
      </c>
      <c r="S345" s="29"/>
      <c r="T345" s="22"/>
      <c r="U345" s="17"/>
      <c r="V345" s="22"/>
      <c r="W345" s="19" t="str">
        <f aca="true">IF(B345="","",IF(OR(O345="開通済",Q345&lt;&gt;""),"完了",IF(O345="キャンセル","―",IF(AND(V345&lt;&gt;"",V345&lt;TODAY()),"対応期限超過",IF(AND(P345&lt;&gt;"",P345&lt;TODAY()),"開通予定日超過",IF(AND(V345&lt;&gt;"",V345=TODAY()),"本日対応",IF(AND(P345&lt;&gt;"",P345-TODAY()&lt;=3),"開通間近","")))))))</f>
        <v/>
      </c>
      <c r="X345" s="17"/>
    </row>
    <row r="346" customFormat="false" ht="15" hidden="false" customHeight="false" outlineLevel="0" collapsed="false">
      <c r="A346" s="12" t="str">
        <f aca="false">IF(B346="","",ROW()-4)</f>
        <v/>
      </c>
      <c r="B346" s="17"/>
      <c r="C346" s="19" t="str">
        <f aca="false">IF(B346="","",IFERROR(INDEX(顧客一覧!$C$5:$C$304,MATCH(B346,顧客一覧!$B$5:$B$304,0)),"※ID未登録"))</f>
        <v/>
      </c>
      <c r="D346" s="12" t="str">
        <f aca="false">IF(B346="","",IFERROR(INDEX(顧客一覧!$K$5:$K$304,MATCH(B346,顧客一覧!$B$5:$B$304,0))&amp;"",""))</f>
        <v/>
      </c>
      <c r="E346" s="17"/>
      <c r="F346" s="17"/>
      <c r="G346" s="29"/>
      <c r="H346" s="17"/>
      <c r="I346" s="29"/>
      <c r="J346" s="26" t="str">
        <f aca="false">IF(OR(G346="",I346=""),"",G346-I346)</f>
        <v/>
      </c>
      <c r="K346" s="26" t="str">
        <f aca="false">IF(J346="","",J346*12)</f>
        <v/>
      </c>
      <c r="L346" s="29"/>
      <c r="M346" s="27" t="str">
        <f aca="false">IF(OR(L346="",J346=""),"",IF(J346&lt;=0,"回収不可",L346/J346))</f>
        <v/>
      </c>
      <c r="N346" s="22"/>
      <c r="O346" s="17"/>
      <c r="P346" s="22"/>
      <c r="Q346" s="22"/>
      <c r="R346" s="28" t="str">
        <f aca="true">IF(OR(P346="",Q346&lt;&gt;"",O346="キャンセル"),"",P346-TODAY())</f>
        <v/>
      </c>
      <c r="S346" s="29"/>
      <c r="T346" s="22"/>
      <c r="U346" s="17"/>
      <c r="V346" s="22"/>
      <c r="W346" s="19" t="str">
        <f aca="true">IF(B346="","",IF(OR(O346="開通済",Q346&lt;&gt;""),"完了",IF(O346="キャンセル","―",IF(AND(V346&lt;&gt;"",V346&lt;TODAY()),"対応期限超過",IF(AND(P346&lt;&gt;"",P346&lt;TODAY()),"開通予定日超過",IF(AND(V346&lt;&gt;"",V346=TODAY()),"本日対応",IF(AND(P346&lt;&gt;"",P346-TODAY()&lt;=3),"開通間近","")))))))</f>
        <v/>
      </c>
      <c r="X346" s="17"/>
    </row>
    <row r="347" customFormat="false" ht="15" hidden="false" customHeight="false" outlineLevel="0" collapsed="false">
      <c r="A347" s="12" t="str">
        <f aca="false">IF(B347="","",ROW()-4)</f>
        <v/>
      </c>
      <c r="B347" s="17"/>
      <c r="C347" s="19" t="str">
        <f aca="false">IF(B347="","",IFERROR(INDEX(顧客一覧!$C$5:$C$304,MATCH(B347,顧客一覧!$B$5:$B$304,0)),"※ID未登録"))</f>
        <v/>
      </c>
      <c r="D347" s="12" t="str">
        <f aca="false">IF(B347="","",IFERROR(INDEX(顧客一覧!$K$5:$K$304,MATCH(B347,顧客一覧!$B$5:$B$304,0))&amp;"",""))</f>
        <v/>
      </c>
      <c r="E347" s="17"/>
      <c r="F347" s="17"/>
      <c r="G347" s="29"/>
      <c r="H347" s="17"/>
      <c r="I347" s="29"/>
      <c r="J347" s="26" t="str">
        <f aca="false">IF(OR(G347="",I347=""),"",G347-I347)</f>
        <v/>
      </c>
      <c r="K347" s="26" t="str">
        <f aca="false">IF(J347="","",J347*12)</f>
        <v/>
      </c>
      <c r="L347" s="29"/>
      <c r="M347" s="27" t="str">
        <f aca="false">IF(OR(L347="",J347=""),"",IF(J347&lt;=0,"回収不可",L347/J347))</f>
        <v/>
      </c>
      <c r="N347" s="22"/>
      <c r="O347" s="17"/>
      <c r="P347" s="22"/>
      <c r="Q347" s="22"/>
      <c r="R347" s="28" t="str">
        <f aca="true">IF(OR(P347="",Q347&lt;&gt;"",O347="キャンセル"),"",P347-TODAY())</f>
        <v/>
      </c>
      <c r="S347" s="29"/>
      <c r="T347" s="22"/>
      <c r="U347" s="17"/>
      <c r="V347" s="22"/>
      <c r="W347" s="19" t="str">
        <f aca="true">IF(B347="","",IF(OR(O347="開通済",Q347&lt;&gt;""),"完了",IF(O347="キャンセル","―",IF(AND(V347&lt;&gt;"",V347&lt;TODAY()),"対応期限超過",IF(AND(P347&lt;&gt;"",P347&lt;TODAY()),"開通予定日超過",IF(AND(V347&lt;&gt;"",V347=TODAY()),"本日対応",IF(AND(P347&lt;&gt;"",P347-TODAY()&lt;=3),"開通間近","")))))))</f>
        <v/>
      </c>
      <c r="X347" s="17"/>
    </row>
    <row r="348" customFormat="false" ht="15" hidden="false" customHeight="false" outlineLevel="0" collapsed="false">
      <c r="A348" s="12" t="str">
        <f aca="false">IF(B348="","",ROW()-4)</f>
        <v/>
      </c>
      <c r="B348" s="17"/>
      <c r="C348" s="19" t="str">
        <f aca="false">IF(B348="","",IFERROR(INDEX(顧客一覧!$C$5:$C$304,MATCH(B348,顧客一覧!$B$5:$B$304,0)),"※ID未登録"))</f>
        <v/>
      </c>
      <c r="D348" s="12" t="str">
        <f aca="false">IF(B348="","",IFERROR(INDEX(顧客一覧!$K$5:$K$304,MATCH(B348,顧客一覧!$B$5:$B$304,0))&amp;"",""))</f>
        <v/>
      </c>
      <c r="E348" s="17"/>
      <c r="F348" s="17"/>
      <c r="G348" s="29"/>
      <c r="H348" s="17"/>
      <c r="I348" s="29"/>
      <c r="J348" s="26" t="str">
        <f aca="false">IF(OR(G348="",I348=""),"",G348-I348)</f>
        <v/>
      </c>
      <c r="K348" s="26" t="str">
        <f aca="false">IF(J348="","",J348*12)</f>
        <v/>
      </c>
      <c r="L348" s="29"/>
      <c r="M348" s="27" t="str">
        <f aca="false">IF(OR(L348="",J348=""),"",IF(J348&lt;=0,"回収不可",L348/J348))</f>
        <v/>
      </c>
      <c r="N348" s="22"/>
      <c r="O348" s="17"/>
      <c r="P348" s="22"/>
      <c r="Q348" s="22"/>
      <c r="R348" s="28" t="str">
        <f aca="true">IF(OR(P348="",Q348&lt;&gt;"",O348="キャンセル"),"",P348-TODAY())</f>
        <v/>
      </c>
      <c r="S348" s="29"/>
      <c r="T348" s="22"/>
      <c r="U348" s="17"/>
      <c r="V348" s="22"/>
      <c r="W348" s="19" t="str">
        <f aca="true">IF(B348="","",IF(OR(O348="開通済",Q348&lt;&gt;""),"完了",IF(O348="キャンセル","―",IF(AND(V348&lt;&gt;"",V348&lt;TODAY()),"対応期限超過",IF(AND(P348&lt;&gt;"",P348&lt;TODAY()),"開通予定日超過",IF(AND(V348&lt;&gt;"",V348=TODAY()),"本日対応",IF(AND(P348&lt;&gt;"",P348-TODAY()&lt;=3),"開通間近","")))))))</f>
        <v/>
      </c>
      <c r="X348" s="17"/>
    </row>
    <row r="349" customFormat="false" ht="15" hidden="false" customHeight="false" outlineLevel="0" collapsed="false">
      <c r="A349" s="12" t="str">
        <f aca="false">IF(B349="","",ROW()-4)</f>
        <v/>
      </c>
      <c r="B349" s="17"/>
      <c r="C349" s="19" t="str">
        <f aca="false">IF(B349="","",IFERROR(INDEX(顧客一覧!$C$5:$C$304,MATCH(B349,顧客一覧!$B$5:$B$304,0)),"※ID未登録"))</f>
        <v/>
      </c>
      <c r="D349" s="12" t="str">
        <f aca="false">IF(B349="","",IFERROR(INDEX(顧客一覧!$K$5:$K$304,MATCH(B349,顧客一覧!$B$5:$B$304,0))&amp;"",""))</f>
        <v/>
      </c>
      <c r="E349" s="17"/>
      <c r="F349" s="17"/>
      <c r="G349" s="29"/>
      <c r="H349" s="17"/>
      <c r="I349" s="29"/>
      <c r="J349" s="26" t="str">
        <f aca="false">IF(OR(G349="",I349=""),"",G349-I349)</f>
        <v/>
      </c>
      <c r="K349" s="26" t="str">
        <f aca="false">IF(J349="","",J349*12)</f>
        <v/>
      </c>
      <c r="L349" s="29"/>
      <c r="M349" s="27" t="str">
        <f aca="false">IF(OR(L349="",J349=""),"",IF(J349&lt;=0,"回収不可",L349/J349))</f>
        <v/>
      </c>
      <c r="N349" s="22"/>
      <c r="O349" s="17"/>
      <c r="P349" s="22"/>
      <c r="Q349" s="22"/>
      <c r="R349" s="28" t="str">
        <f aca="true">IF(OR(P349="",Q349&lt;&gt;"",O349="キャンセル"),"",P349-TODAY())</f>
        <v/>
      </c>
      <c r="S349" s="29"/>
      <c r="T349" s="22"/>
      <c r="U349" s="17"/>
      <c r="V349" s="22"/>
      <c r="W349" s="19" t="str">
        <f aca="true">IF(B349="","",IF(OR(O349="開通済",Q349&lt;&gt;""),"完了",IF(O349="キャンセル","―",IF(AND(V349&lt;&gt;"",V349&lt;TODAY()),"対応期限超過",IF(AND(P349&lt;&gt;"",P349&lt;TODAY()),"開通予定日超過",IF(AND(V349&lt;&gt;"",V349=TODAY()),"本日対応",IF(AND(P349&lt;&gt;"",P349-TODAY()&lt;=3),"開通間近","")))))))</f>
        <v/>
      </c>
      <c r="X349" s="17"/>
    </row>
    <row r="350" customFormat="false" ht="15" hidden="false" customHeight="false" outlineLevel="0" collapsed="false">
      <c r="A350" s="12" t="str">
        <f aca="false">IF(B350="","",ROW()-4)</f>
        <v/>
      </c>
      <c r="B350" s="17"/>
      <c r="C350" s="19" t="str">
        <f aca="false">IF(B350="","",IFERROR(INDEX(顧客一覧!$C$5:$C$304,MATCH(B350,顧客一覧!$B$5:$B$304,0)),"※ID未登録"))</f>
        <v/>
      </c>
      <c r="D350" s="12" t="str">
        <f aca="false">IF(B350="","",IFERROR(INDEX(顧客一覧!$K$5:$K$304,MATCH(B350,顧客一覧!$B$5:$B$304,0))&amp;"",""))</f>
        <v/>
      </c>
      <c r="E350" s="17"/>
      <c r="F350" s="17"/>
      <c r="G350" s="29"/>
      <c r="H350" s="17"/>
      <c r="I350" s="29"/>
      <c r="J350" s="26" t="str">
        <f aca="false">IF(OR(G350="",I350=""),"",G350-I350)</f>
        <v/>
      </c>
      <c r="K350" s="26" t="str">
        <f aca="false">IF(J350="","",J350*12)</f>
        <v/>
      </c>
      <c r="L350" s="29"/>
      <c r="M350" s="27" t="str">
        <f aca="false">IF(OR(L350="",J350=""),"",IF(J350&lt;=0,"回収不可",L350/J350))</f>
        <v/>
      </c>
      <c r="N350" s="22"/>
      <c r="O350" s="17"/>
      <c r="P350" s="22"/>
      <c r="Q350" s="22"/>
      <c r="R350" s="28" t="str">
        <f aca="true">IF(OR(P350="",Q350&lt;&gt;"",O350="キャンセル"),"",P350-TODAY())</f>
        <v/>
      </c>
      <c r="S350" s="29"/>
      <c r="T350" s="22"/>
      <c r="U350" s="17"/>
      <c r="V350" s="22"/>
      <c r="W350" s="19" t="str">
        <f aca="true">IF(B350="","",IF(OR(O350="開通済",Q350&lt;&gt;""),"完了",IF(O350="キャンセル","―",IF(AND(V350&lt;&gt;"",V350&lt;TODAY()),"対応期限超過",IF(AND(P350&lt;&gt;"",P350&lt;TODAY()),"開通予定日超過",IF(AND(V350&lt;&gt;"",V350=TODAY()),"本日対応",IF(AND(P350&lt;&gt;"",P350-TODAY()&lt;=3),"開通間近","")))))))</f>
        <v/>
      </c>
      <c r="X350" s="17"/>
    </row>
    <row r="351" customFormat="false" ht="15" hidden="false" customHeight="false" outlineLevel="0" collapsed="false">
      <c r="A351" s="12" t="str">
        <f aca="false">IF(B351="","",ROW()-4)</f>
        <v/>
      </c>
      <c r="B351" s="17"/>
      <c r="C351" s="19" t="str">
        <f aca="false">IF(B351="","",IFERROR(INDEX(顧客一覧!$C$5:$C$304,MATCH(B351,顧客一覧!$B$5:$B$304,0)),"※ID未登録"))</f>
        <v/>
      </c>
      <c r="D351" s="12" t="str">
        <f aca="false">IF(B351="","",IFERROR(INDEX(顧客一覧!$K$5:$K$304,MATCH(B351,顧客一覧!$B$5:$B$304,0))&amp;"",""))</f>
        <v/>
      </c>
      <c r="E351" s="17"/>
      <c r="F351" s="17"/>
      <c r="G351" s="29"/>
      <c r="H351" s="17"/>
      <c r="I351" s="29"/>
      <c r="J351" s="26" t="str">
        <f aca="false">IF(OR(G351="",I351=""),"",G351-I351)</f>
        <v/>
      </c>
      <c r="K351" s="26" t="str">
        <f aca="false">IF(J351="","",J351*12)</f>
        <v/>
      </c>
      <c r="L351" s="29"/>
      <c r="M351" s="27" t="str">
        <f aca="false">IF(OR(L351="",J351=""),"",IF(J351&lt;=0,"回収不可",L351/J351))</f>
        <v/>
      </c>
      <c r="N351" s="22"/>
      <c r="O351" s="17"/>
      <c r="P351" s="22"/>
      <c r="Q351" s="22"/>
      <c r="R351" s="28" t="str">
        <f aca="true">IF(OR(P351="",Q351&lt;&gt;"",O351="キャンセル"),"",P351-TODAY())</f>
        <v/>
      </c>
      <c r="S351" s="29"/>
      <c r="T351" s="22"/>
      <c r="U351" s="17"/>
      <c r="V351" s="22"/>
      <c r="W351" s="19" t="str">
        <f aca="true">IF(B351="","",IF(OR(O351="開通済",Q351&lt;&gt;""),"完了",IF(O351="キャンセル","―",IF(AND(V351&lt;&gt;"",V351&lt;TODAY()),"対応期限超過",IF(AND(P351&lt;&gt;"",P351&lt;TODAY()),"開通予定日超過",IF(AND(V351&lt;&gt;"",V351=TODAY()),"本日対応",IF(AND(P351&lt;&gt;"",P351-TODAY()&lt;=3),"開通間近","")))))))</f>
        <v/>
      </c>
      <c r="X351" s="17"/>
    </row>
    <row r="352" customFormat="false" ht="15" hidden="false" customHeight="false" outlineLevel="0" collapsed="false">
      <c r="A352" s="12" t="str">
        <f aca="false">IF(B352="","",ROW()-4)</f>
        <v/>
      </c>
      <c r="B352" s="17"/>
      <c r="C352" s="19" t="str">
        <f aca="false">IF(B352="","",IFERROR(INDEX(顧客一覧!$C$5:$C$304,MATCH(B352,顧客一覧!$B$5:$B$304,0)),"※ID未登録"))</f>
        <v/>
      </c>
      <c r="D352" s="12" t="str">
        <f aca="false">IF(B352="","",IFERROR(INDEX(顧客一覧!$K$5:$K$304,MATCH(B352,顧客一覧!$B$5:$B$304,0))&amp;"",""))</f>
        <v/>
      </c>
      <c r="E352" s="17"/>
      <c r="F352" s="17"/>
      <c r="G352" s="29"/>
      <c r="H352" s="17"/>
      <c r="I352" s="29"/>
      <c r="J352" s="26" t="str">
        <f aca="false">IF(OR(G352="",I352=""),"",G352-I352)</f>
        <v/>
      </c>
      <c r="K352" s="26" t="str">
        <f aca="false">IF(J352="","",J352*12)</f>
        <v/>
      </c>
      <c r="L352" s="29"/>
      <c r="M352" s="27" t="str">
        <f aca="false">IF(OR(L352="",J352=""),"",IF(J352&lt;=0,"回収不可",L352/J352))</f>
        <v/>
      </c>
      <c r="N352" s="22"/>
      <c r="O352" s="17"/>
      <c r="P352" s="22"/>
      <c r="Q352" s="22"/>
      <c r="R352" s="28" t="str">
        <f aca="true">IF(OR(P352="",Q352&lt;&gt;"",O352="キャンセル"),"",P352-TODAY())</f>
        <v/>
      </c>
      <c r="S352" s="29"/>
      <c r="T352" s="22"/>
      <c r="U352" s="17"/>
      <c r="V352" s="22"/>
      <c r="W352" s="19" t="str">
        <f aca="true">IF(B352="","",IF(OR(O352="開通済",Q352&lt;&gt;""),"完了",IF(O352="キャンセル","―",IF(AND(V352&lt;&gt;"",V352&lt;TODAY()),"対応期限超過",IF(AND(P352&lt;&gt;"",P352&lt;TODAY()),"開通予定日超過",IF(AND(V352&lt;&gt;"",V352=TODAY()),"本日対応",IF(AND(P352&lt;&gt;"",P352-TODAY()&lt;=3),"開通間近","")))))))</f>
        <v/>
      </c>
      <c r="X352" s="17"/>
    </row>
    <row r="353" customFormat="false" ht="15" hidden="false" customHeight="false" outlineLevel="0" collapsed="false">
      <c r="A353" s="12" t="str">
        <f aca="false">IF(B353="","",ROW()-4)</f>
        <v/>
      </c>
      <c r="B353" s="17"/>
      <c r="C353" s="19" t="str">
        <f aca="false">IF(B353="","",IFERROR(INDEX(顧客一覧!$C$5:$C$304,MATCH(B353,顧客一覧!$B$5:$B$304,0)),"※ID未登録"))</f>
        <v/>
      </c>
      <c r="D353" s="12" t="str">
        <f aca="false">IF(B353="","",IFERROR(INDEX(顧客一覧!$K$5:$K$304,MATCH(B353,顧客一覧!$B$5:$B$304,0))&amp;"",""))</f>
        <v/>
      </c>
      <c r="E353" s="17"/>
      <c r="F353" s="17"/>
      <c r="G353" s="29"/>
      <c r="H353" s="17"/>
      <c r="I353" s="29"/>
      <c r="J353" s="26" t="str">
        <f aca="false">IF(OR(G353="",I353=""),"",G353-I353)</f>
        <v/>
      </c>
      <c r="K353" s="26" t="str">
        <f aca="false">IF(J353="","",J353*12)</f>
        <v/>
      </c>
      <c r="L353" s="29"/>
      <c r="M353" s="27" t="str">
        <f aca="false">IF(OR(L353="",J353=""),"",IF(J353&lt;=0,"回収不可",L353/J353))</f>
        <v/>
      </c>
      <c r="N353" s="22"/>
      <c r="O353" s="17"/>
      <c r="P353" s="22"/>
      <c r="Q353" s="22"/>
      <c r="R353" s="28" t="str">
        <f aca="true">IF(OR(P353="",Q353&lt;&gt;"",O353="キャンセル"),"",P353-TODAY())</f>
        <v/>
      </c>
      <c r="S353" s="29"/>
      <c r="T353" s="22"/>
      <c r="U353" s="17"/>
      <c r="V353" s="22"/>
      <c r="W353" s="19" t="str">
        <f aca="true">IF(B353="","",IF(OR(O353="開通済",Q353&lt;&gt;""),"完了",IF(O353="キャンセル","―",IF(AND(V353&lt;&gt;"",V353&lt;TODAY()),"対応期限超過",IF(AND(P353&lt;&gt;"",P353&lt;TODAY()),"開通予定日超過",IF(AND(V353&lt;&gt;"",V353=TODAY()),"本日対応",IF(AND(P353&lt;&gt;"",P353-TODAY()&lt;=3),"開通間近","")))))))</f>
        <v/>
      </c>
      <c r="X353" s="17"/>
    </row>
    <row r="354" customFormat="false" ht="15" hidden="false" customHeight="false" outlineLevel="0" collapsed="false">
      <c r="A354" s="12" t="str">
        <f aca="false">IF(B354="","",ROW()-4)</f>
        <v/>
      </c>
      <c r="B354" s="17"/>
      <c r="C354" s="19" t="str">
        <f aca="false">IF(B354="","",IFERROR(INDEX(顧客一覧!$C$5:$C$304,MATCH(B354,顧客一覧!$B$5:$B$304,0)),"※ID未登録"))</f>
        <v/>
      </c>
      <c r="D354" s="12" t="str">
        <f aca="false">IF(B354="","",IFERROR(INDEX(顧客一覧!$K$5:$K$304,MATCH(B354,顧客一覧!$B$5:$B$304,0))&amp;"",""))</f>
        <v/>
      </c>
      <c r="E354" s="17"/>
      <c r="F354" s="17"/>
      <c r="G354" s="29"/>
      <c r="H354" s="17"/>
      <c r="I354" s="29"/>
      <c r="J354" s="26" t="str">
        <f aca="false">IF(OR(G354="",I354=""),"",G354-I354)</f>
        <v/>
      </c>
      <c r="K354" s="26" t="str">
        <f aca="false">IF(J354="","",J354*12)</f>
        <v/>
      </c>
      <c r="L354" s="29"/>
      <c r="M354" s="27" t="str">
        <f aca="false">IF(OR(L354="",J354=""),"",IF(J354&lt;=0,"回収不可",L354/J354))</f>
        <v/>
      </c>
      <c r="N354" s="22"/>
      <c r="O354" s="17"/>
      <c r="P354" s="22"/>
      <c r="Q354" s="22"/>
      <c r="R354" s="28" t="str">
        <f aca="true">IF(OR(P354="",Q354&lt;&gt;"",O354="キャンセル"),"",P354-TODAY())</f>
        <v/>
      </c>
      <c r="S354" s="29"/>
      <c r="T354" s="22"/>
      <c r="U354" s="17"/>
      <c r="V354" s="22"/>
      <c r="W354" s="19" t="str">
        <f aca="true">IF(B354="","",IF(OR(O354="開通済",Q354&lt;&gt;""),"完了",IF(O354="キャンセル","―",IF(AND(V354&lt;&gt;"",V354&lt;TODAY()),"対応期限超過",IF(AND(P354&lt;&gt;"",P354&lt;TODAY()),"開通予定日超過",IF(AND(V354&lt;&gt;"",V354=TODAY()),"本日対応",IF(AND(P354&lt;&gt;"",P354-TODAY()&lt;=3),"開通間近","")))))))</f>
        <v/>
      </c>
      <c r="X354" s="17"/>
    </row>
    <row r="355" customFormat="false" ht="15" hidden="false" customHeight="false" outlineLevel="0" collapsed="false">
      <c r="A355" s="12" t="str">
        <f aca="false">IF(B355="","",ROW()-4)</f>
        <v/>
      </c>
      <c r="B355" s="17"/>
      <c r="C355" s="19" t="str">
        <f aca="false">IF(B355="","",IFERROR(INDEX(顧客一覧!$C$5:$C$304,MATCH(B355,顧客一覧!$B$5:$B$304,0)),"※ID未登録"))</f>
        <v/>
      </c>
      <c r="D355" s="12" t="str">
        <f aca="false">IF(B355="","",IFERROR(INDEX(顧客一覧!$K$5:$K$304,MATCH(B355,顧客一覧!$B$5:$B$304,0))&amp;"",""))</f>
        <v/>
      </c>
      <c r="E355" s="17"/>
      <c r="F355" s="17"/>
      <c r="G355" s="29"/>
      <c r="H355" s="17"/>
      <c r="I355" s="29"/>
      <c r="J355" s="26" t="str">
        <f aca="false">IF(OR(G355="",I355=""),"",G355-I355)</f>
        <v/>
      </c>
      <c r="K355" s="26" t="str">
        <f aca="false">IF(J355="","",J355*12)</f>
        <v/>
      </c>
      <c r="L355" s="29"/>
      <c r="M355" s="27" t="str">
        <f aca="false">IF(OR(L355="",J355=""),"",IF(J355&lt;=0,"回収不可",L355/J355))</f>
        <v/>
      </c>
      <c r="N355" s="22"/>
      <c r="O355" s="17"/>
      <c r="P355" s="22"/>
      <c r="Q355" s="22"/>
      <c r="R355" s="28" t="str">
        <f aca="true">IF(OR(P355="",Q355&lt;&gt;"",O355="キャンセル"),"",P355-TODAY())</f>
        <v/>
      </c>
      <c r="S355" s="29"/>
      <c r="T355" s="22"/>
      <c r="U355" s="17"/>
      <c r="V355" s="22"/>
      <c r="W355" s="19" t="str">
        <f aca="true">IF(B355="","",IF(OR(O355="開通済",Q355&lt;&gt;""),"完了",IF(O355="キャンセル","―",IF(AND(V355&lt;&gt;"",V355&lt;TODAY()),"対応期限超過",IF(AND(P355&lt;&gt;"",P355&lt;TODAY()),"開通予定日超過",IF(AND(V355&lt;&gt;"",V355=TODAY()),"本日対応",IF(AND(P355&lt;&gt;"",P355-TODAY()&lt;=3),"開通間近","")))))))</f>
        <v/>
      </c>
      <c r="X355" s="17"/>
    </row>
    <row r="356" customFormat="false" ht="15" hidden="false" customHeight="false" outlineLevel="0" collapsed="false">
      <c r="A356" s="12" t="str">
        <f aca="false">IF(B356="","",ROW()-4)</f>
        <v/>
      </c>
      <c r="B356" s="17"/>
      <c r="C356" s="19" t="str">
        <f aca="false">IF(B356="","",IFERROR(INDEX(顧客一覧!$C$5:$C$304,MATCH(B356,顧客一覧!$B$5:$B$304,0)),"※ID未登録"))</f>
        <v/>
      </c>
      <c r="D356" s="12" t="str">
        <f aca="false">IF(B356="","",IFERROR(INDEX(顧客一覧!$K$5:$K$304,MATCH(B356,顧客一覧!$B$5:$B$304,0))&amp;"",""))</f>
        <v/>
      </c>
      <c r="E356" s="17"/>
      <c r="F356" s="17"/>
      <c r="G356" s="29"/>
      <c r="H356" s="17"/>
      <c r="I356" s="29"/>
      <c r="J356" s="26" t="str">
        <f aca="false">IF(OR(G356="",I356=""),"",G356-I356)</f>
        <v/>
      </c>
      <c r="K356" s="26" t="str">
        <f aca="false">IF(J356="","",J356*12)</f>
        <v/>
      </c>
      <c r="L356" s="29"/>
      <c r="M356" s="27" t="str">
        <f aca="false">IF(OR(L356="",J356=""),"",IF(J356&lt;=0,"回収不可",L356/J356))</f>
        <v/>
      </c>
      <c r="N356" s="22"/>
      <c r="O356" s="17"/>
      <c r="P356" s="22"/>
      <c r="Q356" s="22"/>
      <c r="R356" s="28" t="str">
        <f aca="true">IF(OR(P356="",Q356&lt;&gt;"",O356="キャンセル"),"",P356-TODAY())</f>
        <v/>
      </c>
      <c r="S356" s="29"/>
      <c r="T356" s="22"/>
      <c r="U356" s="17"/>
      <c r="V356" s="22"/>
      <c r="W356" s="19" t="str">
        <f aca="true">IF(B356="","",IF(OR(O356="開通済",Q356&lt;&gt;""),"完了",IF(O356="キャンセル","―",IF(AND(V356&lt;&gt;"",V356&lt;TODAY()),"対応期限超過",IF(AND(P356&lt;&gt;"",P356&lt;TODAY()),"開通予定日超過",IF(AND(V356&lt;&gt;"",V356=TODAY()),"本日対応",IF(AND(P356&lt;&gt;"",P356-TODAY()&lt;=3),"開通間近","")))))))</f>
        <v/>
      </c>
      <c r="X356" s="17"/>
    </row>
    <row r="357" customFormat="false" ht="15" hidden="false" customHeight="false" outlineLevel="0" collapsed="false">
      <c r="A357" s="12" t="str">
        <f aca="false">IF(B357="","",ROW()-4)</f>
        <v/>
      </c>
      <c r="B357" s="17"/>
      <c r="C357" s="19" t="str">
        <f aca="false">IF(B357="","",IFERROR(INDEX(顧客一覧!$C$5:$C$304,MATCH(B357,顧客一覧!$B$5:$B$304,0)),"※ID未登録"))</f>
        <v/>
      </c>
      <c r="D357" s="12" t="str">
        <f aca="false">IF(B357="","",IFERROR(INDEX(顧客一覧!$K$5:$K$304,MATCH(B357,顧客一覧!$B$5:$B$304,0))&amp;"",""))</f>
        <v/>
      </c>
      <c r="E357" s="17"/>
      <c r="F357" s="17"/>
      <c r="G357" s="29"/>
      <c r="H357" s="17"/>
      <c r="I357" s="29"/>
      <c r="J357" s="26" t="str">
        <f aca="false">IF(OR(G357="",I357=""),"",G357-I357)</f>
        <v/>
      </c>
      <c r="K357" s="26" t="str">
        <f aca="false">IF(J357="","",J357*12)</f>
        <v/>
      </c>
      <c r="L357" s="29"/>
      <c r="M357" s="27" t="str">
        <f aca="false">IF(OR(L357="",J357=""),"",IF(J357&lt;=0,"回収不可",L357/J357))</f>
        <v/>
      </c>
      <c r="N357" s="22"/>
      <c r="O357" s="17"/>
      <c r="P357" s="22"/>
      <c r="Q357" s="22"/>
      <c r="R357" s="28" t="str">
        <f aca="true">IF(OR(P357="",Q357&lt;&gt;"",O357="キャンセル"),"",P357-TODAY())</f>
        <v/>
      </c>
      <c r="S357" s="29"/>
      <c r="T357" s="22"/>
      <c r="U357" s="17"/>
      <c r="V357" s="22"/>
      <c r="W357" s="19" t="str">
        <f aca="true">IF(B357="","",IF(OR(O357="開通済",Q357&lt;&gt;""),"完了",IF(O357="キャンセル","―",IF(AND(V357&lt;&gt;"",V357&lt;TODAY()),"対応期限超過",IF(AND(P357&lt;&gt;"",P357&lt;TODAY()),"開通予定日超過",IF(AND(V357&lt;&gt;"",V357=TODAY()),"本日対応",IF(AND(P357&lt;&gt;"",P357-TODAY()&lt;=3),"開通間近","")))))))</f>
        <v/>
      </c>
      <c r="X357" s="17"/>
    </row>
    <row r="358" customFormat="false" ht="15" hidden="false" customHeight="false" outlineLevel="0" collapsed="false">
      <c r="A358" s="12" t="str">
        <f aca="false">IF(B358="","",ROW()-4)</f>
        <v/>
      </c>
      <c r="B358" s="17"/>
      <c r="C358" s="19" t="str">
        <f aca="false">IF(B358="","",IFERROR(INDEX(顧客一覧!$C$5:$C$304,MATCH(B358,顧客一覧!$B$5:$B$304,0)),"※ID未登録"))</f>
        <v/>
      </c>
      <c r="D358" s="12" t="str">
        <f aca="false">IF(B358="","",IFERROR(INDEX(顧客一覧!$K$5:$K$304,MATCH(B358,顧客一覧!$B$5:$B$304,0))&amp;"",""))</f>
        <v/>
      </c>
      <c r="E358" s="17"/>
      <c r="F358" s="17"/>
      <c r="G358" s="29"/>
      <c r="H358" s="17"/>
      <c r="I358" s="29"/>
      <c r="J358" s="26" t="str">
        <f aca="false">IF(OR(G358="",I358=""),"",G358-I358)</f>
        <v/>
      </c>
      <c r="K358" s="26" t="str">
        <f aca="false">IF(J358="","",J358*12)</f>
        <v/>
      </c>
      <c r="L358" s="29"/>
      <c r="M358" s="27" t="str">
        <f aca="false">IF(OR(L358="",J358=""),"",IF(J358&lt;=0,"回収不可",L358/J358))</f>
        <v/>
      </c>
      <c r="N358" s="22"/>
      <c r="O358" s="17"/>
      <c r="P358" s="22"/>
      <c r="Q358" s="22"/>
      <c r="R358" s="28" t="str">
        <f aca="true">IF(OR(P358="",Q358&lt;&gt;"",O358="キャンセル"),"",P358-TODAY())</f>
        <v/>
      </c>
      <c r="S358" s="29"/>
      <c r="T358" s="22"/>
      <c r="U358" s="17"/>
      <c r="V358" s="22"/>
      <c r="W358" s="19" t="str">
        <f aca="true">IF(B358="","",IF(OR(O358="開通済",Q358&lt;&gt;""),"完了",IF(O358="キャンセル","―",IF(AND(V358&lt;&gt;"",V358&lt;TODAY()),"対応期限超過",IF(AND(P358&lt;&gt;"",P358&lt;TODAY()),"開通予定日超過",IF(AND(V358&lt;&gt;"",V358=TODAY()),"本日対応",IF(AND(P358&lt;&gt;"",P358-TODAY()&lt;=3),"開通間近","")))))))</f>
        <v/>
      </c>
      <c r="X358" s="17"/>
    </row>
    <row r="359" customFormat="false" ht="15" hidden="false" customHeight="false" outlineLevel="0" collapsed="false">
      <c r="A359" s="12" t="str">
        <f aca="false">IF(B359="","",ROW()-4)</f>
        <v/>
      </c>
      <c r="B359" s="17"/>
      <c r="C359" s="19" t="str">
        <f aca="false">IF(B359="","",IFERROR(INDEX(顧客一覧!$C$5:$C$304,MATCH(B359,顧客一覧!$B$5:$B$304,0)),"※ID未登録"))</f>
        <v/>
      </c>
      <c r="D359" s="12" t="str">
        <f aca="false">IF(B359="","",IFERROR(INDEX(顧客一覧!$K$5:$K$304,MATCH(B359,顧客一覧!$B$5:$B$304,0))&amp;"",""))</f>
        <v/>
      </c>
      <c r="E359" s="17"/>
      <c r="F359" s="17"/>
      <c r="G359" s="29"/>
      <c r="H359" s="17"/>
      <c r="I359" s="29"/>
      <c r="J359" s="26" t="str">
        <f aca="false">IF(OR(G359="",I359=""),"",G359-I359)</f>
        <v/>
      </c>
      <c r="K359" s="26" t="str">
        <f aca="false">IF(J359="","",J359*12)</f>
        <v/>
      </c>
      <c r="L359" s="29"/>
      <c r="M359" s="27" t="str">
        <f aca="false">IF(OR(L359="",J359=""),"",IF(J359&lt;=0,"回収不可",L359/J359))</f>
        <v/>
      </c>
      <c r="N359" s="22"/>
      <c r="O359" s="17"/>
      <c r="P359" s="22"/>
      <c r="Q359" s="22"/>
      <c r="R359" s="28" t="str">
        <f aca="true">IF(OR(P359="",Q359&lt;&gt;"",O359="キャンセル"),"",P359-TODAY())</f>
        <v/>
      </c>
      <c r="S359" s="29"/>
      <c r="T359" s="22"/>
      <c r="U359" s="17"/>
      <c r="V359" s="22"/>
      <c r="W359" s="19" t="str">
        <f aca="true">IF(B359="","",IF(OR(O359="開通済",Q359&lt;&gt;""),"完了",IF(O359="キャンセル","―",IF(AND(V359&lt;&gt;"",V359&lt;TODAY()),"対応期限超過",IF(AND(P359&lt;&gt;"",P359&lt;TODAY()),"開通予定日超過",IF(AND(V359&lt;&gt;"",V359=TODAY()),"本日対応",IF(AND(P359&lt;&gt;"",P359-TODAY()&lt;=3),"開通間近","")))))))</f>
        <v/>
      </c>
      <c r="X359" s="17"/>
    </row>
    <row r="360" customFormat="false" ht="15" hidden="false" customHeight="false" outlineLevel="0" collapsed="false">
      <c r="A360" s="12" t="str">
        <f aca="false">IF(B360="","",ROW()-4)</f>
        <v/>
      </c>
      <c r="B360" s="17"/>
      <c r="C360" s="19" t="str">
        <f aca="false">IF(B360="","",IFERROR(INDEX(顧客一覧!$C$5:$C$304,MATCH(B360,顧客一覧!$B$5:$B$304,0)),"※ID未登録"))</f>
        <v/>
      </c>
      <c r="D360" s="12" t="str">
        <f aca="false">IF(B360="","",IFERROR(INDEX(顧客一覧!$K$5:$K$304,MATCH(B360,顧客一覧!$B$5:$B$304,0))&amp;"",""))</f>
        <v/>
      </c>
      <c r="E360" s="17"/>
      <c r="F360" s="17"/>
      <c r="G360" s="29"/>
      <c r="H360" s="17"/>
      <c r="I360" s="29"/>
      <c r="J360" s="26" t="str">
        <f aca="false">IF(OR(G360="",I360=""),"",G360-I360)</f>
        <v/>
      </c>
      <c r="K360" s="26" t="str">
        <f aca="false">IF(J360="","",J360*12)</f>
        <v/>
      </c>
      <c r="L360" s="29"/>
      <c r="M360" s="27" t="str">
        <f aca="false">IF(OR(L360="",J360=""),"",IF(J360&lt;=0,"回収不可",L360/J360))</f>
        <v/>
      </c>
      <c r="N360" s="22"/>
      <c r="O360" s="17"/>
      <c r="P360" s="22"/>
      <c r="Q360" s="22"/>
      <c r="R360" s="28" t="str">
        <f aca="true">IF(OR(P360="",Q360&lt;&gt;"",O360="キャンセル"),"",P360-TODAY())</f>
        <v/>
      </c>
      <c r="S360" s="29"/>
      <c r="T360" s="22"/>
      <c r="U360" s="17"/>
      <c r="V360" s="22"/>
      <c r="W360" s="19" t="str">
        <f aca="true">IF(B360="","",IF(OR(O360="開通済",Q360&lt;&gt;""),"完了",IF(O360="キャンセル","―",IF(AND(V360&lt;&gt;"",V360&lt;TODAY()),"対応期限超過",IF(AND(P360&lt;&gt;"",P360&lt;TODAY()),"開通予定日超過",IF(AND(V360&lt;&gt;"",V360=TODAY()),"本日対応",IF(AND(P360&lt;&gt;"",P360-TODAY()&lt;=3),"開通間近","")))))))</f>
        <v/>
      </c>
      <c r="X360" s="17"/>
    </row>
    <row r="361" customFormat="false" ht="15" hidden="false" customHeight="false" outlineLevel="0" collapsed="false">
      <c r="A361" s="12" t="str">
        <f aca="false">IF(B361="","",ROW()-4)</f>
        <v/>
      </c>
      <c r="B361" s="17"/>
      <c r="C361" s="19" t="str">
        <f aca="false">IF(B361="","",IFERROR(INDEX(顧客一覧!$C$5:$C$304,MATCH(B361,顧客一覧!$B$5:$B$304,0)),"※ID未登録"))</f>
        <v/>
      </c>
      <c r="D361" s="12" t="str">
        <f aca="false">IF(B361="","",IFERROR(INDEX(顧客一覧!$K$5:$K$304,MATCH(B361,顧客一覧!$B$5:$B$304,0))&amp;"",""))</f>
        <v/>
      </c>
      <c r="E361" s="17"/>
      <c r="F361" s="17"/>
      <c r="G361" s="29"/>
      <c r="H361" s="17"/>
      <c r="I361" s="29"/>
      <c r="J361" s="26" t="str">
        <f aca="false">IF(OR(G361="",I361=""),"",G361-I361)</f>
        <v/>
      </c>
      <c r="K361" s="26" t="str">
        <f aca="false">IF(J361="","",J361*12)</f>
        <v/>
      </c>
      <c r="L361" s="29"/>
      <c r="M361" s="27" t="str">
        <f aca="false">IF(OR(L361="",J361=""),"",IF(J361&lt;=0,"回収不可",L361/J361))</f>
        <v/>
      </c>
      <c r="N361" s="22"/>
      <c r="O361" s="17"/>
      <c r="P361" s="22"/>
      <c r="Q361" s="22"/>
      <c r="R361" s="28" t="str">
        <f aca="true">IF(OR(P361="",Q361&lt;&gt;"",O361="キャンセル"),"",P361-TODAY())</f>
        <v/>
      </c>
      <c r="S361" s="29"/>
      <c r="T361" s="22"/>
      <c r="U361" s="17"/>
      <c r="V361" s="22"/>
      <c r="W361" s="19" t="str">
        <f aca="true">IF(B361="","",IF(OR(O361="開通済",Q361&lt;&gt;""),"完了",IF(O361="キャンセル","―",IF(AND(V361&lt;&gt;"",V361&lt;TODAY()),"対応期限超過",IF(AND(P361&lt;&gt;"",P361&lt;TODAY()),"開通予定日超過",IF(AND(V361&lt;&gt;"",V361=TODAY()),"本日対応",IF(AND(P361&lt;&gt;"",P361-TODAY()&lt;=3),"開通間近","")))))))</f>
        <v/>
      </c>
      <c r="X361" s="17"/>
    </row>
    <row r="362" customFormat="false" ht="15" hidden="false" customHeight="false" outlineLevel="0" collapsed="false">
      <c r="A362" s="12" t="str">
        <f aca="false">IF(B362="","",ROW()-4)</f>
        <v/>
      </c>
      <c r="B362" s="17"/>
      <c r="C362" s="19" t="str">
        <f aca="false">IF(B362="","",IFERROR(INDEX(顧客一覧!$C$5:$C$304,MATCH(B362,顧客一覧!$B$5:$B$304,0)),"※ID未登録"))</f>
        <v/>
      </c>
      <c r="D362" s="12" t="str">
        <f aca="false">IF(B362="","",IFERROR(INDEX(顧客一覧!$K$5:$K$304,MATCH(B362,顧客一覧!$B$5:$B$304,0))&amp;"",""))</f>
        <v/>
      </c>
      <c r="E362" s="17"/>
      <c r="F362" s="17"/>
      <c r="G362" s="29"/>
      <c r="H362" s="17"/>
      <c r="I362" s="29"/>
      <c r="J362" s="26" t="str">
        <f aca="false">IF(OR(G362="",I362=""),"",G362-I362)</f>
        <v/>
      </c>
      <c r="K362" s="26" t="str">
        <f aca="false">IF(J362="","",J362*12)</f>
        <v/>
      </c>
      <c r="L362" s="29"/>
      <c r="M362" s="27" t="str">
        <f aca="false">IF(OR(L362="",J362=""),"",IF(J362&lt;=0,"回収不可",L362/J362))</f>
        <v/>
      </c>
      <c r="N362" s="22"/>
      <c r="O362" s="17"/>
      <c r="P362" s="22"/>
      <c r="Q362" s="22"/>
      <c r="R362" s="28" t="str">
        <f aca="true">IF(OR(P362="",Q362&lt;&gt;"",O362="キャンセル"),"",P362-TODAY())</f>
        <v/>
      </c>
      <c r="S362" s="29"/>
      <c r="T362" s="22"/>
      <c r="U362" s="17"/>
      <c r="V362" s="22"/>
      <c r="W362" s="19" t="str">
        <f aca="true">IF(B362="","",IF(OR(O362="開通済",Q362&lt;&gt;""),"完了",IF(O362="キャンセル","―",IF(AND(V362&lt;&gt;"",V362&lt;TODAY()),"対応期限超過",IF(AND(P362&lt;&gt;"",P362&lt;TODAY()),"開通予定日超過",IF(AND(V362&lt;&gt;"",V362=TODAY()),"本日対応",IF(AND(P362&lt;&gt;"",P362-TODAY()&lt;=3),"開通間近","")))))))</f>
        <v/>
      </c>
      <c r="X362" s="17"/>
    </row>
    <row r="363" customFormat="false" ht="15" hidden="false" customHeight="false" outlineLevel="0" collapsed="false">
      <c r="A363" s="12" t="str">
        <f aca="false">IF(B363="","",ROW()-4)</f>
        <v/>
      </c>
      <c r="B363" s="17"/>
      <c r="C363" s="19" t="str">
        <f aca="false">IF(B363="","",IFERROR(INDEX(顧客一覧!$C$5:$C$304,MATCH(B363,顧客一覧!$B$5:$B$304,0)),"※ID未登録"))</f>
        <v/>
      </c>
      <c r="D363" s="12" t="str">
        <f aca="false">IF(B363="","",IFERROR(INDEX(顧客一覧!$K$5:$K$304,MATCH(B363,顧客一覧!$B$5:$B$304,0))&amp;"",""))</f>
        <v/>
      </c>
      <c r="E363" s="17"/>
      <c r="F363" s="17"/>
      <c r="G363" s="29"/>
      <c r="H363" s="17"/>
      <c r="I363" s="29"/>
      <c r="J363" s="26" t="str">
        <f aca="false">IF(OR(G363="",I363=""),"",G363-I363)</f>
        <v/>
      </c>
      <c r="K363" s="26" t="str">
        <f aca="false">IF(J363="","",J363*12)</f>
        <v/>
      </c>
      <c r="L363" s="29"/>
      <c r="M363" s="27" t="str">
        <f aca="false">IF(OR(L363="",J363=""),"",IF(J363&lt;=0,"回収不可",L363/J363))</f>
        <v/>
      </c>
      <c r="N363" s="22"/>
      <c r="O363" s="17"/>
      <c r="P363" s="22"/>
      <c r="Q363" s="22"/>
      <c r="R363" s="28" t="str">
        <f aca="true">IF(OR(P363="",Q363&lt;&gt;"",O363="キャンセル"),"",P363-TODAY())</f>
        <v/>
      </c>
      <c r="S363" s="29"/>
      <c r="T363" s="22"/>
      <c r="U363" s="17"/>
      <c r="V363" s="22"/>
      <c r="W363" s="19" t="str">
        <f aca="true">IF(B363="","",IF(OR(O363="開通済",Q363&lt;&gt;""),"完了",IF(O363="キャンセル","―",IF(AND(V363&lt;&gt;"",V363&lt;TODAY()),"対応期限超過",IF(AND(P363&lt;&gt;"",P363&lt;TODAY()),"開通予定日超過",IF(AND(V363&lt;&gt;"",V363=TODAY()),"本日対応",IF(AND(P363&lt;&gt;"",P363-TODAY()&lt;=3),"開通間近","")))))))</f>
        <v/>
      </c>
      <c r="X363" s="17"/>
    </row>
    <row r="364" customFormat="false" ht="15" hidden="false" customHeight="false" outlineLevel="0" collapsed="false">
      <c r="A364" s="12" t="str">
        <f aca="false">IF(B364="","",ROW()-4)</f>
        <v/>
      </c>
      <c r="B364" s="17"/>
      <c r="C364" s="19" t="str">
        <f aca="false">IF(B364="","",IFERROR(INDEX(顧客一覧!$C$5:$C$304,MATCH(B364,顧客一覧!$B$5:$B$304,0)),"※ID未登録"))</f>
        <v/>
      </c>
      <c r="D364" s="12" t="str">
        <f aca="false">IF(B364="","",IFERROR(INDEX(顧客一覧!$K$5:$K$304,MATCH(B364,顧客一覧!$B$5:$B$304,0))&amp;"",""))</f>
        <v/>
      </c>
      <c r="E364" s="17"/>
      <c r="F364" s="17"/>
      <c r="G364" s="29"/>
      <c r="H364" s="17"/>
      <c r="I364" s="29"/>
      <c r="J364" s="26" t="str">
        <f aca="false">IF(OR(G364="",I364=""),"",G364-I364)</f>
        <v/>
      </c>
      <c r="K364" s="26" t="str">
        <f aca="false">IF(J364="","",J364*12)</f>
        <v/>
      </c>
      <c r="L364" s="29"/>
      <c r="M364" s="27" t="str">
        <f aca="false">IF(OR(L364="",J364=""),"",IF(J364&lt;=0,"回収不可",L364/J364))</f>
        <v/>
      </c>
      <c r="N364" s="22"/>
      <c r="O364" s="17"/>
      <c r="P364" s="22"/>
      <c r="Q364" s="22"/>
      <c r="R364" s="28" t="str">
        <f aca="true">IF(OR(P364="",Q364&lt;&gt;"",O364="キャンセル"),"",P364-TODAY())</f>
        <v/>
      </c>
      <c r="S364" s="29"/>
      <c r="T364" s="22"/>
      <c r="U364" s="17"/>
      <c r="V364" s="22"/>
      <c r="W364" s="19" t="str">
        <f aca="true">IF(B364="","",IF(OR(O364="開通済",Q364&lt;&gt;""),"完了",IF(O364="キャンセル","―",IF(AND(V364&lt;&gt;"",V364&lt;TODAY()),"対応期限超過",IF(AND(P364&lt;&gt;"",P364&lt;TODAY()),"開通予定日超過",IF(AND(V364&lt;&gt;"",V364=TODAY()),"本日対応",IF(AND(P364&lt;&gt;"",P364-TODAY()&lt;=3),"開通間近","")))))))</f>
        <v/>
      </c>
      <c r="X364" s="17"/>
    </row>
    <row r="365" customFormat="false" ht="15" hidden="false" customHeight="false" outlineLevel="0" collapsed="false">
      <c r="A365" s="12" t="str">
        <f aca="false">IF(B365="","",ROW()-4)</f>
        <v/>
      </c>
      <c r="B365" s="17"/>
      <c r="C365" s="19" t="str">
        <f aca="false">IF(B365="","",IFERROR(INDEX(顧客一覧!$C$5:$C$304,MATCH(B365,顧客一覧!$B$5:$B$304,0)),"※ID未登録"))</f>
        <v/>
      </c>
      <c r="D365" s="12" t="str">
        <f aca="false">IF(B365="","",IFERROR(INDEX(顧客一覧!$K$5:$K$304,MATCH(B365,顧客一覧!$B$5:$B$304,0))&amp;"",""))</f>
        <v/>
      </c>
      <c r="E365" s="17"/>
      <c r="F365" s="17"/>
      <c r="G365" s="29"/>
      <c r="H365" s="17"/>
      <c r="I365" s="29"/>
      <c r="J365" s="26" t="str">
        <f aca="false">IF(OR(G365="",I365=""),"",G365-I365)</f>
        <v/>
      </c>
      <c r="K365" s="26" t="str">
        <f aca="false">IF(J365="","",J365*12)</f>
        <v/>
      </c>
      <c r="L365" s="29"/>
      <c r="M365" s="27" t="str">
        <f aca="false">IF(OR(L365="",J365=""),"",IF(J365&lt;=0,"回収不可",L365/J365))</f>
        <v/>
      </c>
      <c r="N365" s="22"/>
      <c r="O365" s="17"/>
      <c r="P365" s="22"/>
      <c r="Q365" s="22"/>
      <c r="R365" s="28" t="str">
        <f aca="true">IF(OR(P365="",Q365&lt;&gt;"",O365="キャンセル"),"",P365-TODAY())</f>
        <v/>
      </c>
      <c r="S365" s="29"/>
      <c r="T365" s="22"/>
      <c r="U365" s="17"/>
      <c r="V365" s="22"/>
      <c r="W365" s="19" t="str">
        <f aca="true">IF(B365="","",IF(OR(O365="開通済",Q365&lt;&gt;""),"完了",IF(O365="キャンセル","―",IF(AND(V365&lt;&gt;"",V365&lt;TODAY()),"対応期限超過",IF(AND(P365&lt;&gt;"",P365&lt;TODAY()),"開通予定日超過",IF(AND(V365&lt;&gt;"",V365=TODAY()),"本日対応",IF(AND(P365&lt;&gt;"",P365-TODAY()&lt;=3),"開通間近","")))))))</f>
        <v/>
      </c>
      <c r="X365" s="17"/>
    </row>
    <row r="366" customFormat="false" ht="15" hidden="false" customHeight="false" outlineLevel="0" collapsed="false">
      <c r="A366" s="12" t="str">
        <f aca="false">IF(B366="","",ROW()-4)</f>
        <v/>
      </c>
      <c r="B366" s="17"/>
      <c r="C366" s="19" t="str">
        <f aca="false">IF(B366="","",IFERROR(INDEX(顧客一覧!$C$5:$C$304,MATCH(B366,顧客一覧!$B$5:$B$304,0)),"※ID未登録"))</f>
        <v/>
      </c>
      <c r="D366" s="12" t="str">
        <f aca="false">IF(B366="","",IFERROR(INDEX(顧客一覧!$K$5:$K$304,MATCH(B366,顧客一覧!$B$5:$B$304,0))&amp;"",""))</f>
        <v/>
      </c>
      <c r="E366" s="17"/>
      <c r="F366" s="17"/>
      <c r="G366" s="29"/>
      <c r="H366" s="17"/>
      <c r="I366" s="29"/>
      <c r="J366" s="26" t="str">
        <f aca="false">IF(OR(G366="",I366=""),"",G366-I366)</f>
        <v/>
      </c>
      <c r="K366" s="26" t="str">
        <f aca="false">IF(J366="","",J366*12)</f>
        <v/>
      </c>
      <c r="L366" s="29"/>
      <c r="M366" s="27" t="str">
        <f aca="false">IF(OR(L366="",J366=""),"",IF(J366&lt;=0,"回収不可",L366/J366))</f>
        <v/>
      </c>
      <c r="N366" s="22"/>
      <c r="O366" s="17"/>
      <c r="P366" s="22"/>
      <c r="Q366" s="22"/>
      <c r="R366" s="28" t="str">
        <f aca="true">IF(OR(P366="",Q366&lt;&gt;"",O366="キャンセル"),"",P366-TODAY())</f>
        <v/>
      </c>
      <c r="S366" s="29"/>
      <c r="T366" s="22"/>
      <c r="U366" s="17"/>
      <c r="V366" s="22"/>
      <c r="W366" s="19" t="str">
        <f aca="true">IF(B366="","",IF(OR(O366="開通済",Q366&lt;&gt;""),"完了",IF(O366="キャンセル","―",IF(AND(V366&lt;&gt;"",V366&lt;TODAY()),"対応期限超過",IF(AND(P366&lt;&gt;"",P366&lt;TODAY()),"開通予定日超過",IF(AND(V366&lt;&gt;"",V366=TODAY()),"本日対応",IF(AND(P366&lt;&gt;"",P366-TODAY()&lt;=3),"開通間近","")))))))</f>
        <v/>
      </c>
      <c r="X366" s="17"/>
    </row>
    <row r="367" customFormat="false" ht="15" hidden="false" customHeight="false" outlineLevel="0" collapsed="false">
      <c r="A367" s="12" t="str">
        <f aca="false">IF(B367="","",ROW()-4)</f>
        <v/>
      </c>
      <c r="B367" s="17"/>
      <c r="C367" s="19" t="str">
        <f aca="false">IF(B367="","",IFERROR(INDEX(顧客一覧!$C$5:$C$304,MATCH(B367,顧客一覧!$B$5:$B$304,0)),"※ID未登録"))</f>
        <v/>
      </c>
      <c r="D367" s="12" t="str">
        <f aca="false">IF(B367="","",IFERROR(INDEX(顧客一覧!$K$5:$K$304,MATCH(B367,顧客一覧!$B$5:$B$304,0))&amp;"",""))</f>
        <v/>
      </c>
      <c r="E367" s="17"/>
      <c r="F367" s="17"/>
      <c r="G367" s="29"/>
      <c r="H367" s="17"/>
      <c r="I367" s="29"/>
      <c r="J367" s="26" t="str">
        <f aca="false">IF(OR(G367="",I367=""),"",G367-I367)</f>
        <v/>
      </c>
      <c r="K367" s="26" t="str">
        <f aca="false">IF(J367="","",J367*12)</f>
        <v/>
      </c>
      <c r="L367" s="29"/>
      <c r="M367" s="27" t="str">
        <f aca="false">IF(OR(L367="",J367=""),"",IF(J367&lt;=0,"回収不可",L367/J367))</f>
        <v/>
      </c>
      <c r="N367" s="22"/>
      <c r="O367" s="17"/>
      <c r="P367" s="22"/>
      <c r="Q367" s="22"/>
      <c r="R367" s="28" t="str">
        <f aca="true">IF(OR(P367="",Q367&lt;&gt;"",O367="キャンセル"),"",P367-TODAY())</f>
        <v/>
      </c>
      <c r="S367" s="29"/>
      <c r="T367" s="22"/>
      <c r="U367" s="17"/>
      <c r="V367" s="22"/>
      <c r="W367" s="19" t="str">
        <f aca="true">IF(B367="","",IF(OR(O367="開通済",Q367&lt;&gt;""),"完了",IF(O367="キャンセル","―",IF(AND(V367&lt;&gt;"",V367&lt;TODAY()),"対応期限超過",IF(AND(P367&lt;&gt;"",P367&lt;TODAY()),"開通予定日超過",IF(AND(V367&lt;&gt;"",V367=TODAY()),"本日対応",IF(AND(P367&lt;&gt;"",P367-TODAY()&lt;=3),"開通間近","")))))))</f>
        <v/>
      </c>
      <c r="X367" s="17"/>
    </row>
    <row r="368" customFormat="false" ht="15" hidden="false" customHeight="false" outlineLevel="0" collapsed="false">
      <c r="A368" s="12" t="str">
        <f aca="false">IF(B368="","",ROW()-4)</f>
        <v/>
      </c>
      <c r="B368" s="17"/>
      <c r="C368" s="19" t="str">
        <f aca="false">IF(B368="","",IFERROR(INDEX(顧客一覧!$C$5:$C$304,MATCH(B368,顧客一覧!$B$5:$B$304,0)),"※ID未登録"))</f>
        <v/>
      </c>
      <c r="D368" s="12" t="str">
        <f aca="false">IF(B368="","",IFERROR(INDEX(顧客一覧!$K$5:$K$304,MATCH(B368,顧客一覧!$B$5:$B$304,0))&amp;"",""))</f>
        <v/>
      </c>
      <c r="E368" s="17"/>
      <c r="F368" s="17"/>
      <c r="G368" s="29"/>
      <c r="H368" s="17"/>
      <c r="I368" s="29"/>
      <c r="J368" s="26" t="str">
        <f aca="false">IF(OR(G368="",I368=""),"",G368-I368)</f>
        <v/>
      </c>
      <c r="K368" s="26" t="str">
        <f aca="false">IF(J368="","",J368*12)</f>
        <v/>
      </c>
      <c r="L368" s="29"/>
      <c r="M368" s="27" t="str">
        <f aca="false">IF(OR(L368="",J368=""),"",IF(J368&lt;=0,"回収不可",L368/J368))</f>
        <v/>
      </c>
      <c r="N368" s="22"/>
      <c r="O368" s="17"/>
      <c r="P368" s="22"/>
      <c r="Q368" s="22"/>
      <c r="R368" s="28" t="str">
        <f aca="true">IF(OR(P368="",Q368&lt;&gt;"",O368="キャンセル"),"",P368-TODAY())</f>
        <v/>
      </c>
      <c r="S368" s="29"/>
      <c r="T368" s="22"/>
      <c r="U368" s="17"/>
      <c r="V368" s="22"/>
      <c r="W368" s="19" t="str">
        <f aca="true">IF(B368="","",IF(OR(O368="開通済",Q368&lt;&gt;""),"完了",IF(O368="キャンセル","―",IF(AND(V368&lt;&gt;"",V368&lt;TODAY()),"対応期限超過",IF(AND(P368&lt;&gt;"",P368&lt;TODAY()),"開通予定日超過",IF(AND(V368&lt;&gt;"",V368=TODAY()),"本日対応",IF(AND(P368&lt;&gt;"",P368-TODAY()&lt;=3),"開通間近","")))))))</f>
        <v/>
      </c>
      <c r="X368" s="17"/>
    </row>
    <row r="369" customFormat="false" ht="15" hidden="false" customHeight="false" outlineLevel="0" collapsed="false">
      <c r="A369" s="12" t="str">
        <f aca="false">IF(B369="","",ROW()-4)</f>
        <v/>
      </c>
      <c r="B369" s="17"/>
      <c r="C369" s="19" t="str">
        <f aca="false">IF(B369="","",IFERROR(INDEX(顧客一覧!$C$5:$C$304,MATCH(B369,顧客一覧!$B$5:$B$304,0)),"※ID未登録"))</f>
        <v/>
      </c>
      <c r="D369" s="12" t="str">
        <f aca="false">IF(B369="","",IFERROR(INDEX(顧客一覧!$K$5:$K$304,MATCH(B369,顧客一覧!$B$5:$B$304,0))&amp;"",""))</f>
        <v/>
      </c>
      <c r="E369" s="17"/>
      <c r="F369" s="17"/>
      <c r="G369" s="29"/>
      <c r="H369" s="17"/>
      <c r="I369" s="29"/>
      <c r="J369" s="26" t="str">
        <f aca="false">IF(OR(G369="",I369=""),"",G369-I369)</f>
        <v/>
      </c>
      <c r="K369" s="26" t="str">
        <f aca="false">IF(J369="","",J369*12)</f>
        <v/>
      </c>
      <c r="L369" s="29"/>
      <c r="M369" s="27" t="str">
        <f aca="false">IF(OR(L369="",J369=""),"",IF(J369&lt;=0,"回収不可",L369/J369))</f>
        <v/>
      </c>
      <c r="N369" s="22"/>
      <c r="O369" s="17"/>
      <c r="P369" s="22"/>
      <c r="Q369" s="22"/>
      <c r="R369" s="28" t="str">
        <f aca="true">IF(OR(P369="",Q369&lt;&gt;"",O369="キャンセル"),"",P369-TODAY())</f>
        <v/>
      </c>
      <c r="S369" s="29"/>
      <c r="T369" s="22"/>
      <c r="U369" s="17"/>
      <c r="V369" s="22"/>
      <c r="W369" s="19" t="str">
        <f aca="true">IF(B369="","",IF(OR(O369="開通済",Q369&lt;&gt;""),"完了",IF(O369="キャンセル","―",IF(AND(V369&lt;&gt;"",V369&lt;TODAY()),"対応期限超過",IF(AND(P369&lt;&gt;"",P369&lt;TODAY()),"開通予定日超過",IF(AND(V369&lt;&gt;"",V369=TODAY()),"本日対応",IF(AND(P369&lt;&gt;"",P369-TODAY()&lt;=3),"開通間近","")))))))</f>
        <v/>
      </c>
      <c r="X369" s="17"/>
    </row>
    <row r="370" customFormat="false" ht="15" hidden="false" customHeight="false" outlineLevel="0" collapsed="false">
      <c r="A370" s="12" t="str">
        <f aca="false">IF(B370="","",ROW()-4)</f>
        <v/>
      </c>
      <c r="B370" s="17"/>
      <c r="C370" s="19" t="str">
        <f aca="false">IF(B370="","",IFERROR(INDEX(顧客一覧!$C$5:$C$304,MATCH(B370,顧客一覧!$B$5:$B$304,0)),"※ID未登録"))</f>
        <v/>
      </c>
      <c r="D370" s="12" t="str">
        <f aca="false">IF(B370="","",IFERROR(INDEX(顧客一覧!$K$5:$K$304,MATCH(B370,顧客一覧!$B$5:$B$304,0))&amp;"",""))</f>
        <v/>
      </c>
      <c r="E370" s="17"/>
      <c r="F370" s="17"/>
      <c r="G370" s="29"/>
      <c r="H370" s="17"/>
      <c r="I370" s="29"/>
      <c r="J370" s="26" t="str">
        <f aca="false">IF(OR(G370="",I370=""),"",G370-I370)</f>
        <v/>
      </c>
      <c r="K370" s="26" t="str">
        <f aca="false">IF(J370="","",J370*12)</f>
        <v/>
      </c>
      <c r="L370" s="29"/>
      <c r="M370" s="27" t="str">
        <f aca="false">IF(OR(L370="",J370=""),"",IF(J370&lt;=0,"回収不可",L370/J370))</f>
        <v/>
      </c>
      <c r="N370" s="22"/>
      <c r="O370" s="17"/>
      <c r="P370" s="22"/>
      <c r="Q370" s="22"/>
      <c r="R370" s="28" t="str">
        <f aca="true">IF(OR(P370="",Q370&lt;&gt;"",O370="キャンセル"),"",P370-TODAY())</f>
        <v/>
      </c>
      <c r="S370" s="29"/>
      <c r="T370" s="22"/>
      <c r="U370" s="17"/>
      <c r="V370" s="22"/>
      <c r="W370" s="19" t="str">
        <f aca="true">IF(B370="","",IF(OR(O370="開通済",Q370&lt;&gt;""),"完了",IF(O370="キャンセル","―",IF(AND(V370&lt;&gt;"",V370&lt;TODAY()),"対応期限超過",IF(AND(P370&lt;&gt;"",P370&lt;TODAY()),"開通予定日超過",IF(AND(V370&lt;&gt;"",V370=TODAY()),"本日対応",IF(AND(P370&lt;&gt;"",P370-TODAY()&lt;=3),"開通間近","")))))))</f>
        <v/>
      </c>
      <c r="X370" s="17"/>
    </row>
    <row r="371" customFormat="false" ht="15" hidden="false" customHeight="false" outlineLevel="0" collapsed="false">
      <c r="A371" s="12" t="str">
        <f aca="false">IF(B371="","",ROW()-4)</f>
        <v/>
      </c>
      <c r="B371" s="17"/>
      <c r="C371" s="19" t="str">
        <f aca="false">IF(B371="","",IFERROR(INDEX(顧客一覧!$C$5:$C$304,MATCH(B371,顧客一覧!$B$5:$B$304,0)),"※ID未登録"))</f>
        <v/>
      </c>
      <c r="D371" s="12" t="str">
        <f aca="false">IF(B371="","",IFERROR(INDEX(顧客一覧!$K$5:$K$304,MATCH(B371,顧客一覧!$B$5:$B$304,0))&amp;"",""))</f>
        <v/>
      </c>
      <c r="E371" s="17"/>
      <c r="F371" s="17"/>
      <c r="G371" s="29"/>
      <c r="H371" s="17"/>
      <c r="I371" s="29"/>
      <c r="J371" s="26" t="str">
        <f aca="false">IF(OR(G371="",I371=""),"",G371-I371)</f>
        <v/>
      </c>
      <c r="K371" s="26" t="str">
        <f aca="false">IF(J371="","",J371*12)</f>
        <v/>
      </c>
      <c r="L371" s="29"/>
      <c r="M371" s="27" t="str">
        <f aca="false">IF(OR(L371="",J371=""),"",IF(J371&lt;=0,"回収不可",L371/J371))</f>
        <v/>
      </c>
      <c r="N371" s="22"/>
      <c r="O371" s="17"/>
      <c r="P371" s="22"/>
      <c r="Q371" s="22"/>
      <c r="R371" s="28" t="str">
        <f aca="true">IF(OR(P371="",Q371&lt;&gt;"",O371="キャンセル"),"",P371-TODAY())</f>
        <v/>
      </c>
      <c r="S371" s="29"/>
      <c r="T371" s="22"/>
      <c r="U371" s="17"/>
      <c r="V371" s="22"/>
      <c r="W371" s="19" t="str">
        <f aca="true">IF(B371="","",IF(OR(O371="開通済",Q371&lt;&gt;""),"完了",IF(O371="キャンセル","―",IF(AND(V371&lt;&gt;"",V371&lt;TODAY()),"対応期限超過",IF(AND(P371&lt;&gt;"",P371&lt;TODAY()),"開通予定日超過",IF(AND(V371&lt;&gt;"",V371=TODAY()),"本日対応",IF(AND(P371&lt;&gt;"",P371-TODAY()&lt;=3),"開通間近","")))))))</f>
        <v/>
      </c>
      <c r="X371" s="17"/>
    </row>
    <row r="372" customFormat="false" ht="15" hidden="false" customHeight="false" outlineLevel="0" collapsed="false">
      <c r="A372" s="12" t="str">
        <f aca="false">IF(B372="","",ROW()-4)</f>
        <v/>
      </c>
      <c r="B372" s="17"/>
      <c r="C372" s="19" t="str">
        <f aca="false">IF(B372="","",IFERROR(INDEX(顧客一覧!$C$5:$C$304,MATCH(B372,顧客一覧!$B$5:$B$304,0)),"※ID未登録"))</f>
        <v/>
      </c>
      <c r="D372" s="12" t="str">
        <f aca="false">IF(B372="","",IFERROR(INDEX(顧客一覧!$K$5:$K$304,MATCH(B372,顧客一覧!$B$5:$B$304,0))&amp;"",""))</f>
        <v/>
      </c>
      <c r="E372" s="17"/>
      <c r="F372" s="17"/>
      <c r="G372" s="29"/>
      <c r="H372" s="17"/>
      <c r="I372" s="29"/>
      <c r="J372" s="26" t="str">
        <f aca="false">IF(OR(G372="",I372=""),"",G372-I372)</f>
        <v/>
      </c>
      <c r="K372" s="26" t="str">
        <f aca="false">IF(J372="","",J372*12)</f>
        <v/>
      </c>
      <c r="L372" s="29"/>
      <c r="M372" s="27" t="str">
        <f aca="false">IF(OR(L372="",J372=""),"",IF(J372&lt;=0,"回収不可",L372/J372))</f>
        <v/>
      </c>
      <c r="N372" s="22"/>
      <c r="O372" s="17"/>
      <c r="P372" s="22"/>
      <c r="Q372" s="22"/>
      <c r="R372" s="28" t="str">
        <f aca="true">IF(OR(P372="",Q372&lt;&gt;"",O372="キャンセル"),"",P372-TODAY())</f>
        <v/>
      </c>
      <c r="S372" s="29"/>
      <c r="T372" s="22"/>
      <c r="U372" s="17"/>
      <c r="V372" s="22"/>
      <c r="W372" s="19" t="str">
        <f aca="true">IF(B372="","",IF(OR(O372="開通済",Q372&lt;&gt;""),"完了",IF(O372="キャンセル","―",IF(AND(V372&lt;&gt;"",V372&lt;TODAY()),"対応期限超過",IF(AND(P372&lt;&gt;"",P372&lt;TODAY()),"開通予定日超過",IF(AND(V372&lt;&gt;"",V372=TODAY()),"本日対応",IF(AND(P372&lt;&gt;"",P372-TODAY()&lt;=3),"開通間近","")))))))</f>
        <v/>
      </c>
      <c r="X372" s="17"/>
    </row>
    <row r="373" customFormat="false" ht="15" hidden="false" customHeight="false" outlineLevel="0" collapsed="false">
      <c r="A373" s="12" t="str">
        <f aca="false">IF(B373="","",ROW()-4)</f>
        <v/>
      </c>
      <c r="B373" s="17"/>
      <c r="C373" s="19" t="str">
        <f aca="false">IF(B373="","",IFERROR(INDEX(顧客一覧!$C$5:$C$304,MATCH(B373,顧客一覧!$B$5:$B$304,0)),"※ID未登録"))</f>
        <v/>
      </c>
      <c r="D373" s="12" t="str">
        <f aca="false">IF(B373="","",IFERROR(INDEX(顧客一覧!$K$5:$K$304,MATCH(B373,顧客一覧!$B$5:$B$304,0))&amp;"",""))</f>
        <v/>
      </c>
      <c r="E373" s="17"/>
      <c r="F373" s="17"/>
      <c r="G373" s="29"/>
      <c r="H373" s="17"/>
      <c r="I373" s="29"/>
      <c r="J373" s="26" t="str">
        <f aca="false">IF(OR(G373="",I373=""),"",G373-I373)</f>
        <v/>
      </c>
      <c r="K373" s="26" t="str">
        <f aca="false">IF(J373="","",J373*12)</f>
        <v/>
      </c>
      <c r="L373" s="29"/>
      <c r="M373" s="27" t="str">
        <f aca="false">IF(OR(L373="",J373=""),"",IF(J373&lt;=0,"回収不可",L373/J373))</f>
        <v/>
      </c>
      <c r="N373" s="22"/>
      <c r="O373" s="17"/>
      <c r="P373" s="22"/>
      <c r="Q373" s="22"/>
      <c r="R373" s="28" t="str">
        <f aca="true">IF(OR(P373="",Q373&lt;&gt;"",O373="キャンセル"),"",P373-TODAY())</f>
        <v/>
      </c>
      <c r="S373" s="29"/>
      <c r="T373" s="22"/>
      <c r="U373" s="17"/>
      <c r="V373" s="22"/>
      <c r="W373" s="19" t="str">
        <f aca="true">IF(B373="","",IF(OR(O373="開通済",Q373&lt;&gt;""),"完了",IF(O373="キャンセル","―",IF(AND(V373&lt;&gt;"",V373&lt;TODAY()),"対応期限超過",IF(AND(P373&lt;&gt;"",P373&lt;TODAY()),"開通予定日超過",IF(AND(V373&lt;&gt;"",V373=TODAY()),"本日対応",IF(AND(P373&lt;&gt;"",P373-TODAY()&lt;=3),"開通間近","")))))))</f>
        <v/>
      </c>
      <c r="X373" s="17"/>
    </row>
    <row r="374" customFormat="false" ht="15" hidden="false" customHeight="false" outlineLevel="0" collapsed="false">
      <c r="A374" s="12" t="str">
        <f aca="false">IF(B374="","",ROW()-4)</f>
        <v/>
      </c>
      <c r="B374" s="17"/>
      <c r="C374" s="19" t="str">
        <f aca="false">IF(B374="","",IFERROR(INDEX(顧客一覧!$C$5:$C$304,MATCH(B374,顧客一覧!$B$5:$B$304,0)),"※ID未登録"))</f>
        <v/>
      </c>
      <c r="D374" s="12" t="str">
        <f aca="false">IF(B374="","",IFERROR(INDEX(顧客一覧!$K$5:$K$304,MATCH(B374,顧客一覧!$B$5:$B$304,0))&amp;"",""))</f>
        <v/>
      </c>
      <c r="E374" s="17"/>
      <c r="F374" s="17"/>
      <c r="G374" s="29"/>
      <c r="H374" s="17"/>
      <c r="I374" s="29"/>
      <c r="J374" s="26" t="str">
        <f aca="false">IF(OR(G374="",I374=""),"",G374-I374)</f>
        <v/>
      </c>
      <c r="K374" s="26" t="str">
        <f aca="false">IF(J374="","",J374*12)</f>
        <v/>
      </c>
      <c r="L374" s="29"/>
      <c r="M374" s="27" t="str">
        <f aca="false">IF(OR(L374="",J374=""),"",IF(J374&lt;=0,"回収不可",L374/J374))</f>
        <v/>
      </c>
      <c r="N374" s="22"/>
      <c r="O374" s="17"/>
      <c r="P374" s="22"/>
      <c r="Q374" s="22"/>
      <c r="R374" s="28" t="str">
        <f aca="true">IF(OR(P374="",Q374&lt;&gt;"",O374="キャンセル"),"",P374-TODAY())</f>
        <v/>
      </c>
      <c r="S374" s="29"/>
      <c r="T374" s="22"/>
      <c r="U374" s="17"/>
      <c r="V374" s="22"/>
      <c r="W374" s="19" t="str">
        <f aca="true">IF(B374="","",IF(OR(O374="開通済",Q374&lt;&gt;""),"完了",IF(O374="キャンセル","―",IF(AND(V374&lt;&gt;"",V374&lt;TODAY()),"対応期限超過",IF(AND(P374&lt;&gt;"",P374&lt;TODAY()),"開通予定日超過",IF(AND(V374&lt;&gt;"",V374=TODAY()),"本日対応",IF(AND(P374&lt;&gt;"",P374-TODAY()&lt;=3),"開通間近","")))))))</f>
        <v/>
      </c>
      <c r="X374" s="17"/>
    </row>
    <row r="375" customFormat="false" ht="15" hidden="false" customHeight="false" outlineLevel="0" collapsed="false">
      <c r="A375" s="12" t="str">
        <f aca="false">IF(B375="","",ROW()-4)</f>
        <v/>
      </c>
      <c r="B375" s="17"/>
      <c r="C375" s="19" t="str">
        <f aca="false">IF(B375="","",IFERROR(INDEX(顧客一覧!$C$5:$C$304,MATCH(B375,顧客一覧!$B$5:$B$304,0)),"※ID未登録"))</f>
        <v/>
      </c>
      <c r="D375" s="12" t="str">
        <f aca="false">IF(B375="","",IFERROR(INDEX(顧客一覧!$K$5:$K$304,MATCH(B375,顧客一覧!$B$5:$B$304,0))&amp;"",""))</f>
        <v/>
      </c>
      <c r="E375" s="17"/>
      <c r="F375" s="17"/>
      <c r="G375" s="29"/>
      <c r="H375" s="17"/>
      <c r="I375" s="29"/>
      <c r="J375" s="26" t="str">
        <f aca="false">IF(OR(G375="",I375=""),"",G375-I375)</f>
        <v/>
      </c>
      <c r="K375" s="26" t="str">
        <f aca="false">IF(J375="","",J375*12)</f>
        <v/>
      </c>
      <c r="L375" s="29"/>
      <c r="M375" s="27" t="str">
        <f aca="false">IF(OR(L375="",J375=""),"",IF(J375&lt;=0,"回収不可",L375/J375))</f>
        <v/>
      </c>
      <c r="N375" s="22"/>
      <c r="O375" s="17"/>
      <c r="P375" s="22"/>
      <c r="Q375" s="22"/>
      <c r="R375" s="28" t="str">
        <f aca="true">IF(OR(P375="",Q375&lt;&gt;"",O375="キャンセル"),"",P375-TODAY())</f>
        <v/>
      </c>
      <c r="S375" s="29"/>
      <c r="T375" s="22"/>
      <c r="U375" s="17"/>
      <c r="V375" s="22"/>
      <c r="W375" s="19" t="str">
        <f aca="true">IF(B375="","",IF(OR(O375="開通済",Q375&lt;&gt;""),"完了",IF(O375="キャンセル","―",IF(AND(V375&lt;&gt;"",V375&lt;TODAY()),"対応期限超過",IF(AND(P375&lt;&gt;"",P375&lt;TODAY()),"開通予定日超過",IF(AND(V375&lt;&gt;"",V375=TODAY()),"本日対応",IF(AND(P375&lt;&gt;"",P375-TODAY()&lt;=3),"開通間近","")))))))</f>
        <v/>
      </c>
      <c r="X375" s="17"/>
    </row>
    <row r="376" customFormat="false" ht="15" hidden="false" customHeight="false" outlineLevel="0" collapsed="false">
      <c r="A376" s="12" t="str">
        <f aca="false">IF(B376="","",ROW()-4)</f>
        <v/>
      </c>
      <c r="B376" s="17"/>
      <c r="C376" s="19" t="str">
        <f aca="false">IF(B376="","",IFERROR(INDEX(顧客一覧!$C$5:$C$304,MATCH(B376,顧客一覧!$B$5:$B$304,0)),"※ID未登録"))</f>
        <v/>
      </c>
      <c r="D376" s="12" t="str">
        <f aca="false">IF(B376="","",IFERROR(INDEX(顧客一覧!$K$5:$K$304,MATCH(B376,顧客一覧!$B$5:$B$304,0))&amp;"",""))</f>
        <v/>
      </c>
      <c r="E376" s="17"/>
      <c r="F376" s="17"/>
      <c r="G376" s="29"/>
      <c r="H376" s="17"/>
      <c r="I376" s="29"/>
      <c r="J376" s="26" t="str">
        <f aca="false">IF(OR(G376="",I376=""),"",G376-I376)</f>
        <v/>
      </c>
      <c r="K376" s="26" t="str">
        <f aca="false">IF(J376="","",J376*12)</f>
        <v/>
      </c>
      <c r="L376" s="29"/>
      <c r="M376" s="27" t="str">
        <f aca="false">IF(OR(L376="",J376=""),"",IF(J376&lt;=0,"回収不可",L376/J376))</f>
        <v/>
      </c>
      <c r="N376" s="22"/>
      <c r="O376" s="17"/>
      <c r="P376" s="22"/>
      <c r="Q376" s="22"/>
      <c r="R376" s="28" t="str">
        <f aca="true">IF(OR(P376="",Q376&lt;&gt;"",O376="キャンセル"),"",P376-TODAY())</f>
        <v/>
      </c>
      <c r="S376" s="29"/>
      <c r="T376" s="22"/>
      <c r="U376" s="17"/>
      <c r="V376" s="22"/>
      <c r="W376" s="19" t="str">
        <f aca="true">IF(B376="","",IF(OR(O376="開通済",Q376&lt;&gt;""),"完了",IF(O376="キャンセル","―",IF(AND(V376&lt;&gt;"",V376&lt;TODAY()),"対応期限超過",IF(AND(P376&lt;&gt;"",P376&lt;TODAY()),"開通予定日超過",IF(AND(V376&lt;&gt;"",V376=TODAY()),"本日対応",IF(AND(P376&lt;&gt;"",P376-TODAY()&lt;=3),"開通間近","")))))))</f>
        <v/>
      </c>
      <c r="X376" s="17"/>
    </row>
    <row r="377" customFormat="false" ht="15" hidden="false" customHeight="false" outlineLevel="0" collapsed="false">
      <c r="A377" s="12" t="str">
        <f aca="false">IF(B377="","",ROW()-4)</f>
        <v/>
      </c>
      <c r="B377" s="17"/>
      <c r="C377" s="19" t="str">
        <f aca="false">IF(B377="","",IFERROR(INDEX(顧客一覧!$C$5:$C$304,MATCH(B377,顧客一覧!$B$5:$B$304,0)),"※ID未登録"))</f>
        <v/>
      </c>
      <c r="D377" s="12" t="str">
        <f aca="false">IF(B377="","",IFERROR(INDEX(顧客一覧!$K$5:$K$304,MATCH(B377,顧客一覧!$B$5:$B$304,0))&amp;"",""))</f>
        <v/>
      </c>
      <c r="E377" s="17"/>
      <c r="F377" s="17"/>
      <c r="G377" s="29"/>
      <c r="H377" s="17"/>
      <c r="I377" s="29"/>
      <c r="J377" s="26" t="str">
        <f aca="false">IF(OR(G377="",I377=""),"",G377-I377)</f>
        <v/>
      </c>
      <c r="K377" s="26" t="str">
        <f aca="false">IF(J377="","",J377*12)</f>
        <v/>
      </c>
      <c r="L377" s="29"/>
      <c r="M377" s="27" t="str">
        <f aca="false">IF(OR(L377="",J377=""),"",IF(J377&lt;=0,"回収不可",L377/J377))</f>
        <v/>
      </c>
      <c r="N377" s="22"/>
      <c r="O377" s="17"/>
      <c r="P377" s="22"/>
      <c r="Q377" s="22"/>
      <c r="R377" s="28" t="str">
        <f aca="true">IF(OR(P377="",Q377&lt;&gt;"",O377="キャンセル"),"",P377-TODAY())</f>
        <v/>
      </c>
      <c r="S377" s="29"/>
      <c r="T377" s="22"/>
      <c r="U377" s="17"/>
      <c r="V377" s="22"/>
      <c r="W377" s="19" t="str">
        <f aca="true">IF(B377="","",IF(OR(O377="開通済",Q377&lt;&gt;""),"完了",IF(O377="キャンセル","―",IF(AND(V377&lt;&gt;"",V377&lt;TODAY()),"対応期限超過",IF(AND(P377&lt;&gt;"",P377&lt;TODAY()),"開通予定日超過",IF(AND(V377&lt;&gt;"",V377=TODAY()),"本日対応",IF(AND(P377&lt;&gt;"",P377-TODAY()&lt;=3),"開通間近","")))))))</f>
        <v/>
      </c>
      <c r="X377" s="17"/>
    </row>
    <row r="378" customFormat="false" ht="15" hidden="false" customHeight="false" outlineLevel="0" collapsed="false">
      <c r="A378" s="12" t="str">
        <f aca="false">IF(B378="","",ROW()-4)</f>
        <v/>
      </c>
      <c r="B378" s="17"/>
      <c r="C378" s="19" t="str">
        <f aca="false">IF(B378="","",IFERROR(INDEX(顧客一覧!$C$5:$C$304,MATCH(B378,顧客一覧!$B$5:$B$304,0)),"※ID未登録"))</f>
        <v/>
      </c>
      <c r="D378" s="12" t="str">
        <f aca="false">IF(B378="","",IFERROR(INDEX(顧客一覧!$K$5:$K$304,MATCH(B378,顧客一覧!$B$5:$B$304,0))&amp;"",""))</f>
        <v/>
      </c>
      <c r="E378" s="17"/>
      <c r="F378" s="17"/>
      <c r="G378" s="29"/>
      <c r="H378" s="17"/>
      <c r="I378" s="29"/>
      <c r="J378" s="26" t="str">
        <f aca="false">IF(OR(G378="",I378=""),"",G378-I378)</f>
        <v/>
      </c>
      <c r="K378" s="26" t="str">
        <f aca="false">IF(J378="","",J378*12)</f>
        <v/>
      </c>
      <c r="L378" s="29"/>
      <c r="M378" s="27" t="str">
        <f aca="false">IF(OR(L378="",J378=""),"",IF(J378&lt;=0,"回収不可",L378/J378))</f>
        <v/>
      </c>
      <c r="N378" s="22"/>
      <c r="O378" s="17"/>
      <c r="P378" s="22"/>
      <c r="Q378" s="22"/>
      <c r="R378" s="28" t="str">
        <f aca="true">IF(OR(P378="",Q378&lt;&gt;"",O378="キャンセル"),"",P378-TODAY())</f>
        <v/>
      </c>
      <c r="S378" s="29"/>
      <c r="T378" s="22"/>
      <c r="U378" s="17"/>
      <c r="V378" s="22"/>
      <c r="W378" s="19" t="str">
        <f aca="true">IF(B378="","",IF(OR(O378="開通済",Q378&lt;&gt;""),"完了",IF(O378="キャンセル","―",IF(AND(V378&lt;&gt;"",V378&lt;TODAY()),"対応期限超過",IF(AND(P378&lt;&gt;"",P378&lt;TODAY()),"開通予定日超過",IF(AND(V378&lt;&gt;"",V378=TODAY()),"本日対応",IF(AND(P378&lt;&gt;"",P378-TODAY()&lt;=3),"開通間近","")))))))</f>
        <v/>
      </c>
      <c r="X378" s="17"/>
    </row>
    <row r="379" customFormat="false" ht="15" hidden="false" customHeight="false" outlineLevel="0" collapsed="false">
      <c r="A379" s="12" t="str">
        <f aca="false">IF(B379="","",ROW()-4)</f>
        <v/>
      </c>
      <c r="B379" s="17"/>
      <c r="C379" s="19" t="str">
        <f aca="false">IF(B379="","",IFERROR(INDEX(顧客一覧!$C$5:$C$304,MATCH(B379,顧客一覧!$B$5:$B$304,0)),"※ID未登録"))</f>
        <v/>
      </c>
      <c r="D379" s="12" t="str">
        <f aca="false">IF(B379="","",IFERROR(INDEX(顧客一覧!$K$5:$K$304,MATCH(B379,顧客一覧!$B$5:$B$304,0))&amp;"",""))</f>
        <v/>
      </c>
      <c r="E379" s="17"/>
      <c r="F379" s="17"/>
      <c r="G379" s="29"/>
      <c r="H379" s="17"/>
      <c r="I379" s="29"/>
      <c r="J379" s="26" t="str">
        <f aca="false">IF(OR(G379="",I379=""),"",G379-I379)</f>
        <v/>
      </c>
      <c r="K379" s="26" t="str">
        <f aca="false">IF(J379="","",J379*12)</f>
        <v/>
      </c>
      <c r="L379" s="29"/>
      <c r="M379" s="27" t="str">
        <f aca="false">IF(OR(L379="",J379=""),"",IF(J379&lt;=0,"回収不可",L379/J379))</f>
        <v/>
      </c>
      <c r="N379" s="22"/>
      <c r="O379" s="17"/>
      <c r="P379" s="22"/>
      <c r="Q379" s="22"/>
      <c r="R379" s="28" t="str">
        <f aca="true">IF(OR(P379="",Q379&lt;&gt;"",O379="キャンセル"),"",P379-TODAY())</f>
        <v/>
      </c>
      <c r="S379" s="29"/>
      <c r="T379" s="22"/>
      <c r="U379" s="17"/>
      <c r="V379" s="22"/>
      <c r="W379" s="19" t="str">
        <f aca="true">IF(B379="","",IF(OR(O379="開通済",Q379&lt;&gt;""),"完了",IF(O379="キャンセル","―",IF(AND(V379&lt;&gt;"",V379&lt;TODAY()),"対応期限超過",IF(AND(P379&lt;&gt;"",P379&lt;TODAY()),"開通予定日超過",IF(AND(V379&lt;&gt;"",V379=TODAY()),"本日対応",IF(AND(P379&lt;&gt;"",P379-TODAY()&lt;=3),"開通間近","")))))))</f>
        <v/>
      </c>
      <c r="X379" s="17"/>
    </row>
    <row r="380" customFormat="false" ht="15" hidden="false" customHeight="false" outlineLevel="0" collapsed="false">
      <c r="A380" s="12" t="str">
        <f aca="false">IF(B380="","",ROW()-4)</f>
        <v/>
      </c>
      <c r="B380" s="17"/>
      <c r="C380" s="19" t="str">
        <f aca="false">IF(B380="","",IFERROR(INDEX(顧客一覧!$C$5:$C$304,MATCH(B380,顧客一覧!$B$5:$B$304,0)),"※ID未登録"))</f>
        <v/>
      </c>
      <c r="D380" s="12" t="str">
        <f aca="false">IF(B380="","",IFERROR(INDEX(顧客一覧!$K$5:$K$304,MATCH(B380,顧客一覧!$B$5:$B$304,0))&amp;"",""))</f>
        <v/>
      </c>
      <c r="E380" s="17"/>
      <c r="F380" s="17"/>
      <c r="G380" s="29"/>
      <c r="H380" s="17"/>
      <c r="I380" s="29"/>
      <c r="J380" s="26" t="str">
        <f aca="false">IF(OR(G380="",I380=""),"",G380-I380)</f>
        <v/>
      </c>
      <c r="K380" s="26" t="str">
        <f aca="false">IF(J380="","",J380*12)</f>
        <v/>
      </c>
      <c r="L380" s="29"/>
      <c r="M380" s="27" t="str">
        <f aca="false">IF(OR(L380="",J380=""),"",IF(J380&lt;=0,"回収不可",L380/J380))</f>
        <v/>
      </c>
      <c r="N380" s="22"/>
      <c r="O380" s="17"/>
      <c r="P380" s="22"/>
      <c r="Q380" s="22"/>
      <c r="R380" s="28" t="str">
        <f aca="true">IF(OR(P380="",Q380&lt;&gt;"",O380="キャンセル"),"",P380-TODAY())</f>
        <v/>
      </c>
      <c r="S380" s="29"/>
      <c r="T380" s="22"/>
      <c r="U380" s="17"/>
      <c r="V380" s="22"/>
      <c r="W380" s="19" t="str">
        <f aca="true">IF(B380="","",IF(OR(O380="開通済",Q380&lt;&gt;""),"完了",IF(O380="キャンセル","―",IF(AND(V380&lt;&gt;"",V380&lt;TODAY()),"対応期限超過",IF(AND(P380&lt;&gt;"",P380&lt;TODAY()),"開通予定日超過",IF(AND(V380&lt;&gt;"",V380=TODAY()),"本日対応",IF(AND(P380&lt;&gt;"",P380-TODAY()&lt;=3),"開通間近","")))))))</f>
        <v/>
      </c>
      <c r="X380" s="17"/>
    </row>
    <row r="381" customFormat="false" ht="15" hidden="false" customHeight="false" outlineLevel="0" collapsed="false">
      <c r="A381" s="12" t="str">
        <f aca="false">IF(B381="","",ROW()-4)</f>
        <v/>
      </c>
      <c r="B381" s="17"/>
      <c r="C381" s="19" t="str">
        <f aca="false">IF(B381="","",IFERROR(INDEX(顧客一覧!$C$5:$C$304,MATCH(B381,顧客一覧!$B$5:$B$304,0)),"※ID未登録"))</f>
        <v/>
      </c>
      <c r="D381" s="12" t="str">
        <f aca="false">IF(B381="","",IFERROR(INDEX(顧客一覧!$K$5:$K$304,MATCH(B381,顧客一覧!$B$5:$B$304,0))&amp;"",""))</f>
        <v/>
      </c>
      <c r="E381" s="17"/>
      <c r="F381" s="17"/>
      <c r="G381" s="29"/>
      <c r="H381" s="17"/>
      <c r="I381" s="29"/>
      <c r="J381" s="26" t="str">
        <f aca="false">IF(OR(G381="",I381=""),"",G381-I381)</f>
        <v/>
      </c>
      <c r="K381" s="26" t="str">
        <f aca="false">IF(J381="","",J381*12)</f>
        <v/>
      </c>
      <c r="L381" s="29"/>
      <c r="M381" s="27" t="str">
        <f aca="false">IF(OR(L381="",J381=""),"",IF(J381&lt;=0,"回収不可",L381/J381))</f>
        <v/>
      </c>
      <c r="N381" s="22"/>
      <c r="O381" s="17"/>
      <c r="P381" s="22"/>
      <c r="Q381" s="22"/>
      <c r="R381" s="28" t="str">
        <f aca="true">IF(OR(P381="",Q381&lt;&gt;"",O381="キャンセル"),"",P381-TODAY())</f>
        <v/>
      </c>
      <c r="S381" s="29"/>
      <c r="T381" s="22"/>
      <c r="U381" s="17"/>
      <c r="V381" s="22"/>
      <c r="W381" s="19" t="str">
        <f aca="true">IF(B381="","",IF(OR(O381="開通済",Q381&lt;&gt;""),"完了",IF(O381="キャンセル","―",IF(AND(V381&lt;&gt;"",V381&lt;TODAY()),"対応期限超過",IF(AND(P381&lt;&gt;"",P381&lt;TODAY()),"開通予定日超過",IF(AND(V381&lt;&gt;"",V381=TODAY()),"本日対応",IF(AND(P381&lt;&gt;"",P381-TODAY()&lt;=3),"開通間近","")))))))</f>
        <v/>
      </c>
      <c r="X381" s="17"/>
    </row>
    <row r="382" customFormat="false" ht="15" hidden="false" customHeight="false" outlineLevel="0" collapsed="false">
      <c r="A382" s="12" t="str">
        <f aca="false">IF(B382="","",ROW()-4)</f>
        <v/>
      </c>
      <c r="B382" s="17"/>
      <c r="C382" s="19" t="str">
        <f aca="false">IF(B382="","",IFERROR(INDEX(顧客一覧!$C$5:$C$304,MATCH(B382,顧客一覧!$B$5:$B$304,0)),"※ID未登録"))</f>
        <v/>
      </c>
      <c r="D382" s="12" t="str">
        <f aca="false">IF(B382="","",IFERROR(INDEX(顧客一覧!$K$5:$K$304,MATCH(B382,顧客一覧!$B$5:$B$304,0))&amp;"",""))</f>
        <v/>
      </c>
      <c r="E382" s="17"/>
      <c r="F382" s="17"/>
      <c r="G382" s="29"/>
      <c r="H382" s="17"/>
      <c r="I382" s="29"/>
      <c r="J382" s="26" t="str">
        <f aca="false">IF(OR(G382="",I382=""),"",G382-I382)</f>
        <v/>
      </c>
      <c r="K382" s="26" t="str">
        <f aca="false">IF(J382="","",J382*12)</f>
        <v/>
      </c>
      <c r="L382" s="29"/>
      <c r="M382" s="27" t="str">
        <f aca="false">IF(OR(L382="",J382=""),"",IF(J382&lt;=0,"回収不可",L382/J382))</f>
        <v/>
      </c>
      <c r="N382" s="22"/>
      <c r="O382" s="17"/>
      <c r="P382" s="22"/>
      <c r="Q382" s="22"/>
      <c r="R382" s="28" t="str">
        <f aca="true">IF(OR(P382="",Q382&lt;&gt;"",O382="キャンセル"),"",P382-TODAY())</f>
        <v/>
      </c>
      <c r="S382" s="29"/>
      <c r="T382" s="22"/>
      <c r="U382" s="17"/>
      <c r="V382" s="22"/>
      <c r="W382" s="19" t="str">
        <f aca="true">IF(B382="","",IF(OR(O382="開通済",Q382&lt;&gt;""),"完了",IF(O382="キャンセル","―",IF(AND(V382&lt;&gt;"",V382&lt;TODAY()),"対応期限超過",IF(AND(P382&lt;&gt;"",P382&lt;TODAY()),"開通予定日超過",IF(AND(V382&lt;&gt;"",V382=TODAY()),"本日対応",IF(AND(P382&lt;&gt;"",P382-TODAY()&lt;=3),"開通間近","")))))))</f>
        <v/>
      </c>
      <c r="X382" s="17"/>
    </row>
    <row r="383" customFormat="false" ht="15" hidden="false" customHeight="false" outlineLevel="0" collapsed="false">
      <c r="A383" s="12" t="str">
        <f aca="false">IF(B383="","",ROW()-4)</f>
        <v/>
      </c>
      <c r="B383" s="17"/>
      <c r="C383" s="19" t="str">
        <f aca="false">IF(B383="","",IFERROR(INDEX(顧客一覧!$C$5:$C$304,MATCH(B383,顧客一覧!$B$5:$B$304,0)),"※ID未登録"))</f>
        <v/>
      </c>
      <c r="D383" s="12" t="str">
        <f aca="false">IF(B383="","",IFERROR(INDEX(顧客一覧!$K$5:$K$304,MATCH(B383,顧客一覧!$B$5:$B$304,0))&amp;"",""))</f>
        <v/>
      </c>
      <c r="E383" s="17"/>
      <c r="F383" s="17"/>
      <c r="G383" s="29"/>
      <c r="H383" s="17"/>
      <c r="I383" s="29"/>
      <c r="J383" s="26" t="str">
        <f aca="false">IF(OR(G383="",I383=""),"",G383-I383)</f>
        <v/>
      </c>
      <c r="K383" s="26" t="str">
        <f aca="false">IF(J383="","",J383*12)</f>
        <v/>
      </c>
      <c r="L383" s="29"/>
      <c r="M383" s="27" t="str">
        <f aca="false">IF(OR(L383="",J383=""),"",IF(J383&lt;=0,"回収不可",L383/J383))</f>
        <v/>
      </c>
      <c r="N383" s="22"/>
      <c r="O383" s="17"/>
      <c r="P383" s="22"/>
      <c r="Q383" s="22"/>
      <c r="R383" s="28" t="str">
        <f aca="true">IF(OR(P383="",Q383&lt;&gt;"",O383="キャンセル"),"",P383-TODAY())</f>
        <v/>
      </c>
      <c r="S383" s="29"/>
      <c r="T383" s="22"/>
      <c r="U383" s="17"/>
      <c r="V383" s="22"/>
      <c r="W383" s="19" t="str">
        <f aca="true">IF(B383="","",IF(OR(O383="開通済",Q383&lt;&gt;""),"完了",IF(O383="キャンセル","―",IF(AND(V383&lt;&gt;"",V383&lt;TODAY()),"対応期限超過",IF(AND(P383&lt;&gt;"",P383&lt;TODAY()),"開通予定日超過",IF(AND(V383&lt;&gt;"",V383=TODAY()),"本日対応",IF(AND(P383&lt;&gt;"",P383-TODAY()&lt;=3),"開通間近","")))))))</f>
        <v/>
      </c>
      <c r="X383" s="17"/>
    </row>
    <row r="384" customFormat="false" ht="15" hidden="false" customHeight="false" outlineLevel="0" collapsed="false">
      <c r="A384" s="12" t="str">
        <f aca="false">IF(B384="","",ROW()-4)</f>
        <v/>
      </c>
      <c r="B384" s="17"/>
      <c r="C384" s="19" t="str">
        <f aca="false">IF(B384="","",IFERROR(INDEX(顧客一覧!$C$5:$C$304,MATCH(B384,顧客一覧!$B$5:$B$304,0)),"※ID未登録"))</f>
        <v/>
      </c>
      <c r="D384" s="12" t="str">
        <f aca="false">IF(B384="","",IFERROR(INDEX(顧客一覧!$K$5:$K$304,MATCH(B384,顧客一覧!$B$5:$B$304,0))&amp;"",""))</f>
        <v/>
      </c>
      <c r="E384" s="17"/>
      <c r="F384" s="17"/>
      <c r="G384" s="29"/>
      <c r="H384" s="17"/>
      <c r="I384" s="29"/>
      <c r="J384" s="26" t="str">
        <f aca="false">IF(OR(G384="",I384=""),"",G384-I384)</f>
        <v/>
      </c>
      <c r="K384" s="26" t="str">
        <f aca="false">IF(J384="","",J384*12)</f>
        <v/>
      </c>
      <c r="L384" s="29"/>
      <c r="M384" s="27" t="str">
        <f aca="false">IF(OR(L384="",J384=""),"",IF(J384&lt;=0,"回収不可",L384/J384))</f>
        <v/>
      </c>
      <c r="N384" s="22"/>
      <c r="O384" s="17"/>
      <c r="P384" s="22"/>
      <c r="Q384" s="22"/>
      <c r="R384" s="28" t="str">
        <f aca="true">IF(OR(P384="",Q384&lt;&gt;"",O384="キャンセル"),"",P384-TODAY())</f>
        <v/>
      </c>
      <c r="S384" s="29"/>
      <c r="T384" s="22"/>
      <c r="U384" s="17"/>
      <c r="V384" s="22"/>
      <c r="W384" s="19" t="str">
        <f aca="true">IF(B384="","",IF(OR(O384="開通済",Q384&lt;&gt;""),"完了",IF(O384="キャンセル","―",IF(AND(V384&lt;&gt;"",V384&lt;TODAY()),"対応期限超過",IF(AND(P384&lt;&gt;"",P384&lt;TODAY()),"開通予定日超過",IF(AND(V384&lt;&gt;"",V384=TODAY()),"本日対応",IF(AND(P384&lt;&gt;"",P384-TODAY()&lt;=3),"開通間近","")))))))</f>
        <v/>
      </c>
      <c r="X384" s="17"/>
    </row>
    <row r="385" customFormat="false" ht="15" hidden="false" customHeight="false" outlineLevel="0" collapsed="false">
      <c r="A385" s="12" t="str">
        <f aca="false">IF(B385="","",ROW()-4)</f>
        <v/>
      </c>
      <c r="B385" s="17"/>
      <c r="C385" s="19" t="str">
        <f aca="false">IF(B385="","",IFERROR(INDEX(顧客一覧!$C$5:$C$304,MATCH(B385,顧客一覧!$B$5:$B$304,0)),"※ID未登録"))</f>
        <v/>
      </c>
      <c r="D385" s="12" t="str">
        <f aca="false">IF(B385="","",IFERROR(INDEX(顧客一覧!$K$5:$K$304,MATCH(B385,顧客一覧!$B$5:$B$304,0))&amp;"",""))</f>
        <v/>
      </c>
      <c r="E385" s="17"/>
      <c r="F385" s="17"/>
      <c r="G385" s="29"/>
      <c r="H385" s="17"/>
      <c r="I385" s="29"/>
      <c r="J385" s="26" t="str">
        <f aca="false">IF(OR(G385="",I385=""),"",G385-I385)</f>
        <v/>
      </c>
      <c r="K385" s="26" t="str">
        <f aca="false">IF(J385="","",J385*12)</f>
        <v/>
      </c>
      <c r="L385" s="29"/>
      <c r="M385" s="27" t="str">
        <f aca="false">IF(OR(L385="",J385=""),"",IF(J385&lt;=0,"回収不可",L385/J385))</f>
        <v/>
      </c>
      <c r="N385" s="22"/>
      <c r="O385" s="17"/>
      <c r="P385" s="22"/>
      <c r="Q385" s="22"/>
      <c r="R385" s="28" t="str">
        <f aca="true">IF(OR(P385="",Q385&lt;&gt;"",O385="キャンセル"),"",P385-TODAY())</f>
        <v/>
      </c>
      <c r="S385" s="29"/>
      <c r="T385" s="22"/>
      <c r="U385" s="17"/>
      <c r="V385" s="22"/>
      <c r="W385" s="19" t="str">
        <f aca="true">IF(B385="","",IF(OR(O385="開通済",Q385&lt;&gt;""),"完了",IF(O385="キャンセル","―",IF(AND(V385&lt;&gt;"",V385&lt;TODAY()),"対応期限超過",IF(AND(P385&lt;&gt;"",P385&lt;TODAY()),"開通予定日超過",IF(AND(V385&lt;&gt;"",V385=TODAY()),"本日対応",IF(AND(P385&lt;&gt;"",P385-TODAY()&lt;=3),"開通間近","")))))))</f>
        <v/>
      </c>
      <c r="X385" s="17"/>
    </row>
    <row r="386" customFormat="false" ht="15" hidden="false" customHeight="false" outlineLevel="0" collapsed="false">
      <c r="A386" s="12" t="str">
        <f aca="false">IF(B386="","",ROW()-4)</f>
        <v/>
      </c>
      <c r="B386" s="17"/>
      <c r="C386" s="19" t="str">
        <f aca="false">IF(B386="","",IFERROR(INDEX(顧客一覧!$C$5:$C$304,MATCH(B386,顧客一覧!$B$5:$B$304,0)),"※ID未登録"))</f>
        <v/>
      </c>
      <c r="D386" s="12" t="str">
        <f aca="false">IF(B386="","",IFERROR(INDEX(顧客一覧!$K$5:$K$304,MATCH(B386,顧客一覧!$B$5:$B$304,0))&amp;"",""))</f>
        <v/>
      </c>
      <c r="E386" s="17"/>
      <c r="F386" s="17"/>
      <c r="G386" s="29"/>
      <c r="H386" s="17"/>
      <c r="I386" s="29"/>
      <c r="J386" s="26" t="str">
        <f aca="false">IF(OR(G386="",I386=""),"",G386-I386)</f>
        <v/>
      </c>
      <c r="K386" s="26" t="str">
        <f aca="false">IF(J386="","",J386*12)</f>
        <v/>
      </c>
      <c r="L386" s="29"/>
      <c r="M386" s="27" t="str">
        <f aca="false">IF(OR(L386="",J386=""),"",IF(J386&lt;=0,"回収不可",L386/J386))</f>
        <v/>
      </c>
      <c r="N386" s="22"/>
      <c r="O386" s="17"/>
      <c r="P386" s="22"/>
      <c r="Q386" s="22"/>
      <c r="R386" s="28" t="str">
        <f aca="true">IF(OR(P386="",Q386&lt;&gt;"",O386="キャンセル"),"",P386-TODAY())</f>
        <v/>
      </c>
      <c r="S386" s="29"/>
      <c r="T386" s="22"/>
      <c r="U386" s="17"/>
      <c r="V386" s="22"/>
      <c r="W386" s="19" t="str">
        <f aca="true">IF(B386="","",IF(OR(O386="開通済",Q386&lt;&gt;""),"完了",IF(O386="キャンセル","―",IF(AND(V386&lt;&gt;"",V386&lt;TODAY()),"対応期限超過",IF(AND(P386&lt;&gt;"",P386&lt;TODAY()),"開通予定日超過",IF(AND(V386&lt;&gt;"",V386=TODAY()),"本日対応",IF(AND(P386&lt;&gt;"",P386-TODAY()&lt;=3),"開通間近","")))))))</f>
        <v/>
      </c>
      <c r="X386" s="17"/>
    </row>
    <row r="387" customFormat="false" ht="15" hidden="false" customHeight="false" outlineLevel="0" collapsed="false">
      <c r="A387" s="12" t="str">
        <f aca="false">IF(B387="","",ROW()-4)</f>
        <v/>
      </c>
      <c r="B387" s="17"/>
      <c r="C387" s="19" t="str">
        <f aca="false">IF(B387="","",IFERROR(INDEX(顧客一覧!$C$5:$C$304,MATCH(B387,顧客一覧!$B$5:$B$304,0)),"※ID未登録"))</f>
        <v/>
      </c>
      <c r="D387" s="12" t="str">
        <f aca="false">IF(B387="","",IFERROR(INDEX(顧客一覧!$K$5:$K$304,MATCH(B387,顧客一覧!$B$5:$B$304,0))&amp;"",""))</f>
        <v/>
      </c>
      <c r="E387" s="17"/>
      <c r="F387" s="17"/>
      <c r="G387" s="29"/>
      <c r="H387" s="17"/>
      <c r="I387" s="29"/>
      <c r="J387" s="26" t="str">
        <f aca="false">IF(OR(G387="",I387=""),"",G387-I387)</f>
        <v/>
      </c>
      <c r="K387" s="26" t="str">
        <f aca="false">IF(J387="","",J387*12)</f>
        <v/>
      </c>
      <c r="L387" s="29"/>
      <c r="M387" s="27" t="str">
        <f aca="false">IF(OR(L387="",J387=""),"",IF(J387&lt;=0,"回収不可",L387/J387))</f>
        <v/>
      </c>
      <c r="N387" s="22"/>
      <c r="O387" s="17"/>
      <c r="P387" s="22"/>
      <c r="Q387" s="22"/>
      <c r="R387" s="28" t="str">
        <f aca="true">IF(OR(P387="",Q387&lt;&gt;"",O387="キャンセル"),"",P387-TODAY())</f>
        <v/>
      </c>
      <c r="S387" s="29"/>
      <c r="T387" s="22"/>
      <c r="U387" s="17"/>
      <c r="V387" s="22"/>
      <c r="W387" s="19" t="str">
        <f aca="true">IF(B387="","",IF(OR(O387="開通済",Q387&lt;&gt;""),"完了",IF(O387="キャンセル","―",IF(AND(V387&lt;&gt;"",V387&lt;TODAY()),"対応期限超過",IF(AND(P387&lt;&gt;"",P387&lt;TODAY()),"開通予定日超過",IF(AND(V387&lt;&gt;"",V387=TODAY()),"本日対応",IF(AND(P387&lt;&gt;"",P387-TODAY()&lt;=3),"開通間近","")))))))</f>
        <v/>
      </c>
      <c r="X387" s="17"/>
    </row>
    <row r="388" customFormat="false" ht="15" hidden="false" customHeight="false" outlineLevel="0" collapsed="false">
      <c r="A388" s="12" t="str">
        <f aca="false">IF(B388="","",ROW()-4)</f>
        <v/>
      </c>
      <c r="B388" s="17"/>
      <c r="C388" s="19" t="str">
        <f aca="false">IF(B388="","",IFERROR(INDEX(顧客一覧!$C$5:$C$304,MATCH(B388,顧客一覧!$B$5:$B$304,0)),"※ID未登録"))</f>
        <v/>
      </c>
      <c r="D388" s="12" t="str">
        <f aca="false">IF(B388="","",IFERROR(INDEX(顧客一覧!$K$5:$K$304,MATCH(B388,顧客一覧!$B$5:$B$304,0))&amp;"",""))</f>
        <v/>
      </c>
      <c r="E388" s="17"/>
      <c r="F388" s="17"/>
      <c r="G388" s="29"/>
      <c r="H388" s="17"/>
      <c r="I388" s="29"/>
      <c r="J388" s="26" t="str">
        <f aca="false">IF(OR(G388="",I388=""),"",G388-I388)</f>
        <v/>
      </c>
      <c r="K388" s="26" t="str">
        <f aca="false">IF(J388="","",J388*12)</f>
        <v/>
      </c>
      <c r="L388" s="29"/>
      <c r="M388" s="27" t="str">
        <f aca="false">IF(OR(L388="",J388=""),"",IF(J388&lt;=0,"回収不可",L388/J388))</f>
        <v/>
      </c>
      <c r="N388" s="22"/>
      <c r="O388" s="17"/>
      <c r="P388" s="22"/>
      <c r="Q388" s="22"/>
      <c r="R388" s="28" t="str">
        <f aca="true">IF(OR(P388="",Q388&lt;&gt;"",O388="キャンセル"),"",P388-TODAY())</f>
        <v/>
      </c>
      <c r="S388" s="29"/>
      <c r="T388" s="22"/>
      <c r="U388" s="17"/>
      <c r="V388" s="22"/>
      <c r="W388" s="19" t="str">
        <f aca="true">IF(B388="","",IF(OR(O388="開通済",Q388&lt;&gt;""),"完了",IF(O388="キャンセル","―",IF(AND(V388&lt;&gt;"",V388&lt;TODAY()),"対応期限超過",IF(AND(P388&lt;&gt;"",P388&lt;TODAY()),"開通予定日超過",IF(AND(V388&lt;&gt;"",V388=TODAY()),"本日対応",IF(AND(P388&lt;&gt;"",P388-TODAY()&lt;=3),"開通間近","")))))))</f>
        <v/>
      </c>
      <c r="X388" s="17"/>
    </row>
    <row r="389" customFormat="false" ht="15" hidden="false" customHeight="false" outlineLevel="0" collapsed="false">
      <c r="A389" s="12" t="str">
        <f aca="false">IF(B389="","",ROW()-4)</f>
        <v/>
      </c>
      <c r="B389" s="17"/>
      <c r="C389" s="19" t="str">
        <f aca="false">IF(B389="","",IFERROR(INDEX(顧客一覧!$C$5:$C$304,MATCH(B389,顧客一覧!$B$5:$B$304,0)),"※ID未登録"))</f>
        <v/>
      </c>
      <c r="D389" s="12" t="str">
        <f aca="false">IF(B389="","",IFERROR(INDEX(顧客一覧!$K$5:$K$304,MATCH(B389,顧客一覧!$B$5:$B$304,0))&amp;"",""))</f>
        <v/>
      </c>
      <c r="E389" s="17"/>
      <c r="F389" s="17"/>
      <c r="G389" s="29"/>
      <c r="H389" s="17"/>
      <c r="I389" s="29"/>
      <c r="J389" s="26" t="str">
        <f aca="false">IF(OR(G389="",I389=""),"",G389-I389)</f>
        <v/>
      </c>
      <c r="K389" s="26" t="str">
        <f aca="false">IF(J389="","",J389*12)</f>
        <v/>
      </c>
      <c r="L389" s="29"/>
      <c r="M389" s="27" t="str">
        <f aca="false">IF(OR(L389="",J389=""),"",IF(J389&lt;=0,"回収不可",L389/J389))</f>
        <v/>
      </c>
      <c r="N389" s="22"/>
      <c r="O389" s="17"/>
      <c r="P389" s="22"/>
      <c r="Q389" s="22"/>
      <c r="R389" s="28" t="str">
        <f aca="true">IF(OR(P389="",Q389&lt;&gt;"",O389="キャンセル"),"",P389-TODAY())</f>
        <v/>
      </c>
      <c r="S389" s="29"/>
      <c r="T389" s="22"/>
      <c r="U389" s="17"/>
      <c r="V389" s="22"/>
      <c r="W389" s="19" t="str">
        <f aca="true">IF(B389="","",IF(OR(O389="開通済",Q389&lt;&gt;""),"完了",IF(O389="キャンセル","―",IF(AND(V389&lt;&gt;"",V389&lt;TODAY()),"対応期限超過",IF(AND(P389&lt;&gt;"",P389&lt;TODAY()),"開通予定日超過",IF(AND(V389&lt;&gt;"",V389=TODAY()),"本日対応",IF(AND(P389&lt;&gt;"",P389-TODAY()&lt;=3),"開通間近","")))))))</f>
        <v/>
      </c>
      <c r="X389" s="17"/>
    </row>
    <row r="390" customFormat="false" ht="15" hidden="false" customHeight="false" outlineLevel="0" collapsed="false">
      <c r="A390" s="12" t="str">
        <f aca="false">IF(B390="","",ROW()-4)</f>
        <v/>
      </c>
      <c r="B390" s="17"/>
      <c r="C390" s="19" t="str">
        <f aca="false">IF(B390="","",IFERROR(INDEX(顧客一覧!$C$5:$C$304,MATCH(B390,顧客一覧!$B$5:$B$304,0)),"※ID未登録"))</f>
        <v/>
      </c>
      <c r="D390" s="12" t="str">
        <f aca="false">IF(B390="","",IFERROR(INDEX(顧客一覧!$K$5:$K$304,MATCH(B390,顧客一覧!$B$5:$B$304,0))&amp;"",""))</f>
        <v/>
      </c>
      <c r="E390" s="17"/>
      <c r="F390" s="17"/>
      <c r="G390" s="29"/>
      <c r="H390" s="17"/>
      <c r="I390" s="29"/>
      <c r="J390" s="26" t="str">
        <f aca="false">IF(OR(G390="",I390=""),"",G390-I390)</f>
        <v/>
      </c>
      <c r="K390" s="26" t="str">
        <f aca="false">IF(J390="","",J390*12)</f>
        <v/>
      </c>
      <c r="L390" s="29"/>
      <c r="M390" s="27" t="str">
        <f aca="false">IF(OR(L390="",J390=""),"",IF(J390&lt;=0,"回収不可",L390/J390))</f>
        <v/>
      </c>
      <c r="N390" s="22"/>
      <c r="O390" s="17"/>
      <c r="P390" s="22"/>
      <c r="Q390" s="22"/>
      <c r="R390" s="28" t="str">
        <f aca="true">IF(OR(P390="",Q390&lt;&gt;"",O390="キャンセル"),"",P390-TODAY())</f>
        <v/>
      </c>
      <c r="S390" s="29"/>
      <c r="T390" s="22"/>
      <c r="U390" s="17"/>
      <c r="V390" s="22"/>
      <c r="W390" s="19" t="str">
        <f aca="true">IF(B390="","",IF(OR(O390="開通済",Q390&lt;&gt;""),"完了",IF(O390="キャンセル","―",IF(AND(V390&lt;&gt;"",V390&lt;TODAY()),"対応期限超過",IF(AND(P390&lt;&gt;"",P390&lt;TODAY()),"開通予定日超過",IF(AND(V390&lt;&gt;"",V390=TODAY()),"本日対応",IF(AND(P390&lt;&gt;"",P390-TODAY()&lt;=3),"開通間近","")))))))</f>
        <v/>
      </c>
      <c r="X390" s="17"/>
    </row>
    <row r="391" customFormat="false" ht="15" hidden="false" customHeight="false" outlineLevel="0" collapsed="false">
      <c r="A391" s="12" t="str">
        <f aca="false">IF(B391="","",ROW()-4)</f>
        <v/>
      </c>
      <c r="B391" s="17"/>
      <c r="C391" s="19" t="str">
        <f aca="false">IF(B391="","",IFERROR(INDEX(顧客一覧!$C$5:$C$304,MATCH(B391,顧客一覧!$B$5:$B$304,0)),"※ID未登録"))</f>
        <v/>
      </c>
      <c r="D391" s="12" t="str">
        <f aca="false">IF(B391="","",IFERROR(INDEX(顧客一覧!$K$5:$K$304,MATCH(B391,顧客一覧!$B$5:$B$304,0))&amp;"",""))</f>
        <v/>
      </c>
      <c r="E391" s="17"/>
      <c r="F391" s="17"/>
      <c r="G391" s="29"/>
      <c r="H391" s="17"/>
      <c r="I391" s="29"/>
      <c r="J391" s="26" t="str">
        <f aca="false">IF(OR(G391="",I391=""),"",G391-I391)</f>
        <v/>
      </c>
      <c r="K391" s="26" t="str">
        <f aca="false">IF(J391="","",J391*12)</f>
        <v/>
      </c>
      <c r="L391" s="29"/>
      <c r="M391" s="27" t="str">
        <f aca="false">IF(OR(L391="",J391=""),"",IF(J391&lt;=0,"回収不可",L391/J391))</f>
        <v/>
      </c>
      <c r="N391" s="22"/>
      <c r="O391" s="17"/>
      <c r="P391" s="22"/>
      <c r="Q391" s="22"/>
      <c r="R391" s="28" t="str">
        <f aca="true">IF(OR(P391="",Q391&lt;&gt;"",O391="キャンセル"),"",P391-TODAY())</f>
        <v/>
      </c>
      <c r="S391" s="29"/>
      <c r="T391" s="22"/>
      <c r="U391" s="17"/>
      <c r="V391" s="22"/>
      <c r="W391" s="19" t="str">
        <f aca="true">IF(B391="","",IF(OR(O391="開通済",Q391&lt;&gt;""),"完了",IF(O391="キャンセル","―",IF(AND(V391&lt;&gt;"",V391&lt;TODAY()),"対応期限超過",IF(AND(P391&lt;&gt;"",P391&lt;TODAY()),"開通予定日超過",IF(AND(V391&lt;&gt;"",V391=TODAY()),"本日対応",IF(AND(P391&lt;&gt;"",P391-TODAY()&lt;=3),"開通間近","")))))))</f>
        <v/>
      </c>
      <c r="X391" s="17"/>
    </row>
    <row r="392" customFormat="false" ht="15" hidden="false" customHeight="false" outlineLevel="0" collapsed="false">
      <c r="A392" s="12" t="str">
        <f aca="false">IF(B392="","",ROW()-4)</f>
        <v/>
      </c>
      <c r="B392" s="17"/>
      <c r="C392" s="19" t="str">
        <f aca="false">IF(B392="","",IFERROR(INDEX(顧客一覧!$C$5:$C$304,MATCH(B392,顧客一覧!$B$5:$B$304,0)),"※ID未登録"))</f>
        <v/>
      </c>
      <c r="D392" s="12" t="str">
        <f aca="false">IF(B392="","",IFERROR(INDEX(顧客一覧!$K$5:$K$304,MATCH(B392,顧客一覧!$B$5:$B$304,0))&amp;"",""))</f>
        <v/>
      </c>
      <c r="E392" s="17"/>
      <c r="F392" s="17"/>
      <c r="G392" s="29"/>
      <c r="H392" s="17"/>
      <c r="I392" s="29"/>
      <c r="J392" s="26" t="str">
        <f aca="false">IF(OR(G392="",I392=""),"",G392-I392)</f>
        <v/>
      </c>
      <c r="K392" s="26" t="str">
        <f aca="false">IF(J392="","",J392*12)</f>
        <v/>
      </c>
      <c r="L392" s="29"/>
      <c r="M392" s="27" t="str">
        <f aca="false">IF(OR(L392="",J392=""),"",IF(J392&lt;=0,"回収不可",L392/J392))</f>
        <v/>
      </c>
      <c r="N392" s="22"/>
      <c r="O392" s="17"/>
      <c r="P392" s="22"/>
      <c r="Q392" s="22"/>
      <c r="R392" s="28" t="str">
        <f aca="true">IF(OR(P392="",Q392&lt;&gt;"",O392="キャンセル"),"",P392-TODAY())</f>
        <v/>
      </c>
      <c r="S392" s="29"/>
      <c r="T392" s="22"/>
      <c r="U392" s="17"/>
      <c r="V392" s="22"/>
      <c r="W392" s="19" t="str">
        <f aca="true">IF(B392="","",IF(OR(O392="開通済",Q392&lt;&gt;""),"完了",IF(O392="キャンセル","―",IF(AND(V392&lt;&gt;"",V392&lt;TODAY()),"対応期限超過",IF(AND(P392&lt;&gt;"",P392&lt;TODAY()),"開通予定日超過",IF(AND(V392&lt;&gt;"",V392=TODAY()),"本日対応",IF(AND(P392&lt;&gt;"",P392-TODAY()&lt;=3),"開通間近","")))))))</f>
        <v/>
      </c>
      <c r="X392" s="17"/>
    </row>
    <row r="393" customFormat="false" ht="15" hidden="false" customHeight="false" outlineLevel="0" collapsed="false">
      <c r="A393" s="12" t="str">
        <f aca="false">IF(B393="","",ROW()-4)</f>
        <v/>
      </c>
      <c r="B393" s="17"/>
      <c r="C393" s="19" t="str">
        <f aca="false">IF(B393="","",IFERROR(INDEX(顧客一覧!$C$5:$C$304,MATCH(B393,顧客一覧!$B$5:$B$304,0)),"※ID未登録"))</f>
        <v/>
      </c>
      <c r="D393" s="12" t="str">
        <f aca="false">IF(B393="","",IFERROR(INDEX(顧客一覧!$K$5:$K$304,MATCH(B393,顧客一覧!$B$5:$B$304,0))&amp;"",""))</f>
        <v/>
      </c>
      <c r="E393" s="17"/>
      <c r="F393" s="17"/>
      <c r="G393" s="29"/>
      <c r="H393" s="17"/>
      <c r="I393" s="29"/>
      <c r="J393" s="26" t="str">
        <f aca="false">IF(OR(G393="",I393=""),"",G393-I393)</f>
        <v/>
      </c>
      <c r="K393" s="26" t="str">
        <f aca="false">IF(J393="","",J393*12)</f>
        <v/>
      </c>
      <c r="L393" s="29"/>
      <c r="M393" s="27" t="str">
        <f aca="false">IF(OR(L393="",J393=""),"",IF(J393&lt;=0,"回収不可",L393/J393))</f>
        <v/>
      </c>
      <c r="N393" s="22"/>
      <c r="O393" s="17"/>
      <c r="P393" s="22"/>
      <c r="Q393" s="22"/>
      <c r="R393" s="28" t="str">
        <f aca="true">IF(OR(P393="",Q393&lt;&gt;"",O393="キャンセル"),"",P393-TODAY())</f>
        <v/>
      </c>
      <c r="S393" s="29"/>
      <c r="T393" s="22"/>
      <c r="U393" s="17"/>
      <c r="V393" s="22"/>
      <c r="W393" s="19" t="str">
        <f aca="true">IF(B393="","",IF(OR(O393="開通済",Q393&lt;&gt;""),"完了",IF(O393="キャンセル","―",IF(AND(V393&lt;&gt;"",V393&lt;TODAY()),"対応期限超過",IF(AND(P393&lt;&gt;"",P393&lt;TODAY()),"開通予定日超過",IF(AND(V393&lt;&gt;"",V393=TODAY()),"本日対応",IF(AND(P393&lt;&gt;"",P393-TODAY()&lt;=3),"開通間近","")))))))</f>
        <v/>
      </c>
      <c r="X393" s="17"/>
    </row>
    <row r="394" customFormat="false" ht="15" hidden="false" customHeight="false" outlineLevel="0" collapsed="false">
      <c r="A394" s="12" t="str">
        <f aca="false">IF(B394="","",ROW()-4)</f>
        <v/>
      </c>
      <c r="B394" s="17"/>
      <c r="C394" s="19" t="str">
        <f aca="false">IF(B394="","",IFERROR(INDEX(顧客一覧!$C$5:$C$304,MATCH(B394,顧客一覧!$B$5:$B$304,0)),"※ID未登録"))</f>
        <v/>
      </c>
      <c r="D394" s="12" t="str">
        <f aca="false">IF(B394="","",IFERROR(INDEX(顧客一覧!$K$5:$K$304,MATCH(B394,顧客一覧!$B$5:$B$304,0))&amp;"",""))</f>
        <v/>
      </c>
      <c r="E394" s="17"/>
      <c r="F394" s="17"/>
      <c r="G394" s="29"/>
      <c r="H394" s="17"/>
      <c r="I394" s="29"/>
      <c r="J394" s="26" t="str">
        <f aca="false">IF(OR(G394="",I394=""),"",G394-I394)</f>
        <v/>
      </c>
      <c r="K394" s="26" t="str">
        <f aca="false">IF(J394="","",J394*12)</f>
        <v/>
      </c>
      <c r="L394" s="29"/>
      <c r="M394" s="27" t="str">
        <f aca="false">IF(OR(L394="",J394=""),"",IF(J394&lt;=0,"回収不可",L394/J394))</f>
        <v/>
      </c>
      <c r="N394" s="22"/>
      <c r="O394" s="17"/>
      <c r="P394" s="22"/>
      <c r="Q394" s="22"/>
      <c r="R394" s="28" t="str">
        <f aca="true">IF(OR(P394="",Q394&lt;&gt;"",O394="キャンセル"),"",P394-TODAY())</f>
        <v/>
      </c>
      <c r="S394" s="29"/>
      <c r="T394" s="22"/>
      <c r="U394" s="17"/>
      <c r="V394" s="22"/>
      <c r="W394" s="19" t="str">
        <f aca="true">IF(B394="","",IF(OR(O394="開通済",Q394&lt;&gt;""),"完了",IF(O394="キャンセル","―",IF(AND(V394&lt;&gt;"",V394&lt;TODAY()),"対応期限超過",IF(AND(P394&lt;&gt;"",P394&lt;TODAY()),"開通予定日超過",IF(AND(V394&lt;&gt;"",V394=TODAY()),"本日対応",IF(AND(P394&lt;&gt;"",P394-TODAY()&lt;=3),"開通間近","")))))))</f>
        <v/>
      </c>
      <c r="X394" s="17"/>
    </row>
    <row r="395" customFormat="false" ht="15" hidden="false" customHeight="false" outlineLevel="0" collapsed="false">
      <c r="A395" s="12" t="str">
        <f aca="false">IF(B395="","",ROW()-4)</f>
        <v/>
      </c>
      <c r="B395" s="17"/>
      <c r="C395" s="19" t="str">
        <f aca="false">IF(B395="","",IFERROR(INDEX(顧客一覧!$C$5:$C$304,MATCH(B395,顧客一覧!$B$5:$B$304,0)),"※ID未登録"))</f>
        <v/>
      </c>
      <c r="D395" s="12" t="str">
        <f aca="false">IF(B395="","",IFERROR(INDEX(顧客一覧!$K$5:$K$304,MATCH(B395,顧客一覧!$B$5:$B$304,0))&amp;"",""))</f>
        <v/>
      </c>
      <c r="E395" s="17"/>
      <c r="F395" s="17"/>
      <c r="G395" s="29"/>
      <c r="H395" s="17"/>
      <c r="I395" s="29"/>
      <c r="J395" s="26" t="str">
        <f aca="false">IF(OR(G395="",I395=""),"",G395-I395)</f>
        <v/>
      </c>
      <c r="K395" s="26" t="str">
        <f aca="false">IF(J395="","",J395*12)</f>
        <v/>
      </c>
      <c r="L395" s="29"/>
      <c r="M395" s="27" t="str">
        <f aca="false">IF(OR(L395="",J395=""),"",IF(J395&lt;=0,"回収不可",L395/J395))</f>
        <v/>
      </c>
      <c r="N395" s="22"/>
      <c r="O395" s="17"/>
      <c r="P395" s="22"/>
      <c r="Q395" s="22"/>
      <c r="R395" s="28" t="str">
        <f aca="true">IF(OR(P395="",Q395&lt;&gt;"",O395="キャンセル"),"",P395-TODAY())</f>
        <v/>
      </c>
      <c r="S395" s="29"/>
      <c r="T395" s="22"/>
      <c r="U395" s="17"/>
      <c r="V395" s="22"/>
      <c r="W395" s="19" t="str">
        <f aca="true">IF(B395="","",IF(OR(O395="開通済",Q395&lt;&gt;""),"完了",IF(O395="キャンセル","―",IF(AND(V395&lt;&gt;"",V395&lt;TODAY()),"対応期限超過",IF(AND(P395&lt;&gt;"",P395&lt;TODAY()),"開通予定日超過",IF(AND(V395&lt;&gt;"",V395=TODAY()),"本日対応",IF(AND(P395&lt;&gt;"",P395-TODAY()&lt;=3),"開通間近","")))))))</f>
        <v/>
      </c>
      <c r="X395" s="17"/>
    </row>
    <row r="396" customFormat="false" ht="15" hidden="false" customHeight="false" outlineLevel="0" collapsed="false">
      <c r="A396" s="12" t="str">
        <f aca="false">IF(B396="","",ROW()-4)</f>
        <v/>
      </c>
      <c r="B396" s="17"/>
      <c r="C396" s="19" t="str">
        <f aca="false">IF(B396="","",IFERROR(INDEX(顧客一覧!$C$5:$C$304,MATCH(B396,顧客一覧!$B$5:$B$304,0)),"※ID未登録"))</f>
        <v/>
      </c>
      <c r="D396" s="12" t="str">
        <f aca="false">IF(B396="","",IFERROR(INDEX(顧客一覧!$K$5:$K$304,MATCH(B396,顧客一覧!$B$5:$B$304,0))&amp;"",""))</f>
        <v/>
      </c>
      <c r="E396" s="17"/>
      <c r="F396" s="17"/>
      <c r="G396" s="29"/>
      <c r="H396" s="17"/>
      <c r="I396" s="29"/>
      <c r="J396" s="26" t="str">
        <f aca="false">IF(OR(G396="",I396=""),"",G396-I396)</f>
        <v/>
      </c>
      <c r="K396" s="26" t="str">
        <f aca="false">IF(J396="","",J396*12)</f>
        <v/>
      </c>
      <c r="L396" s="29"/>
      <c r="M396" s="27" t="str">
        <f aca="false">IF(OR(L396="",J396=""),"",IF(J396&lt;=0,"回収不可",L396/J396))</f>
        <v/>
      </c>
      <c r="N396" s="22"/>
      <c r="O396" s="17"/>
      <c r="P396" s="22"/>
      <c r="Q396" s="22"/>
      <c r="R396" s="28" t="str">
        <f aca="true">IF(OR(P396="",Q396&lt;&gt;"",O396="キャンセル"),"",P396-TODAY())</f>
        <v/>
      </c>
      <c r="S396" s="29"/>
      <c r="T396" s="22"/>
      <c r="U396" s="17"/>
      <c r="V396" s="22"/>
      <c r="W396" s="19" t="str">
        <f aca="true">IF(B396="","",IF(OR(O396="開通済",Q396&lt;&gt;""),"完了",IF(O396="キャンセル","―",IF(AND(V396&lt;&gt;"",V396&lt;TODAY()),"対応期限超過",IF(AND(P396&lt;&gt;"",P396&lt;TODAY()),"開通予定日超過",IF(AND(V396&lt;&gt;"",V396=TODAY()),"本日対応",IF(AND(P396&lt;&gt;"",P396-TODAY()&lt;=3),"開通間近","")))))))</f>
        <v/>
      </c>
      <c r="X396" s="17"/>
    </row>
    <row r="397" customFormat="false" ht="15" hidden="false" customHeight="false" outlineLevel="0" collapsed="false">
      <c r="A397" s="12" t="str">
        <f aca="false">IF(B397="","",ROW()-4)</f>
        <v/>
      </c>
      <c r="B397" s="17"/>
      <c r="C397" s="19" t="str">
        <f aca="false">IF(B397="","",IFERROR(INDEX(顧客一覧!$C$5:$C$304,MATCH(B397,顧客一覧!$B$5:$B$304,0)),"※ID未登録"))</f>
        <v/>
      </c>
      <c r="D397" s="12" t="str">
        <f aca="false">IF(B397="","",IFERROR(INDEX(顧客一覧!$K$5:$K$304,MATCH(B397,顧客一覧!$B$5:$B$304,0))&amp;"",""))</f>
        <v/>
      </c>
      <c r="E397" s="17"/>
      <c r="F397" s="17"/>
      <c r="G397" s="29"/>
      <c r="H397" s="17"/>
      <c r="I397" s="29"/>
      <c r="J397" s="26" t="str">
        <f aca="false">IF(OR(G397="",I397=""),"",G397-I397)</f>
        <v/>
      </c>
      <c r="K397" s="26" t="str">
        <f aca="false">IF(J397="","",J397*12)</f>
        <v/>
      </c>
      <c r="L397" s="29"/>
      <c r="M397" s="27" t="str">
        <f aca="false">IF(OR(L397="",J397=""),"",IF(J397&lt;=0,"回収不可",L397/J397))</f>
        <v/>
      </c>
      <c r="N397" s="22"/>
      <c r="O397" s="17"/>
      <c r="P397" s="22"/>
      <c r="Q397" s="22"/>
      <c r="R397" s="28" t="str">
        <f aca="true">IF(OR(P397="",Q397&lt;&gt;"",O397="キャンセル"),"",P397-TODAY())</f>
        <v/>
      </c>
      <c r="S397" s="29"/>
      <c r="T397" s="22"/>
      <c r="U397" s="17"/>
      <c r="V397" s="22"/>
      <c r="W397" s="19" t="str">
        <f aca="true">IF(B397="","",IF(OR(O397="開通済",Q397&lt;&gt;""),"完了",IF(O397="キャンセル","―",IF(AND(V397&lt;&gt;"",V397&lt;TODAY()),"対応期限超過",IF(AND(P397&lt;&gt;"",P397&lt;TODAY()),"開通予定日超過",IF(AND(V397&lt;&gt;"",V397=TODAY()),"本日対応",IF(AND(P397&lt;&gt;"",P397-TODAY()&lt;=3),"開通間近","")))))))</f>
        <v/>
      </c>
      <c r="X397" s="17"/>
    </row>
    <row r="398" customFormat="false" ht="15" hidden="false" customHeight="false" outlineLevel="0" collapsed="false">
      <c r="A398" s="12" t="str">
        <f aca="false">IF(B398="","",ROW()-4)</f>
        <v/>
      </c>
      <c r="B398" s="17"/>
      <c r="C398" s="19" t="str">
        <f aca="false">IF(B398="","",IFERROR(INDEX(顧客一覧!$C$5:$C$304,MATCH(B398,顧客一覧!$B$5:$B$304,0)),"※ID未登録"))</f>
        <v/>
      </c>
      <c r="D398" s="12" t="str">
        <f aca="false">IF(B398="","",IFERROR(INDEX(顧客一覧!$K$5:$K$304,MATCH(B398,顧客一覧!$B$5:$B$304,0))&amp;"",""))</f>
        <v/>
      </c>
      <c r="E398" s="17"/>
      <c r="F398" s="17"/>
      <c r="G398" s="29"/>
      <c r="H398" s="17"/>
      <c r="I398" s="29"/>
      <c r="J398" s="26" t="str">
        <f aca="false">IF(OR(G398="",I398=""),"",G398-I398)</f>
        <v/>
      </c>
      <c r="K398" s="26" t="str">
        <f aca="false">IF(J398="","",J398*12)</f>
        <v/>
      </c>
      <c r="L398" s="29"/>
      <c r="M398" s="27" t="str">
        <f aca="false">IF(OR(L398="",J398=""),"",IF(J398&lt;=0,"回収不可",L398/J398))</f>
        <v/>
      </c>
      <c r="N398" s="22"/>
      <c r="O398" s="17"/>
      <c r="P398" s="22"/>
      <c r="Q398" s="22"/>
      <c r="R398" s="28" t="str">
        <f aca="true">IF(OR(P398="",Q398&lt;&gt;"",O398="キャンセル"),"",P398-TODAY())</f>
        <v/>
      </c>
      <c r="S398" s="29"/>
      <c r="T398" s="22"/>
      <c r="U398" s="17"/>
      <c r="V398" s="22"/>
      <c r="W398" s="19" t="str">
        <f aca="true">IF(B398="","",IF(OR(O398="開通済",Q398&lt;&gt;""),"完了",IF(O398="キャンセル","―",IF(AND(V398&lt;&gt;"",V398&lt;TODAY()),"対応期限超過",IF(AND(P398&lt;&gt;"",P398&lt;TODAY()),"開通予定日超過",IF(AND(V398&lt;&gt;"",V398=TODAY()),"本日対応",IF(AND(P398&lt;&gt;"",P398-TODAY()&lt;=3),"開通間近","")))))))</f>
        <v/>
      </c>
      <c r="X398" s="17"/>
    </row>
    <row r="399" customFormat="false" ht="15" hidden="false" customHeight="false" outlineLevel="0" collapsed="false">
      <c r="A399" s="12" t="str">
        <f aca="false">IF(B399="","",ROW()-4)</f>
        <v/>
      </c>
      <c r="B399" s="17"/>
      <c r="C399" s="19" t="str">
        <f aca="false">IF(B399="","",IFERROR(INDEX(顧客一覧!$C$5:$C$304,MATCH(B399,顧客一覧!$B$5:$B$304,0)),"※ID未登録"))</f>
        <v/>
      </c>
      <c r="D399" s="12" t="str">
        <f aca="false">IF(B399="","",IFERROR(INDEX(顧客一覧!$K$5:$K$304,MATCH(B399,顧客一覧!$B$5:$B$304,0))&amp;"",""))</f>
        <v/>
      </c>
      <c r="E399" s="17"/>
      <c r="F399" s="17"/>
      <c r="G399" s="29"/>
      <c r="H399" s="17"/>
      <c r="I399" s="29"/>
      <c r="J399" s="26" t="str">
        <f aca="false">IF(OR(G399="",I399=""),"",G399-I399)</f>
        <v/>
      </c>
      <c r="K399" s="26" t="str">
        <f aca="false">IF(J399="","",J399*12)</f>
        <v/>
      </c>
      <c r="L399" s="29"/>
      <c r="M399" s="27" t="str">
        <f aca="false">IF(OR(L399="",J399=""),"",IF(J399&lt;=0,"回収不可",L399/J399))</f>
        <v/>
      </c>
      <c r="N399" s="22"/>
      <c r="O399" s="17"/>
      <c r="P399" s="22"/>
      <c r="Q399" s="22"/>
      <c r="R399" s="28" t="str">
        <f aca="true">IF(OR(P399="",Q399&lt;&gt;"",O399="キャンセル"),"",P399-TODAY())</f>
        <v/>
      </c>
      <c r="S399" s="29"/>
      <c r="T399" s="22"/>
      <c r="U399" s="17"/>
      <c r="V399" s="22"/>
      <c r="W399" s="19" t="str">
        <f aca="true">IF(B399="","",IF(OR(O399="開通済",Q399&lt;&gt;""),"完了",IF(O399="キャンセル","―",IF(AND(V399&lt;&gt;"",V399&lt;TODAY()),"対応期限超過",IF(AND(P399&lt;&gt;"",P399&lt;TODAY()),"開通予定日超過",IF(AND(V399&lt;&gt;"",V399=TODAY()),"本日対応",IF(AND(P399&lt;&gt;"",P399-TODAY()&lt;=3),"開通間近","")))))))</f>
        <v/>
      </c>
      <c r="X399" s="17"/>
    </row>
    <row r="400" customFormat="false" ht="15" hidden="false" customHeight="false" outlineLevel="0" collapsed="false">
      <c r="A400" s="12" t="str">
        <f aca="false">IF(B400="","",ROW()-4)</f>
        <v/>
      </c>
      <c r="B400" s="17"/>
      <c r="C400" s="19" t="str">
        <f aca="false">IF(B400="","",IFERROR(INDEX(顧客一覧!$C$5:$C$304,MATCH(B400,顧客一覧!$B$5:$B$304,0)),"※ID未登録"))</f>
        <v/>
      </c>
      <c r="D400" s="12" t="str">
        <f aca="false">IF(B400="","",IFERROR(INDEX(顧客一覧!$K$5:$K$304,MATCH(B400,顧客一覧!$B$5:$B$304,0))&amp;"",""))</f>
        <v/>
      </c>
      <c r="E400" s="17"/>
      <c r="F400" s="17"/>
      <c r="G400" s="29"/>
      <c r="H400" s="17"/>
      <c r="I400" s="29"/>
      <c r="J400" s="26" t="str">
        <f aca="false">IF(OR(G400="",I400=""),"",G400-I400)</f>
        <v/>
      </c>
      <c r="K400" s="26" t="str">
        <f aca="false">IF(J400="","",J400*12)</f>
        <v/>
      </c>
      <c r="L400" s="29"/>
      <c r="M400" s="27" t="str">
        <f aca="false">IF(OR(L400="",J400=""),"",IF(J400&lt;=0,"回収不可",L400/J400))</f>
        <v/>
      </c>
      <c r="N400" s="22"/>
      <c r="O400" s="17"/>
      <c r="P400" s="22"/>
      <c r="Q400" s="22"/>
      <c r="R400" s="28" t="str">
        <f aca="true">IF(OR(P400="",Q400&lt;&gt;"",O400="キャンセル"),"",P400-TODAY())</f>
        <v/>
      </c>
      <c r="S400" s="29"/>
      <c r="T400" s="22"/>
      <c r="U400" s="17"/>
      <c r="V400" s="22"/>
      <c r="W400" s="19" t="str">
        <f aca="true">IF(B400="","",IF(OR(O400="開通済",Q400&lt;&gt;""),"完了",IF(O400="キャンセル","―",IF(AND(V400&lt;&gt;"",V400&lt;TODAY()),"対応期限超過",IF(AND(P400&lt;&gt;"",P400&lt;TODAY()),"開通予定日超過",IF(AND(V400&lt;&gt;"",V400=TODAY()),"本日対応",IF(AND(P400&lt;&gt;"",P400-TODAY()&lt;=3),"開通間近","")))))))</f>
        <v/>
      </c>
      <c r="X400" s="17"/>
    </row>
    <row r="401" customFormat="false" ht="15" hidden="false" customHeight="false" outlineLevel="0" collapsed="false">
      <c r="A401" s="12" t="str">
        <f aca="false">IF(B401="","",ROW()-4)</f>
        <v/>
      </c>
      <c r="B401" s="17"/>
      <c r="C401" s="19" t="str">
        <f aca="false">IF(B401="","",IFERROR(INDEX(顧客一覧!$C$5:$C$304,MATCH(B401,顧客一覧!$B$5:$B$304,0)),"※ID未登録"))</f>
        <v/>
      </c>
      <c r="D401" s="12" t="str">
        <f aca="false">IF(B401="","",IFERROR(INDEX(顧客一覧!$K$5:$K$304,MATCH(B401,顧客一覧!$B$5:$B$304,0))&amp;"",""))</f>
        <v/>
      </c>
      <c r="E401" s="17"/>
      <c r="F401" s="17"/>
      <c r="G401" s="29"/>
      <c r="H401" s="17"/>
      <c r="I401" s="29"/>
      <c r="J401" s="26" t="str">
        <f aca="false">IF(OR(G401="",I401=""),"",G401-I401)</f>
        <v/>
      </c>
      <c r="K401" s="26" t="str">
        <f aca="false">IF(J401="","",J401*12)</f>
        <v/>
      </c>
      <c r="L401" s="29"/>
      <c r="M401" s="27" t="str">
        <f aca="false">IF(OR(L401="",J401=""),"",IF(J401&lt;=0,"回収不可",L401/J401))</f>
        <v/>
      </c>
      <c r="N401" s="22"/>
      <c r="O401" s="17"/>
      <c r="P401" s="22"/>
      <c r="Q401" s="22"/>
      <c r="R401" s="28" t="str">
        <f aca="true">IF(OR(P401="",Q401&lt;&gt;"",O401="キャンセル"),"",P401-TODAY())</f>
        <v/>
      </c>
      <c r="S401" s="29"/>
      <c r="T401" s="22"/>
      <c r="U401" s="17"/>
      <c r="V401" s="22"/>
      <c r="W401" s="19" t="str">
        <f aca="true">IF(B401="","",IF(OR(O401="開通済",Q401&lt;&gt;""),"完了",IF(O401="キャンセル","―",IF(AND(V401&lt;&gt;"",V401&lt;TODAY()),"対応期限超過",IF(AND(P401&lt;&gt;"",P401&lt;TODAY()),"開通予定日超過",IF(AND(V401&lt;&gt;"",V401=TODAY()),"本日対応",IF(AND(P401&lt;&gt;"",P401-TODAY()&lt;=3),"開通間近","")))))))</f>
        <v/>
      </c>
      <c r="X401" s="17"/>
    </row>
    <row r="402" customFormat="false" ht="15" hidden="false" customHeight="false" outlineLevel="0" collapsed="false">
      <c r="A402" s="12" t="str">
        <f aca="false">IF(B402="","",ROW()-4)</f>
        <v/>
      </c>
      <c r="B402" s="17"/>
      <c r="C402" s="19" t="str">
        <f aca="false">IF(B402="","",IFERROR(INDEX(顧客一覧!$C$5:$C$304,MATCH(B402,顧客一覧!$B$5:$B$304,0)),"※ID未登録"))</f>
        <v/>
      </c>
      <c r="D402" s="12" t="str">
        <f aca="false">IF(B402="","",IFERROR(INDEX(顧客一覧!$K$5:$K$304,MATCH(B402,顧客一覧!$B$5:$B$304,0))&amp;"",""))</f>
        <v/>
      </c>
      <c r="E402" s="17"/>
      <c r="F402" s="17"/>
      <c r="G402" s="29"/>
      <c r="H402" s="17"/>
      <c r="I402" s="29"/>
      <c r="J402" s="26" t="str">
        <f aca="false">IF(OR(G402="",I402=""),"",G402-I402)</f>
        <v/>
      </c>
      <c r="K402" s="26" t="str">
        <f aca="false">IF(J402="","",J402*12)</f>
        <v/>
      </c>
      <c r="L402" s="29"/>
      <c r="M402" s="27" t="str">
        <f aca="false">IF(OR(L402="",J402=""),"",IF(J402&lt;=0,"回収不可",L402/J402))</f>
        <v/>
      </c>
      <c r="N402" s="22"/>
      <c r="O402" s="17"/>
      <c r="P402" s="22"/>
      <c r="Q402" s="22"/>
      <c r="R402" s="28" t="str">
        <f aca="true">IF(OR(P402="",Q402&lt;&gt;"",O402="キャンセル"),"",P402-TODAY())</f>
        <v/>
      </c>
      <c r="S402" s="29"/>
      <c r="T402" s="22"/>
      <c r="U402" s="17"/>
      <c r="V402" s="22"/>
      <c r="W402" s="19" t="str">
        <f aca="true">IF(B402="","",IF(OR(O402="開通済",Q402&lt;&gt;""),"完了",IF(O402="キャンセル","―",IF(AND(V402&lt;&gt;"",V402&lt;TODAY()),"対応期限超過",IF(AND(P402&lt;&gt;"",P402&lt;TODAY()),"開通予定日超過",IF(AND(V402&lt;&gt;"",V402=TODAY()),"本日対応",IF(AND(P402&lt;&gt;"",P402-TODAY()&lt;=3),"開通間近","")))))))</f>
        <v/>
      </c>
      <c r="X402" s="17"/>
    </row>
    <row r="403" customFormat="false" ht="15" hidden="false" customHeight="false" outlineLevel="0" collapsed="false">
      <c r="A403" s="12" t="str">
        <f aca="false">IF(B403="","",ROW()-4)</f>
        <v/>
      </c>
      <c r="B403" s="17"/>
      <c r="C403" s="19" t="str">
        <f aca="false">IF(B403="","",IFERROR(INDEX(顧客一覧!$C$5:$C$304,MATCH(B403,顧客一覧!$B$5:$B$304,0)),"※ID未登録"))</f>
        <v/>
      </c>
      <c r="D403" s="12" t="str">
        <f aca="false">IF(B403="","",IFERROR(INDEX(顧客一覧!$K$5:$K$304,MATCH(B403,顧客一覧!$B$5:$B$304,0))&amp;"",""))</f>
        <v/>
      </c>
      <c r="E403" s="17"/>
      <c r="F403" s="17"/>
      <c r="G403" s="29"/>
      <c r="H403" s="17"/>
      <c r="I403" s="29"/>
      <c r="J403" s="26" t="str">
        <f aca="false">IF(OR(G403="",I403=""),"",G403-I403)</f>
        <v/>
      </c>
      <c r="K403" s="26" t="str">
        <f aca="false">IF(J403="","",J403*12)</f>
        <v/>
      </c>
      <c r="L403" s="29"/>
      <c r="M403" s="27" t="str">
        <f aca="false">IF(OR(L403="",J403=""),"",IF(J403&lt;=0,"回収不可",L403/J403))</f>
        <v/>
      </c>
      <c r="N403" s="22"/>
      <c r="O403" s="17"/>
      <c r="P403" s="22"/>
      <c r="Q403" s="22"/>
      <c r="R403" s="28" t="str">
        <f aca="true">IF(OR(P403="",Q403&lt;&gt;"",O403="キャンセル"),"",P403-TODAY())</f>
        <v/>
      </c>
      <c r="S403" s="29"/>
      <c r="T403" s="22"/>
      <c r="U403" s="17"/>
      <c r="V403" s="22"/>
      <c r="W403" s="19" t="str">
        <f aca="true">IF(B403="","",IF(OR(O403="開通済",Q403&lt;&gt;""),"完了",IF(O403="キャンセル","―",IF(AND(V403&lt;&gt;"",V403&lt;TODAY()),"対応期限超過",IF(AND(P403&lt;&gt;"",P403&lt;TODAY()),"開通予定日超過",IF(AND(V403&lt;&gt;"",V403=TODAY()),"本日対応",IF(AND(P403&lt;&gt;"",P403-TODAY()&lt;=3),"開通間近","")))))))</f>
        <v/>
      </c>
      <c r="X403" s="17"/>
    </row>
    <row r="404" customFormat="false" ht="15" hidden="false" customHeight="false" outlineLevel="0" collapsed="false">
      <c r="A404" s="12" t="str">
        <f aca="false">IF(B404="","",ROW()-4)</f>
        <v/>
      </c>
      <c r="B404" s="17"/>
      <c r="C404" s="19" t="str">
        <f aca="false">IF(B404="","",IFERROR(INDEX(顧客一覧!$C$5:$C$304,MATCH(B404,顧客一覧!$B$5:$B$304,0)),"※ID未登録"))</f>
        <v/>
      </c>
      <c r="D404" s="12" t="str">
        <f aca="false">IF(B404="","",IFERROR(INDEX(顧客一覧!$K$5:$K$304,MATCH(B404,顧客一覧!$B$5:$B$304,0))&amp;"",""))</f>
        <v/>
      </c>
      <c r="E404" s="17"/>
      <c r="F404" s="17"/>
      <c r="G404" s="29"/>
      <c r="H404" s="17"/>
      <c r="I404" s="29"/>
      <c r="J404" s="26" t="str">
        <f aca="false">IF(OR(G404="",I404=""),"",G404-I404)</f>
        <v/>
      </c>
      <c r="K404" s="26" t="str">
        <f aca="false">IF(J404="","",J404*12)</f>
        <v/>
      </c>
      <c r="L404" s="29"/>
      <c r="M404" s="27" t="str">
        <f aca="false">IF(OR(L404="",J404=""),"",IF(J404&lt;=0,"回収不可",L404/J404))</f>
        <v/>
      </c>
      <c r="N404" s="22"/>
      <c r="O404" s="17"/>
      <c r="P404" s="22"/>
      <c r="Q404" s="22"/>
      <c r="R404" s="28" t="str">
        <f aca="true">IF(OR(P404="",Q404&lt;&gt;"",O404="キャンセル"),"",P404-TODAY())</f>
        <v/>
      </c>
      <c r="S404" s="29"/>
      <c r="T404" s="22"/>
      <c r="U404" s="17"/>
      <c r="V404" s="22"/>
      <c r="W404" s="19" t="str">
        <f aca="true">IF(B404="","",IF(OR(O404="開通済",Q404&lt;&gt;""),"完了",IF(O404="キャンセル","―",IF(AND(V404&lt;&gt;"",V404&lt;TODAY()),"対応期限超過",IF(AND(P404&lt;&gt;"",P404&lt;TODAY()),"開通予定日超過",IF(AND(V404&lt;&gt;"",V404=TODAY()),"本日対応",IF(AND(P404&lt;&gt;"",P404-TODAY()&lt;=3),"開通間近","")))))))</f>
        <v/>
      </c>
      <c r="X404" s="17"/>
    </row>
    <row r="405" customFormat="false" ht="15" hidden="false" customHeight="false" outlineLevel="0" collapsed="false">
      <c r="A405" s="12" t="str">
        <f aca="false">IF(B405="","",ROW()-4)</f>
        <v/>
      </c>
      <c r="B405" s="17"/>
      <c r="C405" s="19" t="str">
        <f aca="false">IF(B405="","",IFERROR(INDEX(顧客一覧!$C$5:$C$304,MATCH(B405,顧客一覧!$B$5:$B$304,0)),"※ID未登録"))</f>
        <v/>
      </c>
      <c r="D405" s="12" t="str">
        <f aca="false">IF(B405="","",IFERROR(INDEX(顧客一覧!$K$5:$K$304,MATCH(B405,顧客一覧!$B$5:$B$304,0))&amp;"",""))</f>
        <v/>
      </c>
      <c r="E405" s="17"/>
      <c r="F405" s="17"/>
      <c r="G405" s="29"/>
      <c r="H405" s="17"/>
      <c r="I405" s="29"/>
      <c r="J405" s="26" t="str">
        <f aca="false">IF(OR(G405="",I405=""),"",G405-I405)</f>
        <v/>
      </c>
      <c r="K405" s="26" t="str">
        <f aca="false">IF(J405="","",J405*12)</f>
        <v/>
      </c>
      <c r="L405" s="29"/>
      <c r="M405" s="27" t="str">
        <f aca="false">IF(OR(L405="",J405=""),"",IF(J405&lt;=0,"回収不可",L405/J405))</f>
        <v/>
      </c>
      <c r="N405" s="22"/>
      <c r="O405" s="17"/>
      <c r="P405" s="22"/>
      <c r="Q405" s="22"/>
      <c r="R405" s="28" t="str">
        <f aca="true">IF(OR(P405="",Q405&lt;&gt;"",O405="キャンセル"),"",P405-TODAY())</f>
        <v/>
      </c>
      <c r="S405" s="29"/>
      <c r="T405" s="22"/>
      <c r="U405" s="17"/>
      <c r="V405" s="22"/>
      <c r="W405" s="19" t="str">
        <f aca="true">IF(B405="","",IF(OR(O405="開通済",Q405&lt;&gt;""),"完了",IF(O405="キャンセル","―",IF(AND(V405&lt;&gt;"",V405&lt;TODAY()),"対応期限超過",IF(AND(P405&lt;&gt;"",P405&lt;TODAY()),"開通予定日超過",IF(AND(V405&lt;&gt;"",V405=TODAY()),"本日対応",IF(AND(P405&lt;&gt;"",P405-TODAY()&lt;=3),"開通間近","")))))))</f>
        <v/>
      </c>
      <c r="X405" s="17"/>
    </row>
    <row r="406" customFormat="false" ht="15" hidden="false" customHeight="false" outlineLevel="0" collapsed="false">
      <c r="A406" s="12" t="str">
        <f aca="false">IF(B406="","",ROW()-4)</f>
        <v/>
      </c>
      <c r="B406" s="17"/>
      <c r="C406" s="19" t="str">
        <f aca="false">IF(B406="","",IFERROR(INDEX(顧客一覧!$C$5:$C$304,MATCH(B406,顧客一覧!$B$5:$B$304,0)),"※ID未登録"))</f>
        <v/>
      </c>
      <c r="D406" s="12" t="str">
        <f aca="false">IF(B406="","",IFERROR(INDEX(顧客一覧!$K$5:$K$304,MATCH(B406,顧客一覧!$B$5:$B$304,0))&amp;"",""))</f>
        <v/>
      </c>
      <c r="E406" s="17"/>
      <c r="F406" s="17"/>
      <c r="G406" s="29"/>
      <c r="H406" s="17"/>
      <c r="I406" s="29"/>
      <c r="J406" s="26" t="str">
        <f aca="false">IF(OR(G406="",I406=""),"",G406-I406)</f>
        <v/>
      </c>
      <c r="K406" s="26" t="str">
        <f aca="false">IF(J406="","",J406*12)</f>
        <v/>
      </c>
      <c r="L406" s="29"/>
      <c r="M406" s="27" t="str">
        <f aca="false">IF(OR(L406="",J406=""),"",IF(J406&lt;=0,"回収不可",L406/J406))</f>
        <v/>
      </c>
      <c r="N406" s="22"/>
      <c r="O406" s="17"/>
      <c r="P406" s="22"/>
      <c r="Q406" s="22"/>
      <c r="R406" s="28" t="str">
        <f aca="true">IF(OR(P406="",Q406&lt;&gt;"",O406="キャンセル"),"",P406-TODAY())</f>
        <v/>
      </c>
      <c r="S406" s="29"/>
      <c r="T406" s="22"/>
      <c r="U406" s="17"/>
      <c r="V406" s="22"/>
      <c r="W406" s="19" t="str">
        <f aca="true">IF(B406="","",IF(OR(O406="開通済",Q406&lt;&gt;""),"完了",IF(O406="キャンセル","―",IF(AND(V406&lt;&gt;"",V406&lt;TODAY()),"対応期限超過",IF(AND(P406&lt;&gt;"",P406&lt;TODAY()),"開通予定日超過",IF(AND(V406&lt;&gt;"",V406=TODAY()),"本日対応",IF(AND(P406&lt;&gt;"",P406-TODAY()&lt;=3),"開通間近","")))))))</f>
        <v/>
      </c>
      <c r="X406" s="17"/>
    </row>
    <row r="407" customFormat="false" ht="15" hidden="false" customHeight="false" outlineLevel="0" collapsed="false">
      <c r="A407" s="12" t="str">
        <f aca="false">IF(B407="","",ROW()-4)</f>
        <v/>
      </c>
      <c r="B407" s="17"/>
      <c r="C407" s="19" t="str">
        <f aca="false">IF(B407="","",IFERROR(INDEX(顧客一覧!$C$5:$C$304,MATCH(B407,顧客一覧!$B$5:$B$304,0)),"※ID未登録"))</f>
        <v/>
      </c>
      <c r="D407" s="12" t="str">
        <f aca="false">IF(B407="","",IFERROR(INDEX(顧客一覧!$K$5:$K$304,MATCH(B407,顧客一覧!$B$5:$B$304,0))&amp;"",""))</f>
        <v/>
      </c>
      <c r="E407" s="17"/>
      <c r="F407" s="17"/>
      <c r="G407" s="29"/>
      <c r="H407" s="17"/>
      <c r="I407" s="29"/>
      <c r="J407" s="26" t="str">
        <f aca="false">IF(OR(G407="",I407=""),"",G407-I407)</f>
        <v/>
      </c>
      <c r="K407" s="26" t="str">
        <f aca="false">IF(J407="","",J407*12)</f>
        <v/>
      </c>
      <c r="L407" s="29"/>
      <c r="M407" s="27" t="str">
        <f aca="false">IF(OR(L407="",J407=""),"",IF(J407&lt;=0,"回収不可",L407/J407))</f>
        <v/>
      </c>
      <c r="N407" s="22"/>
      <c r="O407" s="17"/>
      <c r="P407" s="22"/>
      <c r="Q407" s="22"/>
      <c r="R407" s="28" t="str">
        <f aca="true">IF(OR(P407="",Q407&lt;&gt;"",O407="キャンセル"),"",P407-TODAY())</f>
        <v/>
      </c>
      <c r="S407" s="29"/>
      <c r="T407" s="22"/>
      <c r="U407" s="17"/>
      <c r="V407" s="22"/>
      <c r="W407" s="19" t="str">
        <f aca="true">IF(B407="","",IF(OR(O407="開通済",Q407&lt;&gt;""),"完了",IF(O407="キャンセル","―",IF(AND(V407&lt;&gt;"",V407&lt;TODAY()),"対応期限超過",IF(AND(P407&lt;&gt;"",P407&lt;TODAY()),"開通予定日超過",IF(AND(V407&lt;&gt;"",V407=TODAY()),"本日対応",IF(AND(P407&lt;&gt;"",P407-TODAY()&lt;=3),"開通間近","")))))))</f>
        <v/>
      </c>
      <c r="X407" s="17"/>
    </row>
    <row r="408" customFormat="false" ht="15" hidden="false" customHeight="false" outlineLevel="0" collapsed="false">
      <c r="A408" s="12" t="str">
        <f aca="false">IF(B408="","",ROW()-4)</f>
        <v/>
      </c>
      <c r="B408" s="17"/>
      <c r="C408" s="19" t="str">
        <f aca="false">IF(B408="","",IFERROR(INDEX(顧客一覧!$C$5:$C$304,MATCH(B408,顧客一覧!$B$5:$B$304,0)),"※ID未登録"))</f>
        <v/>
      </c>
      <c r="D408" s="12" t="str">
        <f aca="false">IF(B408="","",IFERROR(INDEX(顧客一覧!$K$5:$K$304,MATCH(B408,顧客一覧!$B$5:$B$304,0))&amp;"",""))</f>
        <v/>
      </c>
      <c r="E408" s="17"/>
      <c r="F408" s="17"/>
      <c r="G408" s="29"/>
      <c r="H408" s="17"/>
      <c r="I408" s="29"/>
      <c r="J408" s="26" t="str">
        <f aca="false">IF(OR(G408="",I408=""),"",G408-I408)</f>
        <v/>
      </c>
      <c r="K408" s="26" t="str">
        <f aca="false">IF(J408="","",J408*12)</f>
        <v/>
      </c>
      <c r="L408" s="29"/>
      <c r="M408" s="27" t="str">
        <f aca="false">IF(OR(L408="",J408=""),"",IF(J408&lt;=0,"回収不可",L408/J408))</f>
        <v/>
      </c>
      <c r="N408" s="22"/>
      <c r="O408" s="17"/>
      <c r="P408" s="22"/>
      <c r="Q408" s="22"/>
      <c r="R408" s="28" t="str">
        <f aca="true">IF(OR(P408="",Q408&lt;&gt;"",O408="キャンセル"),"",P408-TODAY())</f>
        <v/>
      </c>
      <c r="S408" s="29"/>
      <c r="T408" s="22"/>
      <c r="U408" s="17"/>
      <c r="V408" s="22"/>
      <c r="W408" s="19" t="str">
        <f aca="true">IF(B408="","",IF(OR(O408="開通済",Q408&lt;&gt;""),"完了",IF(O408="キャンセル","―",IF(AND(V408&lt;&gt;"",V408&lt;TODAY()),"対応期限超過",IF(AND(P408&lt;&gt;"",P408&lt;TODAY()),"開通予定日超過",IF(AND(V408&lt;&gt;"",V408=TODAY()),"本日対応",IF(AND(P408&lt;&gt;"",P408-TODAY()&lt;=3),"開通間近","")))))))</f>
        <v/>
      </c>
      <c r="X408" s="17"/>
    </row>
    <row r="409" customFormat="false" ht="15" hidden="false" customHeight="false" outlineLevel="0" collapsed="false">
      <c r="A409" s="12" t="str">
        <f aca="false">IF(B409="","",ROW()-4)</f>
        <v/>
      </c>
      <c r="B409" s="17"/>
      <c r="C409" s="19" t="str">
        <f aca="false">IF(B409="","",IFERROR(INDEX(顧客一覧!$C$5:$C$304,MATCH(B409,顧客一覧!$B$5:$B$304,0)),"※ID未登録"))</f>
        <v/>
      </c>
      <c r="D409" s="12" t="str">
        <f aca="false">IF(B409="","",IFERROR(INDEX(顧客一覧!$K$5:$K$304,MATCH(B409,顧客一覧!$B$5:$B$304,0))&amp;"",""))</f>
        <v/>
      </c>
      <c r="E409" s="17"/>
      <c r="F409" s="17"/>
      <c r="G409" s="29"/>
      <c r="H409" s="17"/>
      <c r="I409" s="29"/>
      <c r="J409" s="26" t="str">
        <f aca="false">IF(OR(G409="",I409=""),"",G409-I409)</f>
        <v/>
      </c>
      <c r="K409" s="26" t="str">
        <f aca="false">IF(J409="","",J409*12)</f>
        <v/>
      </c>
      <c r="L409" s="29"/>
      <c r="M409" s="27" t="str">
        <f aca="false">IF(OR(L409="",J409=""),"",IF(J409&lt;=0,"回収不可",L409/J409))</f>
        <v/>
      </c>
      <c r="N409" s="22"/>
      <c r="O409" s="17"/>
      <c r="P409" s="22"/>
      <c r="Q409" s="22"/>
      <c r="R409" s="28" t="str">
        <f aca="true">IF(OR(P409="",Q409&lt;&gt;"",O409="キャンセル"),"",P409-TODAY())</f>
        <v/>
      </c>
      <c r="S409" s="29"/>
      <c r="T409" s="22"/>
      <c r="U409" s="17"/>
      <c r="V409" s="22"/>
      <c r="W409" s="19" t="str">
        <f aca="true">IF(B409="","",IF(OR(O409="開通済",Q409&lt;&gt;""),"完了",IF(O409="キャンセル","―",IF(AND(V409&lt;&gt;"",V409&lt;TODAY()),"対応期限超過",IF(AND(P409&lt;&gt;"",P409&lt;TODAY()),"開通予定日超過",IF(AND(V409&lt;&gt;"",V409=TODAY()),"本日対応",IF(AND(P409&lt;&gt;"",P409-TODAY()&lt;=3),"開通間近","")))))))</f>
        <v/>
      </c>
      <c r="X409" s="17"/>
    </row>
    <row r="410" customFormat="false" ht="15" hidden="false" customHeight="false" outlineLevel="0" collapsed="false">
      <c r="A410" s="12" t="str">
        <f aca="false">IF(B410="","",ROW()-4)</f>
        <v/>
      </c>
      <c r="B410" s="17"/>
      <c r="C410" s="19" t="str">
        <f aca="false">IF(B410="","",IFERROR(INDEX(顧客一覧!$C$5:$C$304,MATCH(B410,顧客一覧!$B$5:$B$304,0)),"※ID未登録"))</f>
        <v/>
      </c>
      <c r="D410" s="12" t="str">
        <f aca="false">IF(B410="","",IFERROR(INDEX(顧客一覧!$K$5:$K$304,MATCH(B410,顧客一覧!$B$5:$B$304,0))&amp;"",""))</f>
        <v/>
      </c>
      <c r="E410" s="17"/>
      <c r="F410" s="17"/>
      <c r="G410" s="29"/>
      <c r="H410" s="17"/>
      <c r="I410" s="29"/>
      <c r="J410" s="26" t="str">
        <f aca="false">IF(OR(G410="",I410=""),"",G410-I410)</f>
        <v/>
      </c>
      <c r="K410" s="26" t="str">
        <f aca="false">IF(J410="","",J410*12)</f>
        <v/>
      </c>
      <c r="L410" s="29"/>
      <c r="M410" s="27" t="str">
        <f aca="false">IF(OR(L410="",J410=""),"",IF(J410&lt;=0,"回収不可",L410/J410))</f>
        <v/>
      </c>
      <c r="N410" s="22"/>
      <c r="O410" s="17"/>
      <c r="P410" s="22"/>
      <c r="Q410" s="22"/>
      <c r="R410" s="28" t="str">
        <f aca="true">IF(OR(P410="",Q410&lt;&gt;"",O410="キャンセル"),"",P410-TODAY())</f>
        <v/>
      </c>
      <c r="S410" s="29"/>
      <c r="T410" s="22"/>
      <c r="U410" s="17"/>
      <c r="V410" s="22"/>
      <c r="W410" s="19" t="str">
        <f aca="true">IF(B410="","",IF(OR(O410="開通済",Q410&lt;&gt;""),"完了",IF(O410="キャンセル","―",IF(AND(V410&lt;&gt;"",V410&lt;TODAY()),"対応期限超過",IF(AND(P410&lt;&gt;"",P410&lt;TODAY()),"開通予定日超過",IF(AND(V410&lt;&gt;"",V410=TODAY()),"本日対応",IF(AND(P410&lt;&gt;"",P410-TODAY()&lt;=3),"開通間近","")))))))</f>
        <v/>
      </c>
      <c r="X410" s="17"/>
    </row>
    <row r="411" customFormat="false" ht="15" hidden="false" customHeight="false" outlineLevel="0" collapsed="false">
      <c r="A411" s="12" t="str">
        <f aca="false">IF(B411="","",ROW()-4)</f>
        <v/>
      </c>
      <c r="B411" s="17"/>
      <c r="C411" s="19" t="str">
        <f aca="false">IF(B411="","",IFERROR(INDEX(顧客一覧!$C$5:$C$304,MATCH(B411,顧客一覧!$B$5:$B$304,0)),"※ID未登録"))</f>
        <v/>
      </c>
      <c r="D411" s="12" t="str">
        <f aca="false">IF(B411="","",IFERROR(INDEX(顧客一覧!$K$5:$K$304,MATCH(B411,顧客一覧!$B$5:$B$304,0))&amp;"",""))</f>
        <v/>
      </c>
      <c r="E411" s="17"/>
      <c r="F411" s="17"/>
      <c r="G411" s="29"/>
      <c r="H411" s="17"/>
      <c r="I411" s="29"/>
      <c r="J411" s="26" t="str">
        <f aca="false">IF(OR(G411="",I411=""),"",G411-I411)</f>
        <v/>
      </c>
      <c r="K411" s="26" t="str">
        <f aca="false">IF(J411="","",J411*12)</f>
        <v/>
      </c>
      <c r="L411" s="29"/>
      <c r="M411" s="27" t="str">
        <f aca="false">IF(OR(L411="",J411=""),"",IF(J411&lt;=0,"回収不可",L411/J411))</f>
        <v/>
      </c>
      <c r="N411" s="22"/>
      <c r="O411" s="17"/>
      <c r="P411" s="22"/>
      <c r="Q411" s="22"/>
      <c r="R411" s="28" t="str">
        <f aca="true">IF(OR(P411="",Q411&lt;&gt;"",O411="キャンセル"),"",P411-TODAY())</f>
        <v/>
      </c>
      <c r="S411" s="29"/>
      <c r="T411" s="22"/>
      <c r="U411" s="17"/>
      <c r="V411" s="22"/>
      <c r="W411" s="19" t="str">
        <f aca="true">IF(B411="","",IF(OR(O411="開通済",Q411&lt;&gt;""),"完了",IF(O411="キャンセル","―",IF(AND(V411&lt;&gt;"",V411&lt;TODAY()),"対応期限超過",IF(AND(P411&lt;&gt;"",P411&lt;TODAY()),"開通予定日超過",IF(AND(V411&lt;&gt;"",V411=TODAY()),"本日対応",IF(AND(P411&lt;&gt;"",P411-TODAY()&lt;=3),"開通間近","")))))))</f>
        <v/>
      </c>
      <c r="X411" s="17"/>
    </row>
    <row r="412" customFormat="false" ht="15" hidden="false" customHeight="false" outlineLevel="0" collapsed="false">
      <c r="A412" s="12" t="str">
        <f aca="false">IF(B412="","",ROW()-4)</f>
        <v/>
      </c>
      <c r="B412" s="17"/>
      <c r="C412" s="19" t="str">
        <f aca="false">IF(B412="","",IFERROR(INDEX(顧客一覧!$C$5:$C$304,MATCH(B412,顧客一覧!$B$5:$B$304,0)),"※ID未登録"))</f>
        <v/>
      </c>
      <c r="D412" s="12" t="str">
        <f aca="false">IF(B412="","",IFERROR(INDEX(顧客一覧!$K$5:$K$304,MATCH(B412,顧客一覧!$B$5:$B$304,0))&amp;"",""))</f>
        <v/>
      </c>
      <c r="E412" s="17"/>
      <c r="F412" s="17"/>
      <c r="G412" s="29"/>
      <c r="H412" s="17"/>
      <c r="I412" s="29"/>
      <c r="J412" s="26" t="str">
        <f aca="false">IF(OR(G412="",I412=""),"",G412-I412)</f>
        <v/>
      </c>
      <c r="K412" s="26" t="str">
        <f aca="false">IF(J412="","",J412*12)</f>
        <v/>
      </c>
      <c r="L412" s="29"/>
      <c r="M412" s="27" t="str">
        <f aca="false">IF(OR(L412="",J412=""),"",IF(J412&lt;=0,"回収不可",L412/J412))</f>
        <v/>
      </c>
      <c r="N412" s="22"/>
      <c r="O412" s="17"/>
      <c r="P412" s="22"/>
      <c r="Q412" s="22"/>
      <c r="R412" s="28" t="str">
        <f aca="true">IF(OR(P412="",Q412&lt;&gt;"",O412="キャンセル"),"",P412-TODAY())</f>
        <v/>
      </c>
      <c r="S412" s="29"/>
      <c r="T412" s="22"/>
      <c r="U412" s="17"/>
      <c r="V412" s="22"/>
      <c r="W412" s="19" t="str">
        <f aca="true">IF(B412="","",IF(OR(O412="開通済",Q412&lt;&gt;""),"完了",IF(O412="キャンセル","―",IF(AND(V412&lt;&gt;"",V412&lt;TODAY()),"対応期限超過",IF(AND(P412&lt;&gt;"",P412&lt;TODAY()),"開通予定日超過",IF(AND(V412&lt;&gt;"",V412=TODAY()),"本日対応",IF(AND(P412&lt;&gt;"",P412-TODAY()&lt;=3),"開通間近","")))))))</f>
        <v/>
      </c>
      <c r="X412" s="17"/>
    </row>
    <row r="413" customFormat="false" ht="15" hidden="false" customHeight="false" outlineLevel="0" collapsed="false">
      <c r="A413" s="12" t="str">
        <f aca="false">IF(B413="","",ROW()-4)</f>
        <v/>
      </c>
      <c r="B413" s="17"/>
      <c r="C413" s="19" t="str">
        <f aca="false">IF(B413="","",IFERROR(INDEX(顧客一覧!$C$5:$C$304,MATCH(B413,顧客一覧!$B$5:$B$304,0)),"※ID未登録"))</f>
        <v/>
      </c>
      <c r="D413" s="12" t="str">
        <f aca="false">IF(B413="","",IFERROR(INDEX(顧客一覧!$K$5:$K$304,MATCH(B413,顧客一覧!$B$5:$B$304,0))&amp;"",""))</f>
        <v/>
      </c>
      <c r="E413" s="17"/>
      <c r="F413" s="17"/>
      <c r="G413" s="29"/>
      <c r="H413" s="17"/>
      <c r="I413" s="29"/>
      <c r="J413" s="26" t="str">
        <f aca="false">IF(OR(G413="",I413=""),"",G413-I413)</f>
        <v/>
      </c>
      <c r="K413" s="26" t="str">
        <f aca="false">IF(J413="","",J413*12)</f>
        <v/>
      </c>
      <c r="L413" s="29"/>
      <c r="M413" s="27" t="str">
        <f aca="false">IF(OR(L413="",J413=""),"",IF(J413&lt;=0,"回収不可",L413/J413))</f>
        <v/>
      </c>
      <c r="N413" s="22"/>
      <c r="O413" s="17"/>
      <c r="P413" s="22"/>
      <c r="Q413" s="22"/>
      <c r="R413" s="28" t="str">
        <f aca="true">IF(OR(P413="",Q413&lt;&gt;"",O413="キャンセル"),"",P413-TODAY())</f>
        <v/>
      </c>
      <c r="S413" s="29"/>
      <c r="T413" s="22"/>
      <c r="U413" s="17"/>
      <c r="V413" s="22"/>
      <c r="W413" s="19" t="str">
        <f aca="true">IF(B413="","",IF(OR(O413="開通済",Q413&lt;&gt;""),"完了",IF(O413="キャンセル","―",IF(AND(V413&lt;&gt;"",V413&lt;TODAY()),"対応期限超過",IF(AND(P413&lt;&gt;"",P413&lt;TODAY()),"開通予定日超過",IF(AND(V413&lt;&gt;"",V413=TODAY()),"本日対応",IF(AND(P413&lt;&gt;"",P413-TODAY()&lt;=3),"開通間近","")))))))</f>
        <v/>
      </c>
      <c r="X413" s="17"/>
    </row>
    <row r="414" customFormat="false" ht="15" hidden="false" customHeight="false" outlineLevel="0" collapsed="false">
      <c r="A414" s="12" t="str">
        <f aca="false">IF(B414="","",ROW()-4)</f>
        <v/>
      </c>
      <c r="B414" s="17"/>
      <c r="C414" s="19" t="str">
        <f aca="false">IF(B414="","",IFERROR(INDEX(顧客一覧!$C$5:$C$304,MATCH(B414,顧客一覧!$B$5:$B$304,0)),"※ID未登録"))</f>
        <v/>
      </c>
      <c r="D414" s="12" t="str">
        <f aca="false">IF(B414="","",IFERROR(INDEX(顧客一覧!$K$5:$K$304,MATCH(B414,顧客一覧!$B$5:$B$304,0))&amp;"",""))</f>
        <v/>
      </c>
      <c r="E414" s="17"/>
      <c r="F414" s="17"/>
      <c r="G414" s="29"/>
      <c r="H414" s="17"/>
      <c r="I414" s="29"/>
      <c r="J414" s="26" t="str">
        <f aca="false">IF(OR(G414="",I414=""),"",G414-I414)</f>
        <v/>
      </c>
      <c r="K414" s="26" t="str">
        <f aca="false">IF(J414="","",J414*12)</f>
        <v/>
      </c>
      <c r="L414" s="29"/>
      <c r="M414" s="27" t="str">
        <f aca="false">IF(OR(L414="",J414=""),"",IF(J414&lt;=0,"回収不可",L414/J414))</f>
        <v/>
      </c>
      <c r="N414" s="22"/>
      <c r="O414" s="17"/>
      <c r="P414" s="22"/>
      <c r="Q414" s="22"/>
      <c r="R414" s="28" t="str">
        <f aca="true">IF(OR(P414="",Q414&lt;&gt;"",O414="キャンセル"),"",P414-TODAY())</f>
        <v/>
      </c>
      <c r="S414" s="29"/>
      <c r="T414" s="22"/>
      <c r="U414" s="17"/>
      <c r="V414" s="22"/>
      <c r="W414" s="19" t="str">
        <f aca="true">IF(B414="","",IF(OR(O414="開通済",Q414&lt;&gt;""),"完了",IF(O414="キャンセル","―",IF(AND(V414&lt;&gt;"",V414&lt;TODAY()),"対応期限超過",IF(AND(P414&lt;&gt;"",P414&lt;TODAY()),"開通予定日超過",IF(AND(V414&lt;&gt;"",V414=TODAY()),"本日対応",IF(AND(P414&lt;&gt;"",P414-TODAY()&lt;=3),"開通間近","")))))))</f>
        <v/>
      </c>
      <c r="X414" s="17"/>
    </row>
    <row r="415" customFormat="false" ht="15" hidden="false" customHeight="false" outlineLevel="0" collapsed="false">
      <c r="A415" s="12" t="str">
        <f aca="false">IF(B415="","",ROW()-4)</f>
        <v/>
      </c>
      <c r="B415" s="17"/>
      <c r="C415" s="19" t="str">
        <f aca="false">IF(B415="","",IFERROR(INDEX(顧客一覧!$C$5:$C$304,MATCH(B415,顧客一覧!$B$5:$B$304,0)),"※ID未登録"))</f>
        <v/>
      </c>
      <c r="D415" s="12" t="str">
        <f aca="false">IF(B415="","",IFERROR(INDEX(顧客一覧!$K$5:$K$304,MATCH(B415,顧客一覧!$B$5:$B$304,0))&amp;"",""))</f>
        <v/>
      </c>
      <c r="E415" s="17"/>
      <c r="F415" s="17"/>
      <c r="G415" s="29"/>
      <c r="H415" s="17"/>
      <c r="I415" s="29"/>
      <c r="J415" s="26" t="str">
        <f aca="false">IF(OR(G415="",I415=""),"",G415-I415)</f>
        <v/>
      </c>
      <c r="K415" s="26" t="str">
        <f aca="false">IF(J415="","",J415*12)</f>
        <v/>
      </c>
      <c r="L415" s="29"/>
      <c r="M415" s="27" t="str">
        <f aca="false">IF(OR(L415="",J415=""),"",IF(J415&lt;=0,"回収不可",L415/J415))</f>
        <v/>
      </c>
      <c r="N415" s="22"/>
      <c r="O415" s="17"/>
      <c r="P415" s="22"/>
      <c r="Q415" s="22"/>
      <c r="R415" s="28" t="str">
        <f aca="true">IF(OR(P415="",Q415&lt;&gt;"",O415="キャンセル"),"",P415-TODAY())</f>
        <v/>
      </c>
      <c r="S415" s="29"/>
      <c r="T415" s="22"/>
      <c r="U415" s="17"/>
      <c r="V415" s="22"/>
      <c r="W415" s="19" t="str">
        <f aca="true">IF(B415="","",IF(OR(O415="開通済",Q415&lt;&gt;""),"完了",IF(O415="キャンセル","―",IF(AND(V415&lt;&gt;"",V415&lt;TODAY()),"対応期限超過",IF(AND(P415&lt;&gt;"",P415&lt;TODAY()),"開通予定日超過",IF(AND(V415&lt;&gt;"",V415=TODAY()),"本日対応",IF(AND(P415&lt;&gt;"",P415-TODAY()&lt;=3),"開通間近","")))))))</f>
        <v/>
      </c>
      <c r="X415" s="17"/>
    </row>
    <row r="416" customFormat="false" ht="15" hidden="false" customHeight="false" outlineLevel="0" collapsed="false">
      <c r="A416" s="12" t="str">
        <f aca="false">IF(B416="","",ROW()-4)</f>
        <v/>
      </c>
      <c r="B416" s="17"/>
      <c r="C416" s="19" t="str">
        <f aca="false">IF(B416="","",IFERROR(INDEX(顧客一覧!$C$5:$C$304,MATCH(B416,顧客一覧!$B$5:$B$304,0)),"※ID未登録"))</f>
        <v/>
      </c>
      <c r="D416" s="12" t="str">
        <f aca="false">IF(B416="","",IFERROR(INDEX(顧客一覧!$K$5:$K$304,MATCH(B416,顧客一覧!$B$5:$B$304,0))&amp;"",""))</f>
        <v/>
      </c>
      <c r="E416" s="17"/>
      <c r="F416" s="17"/>
      <c r="G416" s="29"/>
      <c r="H416" s="17"/>
      <c r="I416" s="29"/>
      <c r="J416" s="26" t="str">
        <f aca="false">IF(OR(G416="",I416=""),"",G416-I416)</f>
        <v/>
      </c>
      <c r="K416" s="26" t="str">
        <f aca="false">IF(J416="","",J416*12)</f>
        <v/>
      </c>
      <c r="L416" s="29"/>
      <c r="M416" s="27" t="str">
        <f aca="false">IF(OR(L416="",J416=""),"",IF(J416&lt;=0,"回収不可",L416/J416))</f>
        <v/>
      </c>
      <c r="N416" s="22"/>
      <c r="O416" s="17"/>
      <c r="P416" s="22"/>
      <c r="Q416" s="22"/>
      <c r="R416" s="28" t="str">
        <f aca="true">IF(OR(P416="",Q416&lt;&gt;"",O416="キャンセル"),"",P416-TODAY())</f>
        <v/>
      </c>
      <c r="S416" s="29"/>
      <c r="T416" s="22"/>
      <c r="U416" s="17"/>
      <c r="V416" s="22"/>
      <c r="W416" s="19" t="str">
        <f aca="true">IF(B416="","",IF(OR(O416="開通済",Q416&lt;&gt;""),"完了",IF(O416="キャンセル","―",IF(AND(V416&lt;&gt;"",V416&lt;TODAY()),"対応期限超過",IF(AND(P416&lt;&gt;"",P416&lt;TODAY()),"開通予定日超過",IF(AND(V416&lt;&gt;"",V416=TODAY()),"本日対応",IF(AND(P416&lt;&gt;"",P416-TODAY()&lt;=3),"開通間近","")))))))</f>
        <v/>
      </c>
      <c r="X416" s="17"/>
    </row>
    <row r="417" customFormat="false" ht="15" hidden="false" customHeight="false" outlineLevel="0" collapsed="false">
      <c r="A417" s="12" t="str">
        <f aca="false">IF(B417="","",ROW()-4)</f>
        <v/>
      </c>
      <c r="B417" s="17"/>
      <c r="C417" s="19" t="str">
        <f aca="false">IF(B417="","",IFERROR(INDEX(顧客一覧!$C$5:$C$304,MATCH(B417,顧客一覧!$B$5:$B$304,0)),"※ID未登録"))</f>
        <v/>
      </c>
      <c r="D417" s="12" t="str">
        <f aca="false">IF(B417="","",IFERROR(INDEX(顧客一覧!$K$5:$K$304,MATCH(B417,顧客一覧!$B$5:$B$304,0))&amp;"",""))</f>
        <v/>
      </c>
      <c r="E417" s="17"/>
      <c r="F417" s="17"/>
      <c r="G417" s="29"/>
      <c r="H417" s="17"/>
      <c r="I417" s="29"/>
      <c r="J417" s="26" t="str">
        <f aca="false">IF(OR(G417="",I417=""),"",G417-I417)</f>
        <v/>
      </c>
      <c r="K417" s="26" t="str">
        <f aca="false">IF(J417="","",J417*12)</f>
        <v/>
      </c>
      <c r="L417" s="29"/>
      <c r="M417" s="27" t="str">
        <f aca="false">IF(OR(L417="",J417=""),"",IF(J417&lt;=0,"回収不可",L417/J417))</f>
        <v/>
      </c>
      <c r="N417" s="22"/>
      <c r="O417" s="17"/>
      <c r="P417" s="22"/>
      <c r="Q417" s="22"/>
      <c r="R417" s="28" t="str">
        <f aca="true">IF(OR(P417="",Q417&lt;&gt;"",O417="キャンセル"),"",P417-TODAY())</f>
        <v/>
      </c>
      <c r="S417" s="29"/>
      <c r="T417" s="22"/>
      <c r="U417" s="17"/>
      <c r="V417" s="22"/>
      <c r="W417" s="19" t="str">
        <f aca="true">IF(B417="","",IF(OR(O417="開通済",Q417&lt;&gt;""),"完了",IF(O417="キャンセル","―",IF(AND(V417&lt;&gt;"",V417&lt;TODAY()),"対応期限超過",IF(AND(P417&lt;&gt;"",P417&lt;TODAY()),"開通予定日超過",IF(AND(V417&lt;&gt;"",V417=TODAY()),"本日対応",IF(AND(P417&lt;&gt;"",P417-TODAY()&lt;=3),"開通間近","")))))))</f>
        <v/>
      </c>
      <c r="X417" s="17"/>
    </row>
    <row r="418" customFormat="false" ht="15" hidden="false" customHeight="false" outlineLevel="0" collapsed="false">
      <c r="A418" s="12" t="str">
        <f aca="false">IF(B418="","",ROW()-4)</f>
        <v/>
      </c>
      <c r="B418" s="17"/>
      <c r="C418" s="19" t="str">
        <f aca="false">IF(B418="","",IFERROR(INDEX(顧客一覧!$C$5:$C$304,MATCH(B418,顧客一覧!$B$5:$B$304,0)),"※ID未登録"))</f>
        <v/>
      </c>
      <c r="D418" s="12" t="str">
        <f aca="false">IF(B418="","",IFERROR(INDEX(顧客一覧!$K$5:$K$304,MATCH(B418,顧客一覧!$B$5:$B$304,0))&amp;"",""))</f>
        <v/>
      </c>
      <c r="E418" s="17"/>
      <c r="F418" s="17"/>
      <c r="G418" s="29"/>
      <c r="H418" s="17"/>
      <c r="I418" s="29"/>
      <c r="J418" s="26" t="str">
        <f aca="false">IF(OR(G418="",I418=""),"",G418-I418)</f>
        <v/>
      </c>
      <c r="K418" s="26" t="str">
        <f aca="false">IF(J418="","",J418*12)</f>
        <v/>
      </c>
      <c r="L418" s="29"/>
      <c r="M418" s="27" t="str">
        <f aca="false">IF(OR(L418="",J418=""),"",IF(J418&lt;=0,"回収不可",L418/J418))</f>
        <v/>
      </c>
      <c r="N418" s="22"/>
      <c r="O418" s="17"/>
      <c r="P418" s="22"/>
      <c r="Q418" s="22"/>
      <c r="R418" s="28" t="str">
        <f aca="true">IF(OR(P418="",Q418&lt;&gt;"",O418="キャンセル"),"",P418-TODAY())</f>
        <v/>
      </c>
      <c r="S418" s="29"/>
      <c r="T418" s="22"/>
      <c r="U418" s="17"/>
      <c r="V418" s="22"/>
      <c r="W418" s="19" t="str">
        <f aca="true">IF(B418="","",IF(OR(O418="開通済",Q418&lt;&gt;""),"完了",IF(O418="キャンセル","―",IF(AND(V418&lt;&gt;"",V418&lt;TODAY()),"対応期限超過",IF(AND(P418&lt;&gt;"",P418&lt;TODAY()),"開通予定日超過",IF(AND(V418&lt;&gt;"",V418=TODAY()),"本日対応",IF(AND(P418&lt;&gt;"",P418-TODAY()&lt;=3),"開通間近","")))))))</f>
        <v/>
      </c>
      <c r="X418" s="17"/>
    </row>
    <row r="419" customFormat="false" ht="15" hidden="false" customHeight="false" outlineLevel="0" collapsed="false">
      <c r="A419" s="12" t="str">
        <f aca="false">IF(B419="","",ROW()-4)</f>
        <v/>
      </c>
      <c r="B419" s="17"/>
      <c r="C419" s="19" t="str">
        <f aca="false">IF(B419="","",IFERROR(INDEX(顧客一覧!$C$5:$C$304,MATCH(B419,顧客一覧!$B$5:$B$304,0)),"※ID未登録"))</f>
        <v/>
      </c>
      <c r="D419" s="12" t="str">
        <f aca="false">IF(B419="","",IFERROR(INDEX(顧客一覧!$K$5:$K$304,MATCH(B419,顧客一覧!$B$5:$B$304,0))&amp;"",""))</f>
        <v/>
      </c>
      <c r="E419" s="17"/>
      <c r="F419" s="17"/>
      <c r="G419" s="29"/>
      <c r="H419" s="17"/>
      <c r="I419" s="29"/>
      <c r="J419" s="26" t="str">
        <f aca="false">IF(OR(G419="",I419=""),"",G419-I419)</f>
        <v/>
      </c>
      <c r="K419" s="26" t="str">
        <f aca="false">IF(J419="","",J419*12)</f>
        <v/>
      </c>
      <c r="L419" s="29"/>
      <c r="M419" s="27" t="str">
        <f aca="false">IF(OR(L419="",J419=""),"",IF(J419&lt;=0,"回収不可",L419/J419))</f>
        <v/>
      </c>
      <c r="N419" s="22"/>
      <c r="O419" s="17"/>
      <c r="P419" s="22"/>
      <c r="Q419" s="22"/>
      <c r="R419" s="28" t="str">
        <f aca="true">IF(OR(P419="",Q419&lt;&gt;"",O419="キャンセル"),"",P419-TODAY())</f>
        <v/>
      </c>
      <c r="S419" s="29"/>
      <c r="T419" s="22"/>
      <c r="U419" s="17"/>
      <c r="V419" s="22"/>
      <c r="W419" s="19" t="str">
        <f aca="true">IF(B419="","",IF(OR(O419="開通済",Q419&lt;&gt;""),"完了",IF(O419="キャンセル","―",IF(AND(V419&lt;&gt;"",V419&lt;TODAY()),"対応期限超過",IF(AND(P419&lt;&gt;"",P419&lt;TODAY()),"開通予定日超過",IF(AND(V419&lt;&gt;"",V419=TODAY()),"本日対応",IF(AND(P419&lt;&gt;"",P419-TODAY()&lt;=3),"開通間近","")))))))</f>
        <v/>
      </c>
      <c r="X419" s="17"/>
    </row>
    <row r="420" customFormat="false" ht="15" hidden="false" customHeight="false" outlineLevel="0" collapsed="false">
      <c r="A420" s="12" t="str">
        <f aca="false">IF(B420="","",ROW()-4)</f>
        <v/>
      </c>
      <c r="B420" s="17"/>
      <c r="C420" s="19" t="str">
        <f aca="false">IF(B420="","",IFERROR(INDEX(顧客一覧!$C$5:$C$304,MATCH(B420,顧客一覧!$B$5:$B$304,0)),"※ID未登録"))</f>
        <v/>
      </c>
      <c r="D420" s="12" t="str">
        <f aca="false">IF(B420="","",IFERROR(INDEX(顧客一覧!$K$5:$K$304,MATCH(B420,顧客一覧!$B$5:$B$304,0))&amp;"",""))</f>
        <v/>
      </c>
      <c r="E420" s="17"/>
      <c r="F420" s="17"/>
      <c r="G420" s="29"/>
      <c r="H420" s="17"/>
      <c r="I420" s="29"/>
      <c r="J420" s="26" t="str">
        <f aca="false">IF(OR(G420="",I420=""),"",G420-I420)</f>
        <v/>
      </c>
      <c r="K420" s="26" t="str">
        <f aca="false">IF(J420="","",J420*12)</f>
        <v/>
      </c>
      <c r="L420" s="29"/>
      <c r="M420" s="27" t="str">
        <f aca="false">IF(OR(L420="",J420=""),"",IF(J420&lt;=0,"回収不可",L420/J420))</f>
        <v/>
      </c>
      <c r="N420" s="22"/>
      <c r="O420" s="17"/>
      <c r="P420" s="22"/>
      <c r="Q420" s="22"/>
      <c r="R420" s="28" t="str">
        <f aca="true">IF(OR(P420="",Q420&lt;&gt;"",O420="キャンセル"),"",P420-TODAY())</f>
        <v/>
      </c>
      <c r="S420" s="29"/>
      <c r="T420" s="22"/>
      <c r="U420" s="17"/>
      <c r="V420" s="22"/>
      <c r="W420" s="19" t="str">
        <f aca="true">IF(B420="","",IF(OR(O420="開通済",Q420&lt;&gt;""),"完了",IF(O420="キャンセル","―",IF(AND(V420&lt;&gt;"",V420&lt;TODAY()),"対応期限超過",IF(AND(P420&lt;&gt;"",P420&lt;TODAY()),"開通予定日超過",IF(AND(V420&lt;&gt;"",V420=TODAY()),"本日対応",IF(AND(P420&lt;&gt;"",P420-TODAY()&lt;=3),"開通間近","")))))))</f>
        <v/>
      </c>
      <c r="X420" s="17"/>
    </row>
    <row r="421" customFormat="false" ht="15" hidden="false" customHeight="false" outlineLevel="0" collapsed="false">
      <c r="A421" s="12" t="str">
        <f aca="false">IF(B421="","",ROW()-4)</f>
        <v/>
      </c>
      <c r="B421" s="17"/>
      <c r="C421" s="19" t="str">
        <f aca="false">IF(B421="","",IFERROR(INDEX(顧客一覧!$C$5:$C$304,MATCH(B421,顧客一覧!$B$5:$B$304,0)),"※ID未登録"))</f>
        <v/>
      </c>
      <c r="D421" s="12" t="str">
        <f aca="false">IF(B421="","",IFERROR(INDEX(顧客一覧!$K$5:$K$304,MATCH(B421,顧客一覧!$B$5:$B$304,0))&amp;"",""))</f>
        <v/>
      </c>
      <c r="E421" s="17"/>
      <c r="F421" s="17"/>
      <c r="G421" s="29"/>
      <c r="H421" s="17"/>
      <c r="I421" s="29"/>
      <c r="J421" s="26" t="str">
        <f aca="false">IF(OR(G421="",I421=""),"",G421-I421)</f>
        <v/>
      </c>
      <c r="K421" s="26" t="str">
        <f aca="false">IF(J421="","",J421*12)</f>
        <v/>
      </c>
      <c r="L421" s="29"/>
      <c r="M421" s="27" t="str">
        <f aca="false">IF(OR(L421="",J421=""),"",IF(J421&lt;=0,"回収不可",L421/J421))</f>
        <v/>
      </c>
      <c r="N421" s="22"/>
      <c r="O421" s="17"/>
      <c r="P421" s="22"/>
      <c r="Q421" s="22"/>
      <c r="R421" s="28" t="str">
        <f aca="true">IF(OR(P421="",Q421&lt;&gt;"",O421="キャンセル"),"",P421-TODAY())</f>
        <v/>
      </c>
      <c r="S421" s="29"/>
      <c r="T421" s="22"/>
      <c r="U421" s="17"/>
      <c r="V421" s="22"/>
      <c r="W421" s="19" t="str">
        <f aca="true">IF(B421="","",IF(OR(O421="開通済",Q421&lt;&gt;""),"完了",IF(O421="キャンセル","―",IF(AND(V421&lt;&gt;"",V421&lt;TODAY()),"対応期限超過",IF(AND(P421&lt;&gt;"",P421&lt;TODAY()),"開通予定日超過",IF(AND(V421&lt;&gt;"",V421=TODAY()),"本日対応",IF(AND(P421&lt;&gt;"",P421-TODAY()&lt;=3),"開通間近","")))))))</f>
        <v/>
      </c>
      <c r="X421" s="17"/>
    </row>
    <row r="422" customFormat="false" ht="15" hidden="false" customHeight="false" outlineLevel="0" collapsed="false">
      <c r="A422" s="12" t="str">
        <f aca="false">IF(B422="","",ROW()-4)</f>
        <v/>
      </c>
      <c r="B422" s="17"/>
      <c r="C422" s="19" t="str">
        <f aca="false">IF(B422="","",IFERROR(INDEX(顧客一覧!$C$5:$C$304,MATCH(B422,顧客一覧!$B$5:$B$304,0)),"※ID未登録"))</f>
        <v/>
      </c>
      <c r="D422" s="12" t="str">
        <f aca="false">IF(B422="","",IFERROR(INDEX(顧客一覧!$K$5:$K$304,MATCH(B422,顧客一覧!$B$5:$B$304,0))&amp;"",""))</f>
        <v/>
      </c>
      <c r="E422" s="17"/>
      <c r="F422" s="17"/>
      <c r="G422" s="29"/>
      <c r="H422" s="17"/>
      <c r="I422" s="29"/>
      <c r="J422" s="26" t="str">
        <f aca="false">IF(OR(G422="",I422=""),"",G422-I422)</f>
        <v/>
      </c>
      <c r="K422" s="26" t="str">
        <f aca="false">IF(J422="","",J422*12)</f>
        <v/>
      </c>
      <c r="L422" s="29"/>
      <c r="M422" s="27" t="str">
        <f aca="false">IF(OR(L422="",J422=""),"",IF(J422&lt;=0,"回収不可",L422/J422))</f>
        <v/>
      </c>
      <c r="N422" s="22"/>
      <c r="O422" s="17"/>
      <c r="P422" s="22"/>
      <c r="Q422" s="22"/>
      <c r="R422" s="28" t="str">
        <f aca="true">IF(OR(P422="",Q422&lt;&gt;"",O422="キャンセル"),"",P422-TODAY())</f>
        <v/>
      </c>
      <c r="S422" s="29"/>
      <c r="T422" s="22"/>
      <c r="U422" s="17"/>
      <c r="V422" s="22"/>
      <c r="W422" s="19" t="str">
        <f aca="true">IF(B422="","",IF(OR(O422="開通済",Q422&lt;&gt;""),"完了",IF(O422="キャンセル","―",IF(AND(V422&lt;&gt;"",V422&lt;TODAY()),"対応期限超過",IF(AND(P422&lt;&gt;"",P422&lt;TODAY()),"開通予定日超過",IF(AND(V422&lt;&gt;"",V422=TODAY()),"本日対応",IF(AND(P422&lt;&gt;"",P422-TODAY()&lt;=3),"開通間近","")))))))</f>
        <v/>
      </c>
      <c r="X422" s="17"/>
    </row>
    <row r="423" customFormat="false" ht="15" hidden="false" customHeight="false" outlineLevel="0" collapsed="false">
      <c r="A423" s="12" t="str">
        <f aca="false">IF(B423="","",ROW()-4)</f>
        <v/>
      </c>
      <c r="B423" s="17"/>
      <c r="C423" s="19" t="str">
        <f aca="false">IF(B423="","",IFERROR(INDEX(顧客一覧!$C$5:$C$304,MATCH(B423,顧客一覧!$B$5:$B$304,0)),"※ID未登録"))</f>
        <v/>
      </c>
      <c r="D423" s="12" t="str">
        <f aca="false">IF(B423="","",IFERROR(INDEX(顧客一覧!$K$5:$K$304,MATCH(B423,顧客一覧!$B$5:$B$304,0))&amp;"",""))</f>
        <v/>
      </c>
      <c r="E423" s="17"/>
      <c r="F423" s="17"/>
      <c r="G423" s="29"/>
      <c r="H423" s="17"/>
      <c r="I423" s="29"/>
      <c r="J423" s="26" t="str">
        <f aca="false">IF(OR(G423="",I423=""),"",G423-I423)</f>
        <v/>
      </c>
      <c r="K423" s="26" t="str">
        <f aca="false">IF(J423="","",J423*12)</f>
        <v/>
      </c>
      <c r="L423" s="29"/>
      <c r="M423" s="27" t="str">
        <f aca="false">IF(OR(L423="",J423=""),"",IF(J423&lt;=0,"回収不可",L423/J423))</f>
        <v/>
      </c>
      <c r="N423" s="22"/>
      <c r="O423" s="17"/>
      <c r="P423" s="22"/>
      <c r="Q423" s="22"/>
      <c r="R423" s="28" t="str">
        <f aca="true">IF(OR(P423="",Q423&lt;&gt;"",O423="キャンセル"),"",P423-TODAY())</f>
        <v/>
      </c>
      <c r="S423" s="29"/>
      <c r="T423" s="22"/>
      <c r="U423" s="17"/>
      <c r="V423" s="22"/>
      <c r="W423" s="19" t="str">
        <f aca="true">IF(B423="","",IF(OR(O423="開通済",Q423&lt;&gt;""),"完了",IF(O423="キャンセル","―",IF(AND(V423&lt;&gt;"",V423&lt;TODAY()),"対応期限超過",IF(AND(P423&lt;&gt;"",P423&lt;TODAY()),"開通予定日超過",IF(AND(V423&lt;&gt;"",V423=TODAY()),"本日対応",IF(AND(P423&lt;&gt;"",P423-TODAY()&lt;=3),"開通間近","")))))))</f>
        <v/>
      </c>
      <c r="X423" s="17"/>
    </row>
    <row r="424" customFormat="false" ht="15" hidden="false" customHeight="false" outlineLevel="0" collapsed="false">
      <c r="A424" s="12" t="str">
        <f aca="false">IF(B424="","",ROW()-4)</f>
        <v/>
      </c>
      <c r="B424" s="17"/>
      <c r="C424" s="19" t="str">
        <f aca="false">IF(B424="","",IFERROR(INDEX(顧客一覧!$C$5:$C$304,MATCH(B424,顧客一覧!$B$5:$B$304,0)),"※ID未登録"))</f>
        <v/>
      </c>
      <c r="D424" s="12" t="str">
        <f aca="false">IF(B424="","",IFERROR(INDEX(顧客一覧!$K$5:$K$304,MATCH(B424,顧客一覧!$B$5:$B$304,0))&amp;"",""))</f>
        <v/>
      </c>
      <c r="E424" s="17"/>
      <c r="F424" s="17"/>
      <c r="G424" s="29"/>
      <c r="H424" s="17"/>
      <c r="I424" s="29"/>
      <c r="J424" s="26" t="str">
        <f aca="false">IF(OR(G424="",I424=""),"",G424-I424)</f>
        <v/>
      </c>
      <c r="K424" s="26" t="str">
        <f aca="false">IF(J424="","",J424*12)</f>
        <v/>
      </c>
      <c r="L424" s="29"/>
      <c r="M424" s="27" t="str">
        <f aca="false">IF(OR(L424="",J424=""),"",IF(J424&lt;=0,"回収不可",L424/J424))</f>
        <v/>
      </c>
      <c r="N424" s="22"/>
      <c r="O424" s="17"/>
      <c r="P424" s="22"/>
      <c r="Q424" s="22"/>
      <c r="R424" s="28" t="str">
        <f aca="true">IF(OR(P424="",Q424&lt;&gt;"",O424="キャンセル"),"",P424-TODAY())</f>
        <v/>
      </c>
      <c r="S424" s="29"/>
      <c r="T424" s="22"/>
      <c r="U424" s="17"/>
      <c r="V424" s="22"/>
      <c r="W424" s="19" t="str">
        <f aca="true">IF(B424="","",IF(OR(O424="開通済",Q424&lt;&gt;""),"完了",IF(O424="キャンセル","―",IF(AND(V424&lt;&gt;"",V424&lt;TODAY()),"対応期限超過",IF(AND(P424&lt;&gt;"",P424&lt;TODAY()),"開通予定日超過",IF(AND(V424&lt;&gt;"",V424=TODAY()),"本日対応",IF(AND(P424&lt;&gt;"",P424-TODAY()&lt;=3),"開通間近","")))))))</f>
        <v/>
      </c>
      <c r="X424" s="17"/>
    </row>
    <row r="425" customFormat="false" ht="15" hidden="false" customHeight="false" outlineLevel="0" collapsed="false">
      <c r="A425" s="12" t="str">
        <f aca="false">IF(B425="","",ROW()-4)</f>
        <v/>
      </c>
      <c r="B425" s="17"/>
      <c r="C425" s="19" t="str">
        <f aca="false">IF(B425="","",IFERROR(INDEX(顧客一覧!$C$5:$C$304,MATCH(B425,顧客一覧!$B$5:$B$304,0)),"※ID未登録"))</f>
        <v/>
      </c>
      <c r="D425" s="12" t="str">
        <f aca="false">IF(B425="","",IFERROR(INDEX(顧客一覧!$K$5:$K$304,MATCH(B425,顧客一覧!$B$5:$B$304,0))&amp;"",""))</f>
        <v/>
      </c>
      <c r="E425" s="17"/>
      <c r="F425" s="17"/>
      <c r="G425" s="29"/>
      <c r="H425" s="17"/>
      <c r="I425" s="29"/>
      <c r="J425" s="26" t="str">
        <f aca="false">IF(OR(G425="",I425=""),"",G425-I425)</f>
        <v/>
      </c>
      <c r="K425" s="26" t="str">
        <f aca="false">IF(J425="","",J425*12)</f>
        <v/>
      </c>
      <c r="L425" s="29"/>
      <c r="M425" s="27" t="str">
        <f aca="false">IF(OR(L425="",J425=""),"",IF(J425&lt;=0,"回収不可",L425/J425))</f>
        <v/>
      </c>
      <c r="N425" s="22"/>
      <c r="O425" s="17"/>
      <c r="P425" s="22"/>
      <c r="Q425" s="22"/>
      <c r="R425" s="28" t="str">
        <f aca="true">IF(OR(P425="",Q425&lt;&gt;"",O425="キャンセル"),"",P425-TODAY())</f>
        <v/>
      </c>
      <c r="S425" s="29"/>
      <c r="T425" s="22"/>
      <c r="U425" s="17"/>
      <c r="V425" s="22"/>
      <c r="W425" s="19" t="str">
        <f aca="true">IF(B425="","",IF(OR(O425="開通済",Q425&lt;&gt;""),"完了",IF(O425="キャンセル","―",IF(AND(V425&lt;&gt;"",V425&lt;TODAY()),"対応期限超過",IF(AND(P425&lt;&gt;"",P425&lt;TODAY()),"開通予定日超過",IF(AND(V425&lt;&gt;"",V425=TODAY()),"本日対応",IF(AND(P425&lt;&gt;"",P425-TODAY()&lt;=3),"開通間近","")))))))</f>
        <v/>
      </c>
      <c r="X425" s="17"/>
    </row>
    <row r="426" customFormat="false" ht="15" hidden="false" customHeight="false" outlineLevel="0" collapsed="false">
      <c r="A426" s="12" t="str">
        <f aca="false">IF(B426="","",ROW()-4)</f>
        <v/>
      </c>
      <c r="B426" s="17"/>
      <c r="C426" s="19" t="str">
        <f aca="false">IF(B426="","",IFERROR(INDEX(顧客一覧!$C$5:$C$304,MATCH(B426,顧客一覧!$B$5:$B$304,0)),"※ID未登録"))</f>
        <v/>
      </c>
      <c r="D426" s="12" t="str">
        <f aca="false">IF(B426="","",IFERROR(INDEX(顧客一覧!$K$5:$K$304,MATCH(B426,顧客一覧!$B$5:$B$304,0))&amp;"",""))</f>
        <v/>
      </c>
      <c r="E426" s="17"/>
      <c r="F426" s="17"/>
      <c r="G426" s="29"/>
      <c r="H426" s="17"/>
      <c r="I426" s="29"/>
      <c r="J426" s="26" t="str">
        <f aca="false">IF(OR(G426="",I426=""),"",G426-I426)</f>
        <v/>
      </c>
      <c r="K426" s="26" t="str">
        <f aca="false">IF(J426="","",J426*12)</f>
        <v/>
      </c>
      <c r="L426" s="29"/>
      <c r="M426" s="27" t="str">
        <f aca="false">IF(OR(L426="",J426=""),"",IF(J426&lt;=0,"回収不可",L426/J426))</f>
        <v/>
      </c>
      <c r="N426" s="22"/>
      <c r="O426" s="17"/>
      <c r="P426" s="22"/>
      <c r="Q426" s="22"/>
      <c r="R426" s="28" t="str">
        <f aca="true">IF(OR(P426="",Q426&lt;&gt;"",O426="キャンセル"),"",P426-TODAY())</f>
        <v/>
      </c>
      <c r="S426" s="29"/>
      <c r="T426" s="22"/>
      <c r="U426" s="17"/>
      <c r="V426" s="22"/>
      <c r="W426" s="19" t="str">
        <f aca="true">IF(B426="","",IF(OR(O426="開通済",Q426&lt;&gt;""),"完了",IF(O426="キャンセル","―",IF(AND(V426&lt;&gt;"",V426&lt;TODAY()),"対応期限超過",IF(AND(P426&lt;&gt;"",P426&lt;TODAY()),"開通予定日超過",IF(AND(V426&lt;&gt;"",V426=TODAY()),"本日対応",IF(AND(P426&lt;&gt;"",P426-TODAY()&lt;=3),"開通間近","")))))))</f>
        <v/>
      </c>
      <c r="X426" s="17"/>
    </row>
    <row r="427" customFormat="false" ht="15" hidden="false" customHeight="false" outlineLevel="0" collapsed="false">
      <c r="A427" s="12" t="str">
        <f aca="false">IF(B427="","",ROW()-4)</f>
        <v/>
      </c>
      <c r="B427" s="17"/>
      <c r="C427" s="19" t="str">
        <f aca="false">IF(B427="","",IFERROR(INDEX(顧客一覧!$C$5:$C$304,MATCH(B427,顧客一覧!$B$5:$B$304,0)),"※ID未登録"))</f>
        <v/>
      </c>
      <c r="D427" s="12" t="str">
        <f aca="false">IF(B427="","",IFERROR(INDEX(顧客一覧!$K$5:$K$304,MATCH(B427,顧客一覧!$B$5:$B$304,0))&amp;"",""))</f>
        <v/>
      </c>
      <c r="E427" s="17"/>
      <c r="F427" s="17"/>
      <c r="G427" s="29"/>
      <c r="H427" s="17"/>
      <c r="I427" s="29"/>
      <c r="J427" s="26" t="str">
        <f aca="false">IF(OR(G427="",I427=""),"",G427-I427)</f>
        <v/>
      </c>
      <c r="K427" s="26" t="str">
        <f aca="false">IF(J427="","",J427*12)</f>
        <v/>
      </c>
      <c r="L427" s="29"/>
      <c r="M427" s="27" t="str">
        <f aca="false">IF(OR(L427="",J427=""),"",IF(J427&lt;=0,"回収不可",L427/J427))</f>
        <v/>
      </c>
      <c r="N427" s="22"/>
      <c r="O427" s="17"/>
      <c r="P427" s="22"/>
      <c r="Q427" s="22"/>
      <c r="R427" s="28" t="str">
        <f aca="true">IF(OR(P427="",Q427&lt;&gt;"",O427="キャンセル"),"",P427-TODAY())</f>
        <v/>
      </c>
      <c r="S427" s="29"/>
      <c r="T427" s="22"/>
      <c r="U427" s="17"/>
      <c r="V427" s="22"/>
      <c r="W427" s="19" t="str">
        <f aca="true">IF(B427="","",IF(OR(O427="開通済",Q427&lt;&gt;""),"完了",IF(O427="キャンセル","―",IF(AND(V427&lt;&gt;"",V427&lt;TODAY()),"対応期限超過",IF(AND(P427&lt;&gt;"",P427&lt;TODAY()),"開通予定日超過",IF(AND(V427&lt;&gt;"",V427=TODAY()),"本日対応",IF(AND(P427&lt;&gt;"",P427-TODAY()&lt;=3),"開通間近","")))))))</f>
        <v/>
      </c>
      <c r="X427" s="17"/>
    </row>
    <row r="428" customFormat="false" ht="15" hidden="false" customHeight="false" outlineLevel="0" collapsed="false">
      <c r="A428" s="12" t="str">
        <f aca="false">IF(B428="","",ROW()-4)</f>
        <v/>
      </c>
      <c r="B428" s="17"/>
      <c r="C428" s="19" t="str">
        <f aca="false">IF(B428="","",IFERROR(INDEX(顧客一覧!$C$5:$C$304,MATCH(B428,顧客一覧!$B$5:$B$304,0)),"※ID未登録"))</f>
        <v/>
      </c>
      <c r="D428" s="12" t="str">
        <f aca="false">IF(B428="","",IFERROR(INDEX(顧客一覧!$K$5:$K$304,MATCH(B428,顧客一覧!$B$5:$B$304,0))&amp;"",""))</f>
        <v/>
      </c>
      <c r="E428" s="17"/>
      <c r="F428" s="17"/>
      <c r="G428" s="29"/>
      <c r="H428" s="17"/>
      <c r="I428" s="29"/>
      <c r="J428" s="26" t="str">
        <f aca="false">IF(OR(G428="",I428=""),"",G428-I428)</f>
        <v/>
      </c>
      <c r="K428" s="26" t="str">
        <f aca="false">IF(J428="","",J428*12)</f>
        <v/>
      </c>
      <c r="L428" s="29"/>
      <c r="M428" s="27" t="str">
        <f aca="false">IF(OR(L428="",J428=""),"",IF(J428&lt;=0,"回収不可",L428/J428))</f>
        <v/>
      </c>
      <c r="N428" s="22"/>
      <c r="O428" s="17"/>
      <c r="P428" s="22"/>
      <c r="Q428" s="22"/>
      <c r="R428" s="28" t="str">
        <f aca="true">IF(OR(P428="",Q428&lt;&gt;"",O428="キャンセル"),"",P428-TODAY())</f>
        <v/>
      </c>
      <c r="S428" s="29"/>
      <c r="T428" s="22"/>
      <c r="U428" s="17"/>
      <c r="V428" s="22"/>
      <c r="W428" s="19" t="str">
        <f aca="true">IF(B428="","",IF(OR(O428="開通済",Q428&lt;&gt;""),"完了",IF(O428="キャンセル","―",IF(AND(V428&lt;&gt;"",V428&lt;TODAY()),"対応期限超過",IF(AND(P428&lt;&gt;"",P428&lt;TODAY()),"開通予定日超過",IF(AND(V428&lt;&gt;"",V428=TODAY()),"本日対応",IF(AND(P428&lt;&gt;"",P428-TODAY()&lt;=3),"開通間近","")))))))</f>
        <v/>
      </c>
      <c r="X428" s="17"/>
    </row>
    <row r="429" customFormat="false" ht="15" hidden="false" customHeight="false" outlineLevel="0" collapsed="false">
      <c r="A429" s="12" t="str">
        <f aca="false">IF(B429="","",ROW()-4)</f>
        <v/>
      </c>
      <c r="B429" s="17"/>
      <c r="C429" s="19" t="str">
        <f aca="false">IF(B429="","",IFERROR(INDEX(顧客一覧!$C$5:$C$304,MATCH(B429,顧客一覧!$B$5:$B$304,0)),"※ID未登録"))</f>
        <v/>
      </c>
      <c r="D429" s="12" t="str">
        <f aca="false">IF(B429="","",IFERROR(INDEX(顧客一覧!$K$5:$K$304,MATCH(B429,顧客一覧!$B$5:$B$304,0))&amp;"",""))</f>
        <v/>
      </c>
      <c r="E429" s="17"/>
      <c r="F429" s="17"/>
      <c r="G429" s="29"/>
      <c r="H429" s="17"/>
      <c r="I429" s="29"/>
      <c r="J429" s="26" t="str">
        <f aca="false">IF(OR(G429="",I429=""),"",G429-I429)</f>
        <v/>
      </c>
      <c r="K429" s="26" t="str">
        <f aca="false">IF(J429="","",J429*12)</f>
        <v/>
      </c>
      <c r="L429" s="29"/>
      <c r="M429" s="27" t="str">
        <f aca="false">IF(OR(L429="",J429=""),"",IF(J429&lt;=0,"回収不可",L429/J429))</f>
        <v/>
      </c>
      <c r="N429" s="22"/>
      <c r="O429" s="17"/>
      <c r="P429" s="22"/>
      <c r="Q429" s="22"/>
      <c r="R429" s="28" t="str">
        <f aca="true">IF(OR(P429="",Q429&lt;&gt;"",O429="キャンセル"),"",P429-TODAY())</f>
        <v/>
      </c>
      <c r="S429" s="29"/>
      <c r="T429" s="22"/>
      <c r="U429" s="17"/>
      <c r="V429" s="22"/>
      <c r="W429" s="19" t="str">
        <f aca="true">IF(B429="","",IF(OR(O429="開通済",Q429&lt;&gt;""),"完了",IF(O429="キャンセル","―",IF(AND(V429&lt;&gt;"",V429&lt;TODAY()),"対応期限超過",IF(AND(P429&lt;&gt;"",P429&lt;TODAY()),"開通予定日超過",IF(AND(V429&lt;&gt;"",V429=TODAY()),"本日対応",IF(AND(P429&lt;&gt;"",P429-TODAY()&lt;=3),"開通間近","")))))))</f>
        <v/>
      </c>
      <c r="X429" s="17"/>
    </row>
    <row r="430" customFormat="false" ht="15" hidden="false" customHeight="false" outlineLevel="0" collapsed="false">
      <c r="A430" s="12" t="str">
        <f aca="false">IF(B430="","",ROW()-4)</f>
        <v/>
      </c>
      <c r="B430" s="17"/>
      <c r="C430" s="19" t="str">
        <f aca="false">IF(B430="","",IFERROR(INDEX(顧客一覧!$C$5:$C$304,MATCH(B430,顧客一覧!$B$5:$B$304,0)),"※ID未登録"))</f>
        <v/>
      </c>
      <c r="D430" s="12" t="str">
        <f aca="false">IF(B430="","",IFERROR(INDEX(顧客一覧!$K$5:$K$304,MATCH(B430,顧客一覧!$B$5:$B$304,0))&amp;"",""))</f>
        <v/>
      </c>
      <c r="E430" s="17"/>
      <c r="F430" s="17"/>
      <c r="G430" s="29"/>
      <c r="H430" s="17"/>
      <c r="I430" s="29"/>
      <c r="J430" s="26" t="str">
        <f aca="false">IF(OR(G430="",I430=""),"",G430-I430)</f>
        <v/>
      </c>
      <c r="K430" s="26" t="str">
        <f aca="false">IF(J430="","",J430*12)</f>
        <v/>
      </c>
      <c r="L430" s="29"/>
      <c r="M430" s="27" t="str">
        <f aca="false">IF(OR(L430="",J430=""),"",IF(J430&lt;=0,"回収不可",L430/J430))</f>
        <v/>
      </c>
      <c r="N430" s="22"/>
      <c r="O430" s="17"/>
      <c r="P430" s="22"/>
      <c r="Q430" s="22"/>
      <c r="R430" s="28" t="str">
        <f aca="true">IF(OR(P430="",Q430&lt;&gt;"",O430="キャンセル"),"",P430-TODAY())</f>
        <v/>
      </c>
      <c r="S430" s="29"/>
      <c r="T430" s="22"/>
      <c r="U430" s="17"/>
      <c r="V430" s="22"/>
      <c r="W430" s="19" t="str">
        <f aca="true">IF(B430="","",IF(OR(O430="開通済",Q430&lt;&gt;""),"完了",IF(O430="キャンセル","―",IF(AND(V430&lt;&gt;"",V430&lt;TODAY()),"対応期限超過",IF(AND(P430&lt;&gt;"",P430&lt;TODAY()),"開通予定日超過",IF(AND(V430&lt;&gt;"",V430=TODAY()),"本日対応",IF(AND(P430&lt;&gt;"",P430-TODAY()&lt;=3),"開通間近","")))))))</f>
        <v/>
      </c>
      <c r="X430" s="17"/>
    </row>
    <row r="431" customFormat="false" ht="15" hidden="false" customHeight="false" outlineLevel="0" collapsed="false">
      <c r="A431" s="12" t="str">
        <f aca="false">IF(B431="","",ROW()-4)</f>
        <v/>
      </c>
      <c r="B431" s="17"/>
      <c r="C431" s="19" t="str">
        <f aca="false">IF(B431="","",IFERROR(INDEX(顧客一覧!$C$5:$C$304,MATCH(B431,顧客一覧!$B$5:$B$304,0)),"※ID未登録"))</f>
        <v/>
      </c>
      <c r="D431" s="12" t="str">
        <f aca="false">IF(B431="","",IFERROR(INDEX(顧客一覧!$K$5:$K$304,MATCH(B431,顧客一覧!$B$5:$B$304,0))&amp;"",""))</f>
        <v/>
      </c>
      <c r="E431" s="17"/>
      <c r="F431" s="17"/>
      <c r="G431" s="29"/>
      <c r="H431" s="17"/>
      <c r="I431" s="29"/>
      <c r="J431" s="26" t="str">
        <f aca="false">IF(OR(G431="",I431=""),"",G431-I431)</f>
        <v/>
      </c>
      <c r="K431" s="26" t="str">
        <f aca="false">IF(J431="","",J431*12)</f>
        <v/>
      </c>
      <c r="L431" s="29"/>
      <c r="M431" s="27" t="str">
        <f aca="false">IF(OR(L431="",J431=""),"",IF(J431&lt;=0,"回収不可",L431/J431))</f>
        <v/>
      </c>
      <c r="N431" s="22"/>
      <c r="O431" s="17"/>
      <c r="P431" s="22"/>
      <c r="Q431" s="22"/>
      <c r="R431" s="28" t="str">
        <f aca="true">IF(OR(P431="",Q431&lt;&gt;"",O431="キャンセル"),"",P431-TODAY())</f>
        <v/>
      </c>
      <c r="S431" s="29"/>
      <c r="T431" s="22"/>
      <c r="U431" s="17"/>
      <c r="V431" s="22"/>
      <c r="W431" s="19" t="str">
        <f aca="true">IF(B431="","",IF(OR(O431="開通済",Q431&lt;&gt;""),"完了",IF(O431="キャンセル","―",IF(AND(V431&lt;&gt;"",V431&lt;TODAY()),"対応期限超過",IF(AND(P431&lt;&gt;"",P431&lt;TODAY()),"開通予定日超過",IF(AND(V431&lt;&gt;"",V431=TODAY()),"本日対応",IF(AND(P431&lt;&gt;"",P431-TODAY()&lt;=3),"開通間近","")))))))</f>
        <v/>
      </c>
      <c r="X431" s="17"/>
    </row>
    <row r="432" customFormat="false" ht="15" hidden="false" customHeight="false" outlineLevel="0" collapsed="false">
      <c r="A432" s="12" t="str">
        <f aca="false">IF(B432="","",ROW()-4)</f>
        <v/>
      </c>
      <c r="B432" s="17"/>
      <c r="C432" s="19" t="str">
        <f aca="false">IF(B432="","",IFERROR(INDEX(顧客一覧!$C$5:$C$304,MATCH(B432,顧客一覧!$B$5:$B$304,0)),"※ID未登録"))</f>
        <v/>
      </c>
      <c r="D432" s="12" t="str">
        <f aca="false">IF(B432="","",IFERROR(INDEX(顧客一覧!$K$5:$K$304,MATCH(B432,顧客一覧!$B$5:$B$304,0))&amp;"",""))</f>
        <v/>
      </c>
      <c r="E432" s="17"/>
      <c r="F432" s="17"/>
      <c r="G432" s="29"/>
      <c r="H432" s="17"/>
      <c r="I432" s="29"/>
      <c r="J432" s="26" t="str">
        <f aca="false">IF(OR(G432="",I432=""),"",G432-I432)</f>
        <v/>
      </c>
      <c r="K432" s="26" t="str">
        <f aca="false">IF(J432="","",J432*12)</f>
        <v/>
      </c>
      <c r="L432" s="29"/>
      <c r="M432" s="27" t="str">
        <f aca="false">IF(OR(L432="",J432=""),"",IF(J432&lt;=0,"回収不可",L432/J432))</f>
        <v/>
      </c>
      <c r="N432" s="22"/>
      <c r="O432" s="17"/>
      <c r="P432" s="22"/>
      <c r="Q432" s="22"/>
      <c r="R432" s="28" t="str">
        <f aca="true">IF(OR(P432="",Q432&lt;&gt;"",O432="キャンセル"),"",P432-TODAY())</f>
        <v/>
      </c>
      <c r="S432" s="29"/>
      <c r="T432" s="22"/>
      <c r="U432" s="17"/>
      <c r="V432" s="22"/>
      <c r="W432" s="19" t="str">
        <f aca="true">IF(B432="","",IF(OR(O432="開通済",Q432&lt;&gt;""),"完了",IF(O432="キャンセル","―",IF(AND(V432&lt;&gt;"",V432&lt;TODAY()),"対応期限超過",IF(AND(P432&lt;&gt;"",P432&lt;TODAY()),"開通予定日超過",IF(AND(V432&lt;&gt;"",V432=TODAY()),"本日対応",IF(AND(P432&lt;&gt;"",P432-TODAY()&lt;=3),"開通間近","")))))))</f>
        <v/>
      </c>
      <c r="X432" s="17"/>
    </row>
    <row r="433" customFormat="false" ht="15" hidden="false" customHeight="false" outlineLevel="0" collapsed="false">
      <c r="A433" s="12" t="str">
        <f aca="false">IF(B433="","",ROW()-4)</f>
        <v/>
      </c>
      <c r="B433" s="17"/>
      <c r="C433" s="19" t="str">
        <f aca="false">IF(B433="","",IFERROR(INDEX(顧客一覧!$C$5:$C$304,MATCH(B433,顧客一覧!$B$5:$B$304,0)),"※ID未登録"))</f>
        <v/>
      </c>
      <c r="D433" s="12" t="str">
        <f aca="false">IF(B433="","",IFERROR(INDEX(顧客一覧!$K$5:$K$304,MATCH(B433,顧客一覧!$B$5:$B$304,0))&amp;"",""))</f>
        <v/>
      </c>
      <c r="E433" s="17"/>
      <c r="F433" s="17"/>
      <c r="G433" s="29"/>
      <c r="H433" s="17"/>
      <c r="I433" s="29"/>
      <c r="J433" s="26" t="str">
        <f aca="false">IF(OR(G433="",I433=""),"",G433-I433)</f>
        <v/>
      </c>
      <c r="K433" s="26" t="str">
        <f aca="false">IF(J433="","",J433*12)</f>
        <v/>
      </c>
      <c r="L433" s="29"/>
      <c r="M433" s="27" t="str">
        <f aca="false">IF(OR(L433="",J433=""),"",IF(J433&lt;=0,"回収不可",L433/J433))</f>
        <v/>
      </c>
      <c r="N433" s="22"/>
      <c r="O433" s="17"/>
      <c r="P433" s="22"/>
      <c r="Q433" s="22"/>
      <c r="R433" s="28" t="str">
        <f aca="true">IF(OR(P433="",Q433&lt;&gt;"",O433="キャンセル"),"",P433-TODAY())</f>
        <v/>
      </c>
      <c r="S433" s="29"/>
      <c r="T433" s="22"/>
      <c r="U433" s="17"/>
      <c r="V433" s="22"/>
      <c r="W433" s="19" t="str">
        <f aca="true">IF(B433="","",IF(OR(O433="開通済",Q433&lt;&gt;""),"完了",IF(O433="キャンセル","―",IF(AND(V433&lt;&gt;"",V433&lt;TODAY()),"対応期限超過",IF(AND(P433&lt;&gt;"",P433&lt;TODAY()),"開通予定日超過",IF(AND(V433&lt;&gt;"",V433=TODAY()),"本日対応",IF(AND(P433&lt;&gt;"",P433-TODAY()&lt;=3),"開通間近","")))))))</f>
        <v/>
      </c>
      <c r="X433" s="17"/>
    </row>
    <row r="434" customFormat="false" ht="15" hidden="false" customHeight="false" outlineLevel="0" collapsed="false">
      <c r="A434" s="12" t="str">
        <f aca="false">IF(B434="","",ROW()-4)</f>
        <v/>
      </c>
      <c r="B434" s="17"/>
      <c r="C434" s="19" t="str">
        <f aca="false">IF(B434="","",IFERROR(INDEX(顧客一覧!$C$5:$C$304,MATCH(B434,顧客一覧!$B$5:$B$304,0)),"※ID未登録"))</f>
        <v/>
      </c>
      <c r="D434" s="12" t="str">
        <f aca="false">IF(B434="","",IFERROR(INDEX(顧客一覧!$K$5:$K$304,MATCH(B434,顧客一覧!$B$5:$B$304,0))&amp;"",""))</f>
        <v/>
      </c>
      <c r="E434" s="17"/>
      <c r="F434" s="17"/>
      <c r="G434" s="29"/>
      <c r="H434" s="17"/>
      <c r="I434" s="29"/>
      <c r="J434" s="26" t="str">
        <f aca="false">IF(OR(G434="",I434=""),"",G434-I434)</f>
        <v/>
      </c>
      <c r="K434" s="26" t="str">
        <f aca="false">IF(J434="","",J434*12)</f>
        <v/>
      </c>
      <c r="L434" s="29"/>
      <c r="M434" s="27" t="str">
        <f aca="false">IF(OR(L434="",J434=""),"",IF(J434&lt;=0,"回収不可",L434/J434))</f>
        <v/>
      </c>
      <c r="N434" s="22"/>
      <c r="O434" s="17"/>
      <c r="P434" s="22"/>
      <c r="Q434" s="22"/>
      <c r="R434" s="28" t="str">
        <f aca="true">IF(OR(P434="",Q434&lt;&gt;"",O434="キャンセル"),"",P434-TODAY())</f>
        <v/>
      </c>
      <c r="S434" s="29"/>
      <c r="T434" s="22"/>
      <c r="U434" s="17"/>
      <c r="V434" s="22"/>
      <c r="W434" s="19" t="str">
        <f aca="true">IF(B434="","",IF(OR(O434="開通済",Q434&lt;&gt;""),"完了",IF(O434="キャンセル","―",IF(AND(V434&lt;&gt;"",V434&lt;TODAY()),"対応期限超過",IF(AND(P434&lt;&gt;"",P434&lt;TODAY()),"開通予定日超過",IF(AND(V434&lt;&gt;"",V434=TODAY()),"本日対応",IF(AND(P434&lt;&gt;"",P434-TODAY()&lt;=3),"開通間近","")))))))</f>
        <v/>
      </c>
      <c r="X434" s="17"/>
    </row>
    <row r="435" customFormat="false" ht="15" hidden="false" customHeight="false" outlineLevel="0" collapsed="false">
      <c r="A435" s="12" t="str">
        <f aca="false">IF(B435="","",ROW()-4)</f>
        <v/>
      </c>
      <c r="B435" s="17"/>
      <c r="C435" s="19" t="str">
        <f aca="false">IF(B435="","",IFERROR(INDEX(顧客一覧!$C$5:$C$304,MATCH(B435,顧客一覧!$B$5:$B$304,0)),"※ID未登録"))</f>
        <v/>
      </c>
      <c r="D435" s="12" t="str">
        <f aca="false">IF(B435="","",IFERROR(INDEX(顧客一覧!$K$5:$K$304,MATCH(B435,顧客一覧!$B$5:$B$304,0))&amp;"",""))</f>
        <v/>
      </c>
      <c r="E435" s="17"/>
      <c r="F435" s="17"/>
      <c r="G435" s="29"/>
      <c r="H435" s="17"/>
      <c r="I435" s="29"/>
      <c r="J435" s="26" t="str">
        <f aca="false">IF(OR(G435="",I435=""),"",G435-I435)</f>
        <v/>
      </c>
      <c r="K435" s="26" t="str">
        <f aca="false">IF(J435="","",J435*12)</f>
        <v/>
      </c>
      <c r="L435" s="29"/>
      <c r="M435" s="27" t="str">
        <f aca="false">IF(OR(L435="",J435=""),"",IF(J435&lt;=0,"回収不可",L435/J435))</f>
        <v/>
      </c>
      <c r="N435" s="22"/>
      <c r="O435" s="17"/>
      <c r="P435" s="22"/>
      <c r="Q435" s="22"/>
      <c r="R435" s="28" t="str">
        <f aca="true">IF(OR(P435="",Q435&lt;&gt;"",O435="キャンセル"),"",P435-TODAY())</f>
        <v/>
      </c>
      <c r="S435" s="29"/>
      <c r="T435" s="22"/>
      <c r="U435" s="17"/>
      <c r="V435" s="22"/>
      <c r="W435" s="19" t="str">
        <f aca="true">IF(B435="","",IF(OR(O435="開通済",Q435&lt;&gt;""),"完了",IF(O435="キャンセル","―",IF(AND(V435&lt;&gt;"",V435&lt;TODAY()),"対応期限超過",IF(AND(P435&lt;&gt;"",P435&lt;TODAY()),"開通予定日超過",IF(AND(V435&lt;&gt;"",V435=TODAY()),"本日対応",IF(AND(P435&lt;&gt;"",P435-TODAY()&lt;=3),"開通間近","")))))))</f>
        <v/>
      </c>
      <c r="X435" s="17"/>
    </row>
    <row r="436" customFormat="false" ht="15" hidden="false" customHeight="false" outlineLevel="0" collapsed="false">
      <c r="A436" s="12" t="str">
        <f aca="false">IF(B436="","",ROW()-4)</f>
        <v/>
      </c>
      <c r="B436" s="17"/>
      <c r="C436" s="19" t="str">
        <f aca="false">IF(B436="","",IFERROR(INDEX(顧客一覧!$C$5:$C$304,MATCH(B436,顧客一覧!$B$5:$B$304,0)),"※ID未登録"))</f>
        <v/>
      </c>
      <c r="D436" s="12" t="str">
        <f aca="false">IF(B436="","",IFERROR(INDEX(顧客一覧!$K$5:$K$304,MATCH(B436,顧客一覧!$B$5:$B$304,0))&amp;"",""))</f>
        <v/>
      </c>
      <c r="E436" s="17"/>
      <c r="F436" s="17"/>
      <c r="G436" s="29"/>
      <c r="H436" s="17"/>
      <c r="I436" s="29"/>
      <c r="J436" s="26" t="str">
        <f aca="false">IF(OR(G436="",I436=""),"",G436-I436)</f>
        <v/>
      </c>
      <c r="K436" s="26" t="str">
        <f aca="false">IF(J436="","",J436*12)</f>
        <v/>
      </c>
      <c r="L436" s="29"/>
      <c r="M436" s="27" t="str">
        <f aca="false">IF(OR(L436="",J436=""),"",IF(J436&lt;=0,"回収不可",L436/J436))</f>
        <v/>
      </c>
      <c r="N436" s="22"/>
      <c r="O436" s="17"/>
      <c r="P436" s="22"/>
      <c r="Q436" s="22"/>
      <c r="R436" s="28" t="str">
        <f aca="true">IF(OR(P436="",Q436&lt;&gt;"",O436="キャンセル"),"",P436-TODAY())</f>
        <v/>
      </c>
      <c r="S436" s="29"/>
      <c r="T436" s="22"/>
      <c r="U436" s="17"/>
      <c r="V436" s="22"/>
      <c r="W436" s="19" t="str">
        <f aca="true">IF(B436="","",IF(OR(O436="開通済",Q436&lt;&gt;""),"完了",IF(O436="キャンセル","―",IF(AND(V436&lt;&gt;"",V436&lt;TODAY()),"対応期限超過",IF(AND(P436&lt;&gt;"",P436&lt;TODAY()),"開通予定日超過",IF(AND(V436&lt;&gt;"",V436=TODAY()),"本日対応",IF(AND(P436&lt;&gt;"",P436-TODAY()&lt;=3),"開通間近","")))))))</f>
        <v/>
      </c>
      <c r="X436" s="17"/>
    </row>
    <row r="437" customFormat="false" ht="15" hidden="false" customHeight="false" outlineLevel="0" collapsed="false">
      <c r="A437" s="12" t="str">
        <f aca="false">IF(B437="","",ROW()-4)</f>
        <v/>
      </c>
      <c r="B437" s="17"/>
      <c r="C437" s="19" t="str">
        <f aca="false">IF(B437="","",IFERROR(INDEX(顧客一覧!$C$5:$C$304,MATCH(B437,顧客一覧!$B$5:$B$304,0)),"※ID未登録"))</f>
        <v/>
      </c>
      <c r="D437" s="12" t="str">
        <f aca="false">IF(B437="","",IFERROR(INDEX(顧客一覧!$K$5:$K$304,MATCH(B437,顧客一覧!$B$5:$B$304,0))&amp;"",""))</f>
        <v/>
      </c>
      <c r="E437" s="17"/>
      <c r="F437" s="17"/>
      <c r="G437" s="29"/>
      <c r="H437" s="17"/>
      <c r="I437" s="29"/>
      <c r="J437" s="26" t="str">
        <f aca="false">IF(OR(G437="",I437=""),"",G437-I437)</f>
        <v/>
      </c>
      <c r="K437" s="26" t="str">
        <f aca="false">IF(J437="","",J437*12)</f>
        <v/>
      </c>
      <c r="L437" s="29"/>
      <c r="M437" s="27" t="str">
        <f aca="false">IF(OR(L437="",J437=""),"",IF(J437&lt;=0,"回収不可",L437/J437))</f>
        <v/>
      </c>
      <c r="N437" s="22"/>
      <c r="O437" s="17"/>
      <c r="P437" s="22"/>
      <c r="Q437" s="22"/>
      <c r="R437" s="28" t="str">
        <f aca="true">IF(OR(P437="",Q437&lt;&gt;"",O437="キャンセル"),"",P437-TODAY())</f>
        <v/>
      </c>
      <c r="S437" s="29"/>
      <c r="T437" s="22"/>
      <c r="U437" s="17"/>
      <c r="V437" s="22"/>
      <c r="W437" s="19" t="str">
        <f aca="true">IF(B437="","",IF(OR(O437="開通済",Q437&lt;&gt;""),"完了",IF(O437="キャンセル","―",IF(AND(V437&lt;&gt;"",V437&lt;TODAY()),"対応期限超過",IF(AND(P437&lt;&gt;"",P437&lt;TODAY()),"開通予定日超過",IF(AND(V437&lt;&gt;"",V437=TODAY()),"本日対応",IF(AND(P437&lt;&gt;"",P437-TODAY()&lt;=3),"開通間近","")))))))</f>
        <v/>
      </c>
      <c r="X437" s="17"/>
    </row>
    <row r="438" customFormat="false" ht="15" hidden="false" customHeight="false" outlineLevel="0" collapsed="false">
      <c r="A438" s="12" t="str">
        <f aca="false">IF(B438="","",ROW()-4)</f>
        <v/>
      </c>
      <c r="B438" s="17"/>
      <c r="C438" s="19" t="str">
        <f aca="false">IF(B438="","",IFERROR(INDEX(顧客一覧!$C$5:$C$304,MATCH(B438,顧客一覧!$B$5:$B$304,0)),"※ID未登録"))</f>
        <v/>
      </c>
      <c r="D438" s="12" t="str">
        <f aca="false">IF(B438="","",IFERROR(INDEX(顧客一覧!$K$5:$K$304,MATCH(B438,顧客一覧!$B$5:$B$304,0))&amp;"",""))</f>
        <v/>
      </c>
      <c r="E438" s="17"/>
      <c r="F438" s="17"/>
      <c r="G438" s="29"/>
      <c r="H438" s="17"/>
      <c r="I438" s="29"/>
      <c r="J438" s="26" t="str">
        <f aca="false">IF(OR(G438="",I438=""),"",G438-I438)</f>
        <v/>
      </c>
      <c r="K438" s="26" t="str">
        <f aca="false">IF(J438="","",J438*12)</f>
        <v/>
      </c>
      <c r="L438" s="29"/>
      <c r="M438" s="27" t="str">
        <f aca="false">IF(OR(L438="",J438=""),"",IF(J438&lt;=0,"回収不可",L438/J438))</f>
        <v/>
      </c>
      <c r="N438" s="22"/>
      <c r="O438" s="17"/>
      <c r="P438" s="22"/>
      <c r="Q438" s="22"/>
      <c r="R438" s="28" t="str">
        <f aca="true">IF(OR(P438="",Q438&lt;&gt;"",O438="キャンセル"),"",P438-TODAY())</f>
        <v/>
      </c>
      <c r="S438" s="29"/>
      <c r="T438" s="22"/>
      <c r="U438" s="17"/>
      <c r="V438" s="22"/>
      <c r="W438" s="19" t="str">
        <f aca="true">IF(B438="","",IF(OR(O438="開通済",Q438&lt;&gt;""),"完了",IF(O438="キャンセル","―",IF(AND(V438&lt;&gt;"",V438&lt;TODAY()),"対応期限超過",IF(AND(P438&lt;&gt;"",P438&lt;TODAY()),"開通予定日超過",IF(AND(V438&lt;&gt;"",V438=TODAY()),"本日対応",IF(AND(P438&lt;&gt;"",P438-TODAY()&lt;=3),"開通間近","")))))))</f>
        <v/>
      </c>
      <c r="X438" s="17"/>
    </row>
    <row r="439" customFormat="false" ht="15" hidden="false" customHeight="false" outlineLevel="0" collapsed="false">
      <c r="A439" s="12" t="str">
        <f aca="false">IF(B439="","",ROW()-4)</f>
        <v/>
      </c>
      <c r="B439" s="17"/>
      <c r="C439" s="19" t="str">
        <f aca="false">IF(B439="","",IFERROR(INDEX(顧客一覧!$C$5:$C$304,MATCH(B439,顧客一覧!$B$5:$B$304,0)),"※ID未登録"))</f>
        <v/>
      </c>
      <c r="D439" s="12" t="str">
        <f aca="false">IF(B439="","",IFERROR(INDEX(顧客一覧!$K$5:$K$304,MATCH(B439,顧客一覧!$B$5:$B$304,0))&amp;"",""))</f>
        <v/>
      </c>
      <c r="E439" s="17"/>
      <c r="F439" s="17"/>
      <c r="G439" s="29"/>
      <c r="H439" s="17"/>
      <c r="I439" s="29"/>
      <c r="J439" s="26" t="str">
        <f aca="false">IF(OR(G439="",I439=""),"",G439-I439)</f>
        <v/>
      </c>
      <c r="K439" s="26" t="str">
        <f aca="false">IF(J439="","",J439*12)</f>
        <v/>
      </c>
      <c r="L439" s="29"/>
      <c r="M439" s="27" t="str">
        <f aca="false">IF(OR(L439="",J439=""),"",IF(J439&lt;=0,"回収不可",L439/J439))</f>
        <v/>
      </c>
      <c r="N439" s="22"/>
      <c r="O439" s="17"/>
      <c r="P439" s="22"/>
      <c r="Q439" s="22"/>
      <c r="R439" s="28" t="str">
        <f aca="true">IF(OR(P439="",Q439&lt;&gt;"",O439="キャンセル"),"",P439-TODAY())</f>
        <v/>
      </c>
      <c r="S439" s="29"/>
      <c r="T439" s="22"/>
      <c r="U439" s="17"/>
      <c r="V439" s="22"/>
      <c r="W439" s="19" t="str">
        <f aca="true">IF(B439="","",IF(OR(O439="開通済",Q439&lt;&gt;""),"完了",IF(O439="キャンセル","―",IF(AND(V439&lt;&gt;"",V439&lt;TODAY()),"対応期限超過",IF(AND(P439&lt;&gt;"",P439&lt;TODAY()),"開通予定日超過",IF(AND(V439&lt;&gt;"",V439=TODAY()),"本日対応",IF(AND(P439&lt;&gt;"",P439-TODAY()&lt;=3),"開通間近","")))))))</f>
        <v/>
      </c>
      <c r="X439" s="17"/>
    </row>
    <row r="440" customFormat="false" ht="15" hidden="false" customHeight="false" outlineLevel="0" collapsed="false">
      <c r="A440" s="12" t="str">
        <f aca="false">IF(B440="","",ROW()-4)</f>
        <v/>
      </c>
      <c r="B440" s="17"/>
      <c r="C440" s="19" t="str">
        <f aca="false">IF(B440="","",IFERROR(INDEX(顧客一覧!$C$5:$C$304,MATCH(B440,顧客一覧!$B$5:$B$304,0)),"※ID未登録"))</f>
        <v/>
      </c>
      <c r="D440" s="12" t="str">
        <f aca="false">IF(B440="","",IFERROR(INDEX(顧客一覧!$K$5:$K$304,MATCH(B440,顧客一覧!$B$5:$B$304,0))&amp;"",""))</f>
        <v/>
      </c>
      <c r="E440" s="17"/>
      <c r="F440" s="17"/>
      <c r="G440" s="29"/>
      <c r="H440" s="17"/>
      <c r="I440" s="29"/>
      <c r="J440" s="26" t="str">
        <f aca="false">IF(OR(G440="",I440=""),"",G440-I440)</f>
        <v/>
      </c>
      <c r="K440" s="26" t="str">
        <f aca="false">IF(J440="","",J440*12)</f>
        <v/>
      </c>
      <c r="L440" s="29"/>
      <c r="M440" s="27" t="str">
        <f aca="false">IF(OR(L440="",J440=""),"",IF(J440&lt;=0,"回収不可",L440/J440))</f>
        <v/>
      </c>
      <c r="N440" s="22"/>
      <c r="O440" s="17"/>
      <c r="P440" s="22"/>
      <c r="Q440" s="22"/>
      <c r="R440" s="28" t="str">
        <f aca="true">IF(OR(P440="",Q440&lt;&gt;"",O440="キャンセル"),"",P440-TODAY())</f>
        <v/>
      </c>
      <c r="S440" s="29"/>
      <c r="T440" s="22"/>
      <c r="U440" s="17"/>
      <c r="V440" s="22"/>
      <c r="W440" s="19" t="str">
        <f aca="true">IF(B440="","",IF(OR(O440="開通済",Q440&lt;&gt;""),"完了",IF(O440="キャンセル","―",IF(AND(V440&lt;&gt;"",V440&lt;TODAY()),"対応期限超過",IF(AND(P440&lt;&gt;"",P440&lt;TODAY()),"開通予定日超過",IF(AND(V440&lt;&gt;"",V440=TODAY()),"本日対応",IF(AND(P440&lt;&gt;"",P440-TODAY()&lt;=3),"開通間近","")))))))</f>
        <v/>
      </c>
      <c r="X440" s="17"/>
    </row>
    <row r="441" customFormat="false" ht="15" hidden="false" customHeight="false" outlineLevel="0" collapsed="false">
      <c r="A441" s="12" t="str">
        <f aca="false">IF(B441="","",ROW()-4)</f>
        <v/>
      </c>
      <c r="B441" s="17"/>
      <c r="C441" s="19" t="str">
        <f aca="false">IF(B441="","",IFERROR(INDEX(顧客一覧!$C$5:$C$304,MATCH(B441,顧客一覧!$B$5:$B$304,0)),"※ID未登録"))</f>
        <v/>
      </c>
      <c r="D441" s="12" t="str">
        <f aca="false">IF(B441="","",IFERROR(INDEX(顧客一覧!$K$5:$K$304,MATCH(B441,顧客一覧!$B$5:$B$304,0))&amp;"",""))</f>
        <v/>
      </c>
      <c r="E441" s="17"/>
      <c r="F441" s="17"/>
      <c r="G441" s="29"/>
      <c r="H441" s="17"/>
      <c r="I441" s="29"/>
      <c r="J441" s="26" t="str">
        <f aca="false">IF(OR(G441="",I441=""),"",G441-I441)</f>
        <v/>
      </c>
      <c r="K441" s="26" t="str">
        <f aca="false">IF(J441="","",J441*12)</f>
        <v/>
      </c>
      <c r="L441" s="29"/>
      <c r="M441" s="27" t="str">
        <f aca="false">IF(OR(L441="",J441=""),"",IF(J441&lt;=0,"回収不可",L441/J441))</f>
        <v/>
      </c>
      <c r="N441" s="22"/>
      <c r="O441" s="17"/>
      <c r="P441" s="22"/>
      <c r="Q441" s="22"/>
      <c r="R441" s="28" t="str">
        <f aca="true">IF(OR(P441="",Q441&lt;&gt;"",O441="キャンセル"),"",P441-TODAY())</f>
        <v/>
      </c>
      <c r="S441" s="29"/>
      <c r="T441" s="22"/>
      <c r="U441" s="17"/>
      <c r="V441" s="22"/>
      <c r="W441" s="19" t="str">
        <f aca="true">IF(B441="","",IF(OR(O441="開通済",Q441&lt;&gt;""),"完了",IF(O441="キャンセル","―",IF(AND(V441&lt;&gt;"",V441&lt;TODAY()),"対応期限超過",IF(AND(P441&lt;&gt;"",P441&lt;TODAY()),"開通予定日超過",IF(AND(V441&lt;&gt;"",V441=TODAY()),"本日対応",IF(AND(P441&lt;&gt;"",P441-TODAY()&lt;=3),"開通間近","")))))))</f>
        <v/>
      </c>
      <c r="X441" s="17"/>
    </row>
    <row r="442" customFormat="false" ht="15" hidden="false" customHeight="false" outlineLevel="0" collapsed="false">
      <c r="A442" s="12" t="str">
        <f aca="false">IF(B442="","",ROW()-4)</f>
        <v/>
      </c>
      <c r="B442" s="17"/>
      <c r="C442" s="19" t="str">
        <f aca="false">IF(B442="","",IFERROR(INDEX(顧客一覧!$C$5:$C$304,MATCH(B442,顧客一覧!$B$5:$B$304,0)),"※ID未登録"))</f>
        <v/>
      </c>
      <c r="D442" s="12" t="str">
        <f aca="false">IF(B442="","",IFERROR(INDEX(顧客一覧!$K$5:$K$304,MATCH(B442,顧客一覧!$B$5:$B$304,0))&amp;"",""))</f>
        <v/>
      </c>
      <c r="E442" s="17"/>
      <c r="F442" s="17"/>
      <c r="G442" s="29"/>
      <c r="H442" s="17"/>
      <c r="I442" s="29"/>
      <c r="J442" s="26" t="str">
        <f aca="false">IF(OR(G442="",I442=""),"",G442-I442)</f>
        <v/>
      </c>
      <c r="K442" s="26" t="str">
        <f aca="false">IF(J442="","",J442*12)</f>
        <v/>
      </c>
      <c r="L442" s="29"/>
      <c r="M442" s="27" t="str">
        <f aca="false">IF(OR(L442="",J442=""),"",IF(J442&lt;=0,"回収不可",L442/J442))</f>
        <v/>
      </c>
      <c r="N442" s="22"/>
      <c r="O442" s="17"/>
      <c r="P442" s="22"/>
      <c r="Q442" s="22"/>
      <c r="R442" s="28" t="str">
        <f aca="true">IF(OR(P442="",Q442&lt;&gt;"",O442="キャンセル"),"",P442-TODAY())</f>
        <v/>
      </c>
      <c r="S442" s="29"/>
      <c r="T442" s="22"/>
      <c r="U442" s="17"/>
      <c r="V442" s="22"/>
      <c r="W442" s="19" t="str">
        <f aca="true">IF(B442="","",IF(OR(O442="開通済",Q442&lt;&gt;""),"完了",IF(O442="キャンセル","―",IF(AND(V442&lt;&gt;"",V442&lt;TODAY()),"対応期限超過",IF(AND(P442&lt;&gt;"",P442&lt;TODAY()),"開通予定日超過",IF(AND(V442&lt;&gt;"",V442=TODAY()),"本日対応",IF(AND(P442&lt;&gt;"",P442-TODAY()&lt;=3),"開通間近","")))))))</f>
        <v/>
      </c>
      <c r="X442" s="17"/>
    </row>
    <row r="443" customFormat="false" ht="15" hidden="false" customHeight="false" outlineLevel="0" collapsed="false">
      <c r="A443" s="12" t="str">
        <f aca="false">IF(B443="","",ROW()-4)</f>
        <v/>
      </c>
      <c r="B443" s="17"/>
      <c r="C443" s="19" t="str">
        <f aca="false">IF(B443="","",IFERROR(INDEX(顧客一覧!$C$5:$C$304,MATCH(B443,顧客一覧!$B$5:$B$304,0)),"※ID未登録"))</f>
        <v/>
      </c>
      <c r="D443" s="12" t="str">
        <f aca="false">IF(B443="","",IFERROR(INDEX(顧客一覧!$K$5:$K$304,MATCH(B443,顧客一覧!$B$5:$B$304,0))&amp;"",""))</f>
        <v/>
      </c>
      <c r="E443" s="17"/>
      <c r="F443" s="17"/>
      <c r="G443" s="29"/>
      <c r="H443" s="17"/>
      <c r="I443" s="29"/>
      <c r="J443" s="26" t="str">
        <f aca="false">IF(OR(G443="",I443=""),"",G443-I443)</f>
        <v/>
      </c>
      <c r="K443" s="26" t="str">
        <f aca="false">IF(J443="","",J443*12)</f>
        <v/>
      </c>
      <c r="L443" s="29"/>
      <c r="M443" s="27" t="str">
        <f aca="false">IF(OR(L443="",J443=""),"",IF(J443&lt;=0,"回収不可",L443/J443))</f>
        <v/>
      </c>
      <c r="N443" s="22"/>
      <c r="O443" s="17"/>
      <c r="P443" s="22"/>
      <c r="Q443" s="22"/>
      <c r="R443" s="28" t="str">
        <f aca="true">IF(OR(P443="",Q443&lt;&gt;"",O443="キャンセル"),"",P443-TODAY())</f>
        <v/>
      </c>
      <c r="S443" s="29"/>
      <c r="T443" s="22"/>
      <c r="U443" s="17"/>
      <c r="V443" s="22"/>
      <c r="W443" s="19" t="str">
        <f aca="true">IF(B443="","",IF(OR(O443="開通済",Q443&lt;&gt;""),"完了",IF(O443="キャンセル","―",IF(AND(V443&lt;&gt;"",V443&lt;TODAY()),"対応期限超過",IF(AND(P443&lt;&gt;"",P443&lt;TODAY()),"開通予定日超過",IF(AND(V443&lt;&gt;"",V443=TODAY()),"本日対応",IF(AND(P443&lt;&gt;"",P443-TODAY()&lt;=3),"開通間近","")))))))</f>
        <v/>
      </c>
      <c r="X443" s="17"/>
    </row>
    <row r="444" customFormat="false" ht="15" hidden="false" customHeight="false" outlineLevel="0" collapsed="false">
      <c r="A444" s="12" t="str">
        <f aca="false">IF(B444="","",ROW()-4)</f>
        <v/>
      </c>
      <c r="B444" s="17"/>
      <c r="C444" s="19" t="str">
        <f aca="false">IF(B444="","",IFERROR(INDEX(顧客一覧!$C$5:$C$304,MATCH(B444,顧客一覧!$B$5:$B$304,0)),"※ID未登録"))</f>
        <v/>
      </c>
      <c r="D444" s="12" t="str">
        <f aca="false">IF(B444="","",IFERROR(INDEX(顧客一覧!$K$5:$K$304,MATCH(B444,顧客一覧!$B$5:$B$304,0))&amp;"",""))</f>
        <v/>
      </c>
      <c r="E444" s="17"/>
      <c r="F444" s="17"/>
      <c r="G444" s="29"/>
      <c r="H444" s="17"/>
      <c r="I444" s="29"/>
      <c r="J444" s="26" t="str">
        <f aca="false">IF(OR(G444="",I444=""),"",G444-I444)</f>
        <v/>
      </c>
      <c r="K444" s="26" t="str">
        <f aca="false">IF(J444="","",J444*12)</f>
        <v/>
      </c>
      <c r="L444" s="29"/>
      <c r="M444" s="27" t="str">
        <f aca="false">IF(OR(L444="",J444=""),"",IF(J444&lt;=0,"回収不可",L444/J444))</f>
        <v/>
      </c>
      <c r="N444" s="22"/>
      <c r="O444" s="17"/>
      <c r="P444" s="22"/>
      <c r="Q444" s="22"/>
      <c r="R444" s="28" t="str">
        <f aca="true">IF(OR(P444="",Q444&lt;&gt;"",O444="キャンセル"),"",P444-TODAY())</f>
        <v/>
      </c>
      <c r="S444" s="29"/>
      <c r="T444" s="22"/>
      <c r="U444" s="17"/>
      <c r="V444" s="22"/>
      <c r="W444" s="19" t="str">
        <f aca="true">IF(B444="","",IF(OR(O444="開通済",Q444&lt;&gt;""),"完了",IF(O444="キャンセル","―",IF(AND(V444&lt;&gt;"",V444&lt;TODAY()),"対応期限超過",IF(AND(P444&lt;&gt;"",P444&lt;TODAY()),"開通予定日超過",IF(AND(V444&lt;&gt;"",V444=TODAY()),"本日対応",IF(AND(P444&lt;&gt;"",P444-TODAY()&lt;=3),"開通間近","")))))))</f>
        <v/>
      </c>
      <c r="X444" s="17"/>
    </row>
    <row r="445" customFormat="false" ht="15" hidden="false" customHeight="false" outlineLevel="0" collapsed="false">
      <c r="A445" s="12" t="str">
        <f aca="false">IF(B445="","",ROW()-4)</f>
        <v/>
      </c>
      <c r="B445" s="17"/>
      <c r="C445" s="19" t="str">
        <f aca="false">IF(B445="","",IFERROR(INDEX(顧客一覧!$C$5:$C$304,MATCH(B445,顧客一覧!$B$5:$B$304,0)),"※ID未登録"))</f>
        <v/>
      </c>
      <c r="D445" s="12" t="str">
        <f aca="false">IF(B445="","",IFERROR(INDEX(顧客一覧!$K$5:$K$304,MATCH(B445,顧客一覧!$B$5:$B$304,0))&amp;"",""))</f>
        <v/>
      </c>
      <c r="E445" s="17"/>
      <c r="F445" s="17"/>
      <c r="G445" s="29"/>
      <c r="H445" s="17"/>
      <c r="I445" s="29"/>
      <c r="J445" s="26" t="str">
        <f aca="false">IF(OR(G445="",I445=""),"",G445-I445)</f>
        <v/>
      </c>
      <c r="K445" s="26" t="str">
        <f aca="false">IF(J445="","",J445*12)</f>
        <v/>
      </c>
      <c r="L445" s="29"/>
      <c r="M445" s="27" t="str">
        <f aca="false">IF(OR(L445="",J445=""),"",IF(J445&lt;=0,"回収不可",L445/J445))</f>
        <v/>
      </c>
      <c r="N445" s="22"/>
      <c r="O445" s="17"/>
      <c r="P445" s="22"/>
      <c r="Q445" s="22"/>
      <c r="R445" s="28" t="str">
        <f aca="true">IF(OR(P445="",Q445&lt;&gt;"",O445="キャンセル"),"",P445-TODAY())</f>
        <v/>
      </c>
      <c r="S445" s="29"/>
      <c r="T445" s="22"/>
      <c r="U445" s="17"/>
      <c r="V445" s="22"/>
      <c r="W445" s="19" t="str">
        <f aca="true">IF(B445="","",IF(OR(O445="開通済",Q445&lt;&gt;""),"完了",IF(O445="キャンセル","―",IF(AND(V445&lt;&gt;"",V445&lt;TODAY()),"対応期限超過",IF(AND(P445&lt;&gt;"",P445&lt;TODAY()),"開通予定日超過",IF(AND(V445&lt;&gt;"",V445=TODAY()),"本日対応",IF(AND(P445&lt;&gt;"",P445-TODAY()&lt;=3),"開通間近","")))))))</f>
        <v/>
      </c>
      <c r="X445" s="17"/>
    </row>
    <row r="446" customFormat="false" ht="15" hidden="false" customHeight="false" outlineLevel="0" collapsed="false">
      <c r="A446" s="12" t="str">
        <f aca="false">IF(B446="","",ROW()-4)</f>
        <v/>
      </c>
      <c r="B446" s="17"/>
      <c r="C446" s="19" t="str">
        <f aca="false">IF(B446="","",IFERROR(INDEX(顧客一覧!$C$5:$C$304,MATCH(B446,顧客一覧!$B$5:$B$304,0)),"※ID未登録"))</f>
        <v/>
      </c>
      <c r="D446" s="12" t="str">
        <f aca="false">IF(B446="","",IFERROR(INDEX(顧客一覧!$K$5:$K$304,MATCH(B446,顧客一覧!$B$5:$B$304,0))&amp;"",""))</f>
        <v/>
      </c>
      <c r="E446" s="17"/>
      <c r="F446" s="17"/>
      <c r="G446" s="29"/>
      <c r="H446" s="17"/>
      <c r="I446" s="29"/>
      <c r="J446" s="26" t="str">
        <f aca="false">IF(OR(G446="",I446=""),"",G446-I446)</f>
        <v/>
      </c>
      <c r="K446" s="26" t="str">
        <f aca="false">IF(J446="","",J446*12)</f>
        <v/>
      </c>
      <c r="L446" s="29"/>
      <c r="M446" s="27" t="str">
        <f aca="false">IF(OR(L446="",J446=""),"",IF(J446&lt;=0,"回収不可",L446/J446))</f>
        <v/>
      </c>
      <c r="N446" s="22"/>
      <c r="O446" s="17"/>
      <c r="P446" s="22"/>
      <c r="Q446" s="22"/>
      <c r="R446" s="28" t="str">
        <f aca="true">IF(OR(P446="",Q446&lt;&gt;"",O446="キャンセル"),"",P446-TODAY())</f>
        <v/>
      </c>
      <c r="S446" s="29"/>
      <c r="T446" s="22"/>
      <c r="U446" s="17"/>
      <c r="V446" s="22"/>
      <c r="W446" s="19" t="str">
        <f aca="true">IF(B446="","",IF(OR(O446="開通済",Q446&lt;&gt;""),"完了",IF(O446="キャンセル","―",IF(AND(V446&lt;&gt;"",V446&lt;TODAY()),"対応期限超過",IF(AND(P446&lt;&gt;"",P446&lt;TODAY()),"開通予定日超過",IF(AND(V446&lt;&gt;"",V446=TODAY()),"本日対応",IF(AND(P446&lt;&gt;"",P446-TODAY()&lt;=3),"開通間近","")))))))</f>
        <v/>
      </c>
      <c r="X446" s="17"/>
    </row>
    <row r="447" customFormat="false" ht="15" hidden="false" customHeight="false" outlineLevel="0" collapsed="false">
      <c r="A447" s="12" t="str">
        <f aca="false">IF(B447="","",ROW()-4)</f>
        <v/>
      </c>
      <c r="B447" s="17"/>
      <c r="C447" s="19" t="str">
        <f aca="false">IF(B447="","",IFERROR(INDEX(顧客一覧!$C$5:$C$304,MATCH(B447,顧客一覧!$B$5:$B$304,0)),"※ID未登録"))</f>
        <v/>
      </c>
      <c r="D447" s="12" t="str">
        <f aca="false">IF(B447="","",IFERROR(INDEX(顧客一覧!$K$5:$K$304,MATCH(B447,顧客一覧!$B$5:$B$304,0))&amp;"",""))</f>
        <v/>
      </c>
      <c r="E447" s="17"/>
      <c r="F447" s="17"/>
      <c r="G447" s="29"/>
      <c r="H447" s="17"/>
      <c r="I447" s="29"/>
      <c r="J447" s="26" t="str">
        <f aca="false">IF(OR(G447="",I447=""),"",G447-I447)</f>
        <v/>
      </c>
      <c r="K447" s="26" t="str">
        <f aca="false">IF(J447="","",J447*12)</f>
        <v/>
      </c>
      <c r="L447" s="29"/>
      <c r="M447" s="27" t="str">
        <f aca="false">IF(OR(L447="",J447=""),"",IF(J447&lt;=0,"回収不可",L447/J447))</f>
        <v/>
      </c>
      <c r="N447" s="22"/>
      <c r="O447" s="17"/>
      <c r="P447" s="22"/>
      <c r="Q447" s="22"/>
      <c r="R447" s="28" t="str">
        <f aca="true">IF(OR(P447="",Q447&lt;&gt;"",O447="キャンセル"),"",P447-TODAY())</f>
        <v/>
      </c>
      <c r="S447" s="29"/>
      <c r="T447" s="22"/>
      <c r="U447" s="17"/>
      <c r="V447" s="22"/>
      <c r="W447" s="19" t="str">
        <f aca="true">IF(B447="","",IF(OR(O447="開通済",Q447&lt;&gt;""),"完了",IF(O447="キャンセル","―",IF(AND(V447&lt;&gt;"",V447&lt;TODAY()),"対応期限超過",IF(AND(P447&lt;&gt;"",P447&lt;TODAY()),"開通予定日超過",IF(AND(V447&lt;&gt;"",V447=TODAY()),"本日対応",IF(AND(P447&lt;&gt;"",P447-TODAY()&lt;=3),"開通間近","")))))))</f>
        <v/>
      </c>
      <c r="X447" s="17"/>
    </row>
    <row r="448" customFormat="false" ht="15" hidden="false" customHeight="false" outlineLevel="0" collapsed="false">
      <c r="A448" s="12" t="str">
        <f aca="false">IF(B448="","",ROW()-4)</f>
        <v/>
      </c>
      <c r="B448" s="17"/>
      <c r="C448" s="19" t="str">
        <f aca="false">IF(B448="","",IFERROR(INDEX(顧客一覧!$C$5:$C$304,MATCH(B448,顧客一覧!$B$5:$B$304,0)),"※ID未登録"))</f>
        <v/>
      </c>
      <c r="D448" s="12" t="str">
        <f aca="false">IF(B448="","",IFERROR(INDEX(顧客一覧!$K$5:$K$304,MATCH(B448,顧客一覧!$B$5:$B$304,0))&amp;"",""))</f>
        <v/>
      </c>
      <c r="E448" s="17"/>
      <c r="F448" s="17"/>
      <c r="G448" s="29"/>
      <c r="H448" s="17"/>
      <c r="I448" s="29"/>
      <c r="J448" s="26" t="str">
        <f aca="false">IF(OR(G448="",I448=""),"",G448-I448)</f>
        <v/>
      </c>
      <c r="K448" s="26" t="str">
        <f aca="false">IF(J448="","",J448*12)</f>
        <v/>
      </c>
      <c r="L448" s="29"/>
      <c r="M448" s="27" t="str">
        <f aca="false">IF(OR(L448="",J448=""),"",IF(J448&lt;=0,"回収不可",L448/J448))</f>
        <v/>
      </c>
      <c r="N448" s="22"/>
      <c r="O448" s="17"/>
      <c r="P448" s="22"/>
      <c r="Q448" s="22"/>
      <c r="R448" s="28" t="str">
        <f aca="true">IF(OR(P448="",Q448&lt;&gt;"",O448="キャンセル"),"",P448-TODAY())</f>
        <v/>
      </c>
      <c r="S448" s="29"/>
      <c r="T448" s="22"/>
      <c r="U448" s="17"/>
      <c r="V448" s="22"/>
      <c r="W448" s="19" t="str">
        <f aca="true">IF(B448="","",IF(OR(O448="開通済",Q448&lt;&gt;""),"完了",IF(O448="キャンセル","―",IF(AND(V448&lt;&gt;"",V448&lt;TODAY()),"対応期限超過",IF(AND(P448&lt;&gt;"",P448&lt;TODAY()),"開通予定日超過",IF(AND(V448&lt;&gt;"",V448=TODAY()),"本日対応",IF(AND(P448&lt;&gt;"",P448-TODAY()&lt;=3),"開通間近","")))))))</f>
        <v/>
      </c>
      <c r="X448" s="17"/>
    </row>
    <row r="449" customFormat="false" ht="15" hidden="false" customHeight="false" outlineLevel="0" collapsed="false">
      <c r="A449" s="12" t="str">
        <f aca="false">IF(B449="","",ROW()-4)</f>
        <v/>
      </c>
      <c r="B449" s="17"/>
      <c r="C449" s="19" t="str">
        <f aca="false">IF(B449="","",IFERROR(INDEX(顧客一覧!$C$5:$C$304,MATCH(B449,顧客一覧!$B$5:$B$304,0)),"※ID未登録"))</f>
        <v/>
      </c>
      <c r="D449" s="12" t="str">
        <f aca="false">IF(B449="","",IFERROR(INDEX(顧客一覧!$K$5:$K$304,MATCH(B449,顧客一覧!$B$5:$B$304,0))&amp;"",""))</f>
        <v/>
      </c>
      <c r="E449" s="17"/>
      <c r="F449" s="17"/>
      <c r="G449" s="29"/>
      <c r="H449" s="17"/>
      <c r="I449" s="29"/>
      <c r="J449" s="26" t="str">
        <f aca="false">IF(OR(G449="",I449=""),"",G449-I449)</f>
        <v/>
      </c>
      <c r="K449" s="26" t="str">
        <f aca="false">IF(J449="","",J449*12)</f>
        <v/>
      </c>
      <c r="L449" s="29"/>
      <c r="M449" s="27" t="str">
        <f aca="false">IF(OR(L449="",J449=""),"",IF(J449&lt;=0,"回収不可",L449/J449))</f>
        <v/>
      </c>
      <c r="N449" s="22"/>
      <c r="O449" s="17"/>
      <c r="P449" s="22"/>
      <c r="Q449" s="22"/>
      <c r="R449" s="28" t="str">
        <f aca="true">IF(OR(P449="",Q449&lt;&gt;"",O449="キャンセル"),"",P449-TODAY())</f>
        <v/>
      </c>
      <c r="S449" s="29"/>
      <c r="T449" s="22"/>
      <c r="U449" s="17"/>
      <c r="V449" s="22"/>
      <c r="W449" s="19" t="str">
        <f aca="true">IF(B449="","",IF(OR(O449="開通済",Q449&lt;&gt;""),"完了",IF(O449="キャンセル","―",IF(AND(V449&lt;&gt;"",V449&lt;TODAY()),"対応期限超過",IF(AND(P449&lt;&gt;"",P449&lt;TODAY()),"開通予定日超過",IF(AND(V449&lt;&gt;"",V449=TODAY()),"本日対応",IF(AND(P449&lt;&gt;"",P449-TODAY()&lt;=3),"開通間近","")))))))</f>
        <v/>
      </c>
      <c r="X449" s="17"/>
    </row>
    <row r="450" customFormat="false" ht="15" hidden="false" customHeight="false" outlineLevel="0" collapsed="false">
      <c r="A450" s="12" t="str">
        <f aca="false">IF(B450="","",ROW()-4)</f>
        <v/>
      </c>
      <c r="B450" s="17"/>
      <c r="C450" s="19" t="str">
        <f aca="false">IF(B450="","",IFERROR(INDEX(顧客一覧!$C$5:$C$304,MATCH(B450,顧客一覧!$B$5:$B$304,0)),"※ID未登録"))</f>
        <v/>
      </c>
      <c r="D450" s="12" t="str">
        <f aca="false">IF(B450="","",IFERROR(INDEX(顧客一覧!$K$5:$K$304,MATCH(B450,顧客一覧!$B$5:$B$304,0))&amp;"",""))</f>
        <v/>
      </c>
      <c r="E450" s="17"/>
      <c r="F450" s="17"/>
      <c r="G450" s="29"/>
      <c r="H450" s="17"/>
      <c r="I450" s="29"/>
      <c r="J450" s="26" t="str">
        <f aca="false">IF(OR(G450="",I450=""),"",G450-I450)</f>
        <v/>
      </c>
      <c r="K450" s="26" t="str">
        <f aca="false">IF(J450="","",J450*12)</f>
        <v/>
      </c>
      <c r="L450" s="29"/>
      <c r="M450" s="27" t="str">
        <f aca="false">IF(OR(L450="",J450=""),"",IF(J450&lt;=0,"回収不可",L450/J450))</f>
        <v/>
      </c>
      <c r="N450" s="22"/>
      <c r="O450" s="17"/>
      <c r="P450" s="22"/>
      <c r="Q450" s="22"/>
      <c r="R450" s="28" t="str">
        <f aca="true">IF(OR(P450="",Q450&lt;&gt;"",O450="キャンセル"),"",P450-TODAY())</f>
        <v/>
      </c>
      <c r="S450" s="29"/>
      <c r="T450" s="22"/>
      <c r="U450" s="17"/>
      <c r="V450" s="22"/>
      <c r="W450" s="19" t="str">
        <f aca="true">IF(B450="","",IF(OR(O450="開通済",Q450&lt;&gt;""),"完了",IF(O450="キャンセル","―",IF(AND(V450&lt;&gt;"",V450&lt;TODAY()),"対応期限超過",IF(AND(P450&lt;&gt;"",P450&lt;TODAY()),"開通予定日超過",IF(AND(V450&lt;&gt;"",V450=TODAY()),"本日対応",IF(AND(P450&lt;&gt;"",P450-TODAY()&lt;=3),"開通間近","")))))))</f>
        <v/>
      </c>
      <c r="X450" s="17"/>
    </row>
    <row r="451" customFormat="false" ht="15" hidden="false" customHeight="false" outlineLevel="0" collapsed="false">
      <c r="A451" s="12" t="str">
        <f aca="false">IF(B451="","",ROW()-4)</f>
        <v/>
      </c>
      <c r="B451" s="17"/>
      <c r="C451" s="19" t="str">
        <f aca="false">IF(B451="","",IFERROR(INDEX(顧客一覧!$C$5:$C$304,MATCH(B451,顧客一覧!$B$5:$B$304,0)),"※ID未登録"))</f>
        <v/>
      </c>
      <c r="D451" s="12" t="str">
        <f aca="false">IF(B451="","",IFERROR(INDEX(顧客一覧!$K$5:$K$304,MATCH(B451,顧客一覧!$B$5:$B$304,0))&amp;"",""))</f>
        <v/>
      </c>
      <c r="E451" s="17"/>
      <c r="F451" s="17"/>
      <c r="G451" s="29"/>
      <c r="H451" s="17"/>
      <c r="I451" s="29"/>
      <c r="J451" s="26" t="str">
        <f aca="false">IF(OR(G451="",I451=""),"",G451-I451)</f>
        <v/>
      </c>
      <c r="K451" s="26" t="str">
        <f aca="false">IF(J451="","",J451*12)</f>
        <v/>
      </c>
      <c r="L451" s="29"/>
      <c r="M451" s="27" t="str">
        <f aca="false">IF(OR(L451="",J451=""),"",IF(J451&lt;=0,"回収不可",L451/J451))</f>
        <v/>
      </c>
      <c r="N451" s="22"/>
      <c r="O451" s="17"/>
      <c r="P451" s="22"/>
      <c r="Q451" s="22"/>
      <c r="R451" s="28" t="str">
        <f aca="true">IF(OR(P451="",Q451&lt;&gt;"",O451="キャンセル"),"",P451-TODAY())</f>
        <v/>
      </c>
      <c r="S451" s="29"/>
      <c r="T451" s="22"/>
      <c r="U451" s="17"/>
      <c r="V451" s="22"/>
      <c r="W451" s="19" t="str">
        <f aca="true">IF(B451="","",IF(OR(O451="開通済",Q451&lt;&gt;""),"完了",IF(O451="キャンセル","―",IF(AND(V451&lt;&gt;"",V451&lt;TODAY()),"対応期限超過",IF(AND(P451&lt;&gt;"",P451&lt;TODAY()),"開通予定日超過",IF(AND(V451&lt;&gt;"",V451=TODAY()),"本日対応",IF(AND(P451&lt;&gt;"",P451-TODAY()&lt;=3),"開通間近","")))))))</f>
        <v/>
      </c>
      <c r="X451" s="17"/>
    </row>
    <row r="452" customFormat="false" ht="15" hidden="false" customHeight="false" outlineLevel="0" collapsed="false">
      <c r="A452" s="12" t="str">
        <f aca="false">IF(B452="","",ROW()-4)</f>
        <v/>
      </c>
      <c r="B452" s="17"/>
      <c r="C452" s="19" t="str">
        <f aca="false">IF(B452="","",IFERROR(INDEX(顧客一覧!$C$5:$C$304,MATCH(B452,顧客一覧!$B$5:$B$304,0)),"※ID未登録"))</f>
        <v/>
      </c>
      <c r="D452" s="12" t="str">
        <f aca="false">IF(B452="","",IFERROR(INDEX(顧客一覧!$K$5:$K$304,MATCH(B452,顧客一覧!$B$5:$B$304,0))&amp;"",""))</f>
        <v/>
      </c>
      <c r="E452" s="17"/>
      <c r="F452" s="17"/>
      <c r="G452" s="29"/>
      <c r="H452" s="17"/>
      <c r="I452" s="29"/>
      <c r="J452" s="26" t="str">
        <f aca="false">IF(OR(G452="",I452=""),"",G452-I452)</f>
        <v/>
      </c>
      <c r="K452" s="26" t="str">
        <f aca="false">IF(J452="","",J452*12)</f>
        <v/>
      </c>
      <c r="L452" s="29"/>
      <c r="M452" s="27" t="str">
        <f aca="false">IF(OR(L452="",J452=""),"",IF(J452&lt;=0,"回収不可",L452/J452))</f>
        <v/>
      </c>
      <c r="N452" s="22"/>
      <c r="O452" s="17"/>
      <c r="P452" s="22"/>
      <c r="Q452" s="22"/>
      <c r="R452" s="28" t="str">
        <f aca="true">IF(OR(P452="",Q452&lt;&gt;"",O452="キャンセル"),"",P452-TODAY())</f>
        <v/>
      </c>
      <c r="S452" s="29"/>
      <c r="T452" s="22"/>
      <c r="U452" s="17"/>
      <c r="V452" s="22"/>
      <c r="W452" s="19" t="str">
        <f aca="true">IF(B452="","",IF(OR(O452="開通済",Q452&lt;&gt;""),"完了",IF(O452="キャンセル","―",IF(AND(V452&lt;&gt;"",V452&lt;TODAY()),"対応期限超過",IF(AND(P452&lt;&gt;"",P452&lt;TODAY()),"開通予定日超過",IF(AND(V452&lt;&gt;"",V452=TODAY()),"本日対応",IF(AND(P452&lt;&gt;"",P452-TODAY()&lt;=3),"開通間近","")))))))</f>
        <v/>
      </c>
      <c r="X452" s="17"/>
    </row>
    <row r="453" customFormat="false" ht="15" hidden="false" customHeight="false" outlineLevel="0" collapsed="false">
      <c r="A453" s="12" t="str">
        <f aca="false">IF(B453="","",ROW()-4)</f>
        <v/>
      </c>
      <c r="B453" s="17"/>
      <c r="C453" s="19" t="str">
        <f aca="false">IF(B453="","",IFERROR(INDEX(顧客一覧!$C$5:$C$304,MATCH(B453,顧客一覧!$B$5:$B$304,0)),"※ID未登録"))</f>
        <v/>
      </c>
      <c r="D453" s="12" t="str">
        <f aca="false">IF(B453="","",IFERROR(INDEX(顧客一覧!$K$5:$K$304,MATCH(B453,顧客一覧!$B$5:$B$304,0))&amp;"",""))</f>
        <v/>
      </c>
      <c r="E453" s="17"/>
      <c r="F453" s="17"/>
      <c r="G453" s="29"/>
      <c r="H453" s="17"/>
      <c r="I453" s="29"/>
      <c r="J453" s="26" t="str">
        <f aca="false">IF(OR(G453="",I453=""),"",G453-I453)</f>
        <v/>
      </c>
      <c r="K453" s="26" t="str">
        <f aca="false">IF(J453="","",J453*12)</f>
        <v/>
      </c>
      <c r="L453" s="29"/>
      <c r="M453" s="27" t="str">
        <f aca="false">IF(OR(L453="",J453=""),"",IF(J453&lt;=0,"回収不可",L453/J453))</f>
        <v/>
      </c>
      <c r="N453" s="22"/>
      <c r="O453" s="17"/>
      <c r="P453" s="22"/>
      <c r="Q453" s="22"/>
      <c r="R453" s="28" t="str">
        <f aca="true">IF(OR(P453="",Q453&lt;&gt;"",O453="キャンセル"),"",P453-TODAY())</f>
        <v/>
      </c>
      <c r="S453" s="29"/>
      <c r="T453" s="22"/>
      <c r="U453" s="17"/>
      <c r="V453" s="22"/>
      <c r="W453" s="19" t="str">
        <f aca="true">IF(B453="","",IF(OR(O453="開通済",Q453&lt;&gt;""),"完了",IF(O453="キャンセル","―",IF(AND(V453&lt;&gt;"",V453&lt;TODAY()),"対応期限超過",IF(AND(P453&lt;&gt;"",P453&lt;TODAY()),"開通予定日超過",IF(AND(V453&lt;&gt;"",V453=TODAY()),"本日対応",IF(AND(P453&lt;&gt;"",P453-TODAY()&lt;=3),"開通間近","")))))))</f>
        <v/>
      </c>
      <c r="X453" s="17"/>
    </row>
    <row r="454" customFormat="false" ht="15" hidden="false" customHeight="false" outlineLevel="0" collapsed="false">
      <c r="A454" s="12" t="str">
        <f aca="false">IF(B454="","",ROW()-4)</f>
        <v/>
      </c>
      <c r="B454" s="17"/>
      <c r="C454" s="19" t="str">
        <f aca="false">IF(B454="","",IFERROR(INDEX(顧客一覧!$C$5:$C$304,MATCH(B454,顧客一覧!$B$5:$B$304,0)),"※ID未登録"))</f>
        <v/>
      </c>
      <c r="D454" s="12" t="str">
        <f aca="false">IF(B454="","",IFERROR(INDEX(顧客一覧!$K$5:$K$304,MATCH(B454,顧客一覧!$B$5:$B$304,0))&amp;"",""))</f>
        <v/>
      </c>
      <c r="E454" s="17"/>
      <c r="F454" s="17"/>
      <c r="G454" s="29"/>
      <c r="H454" s="17"/>
      <c r="I454" s="29"/>
      <c r="J454" s="26" t="str">
        <f aca="false">IF(OR(G454="",I454=""),"",G454-I454)</f>
        <v/>
      </c>
      <c r="K454" s="26" t="str">
        <f aca="false">IF(J454="","",J454*12)</f>
        <v/>
      </c>
      <c r="L454" s="29"/>
      <c r="M454" s="27" t="str">
        <f aca="false">IF(OR(L454="",J454=""),"",IF(J454&lt;=0,"回収不可",L454/J454))</f>
        <v/>
      </c>
      <c r="N454" s="22"/>
      <c r="O454" s="17"/>
      <c r="P454" s="22"/>
      <c r="Q454" s="22"/>
      <c r="R454" s="28" t="str">
        <f aca="true">IF(OR(P454="",Q454&lt;&gt;"",O454="キャンセル"),"",P454-TODAY())</f>
        <v/>
      </c>
      <c r="S454" s="29"/>
      <c r="T454" s="22"/>
      <c r="U454" s="17"/>
      <c r="V454" s="22"/>
      <c r="W454" s="19" t="str">
        <f aca="true">IF(B454="","",IF(OR(O454="開通済",Q454&lt;&gt;""),"完了",IF(O454="キャンセル","―",IF(AND(V454&lt;&gt;"",V454&lt;TODAY()),"対応期限超過",IF(AND(P454&lt;&gt;"",P454&lt;TODAY()),"開通予定日超過",IF(AND(V454&lt;&gt;"",V454=TODAY()),"本日対応",IF(AND(P454&lt;&gt;"",P454-TODAY()&lt;=3),"開通間近","")))))))</f>
        <v/>
      </c>
      <c r="X454" s="17"/>
    </row>
    <row r="455" customFormat="false" ht="15" hidden="false" customHeight="false" outlineLevel="0" collapsed="false">
      <c r="A455" s="12" t="str">
        <f aca="false">IF(B455="","",ROW()-4)</f>
        <v/>
      </c>
      <c r="B455" s="17"/>
      <c r="C455" s="19" t="str">
        <f aca="false">IF(B455="","",IFERROR(INDEX(顧客一覧!$C$5:$C$304,MATCH(B455,顧客一覧!$B$5:$B$304,0)),"※ID未登録"))</f>
        <v/>
      </c>
      <c r="D455" s="12" t="str">
        <f aca="false">IF(B455="","",IFERROR(INDEX(顧客一覧!$K$5:$K$304,MATCH(B455,顧客一覧!$B$5:$B$304,0))&amp;"",""))</f>
        <v/>
      </c>
      <c r="E455" s="17"/>
      <c r="F455" s="17"/>
      <c r="G455" s="29"/>
      <c r="H455" s="17"/>
      <c r="I455" s="29"/>
      <c r="J455" s="26" t="str">
        <f aca="false">IF(OR(G455="",I455=""),"",G455-I455)</f>
        <v/>
      </c>
      <c r="K455" s="26" t="str">
        <f aca="false">IF(J455="","",J455*12)</f>
        <v/>
      </c>
      <c r="L455" s="29"/>
      <c r="M455" s="27" t="str">
        <f aca="false">IF(OR(L455="",J455=""),"",IF(J455&lt;=0,"回収不可",L455/J455))</f>
        <v/>
      </c>
      <c r="N455" s="22"/>
      <c r="O455" s="17"/>
      <c r="P455" s="22"/>
      <c r="Q455" s="22"/>
      <c r="R455" s="28" t="str">
        <f aca="true">IF(OR(P455="",Q455&lt;&gt;"",O455="キャンセル"),"",P455-TODAY())</f>
        <v/>
      </c>
      <c r="S455" s="29"/>
      <c r="T455" s="22"/>
      <c r="U455" s="17"/>
      <c r="V455" s="22"/>
      <c r="W455" s="19" t="str">
        <f aca="true">IF(B455="","",IF(OR(O455="開通済",Q455&lt;&gt;""),"完了",IF(O455="キャンセル","―",IF(AND(V455&lt;&gt;"",V455&lt;TODAY()),"対応期限超過",IF(AND(P455&lt;&gt;"",P455&lt;TODAY()),"開通予定日超過",IF(AND(V455&lt;&gt;"",V455=TODAY()),"本日対応",IF(AND(P455&lt;&gt;"",P455-TODAY()&lt;=3),"開通間近","")))))))</f>
        <v/>
      </c>
      <c r="X455" s="17"/>
    </row>
    <row r="456" customFormat="false" ht="15" hidden="false" customHeight="false" outlineLevel="0" collapsed="false">
      <c r="A456" s="12" t="str">
        <f aca="false">IF(B456="","",ROW()-4)</f>
        <v/>
      </c>
      <c r="B456" s="17"/>
      <c r="C456" s="19" t="str">
        <f aca="false">IF(B456="","",IFERROR(INDEX(顧客一覧!$C$5:$C$304,MATCH(B456,顧客一覧!$B$5:$B$304,0)),"※ID未登録"))</f>
        <v/>
      </c>
      <c r="D456" s="12" t="str">
        <f aca="false">IF(B456="","",IFERROR(INDEX(顧客一覧!$K$5:$K$304,MATCH(B456,顧客一覧!$B$5:$B$304,0))&amp;"",""))</f>
        <v/>
      </c>
      <c r="E456" s="17"/>
      <c r="F456" s="17"/>
      <c r="G456" s="29"/>
      <c r="H456" s="17"/>
      <c r="I456" s="29"/>
      <c r="J456" s="26" t="str">
        <f aca="false">IF(OR(G456="",I456=""),"",G456-I456)</f>
        <v/>
      </c>
      <c r="K456" s="26" t="str">
        <f aca="false">IF(J456="","",J456*12)</f>
        <v/>
      </c>
      <c r="L456" s="29"/>
      <c r="M456" s="27" t="str">
        <f aca="false">IF(OR(L456="",J456=""),"",IF(J456&lt;=0,"回収不可",L456/J456))</f>
        <v/>
      </c>
      <c r="N456" s="22"/>
      <c r="O456" s="17"/>
      <c r="P456" s="22"/>
      <c r="Q456" s="22"/>
      <c r="R456" s="28" t="str">
        <f aca="true">IF(OR(P456="",Q456&lt;&gt;"",O456="キャンセル"),"",P456-TODAY())</f>
        <v/>
      </c>
      <c r="S456" s="29"/>
      <c r="T456" s="22"/>
      <c r="U456" s="17"/>
      <c r="V456" s="22"/>
      <c r="W456" s="19" t="str">
        <f aca="true">IF(B456="","",IF(OR(O456="開通済",Q456&lt;&gt;""),"完了",IF(O456="キャンセル","―",IF(AND(V456&lt;&gt;"",V456&lt;TODAY()),"対応期限超過",IF(AND(P456&lt;&gt;"",P456&lt;TODAY()),"開通予定日超過",IF(AND(V456&lt;&gt;"",V456=TODAY()),"本日対応",IF(AND(P456&lt;&gt;"",P456-TODAY()&lt;=3),"開通間近","")))))))</f>
        <v/>
      </c>
      <c r="X456" s="17"/>
    </row>
    <row r="457" customFormat="false" ht="15" hidden="false" customHeight="false" outlineLevel="0" collapsed="false">
      <c r="A457" s="12" t="str">
        <f aca="false">IF(B457="","",ROW()-4)</f>
        <v/>
      </c>
      <c r="B457" s="17"/>
      <c r="C457" s="19" t="str">
        <f aca="false">IF(B457="","",IFERROR(INDEX(顧客一覧!$C$5:$C$304,MATCH(B457,顧客一覧!$B$5:$B$304,0)),"※ID未登録"))</f>
        <v/>
      </c>
      <c r="D457" s="12" t="str">
        <f aca="false">IF(B457="","",IFERROR(INDEX(顧客一覧!$K$5:$K$304,MATCH(B457,顧客一覧!$B$5:$B$304,0))&amp;"",""))</f>
        <v/>
      </c>
      <c r="E457" s="17"/>
      <c r="F457" s="17"/>
      <c r="G457" s="29"/>
      <c r="H457" s="17"/>
      <c r="I457" s="29"/>
      <c r="J457" s="26" t="str">
        <f aca="false">IF(OR(G457="",I457=""),"",G457-I457)</f>
        <v/>
      </c>
      <c r="K457" s="26" t="str">
        <f aca="false">IF(J457="","",J457*12)</f>
        <v/>
      </c>
      <c r="L457" s="29"/>
      <c r="M457" s="27" t="str">
        <f aca="false">IF(OR(L457="",J457=""),"",IF(J457&lt;=0,"回収不可",L457/J457))</f>
        <v/>
      </c>
      <c r="N457" s="22"/>
      <c r="O457" s="17"/>
      <c r="P457" s="22"/>
      <c r="Q457" s="22"/>
      <c r="R457" s="28" t="str">
        <f aca="true">IF(OR(P457="",Q457&lt;&gt;"",O457="キャンセル"),"",P457-TODAY())</f>
        <v/>
      </c>
      <c r="S457" s="29"/>
      <c r="T457" s="22"/>
      <c r="U457" s="17"/>
      <c r="V457" s="22"/>
      <c r="W457" s="19" t="str">
        <f aca="true">IF(B457="","",IF(OR(O457="開通済",Q457&lt;&gt;""),"完了",IF(O457="キャンセル","―",IF(AND(V457&lt;&gt;"",V457&lt;TODAY()),"対応期限超過",IF(AND(P457&lt;&gt;"",P457&lt;TODAY()),"開通予定日超過",IF(AND(V457&lt;&gt;"",V457=TODAY()),"本日対応",IF(AND(P457&lt;&gt;"",P457-TODAY()&lt;=3),"開通間近","")))))))</f>
        <v/>
      </c>
      <c r="X457" s="17"/>
    </row>
    <row r="458" customFormat="false" ht="15" hidden="false" customHeight="false" outlineLevel="0" collapsed="false">
      <c r="A458" s="12" t="str">
        <f aca="false">IF(B458="","",ROW()-4)</f>
        <v/>
      </c>
      <c r="B458" s="17"/>
      <c r="C458" s="19" t="str">
        <f aca="false">IF(B458="","",IFERROR(INDEX(顧客一覧!$C$5:$C$304,MATCH(B458,顧客一覧!$B$5:$B$304,0)),"※ID未登録"))</f>
        <v/>
      </c>
      <c r="D458" s="12" t="str">
        <f aca="false">IF(B458="","",IFERROR(INDEX(顧客一覧!$K$5:$K$304,MATCH(B458,顧客一覧!$B$5:$B$304,0))&amp;"",""))</f>
        <v/>
      </c>
      <c r="E458" s="17"/>
      <c r="F458" s="17"/>
      <c r="G458" s="29"/>
      <c r="H458" s="17"/>
      <c r="I458" s="29"/>
      <c r="J458" s="26" t="str">
        <f aca="false">IF(OR(G458="",I458=""),"",G458-I458)</f>
        <v/>
      </c>
      <c r="K458" s="26" t="str">
        <f aca="false">IF(J458="","",J458*12)</f>
        <v/>
      </c>
      <c r="L458" s="29"/>
      <c r="M458" s="27" t="str">
        <f aca="false">IF(OR(L458="",J458=""),"",IF(J458&lt;=0,"回収不可",L458/J458))</f>
        <v/>
      </c>
      <c r="N458" s="22"/>
      <c r="O458" s="17"/>
      <c r="P458" s="22"/>
      <c r="Q458" s="22"/>
      <c r="R458" s="28" t="str">
        <f aca="true">IF(OR(P458="",Q458&lt;&gt;"",O458="キャンセル"),"",P458-TODAY())</f>
        <v/>
      </c>
      <c r="S458" s="29"/>
      <c r="T458" s="22"/>
      <c r="U458" s="17"/>
      <c r="V458" s="22"/>
      <c r="W458" s="19" t="str">
        <f aca="true">IF(B458="","",IF(OR(O458="開通済",Q458&lt;&gt;""),"完了",IF(O458="キャンセル","―",IF(AND(V458&lt;&gt;"",V458&lt;TODAY()),"対応期限超過",IF(AND(P458&lt;&gt;"",P458&lt;TODAY()),"開通予定日超過",IF(AND(V458&lt;&gt;"",V458=TODAY()),"本日対応",IF(AND(P458&lt;&gt;"",P458-TODAY()&lt;=3),"開通間近","")))))))</f>
        <v/>
      </c>
      <c r="X458" s="17"/>
    </row>
    <row r="459" customFormat="false" ht="15" hidden="false" customHeight="false" outlineLevel="0" collapsed="false">
      <c r="A459" s="12" t="str">
        <f aca="false">IF(B459="","",ROW()-4)</f>
        <v/>
      </c>
      <c r="B459" s="17"/>
      <c r="C459" s="19" t="str">
        <f aca="false">IF(B459="","",IFERROR(INDEX(顧客一覧!$C$5:$C$304,MATCH(B459,顧客一覧!$B$5:$B$304,0)),"※ID未登録"))</f>
        <v/>
      </c>
      <c r="D459" s="12" t="str">
        <f aca="false">IF(B459="","",IFERROR(INDEX(顧客一覧!$K$5:$K$304,MATCH(B459,顧客一覧!$B$5:$B$304,0))&amp;"",""))</f>
        <v/>
      </c>
      <c r="E459" s="17"/>
      <c r="F459" s="17"/>
      <c r="G459" s="29"/>
      <c r="H459" s="17"/>
      <c r="I459" s="29"/>
      <c r="J459" s="26" t="str">
        <f aca="false">IF(OR(G459="",I459=""),"",G459-I459)</f>
        <v/>
      </c>
      <c r="K459" s="26" t="str">
        <f aca="false">IF(J459="","",J459*12)</f>
        <v/>
      </c>
      <c r="L459" s="29"/>
      <c r="M459" s="27" t="str">
        <f aca="false">IF(OR(L459="",J459=""),"",IF(J459&lt;=0,"回収不可",L459/J459))</f>
        <v/>
      </c>
      <c r="N459" s="22"/>
      <c r="O459" s="17"/>
      <c r="P459" s="22"/>
      <c r="Q459" s="22"/>
      <c r="R459" s="28" t="str">
        <f aca="true">IF(OR(P459="",Q459&lt;&gt;"",O459="キャンセル"),"",P459-TODAY())</f>
        <v/>
      </c>
      <c r="S459" s="29"/>
      <c r="T459" s="22"/>
      <c r="U459" s="17"/>
      <c r="V459" s="22"/>
      <c r="W459" s="19" t="str">
        <f aca="true">IF(B459="","",IF(OR(O459="開通済",Q459&lt;&gt;""),"完了",IF(O459="キャンセル","―",IF(AND(V459&lt;&gt;"",V459&lt;TODAY()),"対応期限超過",IF(AND(P459&lt;&gt;"",P459&lt;TODAY()),"開通予定日超過",IF(AND(V459&lt;&gt;"",V459=TODAY()),"本日対応",IF(AND(P459&lt;&gt;"",P459-TODAY()&lt;=3),"開通間近","")))))))</f>
        <v/>
      </c>
      <c r="X459" s="17"/>
    </row>
    <row r="460" customFormat="false" ht="15" hidden="false" customHeight="false" outlineLevel="0" collapsed="false">
      <c r="A460" s="12" t="str">
        <f aca="false">IF(B460="","",ROW()-4)</f>
        <v/>
      </c>
      <c r="B460" s="17"/>
      <c r="C460" s="19" t="str">
        <f aca="false">IF(B460="","",IFERROR(INDEX(顧客一覧!$C$5:$C$304,MATCH(B460,顧客一覧!$B$5:$B$304,0)),"※ID未登録"))</f>
        <v/>
      </c>
      <c r="D460" s="12" t="str">
        <f aca="false">IF(B460="","",IFERROR(INDEX(顧客一覧!$K$5:$K$304,MATCH(B460,顧客一覧!$B$5:$B$304,0))&amp;"",""))</f>
        <v/>
      </c>
      <c r="E460" s="17"/>
      <c r="F460" s="17"/>
      <c r="G460" s="29"/>
      <c r="H460" s="17"/>
      <c r="I460" s="29"/>
      <c r="J460" s="26" t="str">
        <f aca="false">IF(OR(G460="",I460=""),"",G460-I460)</f>
        <v/>
      </c>
      <c r="K460" s="26" t="str">
        <f aca="false">IF(J460="","",J460*12)</f>
        <v/>
      </c>
      <c r="L460" s="29"/>
      <c r="M460" s="27" t="str">
        <f aca="false">IF(OR(L460="",J460=""),"",IF(J460&lt;=0,"回収不可",L460/J460))</f>
        <v/>
      </c>
      <c r="N460" s="22"/>
      <c r="O460" s="17"/>
      <c r="P460" s="22"/>
      <c r="Q460" s="22"/>
      <c r="R460" s="28" t="str">
        <f aca="true">IF(OR(P460="",Q460&lt;&gt;"",O460="キャンセル"),"",P460-TODAY())</f>
        <v/>
      </c>
      <c r="S460" s="29"/>
      <c r="T460" s="22"/>
      <c r="U460" s="17"/>
      <c r="V460" s="22"/>
      <c r="W460" s="19" t="str">
        <f aca="true">IF(B460="","",IF(OR(O460="開通済",Q460&lt;&gt;""),"完了",IF(O460="キャンセル","―",IF(AND(V460&lt;&gt;"",V460&lt;TODAY()),"対応期限超過",IF(AND(P460&lt;&gt;"",P460&lt;TODAY()),"開通予定日超過",IF(AND(V460&lt;&gt;"",V460=TODAY()),"本日対応",IF(AND(P460&lt;&gt;"",P460-TODAY()&lt;=3),"開通間近","")))))))</f>
        <v/>
      </c>
      <c r="X460" s="17"/>
    </row>
    <row r="461" customFormat="false" ht="15" hidden="false" customHeight="false" outlineLevel="0" collapsed="false">
      <c r="A461" s="12" t="str">
        <f aca="false">IF(B461="","",ROW()-4)</f>
        <v/>
      </c>
      <c r="B461" s="17"/>
      <c r="C461" s="19" t="str">
        <f aca="false">IF(B461="","",IFERROR(INDEX(顧客一覧!$C$5:$C$304,MATCH(B461,顧客一覧!$B$5:$B$304,0)),"※ID未登録"))</f>
        <v/>
      </c>
      <c r="D461" s="12" t="str">
        <f aca="false">IF(B461="","",IFERROR(INDEX(顧客一覧!$K$5:$K$304,MATCH(B461,顧客一覧!$B$5:$B$304,0))&amp;"",""))</f>
        <v/>
      </c>
      <c r="E461" s="17"/>
      <c r="F461" s="17"/>
      <c r="G461" s="29"/>
      <c r="H461" s="17"/>
      <c r="I461" s="29"/>
      <c r="J461" s="26" t="str">
        <f aca="false">IF(OR(G461="",I461=""),"",G461-I461)</f>
        <v/>
      </c>
      <c r="K461" s="26" t="str">
        <f aca="false">IF(J461="","",J461*12)</f>
        <v/>
      </c>
      <c r="L461" s="29"/>
      <c r="M461" s="27" t="str">
        <f aca="false">IF(OR(L461="",J461=""),"",IF(J461&lt;=0,"回収不可",L461/J461))</f>
        <v/>
      </c>
      <c r="N461" s="22"/>
      <c r="O461" s="17"/>
      <c r="P461" s="22"/>
      <c r="Q461" s="22"/>
      <c r="R461" s="28" t="str">
        <f aca="true">IF(OR(P461="",Q461&lt;&gt;"",O461="キャンセル"),"",P461-TODAY())</f>
        <v/>
      </c>
      <c r="S461" s="29"/>
      <c r="T461" s="22"/>
      <c r="U461" s="17"/>
      <c r="V461" s="22"/>
      <c r="W461" s="19" t="str">
        <f aca="true">IF(B461="","",IF(OR(O461="開通済",Q461&lt;&gt;""),"完了",IF(O461="キャンセル","―",IF(AND(V461&lt;&gt;"",V461&lt;TODAY()),"対応期限超過",IF(AND(P461&lt;&gt;"",P461&lt;TODAY()),"開通予定日超過",IF(AND(V461&lt;&gt;"",V461=TODAY()),"本日対応",IF(AND(P461&lt;&gt;"",P461-TODAY()&lt;=3),"開通間近","")))))))</f>
        <v/>
      </c>
      <c r="X461" s="17"/>
    </row>
    <row r="462" customFormat="false" ht="15" hidden="false" customHeight="false" outlineLevel="0" collapsed="false">
      <c r="A462" s="12" t="str">
        <f aca="false">IF(B462="","",ROW()-4)</f>
        <v/>
      </c>
      <c r="B462" s="17"/>
      <c r="C462" s="19" t="str">
        <f aca="false">IF(B462="","",IFERROR(INDEX(顧客一覧!$C$5:$C$304,MATCH(B462,顧客一覧!$B$5:$B$304,0)),"※ID未登録"))</f>
        <v/>
      </c>
      <c r="D462" s="12" t="str">
        <f aca="false">IF(B462="","",IFERROR(INDEX(顧客一覧!$K$5:$K$304,MATCH(B462,顧客一覧!$B$5:$B$304,0))&amp;"",""))</f>
        <v/>
      </c>
      <c r="E462" s="17"/>
      <c r="F462" s="17"/>
      <c r="G462" s="29"/>
      <c r="H462" s="17"/>
      <c r="I462" s="29"/>
      <c r="J462" s="26" t="str">
        <f aca="false">IF(OR(G462="",I462=""),"",G462-I462)</f>
        <v/>
      </c>
      <c r="K462" s="26" t="str">
        <f aca="false">IF(J462="","",J462*12)</f>
        <v/>
      </c>
      <c r="L462" s="29"/>
      <c r="M462" s="27" t="str">
        <f aca="false">IF(OR(L462="",J462=""),"",IF(J462&lt;=0,"回収不可",L462/J462))</f>
        <v/>
      </c>
      <c r="N462" s="22"/>
      <c r="O462" s="17"/>
      <c r="P462" s="22"/>
      <c r="Q462" s="22"/>
      <c r="R462" s="28" t="str">
        <f aca="true">IF(OR(P462="",Q462&lt;&gt;"",O462="キャンセル"),"",P462-TODAY())</f>
        <v/>
      </c>
      <c r="S462" s="29"/>
      <c r="T462" s="22"/>
      <c r="U462" s="17"/>
      <c r="V462" s="22"/>
      <c r="W462" s="19" t="str">
        <f aca="true">IF(B462="","",IF(OR(O462="開通済",Q462&lt;&gt;""),"完了",IF(O462="キャンセル","―",IF(AND(V462&lt;&gt;"",V462&lt;TODAY()),"対応期限超過",IF(AND(P462&lt;&gt;"",P462&lt;TODAY()),"開通予定日超過",IF(AND(V462&lt;&gt;"",V462=TODAY()),"本日対応",IF(AND(P462&lt;&gt;"",P462-TODAY()&lt;=3),"開通間近","")))))))</f>
        <v/>
      </c>
      <c r="X462" s="17"/>
    </row>
    <row r="463" customFormat="false" ht="15" hidden="false" customHeight="false" outlineLevel="0" collapsed="false">
      <c r="A463" s="12" t="str">
        <f aca="false">IF(B463="","",ROW()-4)</f>
        <v/>
      </c>
      <c r="B463" s="17"/>
      <c r="C463" s="19" t="str">
        <f aca="false">IF(B463="","",IFERROR(INDEX(顧客一覧!$C$5:$C$304,MATCH(B463,顧客一覧!$B$5:$B$304,0)),"※ID未登録"))</f>
        <v/>
      </c>
      <c r="D463" s="12" t="str">
        <f aca="false">IF(B463="","",IFERROR(INDEX(顧客一覧!$K$5:$K$304,MATCH(B463,顧客一覧!$B$5:$B$304,0))&amp;"",""))</f>
        <v/>
      </c>
      <c r="E463" s="17"/>
      <c r="F463" s="17"/>
      <c r="G463" s="29"/>
      <c r="H463" s="17"/>
      <c r="I463" s="29"/>
      <c r="J463" s="26" t="str">
        <f aca="false">IF(OR(G463="",I463=""),"",G463-I463)</f>
        <v/>
      </c>
      <c r="K463" s="26" t="str">
        <f aca="false">IF(J463="","",J463*12)</f>
        <v/>
      </c>
      <c r="L463" s="29"/>
      <c r="M463" s="27" t="str">
        <f aca="false">IF(OR(L463="",J463=""),"",IF(J463&lt;=0,"回収不可",L463/J463))</f>
        <v/>
      </c>
      <c r="N463" s="22"/>
      <c r="O463" s="17"/>
      <c r="P463" s="22"/>
      <c r="Q463" s="22"/>
      <c r="R463" s="28" t="str">
        <f aca="true">IF(OR(P463="",Q463&lt;&gt;"",O463="キャンセル"),"",P463-TODAY())</f>
        <v/>
      </c>
      <c r="S463" s="29"/>
      <c r="T463" s="22"/>
      <c r="U463" s="17"/>
      <c r="V463" s="22"/>
      <c r="W463" s="19" t="str">
        <f aca="true">IF(B463="","",IF(OR(O463="開通済",Q463&lt;&gt;""),"完了",IF(O463="キャンセル","―",IF(AND(V463&lt;&gt;"",V463&lt;TODAY()),"対応期限超過",IF(AND(P463&lt;&gt;"",P463&lt;TODAY()),"開通予定日超過",IF(AND(V463&lt;&gt;"",V463=TODAY()),"本日対応",IF(AND(P463&lt;&gt;"",P463-TODAY()&lt;=3),"開通間近","")))))))</f>
        <v/>
      </c>
      <c r="X463" s="17"/>
    </row>
    <row r="464" customFormat="false" ht="15" hidden="false" customHeight="false" outlineLevel="0" collapsed="false">
      <c r="A464" s="12" t="str">
        <f aca="false">IF(B464="","",ROW()-4)</f>
        <v/>
      </c>
      <c r="B464" s="17"/>
      <c r="C464" s="19" t="str">
        <f aca="false">IF(B464="","",IFERROR(INDEX(顧客一覧!$C$5:$C$304,MATCH(B464,顧客一覧!$B$5:$B$304,0)),"※ID未登録"))</f>
        <v/>
      </c>
      <c r="D464" s="12" t="str">
        <f aca="false">IF(B464="","",IFERROR(INDEX(顧客一覧!$K$5:$K$304,MATCH(B464,顧客一覧!$B$5:$B$304,0))&amp;"",""))</f>
        <v/>
      </c>
      <c r="E464" s="17"/>
      <c r="F464" s="17"/>
      <c r="G464" s="29"/>
      <c r="H464" s="17"/>
      <c r="I464" s="29"/>
      <c r="J464" s="26" t="str">
        <f aca="false">IF(OR(G464="",I464=""),"",G464-I464)</f>
        <v/>
      </c>
      <c r="K464" s="26" t="str">
        <f aca="false">IF(J464="","",J464*12)</f>
        <v/>
      </c>
      <c r="L464" s="29"/>
      <c r="M464" s="27" t="str">
        <f aca="false">IF(OR(L464="",J464=""),"",IF(J464&lt;=0,"回収不可",L464/J464))</f>
        <v/>
      </c>
      <c r="N464" s="22"/>
      <c r="O464" s="17"/>
      <c r="P464" s="22"/>
      <c r="Q464" s="22"/>
      <c r="R464" s="28" t="str">
        <f aca="true">IF(OR(P464="",Q464&lt;&gt;"",O464="キャンセル"),"",P464-TODAY())</f>
        <v/>
      </c>
      <c r="S464" s="29"/>
      <c r="T464" s="22"/>
      <c r="U464" s="17"/>
      <c r="V464" s="22"/>
      <c r="W464" s="19" t="str">
        <f aca="true">IF(B464="","",IF(OR(O464="開通済",Q464&lt;&gt;""),"完了",IF(O464="キャンセル","―",IF(AND(V464&lt;&gt;"",V464&lt;TODAY()),"対応期限超過",IF(AND(P464&lt;&gt;"",P464&lt;TODAY()),"開通予定日超過",IF(AND(V464&lt;&gt;"",V464=TODAY()),"本日対応",IF(AND(P464&lt;&gt;"",P464-TODAY()&lt;=3),"開通間近","")))))))</f>
        <v/>
      </c>
      <c r="X464" s="17"/>
    </row>
    <row r="465" customFormat="false" ht="15" hidden="false" customHeight="false" outlineLevel="0" collapsed="false">
      <c r="A465" s="12" t="str">
        <f aca="false">IF(B465="","",ROW()-4)</f>
        <v/>
      </c>
      <c r="B465" s="17"/>
      <c r="C465" s="19" t="str">
        <f aca="false">IF(B465="","",IFERROR(INDEX(顧客一覧!$C$5:$C$304,MATCH(B465,顧客一覧!$B$5:$B$304,0)),"※ID未登録"))</f>
        <v/>
      </c>
      <c r="D465" s="12" t="str">
        <f aca="false">IF(B465="","",IFERROR(INDEX(顧客一覧!$K$5:$K$304,MATCH(B465,顧客一覧!$B$5:$B$304,0))&amp;"",""))</f>
        <v/>
      </c>
      <c r="E465" s="17"/>
      <c r="F465" s="17"/>
      <c r="G465" s="29"/>
      <c r="H465" s="17"/>
      <c r="I465" s="29"/>
      <c r="J465" s="26" t="str">
        <f aca="false">IF(OR(G465="",I465=""),"",G465-I465)</f>
        <v/>
      </c>
      <c r="K465" s="26" t="str">
        <f aca="false">IF(J465="","",J465*12)</f>
        <v/>
      </c>
      <c r="L465" s="29"/>
      <c r="M465" s="27" t="str">
        <f aca="false">IF(OR(L465="",J465=""),"",IF(J465&lt;=0,"回収不可",L465/J465))</f>
        <v/>
      </c>
      <c r="N465" s="22"/>
      <c r="O465" s="17"/>
      <c r="P465" s="22"/>
      <c r="Q465" s="22"/>
      <c r="R465" s="28" t="str">
        <f aca="true">IF(OR(P465="",Q465&lt;&gt;"",O465="キャンセル"),"",P465-TODAY())</f>
        <v/>
      </c>
      <c r="S465" s="29"/>
      <c r="T465" s="22"/>
      <c r="U465" s="17"/>
      <c r="V465" s="22"/>
      <c r="W465" s="19" t="str">
        <f aca="true">IF(B465="","",IF(OR(O465="開通済",Q465&lt;&gt;""),"完了",IF(O465="キャンセル","―",IF(AND(V465&lt;&gt;"",V465&lt;TODAY()),"対応期限超過",IF(AND(P465&lt;&gt;"",P465&lt;TODAY()),"開通予定日超過",IF(AND(V465&lt;&gt;"",V465=TODAY()),"本日対応",IF(AND(P465&lt;&gt;"",P465-TODAY()&lt;=3),"開通間近","")))))))</f>
        <v/>
      </c>
      <c r="X465" s="17"/>
    </row>
    <row r="466" customFormat="false" ht="15" hidden="false" customHeight="false" outlineLevel="0" collapsed="false">
      <c r="A466" s="12" t="str">
        <f aca="false">IF(B466="","",ROW()-4)</f>
        <v/>
      </c>
      <c r="B466" s="17"/>
      <c r="C466" s="19" t="str">
        <f aca="false">IF(B466="","",IFERROR(INDEX(顧客一覧!$C$5:$C$304,MATCH(B466,顧客一覧!$B$5:$B$304,0)),"※ID未登録"))</f>
        <v/>
      </c>
      <c r="D466" s="12" t="str">
        <f aca="false">IF(B466="","",IFERROR(INDEX(顧客一覧!$K$5:$K$304,MATCH(B466,顧客一覧!$B$5:$B$304,0))&amp;"",""))</f>
        <v/>
      </c>
      <c r="E466" s="17"/>
      <c r="F466" s="17"/>
      <c r="G466" s="29"/>
      <c r="H466" s="17"/>
      <c r="I466" s="29"/>
      <c r="J466" s="26" t="str">
        <f aca="false">IF(OR(G466="",I466=""),"",G466-I466)</f>
        <v/>
      </c>
      <c r="K466" s="26" t="str">
        <f aca="false">IF(J466="","",J466*12)</f>
        <v/>
      </c>
      <c r="L466" s="29"/>
      <c r="M466" s="27" t="str">
        <f aca="false">IF(OR(L466="",J466=""),"",IF(J466&lt;=0,"回収不可",L466/J466))</f>
        <v/>
      </c>
      <c r="N466" s="22"/>
      <c r="O466" s="17"/>
      <c r="P466" s="22"/>
      <c r="Q466" s="22"/>
      <c r="R466" s="28" t="str">
        <f aca="true">IF(OR(P466="",Q466&lt;&gt;"",O466="キャンセル"),"",P466-TODAY())</f>
        <v/>
      </c>
      <c r="S466" s="29"/>
      <c r="T466" s="22"/>
      <c r="U466" s="17"/>
      <c r="V466" s="22"/>
      <c r="W466" s="19" t="str">
        <f aca="true">IF(B466="","",IF(OR(O466="開通済",Q466&lt;&gt;""),"完了",IF(O466="キャンセル","―",IF(AND(V466&lt;&gt;"",V466&lt;TODAY()),"対応期限超過",IF(AND(P466&lt;&gt;"",P466&lt;TODAY()),"開通予定日超過",IF(AND(V466&lt;&gt;"",V466=TODAY()),"本日対応",IF(AND(P466&lt;&gt;"",P466-TODAY()&lt;=3),"開通間近","")))))))</f>
        <v/>
      </c>
      <c r="X466" s="17"/>
    </row>
    <row r="467" customFormat="false" ht="15" hidden="false" customHeight="false" outlineLevel="0" collapsed="false">
      <c r="A467" s="12" t="str">
        <f aca="false">IF(B467="","",ROW()-4)</f>
        <v/>
      </c>
      <c r="B467" s="17"/>
      <c r="C467" s="19" t="str">
        <f aca="false">IF(B467="","",IFERROR(INDEX(顧客一覧!$C$5:$C$304,MATCH(B467,顧客一覧!$B$5:$B$304,0)),"※ID未登録"))</f>
        <v/>
      </c>
      <c r="D467" s="12" t="str">
        <f aca="false">IF(B467="","",IFERROR(INDEX(顧客一覧!$K$5:$K$304,MATCH(B467,顧客一覧!$B$5:$B$304,0))&amp;"",""))</f>
        <v/>
      </c>
      <c r="E467" s="17"/>
      <c r="F467" s="17"/>
      <c r="G467" s="29"/>
      <c r="H467" s="17"/>
      <c r="I467" s="29"/>
      <c r="J467" s="26" t="str">
        <f aca="false">IF(OR(G467="",I467=""),"",G467-I467)</f>
        <v/>
      </c>
      <c r="K467" s="26" t="str">
        <f aca="false">IF(J467="","",J467*12)</f>
        <v/>
      </c>
      <c r="L467" s="29"/>
      <c r="M467" s="27" t="str">
        <f aca="false">IF(OR(L467="",J467=""),"",IF(J467&lt;=0,"回収不可",L467/J467))</f>
        <v/>
      </c>
      <c r="N467" s="22"/>
      <c r="O467" s="17"/>
      <c r="P467" s="22"/>
      <c r="Q467" s="22"/>
      <c r="R467" s="28" t="str">
        <f aca="true">IF(OR(P467="",Q467&lt;&gt;"",O467="キャンセル"),"",P467-TODAY())</f>
        <v/>
      </c>
      <c r="S467" s="29"/>
      <c r="T467" s="22"/>
      <c r="U467" s="17"/>
      <c r="V467" s="22"/>
      <c r="W467" s="19" t="str">
        <f aca="true">IF(B467="","",IF(OR(O467="開通済",Q467&lt;&gt;""),"完了",IF(O467="キャンセル","―",IF(AND(V467&lt;&gt;"",V467&lt;TODAY()),"対応期限超過",IF(AND(P467&lt;&gt;"",P467&lt;TODAY()),"開通予定日超過",IF(AND(V467&lt;&gt;"",V467=TODAY()),"本日対応",IF(AND(P467&lt;&gt;"",P467-TODAY()&lt;=3),"開通間近","")))))))</f>
        <v/>
      </c>
      <c r="X467" s="17"/>
    </row>
    <row r="468" customFormat="false" ht="15" hidden="false" customHeight="false" outlineLevel="0" collapsed="false">
      <c r="A468" s="12" t="str">
        <f aca="false">IF(B468="","",ROW()-4)</f>
        <v/>
      </c>
      <c r="B468" s="17"/>
      <c r="C468" s="19" t="str">
        <f aca="false">IF(B468="","",IFERROR(INDEX(顧客一覧!$C$5:$C$304,MATCH(B468,顧客一覧!$B$5:$B$304,0)),"※ID未登録"))</f>
        <v/>
      </c>
      <c r="D468" s="12" t="str">
        <f aca="false">IF(B468="","",IFERROR(INDEX(顧客一覧!$K$5:$K$304,MATCH(B468,顧客一覧!$B$5:$B$304,0))&amp;"",""))</f>
        <v/>
      </c>
      <c r="E468" s="17"/>
      <c r="F468" s="17"/>
      <c r="G468" s="29"/>
      <c r="H468" s="17"/>
      <c r="I468" s="29"/>
      <c r="J468" s="26" t="str">
        <f aca="false">IF(OR(G468="",I468=""),"",G468-I468)</f>
        <v/>
      </c>
      <c r="K468" s="26" t="str">
        <f aca="false">IF(J468="","",J468*12)</f>
        <v/>
      </c>
      <c r="L468" s="29"/>
      <c r="M468" s="27" t="str">
        <f aca="false">IF(OR(L468="",J468=""),"",IF(J468&lt;=0,"回収不可",L468/J468))</f>
        <v/>
      </c>
      <c r="N468" s="22"/>
      <c r="O468" s="17"/>
      <c r="P468" s="22"/>
      <c r="Q468" s="22"/>
      <c r="R468" s="28" t="str">
        <f aca="true">IF(OR(P468="",Q468&lt;&gt;"",O468="キャンセル"),"",P468-TODAY())</f>
        <v/>
      </c>
      <c r="S468" s="29"/>
      <c r="T468" s="22"/>
      <c r="U468" s="17"/>
      <c r="V468" s="22"/>
      <c r="W468" s="19" t="str">
        <f aca="true">IF(B468="","",IF(OR(O468="開通済",Q468&lt;&gt;""),"完了",IF(O468="キャンセル","―",IF(AND(V468&lt;&gt;"",V468&lt;TODAY()),"対応期限超過",IF(AND(P468&lt;&gt;"",P468&lt;TODAY()),"開通予定日超過",IF(AND(V468&lt;&gt;"",V468=TODAY()),"本日対応",IF(AND(P468&lt;&gt;"",P468-TODAY()&lt;=3),"開通間近","")))))))</f>
        <v/>
      </c>
      <c r="X468" s="17"/>
    </row>
    <row r="469" customFormat="false" ht="15" hidden="false" customHeight="false" outlineLevel="0" collapsed="false">
      <c r="A469" s="12" t="str">
        <f aca="false">IF(B469="","",ROW()-4)</f>
        <v/>
      </c>
      <c r="B469" s="17"/>
      <c r="C469" s="19" t="str">
        <f aca="false">IF(B469="","",IFERROR(INDEX(顧客一覧!$C$5:$C$304,MATCH(B469,顧客一覧!$B$5:$B$304,0)),"※ID未登録"))</f>
        <v/>
      </c>
      <c r="D469" s="12" t="str">
        <f aca="false">IF(B469="","",IFERROR(INDEX(顧客一覧!$K$5:$K$304,MATCH(B469,顧客一覧!$B$5:$B$304,0))&amp;"",""))</f>
        <v/>
      </c>
      <c r="E469" s="17"/>
      <c r="F469" s="17"/>
      <c r="G469" s="29"/>
      <c r="H469" s="17"/>
      <c r="I469" s="29"/>
      <c r="J469" s="26" t="str">
        <f aca="false">IF(OR(G469="",I469=""),"",G469-I469)</f>
        <v/>
      </c>
      <c r="K469" s="26" t="str">
        <f aca="false">IF(J469="","",J469*12)</f>
        <v/>
      </c>
      <c r="L469" s="29"/>
      <c r="M469" s="27" t="str">
        <f aca="false">IF(OR(L469="",J469=""),"",IF(J469&lt;=0,"回収不可",L469/J469))</f>
        <v/>
      </c>
      <c r="N469" s="22"/>
      <c r="O469" s="17"/>
      <c r="P469" s="22"/>
      <c r="Q469" s="22"/>
      <c r="R469" s="28" t="str">
        <f aca="true">IF(OR(P469="",Q469&lt;&gt;"",O469="キャンセル"),"",P469-TODAY())</f>
        <v/>
      </c>
      <c r="S469" s="29"/>
      <c r="T469" s="22"/>
      <c r="U469" s="17"/>
      <c r="V469" s="22"/>
      <c r="W469" s="19" t="str">
        <f aca="true">IF(B469="","",IF(OR(O469="開通済",Q469&lt;&gt;""),"完了",IF(O469="キャンセル","―",IF(AND(V469&lt;&gt;"",V469&lt;TODAY()),"対応期限超過",IF(AND(P469&lt;&gt;"",P469&lt;TODAY()),"開通予定日超過",IF(AND(V469&lt;&gt;"",V469=TODAY()),"本日対応",IF(AND(P469&lt;&gt;"",P469-TODAY()&lt;=3),"開通間近","")))))))</f>
        <v/>
      </c>
      <c r="X469" s="17"/>
    </row>
    <row r="470" customFormat="false" ht="15" hidden="false" customHeight="false" outlineLevel="0" collapsed="false">
      <c r="A470" s="12" t="str">
        <f aca="false">IF(B470="","",ROW()-4)</f>
        <v/>
      </c>
      <c r="B470" s="17"/>
      <c r="C470" s="19" t="str">
        <f aca="false">IF(B470="","",IFERROR(INDEX(顧客一覧!$C$5:$C$304,MATCH(B470,顧客一覧!$B$5:$B$304,0)),"※ID未登録"))</f>
        <v/>
      </c>
      <c r="D470" s="12" t="str">
        <f aca="false">IF(B470="","",IFERROR(INDEX(顧客一覧!$K$5:$K$304,MATCH(B470,顧客一覧!$B$5:$B$304,0))&amp;"",""))</f>
        <v/>
      </c>
      <c r="E470" s="17"/>
      <c r="F470" s="17"/>
      <c r="G470" s="29"/>
      <c r="H470" s="17"/>
      <c r="I470" s="29"/>
      <c r="J470" s="26" t="str">
        <f aca="false">IF(OR(G470="",I470=""),"",G470-I470)</f>
        <v/>
      </c>
      <c r="K470" s="26" t="str">
        <f aca="false">IF(J470="","",J470*12)</f>
        <v/>
      </c>
      <c r="L470" s="29"/>
      <c r="M470" s="27" t="str">
        <f aca="false">IF(OR(L470="",J470=""),"",IF(J470&lt;=0,"回収不可",L470/J470))</f>
        <v/>
      </c>
      <c r="N470" s="22"/>
      <c r="O470" s="17"/>
      <c r="P470" s="22"/>
      <c r="Q470" s="22"/>
      <c r="R470" s="28" t="str">
        <f aca="true">IF(OR(P470="",Q470&lt;&gt;"",O470="キャンセル"),"",P470-TODAY())</f>
        <v/>
      </c>
      <c r="S470" s="29"/>
      <c r="T470" s="22"/>
      <c r="U470" s="17"/>
      <c r="V470" s="22"/>
      <c r="W470" s="19" t="str">
        <f aca="true">IF(B470="","",IF(OR(O470="開通済",Q470&lt;&gt;""),"完了",IF(O470="キャンセル","―",IF(AND(V470&lt;&gt;"",V470&lt;TODAY()),"対応期限超過",IF(AND(P470&lt;&gt;"",P470&lt;TODAY()),"開通予定日超過",IF(AND(V470&lt;&gt;"",V470=TODAY()),"本日対応",IF(AND(P470&lt;&gt;"",P470-TODAY()&lt;=3),"開通間近","")))))))</f>
        <v/>
      </c>
      <c r="X470" s="17"/>
    </row>
    <row r="471" customFormat="false" ht="15" hidden="false" customHeight="false" outlineLevel="0" collapsed="false">
      <c r="A471" s="12" t="str">
        <f aca="false">IF(B471="","",ROW()-4)</f>
        <v/>
      </c>
      <c r="B471" s="17"/>
      <c r="C471" s="19" t="str">
        <f aca="false">IF(B471="","",IFERROR(INDEX(顧客一覧!$C$5:$C$304,MATCH(B471,顧客一覧!$B$5:$B$304,0)),"※ID未登録"))</f>
        <v/>
      </c>
      <c r="D471" s="12" t="str">
        <f aca="false">IF(B471="","",IFERROR(INDEX(顧客一覧!$K$5:$K$304,MATCH(B471,顧客一覧!$B$5:$B$304,0))&amp;"",""))</f>
        <v/>
      </c>
      <c r="E471" s="17"/>
      <c r="F471" s="17"/>
      <c r="G471" s="29"/>
      <c r="H471" s="17"/>
      <c r="I471" s="29"/>
      <c r="J471" s="26" t="str">
        <f aca="false">IF(OR(G471="",I471=""),"",G471-I471)</f>
        <v/>
      </c>
      <c r="K471" s="26" t="str">
        <f aca="false">IF(J471="","",J471*12)</f>
        <v/>
      </c>
      <c r="L471" s="29"/>
      <c r="M471" s="27" t="str">
        <f aca="false">IF(OR(L471="",J471=""),"",IF(J471&lt;=0,"回収不可",L471/J471))</f>
        <v/>
      </c>
      <c r="N471" s="22"/>
      <c r="O471" s="17"/>
      <c r="P471" s="22"/>
      <c r="Q471" s="22"/>
      <c r="R471" s="28" t="str">
        <f aca="true">IF(OR(P471="",Q471&lt;&gt;"",O471="キャンセル"),"",P471-TODAY())</f>
        <v/>
      </c>
      <c r="S471" s="29"/>
      <c r="T471" s="22"/>
      <c r="U471" s="17"/>
      <c r="V471" s="22"/>
      <c r="W471" s="19" t="str">
        <f aca="true">IF(B471="","",IF(OR(O471="開通済",Q471&lt;&gt;""),"完了",IF(O471="キャンセル","―",IF(AND(V471&lt;&gt;"",V471&lt;TODAY()),"対応期限超過",IF(AND(P471&lt;&gt;"",P471&lt;TODAY()),"開通予定日超過",IF(AND(V471&lt;&gt;"",V471=TODAY()),"本日対応",IF(AND(P471&lt;&gt;"",P471-TODAY()&lt;=3),"開通間近","")))))))</f>
        <v/>
      </c>
      <c r="X471" s="17"/>
    </row>
    <row r="472" customFormat="false" ht="15" hidden="false" customHeight="false" outlineLevel="0" collapsed="false">
      <c r="A472" s="12" t="str">
        <f aca="false">IF(B472="","",ROW()-4)</f>
        <v/>
      </c>
      <c r="B472" s="17"/>
      <c r="C472" s="19" t="str">
        <f aca="false">IF(B472="","",IFERROR(INDEX(顧客一覧!$C$5:$C$304,MATCH(B472,顧客一覧!$B$5:$B$304,0)),"※ID未登録"))</f>
        <v/>
      </c>
      <c r="D472" s="12" t="str">
        <f aca="false">IF(B472="","",IFERROR(INDEX(顧客一覧!$K$5:$K$304,MATCH(B472,顧客一覧!$B$5:$B$304,0))&amp;"",""))</f>
        <v/>
      </c>
      <c r="E472" s="17"/>
      <c r="F472" s="17"/>
      <c r="G472" s="29"/>
      <c r="H472" s="17"/>
      <c r="I472" s="29"/>
      <c r="J472" s="26" t="str">
        <f aca="false">IF(OR(G472="",I472=""),"",G472-I472)</f>
        <v/>
      </c>
      <c r="K472" s="26" t="str">
        <f aca="false">IF(J472="","",J472*12)</f>
        <v/>
      </c>
      <c r="L472" s="29"/>
      <c r="M472" s="27" t="str">
        <f aca="false">IF(OR(L472="",J472=""),"",IF(J472&lt;=0,"回収不可",L472/J472))</f>
        <v/>
      </c>
      <c r="N472" s="22"/>
      <c r="O472" s="17"/>
      <c r="P472" s="22"/>
      <c r="Q472" s="22"/>
      <c r="R472" s="28" t="str">
        <f aca="true">IF(OR(P472="",Q472&lt;&gt;"",O472="キャンセル"),"",P472-TODAY())</f>
        <v/>
      </c>
      <c r="S472" s="29"/>
      <c r="T472" s="22"/>
      <c r="U472" s="17"/>
      <c r="V472" s="22"/>
      <c r="W472" s="19" t="str">
        <f aca="true">IF(B472="","",IF(OR(O472="開通済",Q472&lt;&gt;""),"完了",IF(O472="キャンセル","―",IF(AND(V472&lt;&gt;"",V472&lt;TODAY()),"対応期限超過",IF(AND(P472&lt;&gt;"",P472&lt;TODAY()),"開通予定日超過",IF(AND(V472&lt;&gt;"",V472=TODAY()),"本日対応",IF(AND(P472&lt;&gt;"",P472-TODAY()&lt;=3),"開通間近","")))))))</f>
        <v/>
      </c>
      <c r="X472" s="17"/>
    </row>
    <row r="473" customFormat="false" ht="15" hidden="false" customHeight="false" outlineLevel="0" collapsed="false">
      <c r="A473" s="12" t="str">
        <f aca="false">IF(B473="","",ROW()-4)</f>
        <v/>
      </c>
      <c r="B473" s="17"/>
      <c r="C473" s="19" t="str">
        <f aca="false">IF(B473="","",IFERROR(INDEX(顧客一覧!$C$5:$C$304,MATCH(B473,顧客一覧!$B$5:$B$304,0)),"※ID未登録"))</f>
        <v/>
      </c>
      <c r="D473" s="12" t="str">
        <f aca="false">IF(B473="","",IFERROR(INDEX(顧客一覧!$K$5:$K$304,MATCH(B473,顧客一覧!$B$5:$B$304,0))&amp;"",""))</f>
        <v/>
      </c>
      <c r="E473" s="17"/>
      <c r="F473" s="17"/>
      <c r="G473" s="29"/>
      <c r="H473" s="17"/>
      <c r="I473" s="29"/>
      <c r="J473" s="26" t="str">
        <f aca="false">IF(OR(G473="",I473=""),"",G473-I473)</f>
        <v/>
      </c>
      <c r="K473" s="26" t="str">
        <f aca="false">IF(J473="","",J473*12)</f>
        <v/>
      </c>
      <c r="L473" s="29"/>
      <c r="M473" s="27" t="str">
        <f aca="false">IF(OR(L473="",J473=""),"",IF(J473&lt;=0,"回収不可",L473/J473))</f>
        <v/>
      </c>
      <c r="N473" s="22"/>
      <c r="O473" s="17"/>
      <c r="P473" s="22"/>
      <c r="Q473" s="22"/>
      <c r="R473" s="28" t="str">
        <f aca="true">IF(OR(P473="",Q473&lt;&gt;"",O473="キャンセル"),"",P473-TODAY())</f>
        <v/>
      </c>
      <c r="S473" s="29"/>
      <c r="T473" s="22"/>
      <c r="U473" s="17"/>
      <c r="V473" s="22"/>
      <c r="W473" s="19" t="str">
        <f aca="true">IF(B473="","",IF(OR(O473="開通済",Q473&lt;&gt;""),"完了",IF(O473="キャンセル","―",IF(AND(V473&lt;&gt;"",V473&lt;TODAY()),"対応期限超過",IF(AND(P473&lt;&gt;"",P473&lt;TODAY()),"開通予定日超過",IF(AND(V473&lt;&gt;"",V473=TODAY()),"本日対応",IF(AND(P473&lt;&gt;"",P473-TODAY()&lt;=3),"開通間近","")))))))</f>
        <v/>
      </c>
      <c r="X473" s="17"/>
    </row>
    <row r="474" customFormat="false" ht="15" hidden="false" customHeight="false" outlineLevel="0" collapsed="false">
      <c r="A474" s="12" t="str">
        <f aca="false">IF(B474="","",ROW()-4)</f>
        <v/>
      </c>
      <c r="B474" s="17"/>
      <c r="C474" s="19" t="str">
        <f aca="false">IF(B474="","",IFERROR(INDEX(顧客一覧!$C$5:$C$304,MATCH(B474,顧客一覧!$B$5:$B$304,0)),"※ID未登録"))</f>
        <v/>
      </c>
      <c r="D474" s="12" t="str">
        <f aca="false">IF(B474="","",IFERROR(INDEX(顧客一覧!$K$5:$K$304,MATCH(B474,顧客一覧!$B$5:$B$304,0))&amp;"",""))</f>
        <v/>
      </c>
      <c r="E474" s="17"/>
      <c r="F474" s="17"/>
      <c r="G474" s="29"/>
      <c r="H474" s="17"/>
      <c r="I474" s="29"/>
      <c r="J474" s="26" t="str">
        <f aca="false">IF(OR(G474="",I474=""),"",G474-I474)</f>
        <v/>
      </c>
      <c r="K474" s="26" t="str">
        <f aca="false">IF(J474="","",J474*12)</f>
        <v/>
      </c>
      <c r="L474" s="29"/>
      <c r="M474" s="27" t="str">
        <f aca="false">IF(OR(L474="",J474=""),"",IF(J474&lt;=0,"回収不可",L474/J474))</f>
        <v/>
      </c>
      <c r="N474" s="22"/>
      <c r="O474" s="17"/>
      <c r="P474" s="22"/>
      <c r="Q474" s="22"/>
      <c r="R474" s="28" t="str">
        <f aca="true">IF(OR(P474="",Q474&lt;&gt;"",O474="キャンセル"),"",P474-TODAY())</f>
        <v/>
      </c>
      <c r="S474" s="29"/>
      <c r="T474" s="22"/>
      <c r="U474" s="17"/>
      <c r="V474" s="22"/>
      <c r="W474" s="19" t="str">
        <f aca="true">IF(B474="","",IF(OR(O474="開通済",Q474&lt;&gt;""),"完了",IF(O474="キャンセル","―",IF(AND(V474&lt;&gt;"",V474&lt;TODAY()),"対応期限超過",IF(AND(P474&lt;&gt;"",P474&lt;TODAY()),"開通予定日超過",IF(AND(V474&lt;&gt;"",V474=TODAY()),"本日対応",IF(AND(P474&lt;&gt;"",P474-TODAY()&lt;=3),"開通間近","")))))))</f>
        <v/>
      </c>
      <c r="X474" s="17"/>
    </row>
    <row r="475" customFormat="false" ht="15" hidden="false" customHeight="false" outlineLevel="0" collapsed="false">
      <c r="A475" s="12" t="str">
        <f aca="false">IF(B475="","",ROW()-4)</f>
        <v/>
      </c>
      <c r="B475" s="17"/>
      <c r="C475" s="19" t="str">
        <f aca="false">IF(B475="","",IFERROR(INDEX(顧客一覧!$C$5:$C$304,MATCH(B475,顧客一覧!$B$5:$B$304,0)),"※ID未登録"))</f>
        <v/>
      </c>
      <c r="D475" s="12" t="str">
        <f aca="false">IF(B475="","",IFERROR(INDEX(顧客一覧!$K$5:$K$304,MATCH(B475,顧客一覧!$B$5:$B$304,0))&amp;"",""))</f>
        <v/>
      </c>
      <c r="E475" s="17"/>
      <c r="F475" s="17"/>
      <c r="G475" s="29"/>
      <c r="H475" s="17"/>
      <c r="I475" s="29"/>
      <c r="J475" s="26" t="str">
        <f aca="false">IF(OR(G475="",I475=""),"",G475-I475)</f>
        <v/>
      </c>
      <c r="K475" s="26" t="str">
        <f aca="false">IF(J475="","",J475*12)</f>
        <v/>
      </c>
      <c r="L475" s="29"/>
      <c r="M475" s="27" t="str">
        <f aca="false">IF(OR(L475="",J475=""),"",IF(J475&lt;=0,"回収不可",L475/J475))</f>
        <v/>
      </c>
      <c r="N475" s="22"/>
      <c r="O475" s="17"/>
      <c r="P475" s="22"/>
      <c r="Q475" s="22"/>
      <c r="R475" s="28" t="str">
        <f aca="true">IF(OR(P475="",Q475&lt;&gt;"",O475="キャンセル"),"",P475-TODAY())</f>
        <v/>
      </c>
      <c r="S475" s="29"/>
      <c r="T475" s="22"/>
      <c r="U475" s="17"/>
      <c r="V475" s="22"/>
      <c r="W475" s="19" t="str">
        <f aca="true">IF(B475="","",IF(OR(O475="開通済",Q475&lt;&gt;""),"完了",IF(O475="キャンセル","―",IF(AND(V475&lt;&gt;"",V475&lt;TODAY()),"対応期限超過",IF(AND(P475&lt;&gt;"",P475&lt;TODAY()),"開通予定日超過",IF(AND(V475&lt;&gt;"",V475=TODAY()),"本日対応",IF(AND(P475&lt;&gt;"",P475-TODAY()&lt;=3),"開通間近","")))))))</f>
        <v/>
      </c>
      <c r="X475" s="17"/>
    </row>
    <row r="476" customFormat="false" ht="15" hidden="false" customHeight="false" outlineLevel="0" collapsed="false">
      <c r="A476" s="12" t="str">
        <f aca="false">IF(B476="","",ROW()-4)</f>
        <v/>
      </c>
      <c r="B476" s="17"/>
      <c r="C476" s="19" t="str">
        <f aca="false">IF(B476="","",IFERROR(INDEX(顧客一覧!$C$5:$C$304,MATCH(B476,顧客一覧!$B$5:$B$304,0)),"※ID未登録"))</f>
        <v/>
      </c>
      <c r="D476" s="12" t="str">
        <f aca="false">IF(B476="","",IFERROR(INDEX(顧客一覧!$K$5:$K$304,MATCH(B476,顧客一覧!$B$5:$B$304,0))&amp;"",""))</f>
        <v/>
      </c>
      <c r="E476" s="17"/>
      <c r="F476" s="17"/>
      <c r="G476" s="29"/>
      <c r="H476" s="17"/>
      <c r="I476" s="29"/>
      <c r="J476" s="26" t="str">
        <f aca="false">IF(OR(G476="",I476=""),"",G476-I476)</f>
        <v/>
      </c>
      <c r="K476" s="26" t="str">
        <f aca="false">IF(J476="","",J476*12)</f>
        <v/>
      </c>
      <c r="L476" s="29"/>
      <c r="M476" s="27" t="str">
        <f aca="false">IF(OR(L476="",J476=""),"",IF(J476&lt;=0,"回収不可",L476/J476))</f>
        <v/>
      </c>
      <c r="N476" s="22"/>
      <c r="O476" s="17"/>
      <c r="P476" s="22"/>
      <c r="Q476" s="22"/>
      <c r="R476" s="28" t="str">
        <f aca="true">IF(OR(P476="",Q476&lt;&gt;"",O476="キャンセル"),"",P476-TODAY())</f>
        <v/>
      </c>
      <c r="S476" s="29"/>
      <c r="T476" s="22"/>
      <c r="U476" s="17"/>
      <c r="V476" s="22"/>
      <c r="W476" s="19" t="str">
        <f aca="true">IF(B476="","",IF(OR(O476="開通済",Q476&lt;&gt;""),"完了",IF(O476="キャンセル","―",IF(AND(V476&lt;&gt;"",V476&lt;TODAY()),"対応期限超過",IF(AND(P476&lt;&gt;"",P476&lt;TODAY()),"開通予定日超過",IF(AND(V476&lt;&gt;"",V476=TODAY()),"本日対応",IF(AND(P476&lt;&gt;"",P476-TODAY()&lt;=3),"開通間近","")))))))</f>
        <v/>
      </c>
      <c r="X476" s="17"/>
    </row>
    <row r="477" customFormat="false" ht="15" hidden="false" customHeight="false" outlineLevel="0" collapsed="false">
      <c r="A477" s="12" t="str">
        <f aca="false">IF(B477="","",ROW()-4)</f>
        <v/>
      </c>
      <c r="B477" s="17"/>
      <c r="C477" s="19" t="str">
        <f aca="false">IF(B477="","",IFERROR(INDEX(顧客一覧!$C$5:$C$304,MATCH(B477,顧客一覧!$B$5:$B$304,0)),"※ID未登録"))</f>
        <v/>
      </c>
      <c r="D477" s="12" t="str">
        <f aca="false">IF(B477="","",IFERROR(INDEX(顧客一覧!$K$5:$K$304,MATCH(B477,顧客一覧!$B$5:$B$304,0))&amp;"",""))</f>
        <v/>
      </c>
      <c r="E477" s="17"/>
      <c r="F477" s="17"/>
      <c r="G477" s="29"/>
      <c r="H477" s="17"/>
      <c r="I477" s="29"/>
      <c r="J477" s="26" t="str">
        <f aca="false">IF(OR(G477="",I477=""),"",G477-I477)</f>
        <v/>
      </c>
      <c r="K477" s="26" t="str">
        <f aca="false">IF(J477="","",J477*12)</f>
        <v/>
      </c>
      <c r="L477" s="29"/>
      <c r="M477" s="27" t="str">
        <f aca="false">IF(OR(L477="",J477=""),"",IF(J477&lt;=0,"回収不可",L477/J477))</f>
        <v/>
      </c>
      <c r="N477" s="22"/>
      <c r="O477" s="17"/>
      <c r="P477" s="22"/>
      <c r="Q477" s="22"/>
      <c r="R477" s="28" t="str">
        <f aca="true">IF(OR(P477="",Q477&lt;&gt;"",O477="キャンセル"),"",P477-TODAY())</f>
        <v/>
      </c>
      <c r="S477" s="29"/>
      <c r="T477" s="22"/>
      <c r="U477" s="17"/>
      <c r="V477" s="22"/>
      <c r="W477" s="19" t="str">
        <f aca="true">IF(B477="","",IF(OR(O477="開通済",Q477&lt;&gt;""),"完了",IF(O477="キャンセル","―",IF(AND(V477&lt;&gt;"",V477&lt;TODAY()),"対応期限超過",IF(AND(P477&lt;&gt;"",P477&lt;TODAY()),"開通予定日超過",IF(AND(V477&lt;&gt;"",V477=TODAY()),"本日対応",IF(AND(P477&lt;&gt;"",P477-TODAY()&lt;=3),"開通間近","")))))))</f>
        <v/>
      </c>
      <c r="X477" s="17"/>
    </row>
    <row r="478" customFormat="false" ht="15" hidden="false" customHeight="false" outlineLevel="0" collapsed="false">
      <c r="A478" s="12" t="str">
        <f aca="false">IF(B478="","",ROW()-4)</f>
        <v/>
      </c>
      <c r="B478" s="17"/>
      <c r="C478" s="19" t="str">
        <f aca="false">IF(B478="","",IFERROR(INDEX(顧客一覧!$C$5:$C$304,MATCH(B478,顧客一覧!$B$5:$B$304,0)),"※ID未登録"))</f>
        <v/>
      </c>
      <c r="D478" s="12" t="str">
        <f aca="false">IF(B478="","",IFERROR(INDEX(顧客一覧!$K$5:$K$304,MATCH(B478,顧客一覧!$B$5:$B$304,0))&amp;"",""))</f>
        <v/>
      </c>
      <c r="E478" s="17"/>
      <c r="F478" s="17"/>
      <c r="G478" s="29"/>
      <c r="H478" s="17"/>
      <c r="I478" s="29"/>
      <c r="J478" s="26" t="str">
        <f aca="false">IF(OR(G478="",I478=""),"",G478-I478)</f>
        <v/>
      </c>
      <c r="K478" s="26" t="str">
        <f aca="false">IF(J478="","",J478*12)</f>
        <v/>
      </c>
      <c r="L478" s="29"/>
      <c r="M478" s="27" t="str">
        <f aca="false">IF(OR(L478="",J478=""),"",IF(J478&lt;=0,"回収不可",L478/J478))</f>
        <v/>
      </c>
      <c r="N478" s="22"/>
      <c r="O478" s="17"/>
      <c r="P478" s="22"/>
      <c r="Q478" s="22"/>
      <c r="R478" s="28" t="str">
        <f aca="true">IF(OR(P478="",Q478&lt;&gt;"",O478="キャンセル"),"",P478-TODAY())</f>
        <v/>
      </c>
      <c r="S478" s="29"/>
      <c r="T478" s="22"/>
      <c r="U478" s="17"/>
      <c r="V478" s="22"/>
      <c r="W478" s="19" t="str">
        <f aca="true">IF(B478="","",IF(OR(O478="開通済",Q478&lt;&gt;""),"完了",IF(O478="キャンセル","―",IF(AND(V478&lt;&gt;"",V478&lt;TODAY()),"対応期限超過",IF(AND(P478&lt;&gt;"",P478&lt;TODAY()),"開通予定日超過",IF(AND(V478&lt;&gt;"",V478=TODAY()),"本日対応",IF(AND(P478&lt;&gt;"",P478-TODAY()&lt;=3),"開通間近","")))))))</f>
        <v/>
      </c>
      <c r="X478" s="17"/>
    </row>
    <row r="479" customFormat="false" ht="15" hidden="false" customHeight="false" outlineLevel="0" collapsed="false">
      <c r="A479" s="12" t="str">
        <f aca="false">IF(B479="","",ROW()-4)</f>
        <v/>
      </c>
      <c r="B479" s="17"/>
      <c r="C479" s="19" t="str">
        <f aca="false">IF(B479="","",IFERROR(INDEX(顧客一覧!$C$5:$C$304,MATCH(B479,顧客一覧!$B$5:$B$304,0)),"※ID未登録"))</f>
        <v/>
      </c>
      <c r="D479" s="12" t="str">
        <f aca="false">IF(B479="","",IFERROR(INDEX(顧客一覧!$K$5:$K$304,MATCH(B479,顧客一覧!$B$5:$B$304,0))&amp;"",""))</f>
        <v/>
      </c>
      <c r="E479" s="17"/>
      <c r="F479" s="17"/>
      <c r="G479" s="29"/>
      <c r="H479" s="17"/>
      <c r="I479" s="29"/>
      <c r="J479" s="26" t="str">
        <f aca="false">IF(OR(G479="",I479=""),"",G479-I479)</f>
        <v/>
      </c>
      <c r="K479" s="26" t="str">
        <f aca="false">IF(J479="","",J479*12)</f>
        <v/>
      </c>
      <c r="L479" s="29"/>
      <c r="M479" s="27" t="str">
        <f aca="false">IF(OR(L479="",J479=""),"",IF(J479&lt;=0,"回収不可",L479/J479))</f>
        <v/>
      </c>
      <c r="N479" s="22"/>
      <c r="O479" s="17"/>
      <c r="P479" s="22"/>
      <c r="Q479" s="22"/>
      <c r="R479" s="28" t="str">
        <f aca="true">IF(OR(P479="",Q479&lt;&gt;"",O479="キャンセル"),"",P479-TODAY())</f>
        <v/>
      </c>
      <c r="S479" s="29"/>
      <c r="T479" s="22"/>
      <c r="U479" s="17"/>
      <c r="V479" s="22"/>
      <c r="W479" s="19" t="str">
        <f aca="true">IF(B479="","",IF(OR(O479="開通済",Q479&lt;&gt;""),"完了",IF(O479="キャンセル","―",IF(AND(V479&lt;&gt;"",V479&lt;TODAY()),"対応期限超過",IF(AND(P479&lt;&gt;"",P479&lt;TODAY()),"開通予定日超過",IF(AND(V479&lt;&gt;"",V479=TODAY()),"本日対応",IF(AND(P479&lt;&gt;"",P479-TODAY()&lt;=3),"開通間近","")))))))</f>
        <v/>
      </c>
      <c r="X479" s="17"/>
    </row>
    <row r="480" customFormat="false" ht="15" hidden="false" customHeight="false" outlineLevel="0" collapsed="false">
      <c r="A480" s="12" t="str">
        <f aca="false">IF(B480="","",ROW()-4)</f>
        <v/>
      </c>
      <c r="B480" s="17"/>
      <c r="C480" s="19" t="str">
        <f aca="false">IF(B480="","",IFERROR(INDEX(顧客一覧!$C$5:$C$304,MATCH(B480,顧客一覧!$B$5:$B$304,0)),"※ID未登録"))</f>
        <v/>
      </c>
      <c r="D480" s="12" t="str">
        <f aca="false">IF(B480="","",IFERROR(INDEX(顧客一覧!$K$5:$K$304,MATCH(B480,顧客一覧!$B$5:$B$304,0))&amp;"",""))</f>
        <v/>
      </c>
      <c r="E480" s="17"/>
      <c r="F480" s="17"/>
      <c r="G480" s="29"/>
      <c r="H480" s="17"/>
      <c r="I480" s="29"/>
      <c r="J480" s="26" t="str">
        <f aca="false">IF(OR(G480="",I480=""),"",G480-I480)</f>
        <v/>
      </c>
      <c r="K480" s="26" t="str">
        <f aca="false">IF(J480="","",J480*12)</f>
        <v/>
      </c>
      <c r="L480" s="29"/>
      <c r="M480" s="27" t="str">
        <f aca="false">IF(OR(L480="",J480=""),"",IF(J480&lt;=0,"回収不可",L480/J480))</f>
        <v/>
      </c>
      <c r="N480" s="22"/>
      <c r="O480" s="17"/>
      <c r="P480" s="22"/>
      <c r="Q480" s="22"/>
      <c r="R480" s="28" t="str">
        <f aca="true">IF(OR(P480="",Q480&lt;&gt;"",O480="キャンセル"),"",P480-TODAY())</f>
        <v/>
      </c>
      <c r="S480" s="29"/>
      <c r="T480" s="22"/>
      <c r="U480" s="17"/>
      <c r="V480" s="22"/>
      <c r="W480" s="19" t="str">
        <f aca="true">IF(B480="","",IF(OR(O480="開通済",Q480&lt;&gt;""),"完了",IF(O480="キャンセル","―",IF(AND(V480&lt;&gt;"",V480&lt;TODAY()),"対応期限超過",IF(AND(P480&lt;&gt;"",P480&lt;TODAY()),"開通予定日超過",IF(AND(V480&lt;&gt;"",V480=TODAY()),"本日対応",IF(AND(P480&lt;&gt;"",P480-TODAY()&lt;=3),"開通間近","")))))))</f>
        <v/>
      </c>
      <c r="X480" s="17"/>
    </row>
    <row r="481" customFormat="false" ht="15" hidden="false" customHeight="false" outlineLevel="0" collapsed="false">
      <c r="A481" s="12" t="str">
        <f aca="false">IF(B481="","",ROW()-4)</f>
        <v/>
      </c>
      <c r="B481" s="17"/>
      <c r="C481" s="19" t="str">
        <f aca="false">IF(B481="","",IFERROR(INDEX(顧客一覧!$C$5:$C$304,MATCH(B481,顧客一覧!$B$5:$B$304,0)),"※ID未登録"))</f>
        <v/>
      </c>
      <c r="D481" s="12" t="str">
        <f aca="false">IF(B481="","",IFERROR(INDEX(顧客一覧!$K$5:$K$304,MATCH(B481,顧客一覧!$B$5:$B$304,0))&amp;"",""))</f>
        <v/>
      </c>
      <c r="E481" s="17"/>
      <c r="F481" s="17"/>
      <c r="G481" s="29"/>
      <c r="H481" s="17"/>
      <c r="I481" s="29"/>
      <c r="J481" s="26" t="str">
        <f aca="false">IF(OR(G481="",I481=""),"",G481-I481)</f>
        <v/>
      </c>
      <c r="K481" s="26" t="str">
        <f aca="false">IF(J481="","",J481*12)</f>
        <v/>
      </c>
      <c r="L481" s="29"/>
      <c r="M481" s="27" t="str">
        <f aca="false">IF(OR(L481="",J481=""),"",IF(J481&lt;=0,"回収不可",L481/J481))</f>
        <v/>
      </c>
      <c r="N481" s="22"/>
      <c r="O481" s="17"/>
      <c r="P481" s="22"/>
      <c r="Q481" s="22"/>
      <c r="R481" s="28" t="str">
        <f aca="true">IF(OR(P481="",Q481&lt;&gt;"",O481="キャンセル"),"",P481-TODAY())</f>
        <v/>
      </c>
      <c r="S481" s="29"/>
      <c r="T481" s="22"/>
      <c r="U481" s="17"/>
      <c r="V481" s="22"/>
      <c r="W481" s="19" t="str">
        <f aca="true">IF(B481="","",IF(OR(O481="開通済",Q481&lt;&gt;""),"完了",IF(O481="キャンセル","―",IF(AND(V481&lt;&gt;"",V481&lt;TODAY()),"対応期限超過",IF(AND(P481&lt;&gt;"",P481&lt;TODAY()),"開通予定日超過",IF(AND(V481&lt;&gt;"",V481=TODAY()),"本日対応",IF(AND(P481&lt;&gt;"",P481-TODAY()&lt;=3),"開通間近","")))))))</f>
        <v/>
      </c>
      <c r="X481" s="17"/>
    </row>
    <row r="482" customFormat="false" ht="15" hidden="false" customHeight="false" outlineLevel="0" collapsed="false">
      <c r="A482" s="12" t="str">
        <f aca="false">IF(B482="","",ROW()-4)</f>
        <v/>
      </c>
      <c r="B482" s="17"/>
      <c r="C482" s="19" t="str">
        <f aca="false">IF(B482="","",IFERROR(INDEX(顧客一覧!$C$5:$C$304,MATCH(B482,顧客一覧!$B$5:$B$304,0)),"※ID未登録"))</f>
        <v/>
      </c>
      <c r="D482" s="12" t="str">
        <f aca="false">IF(B482="","",IFERROR(INDEX(顧客一覧!$K$5:$K$304,MATCH(B482,顧客一覧!$B$5:$B$304,0))&amp;"",""))</f>
        <v/>
      </c>
      <c r="E482" s="17"/>
      <c r="F482" s="17"/>
      <c r="G482" s="29"/>
      <c r="H482" s="17"/>
      <c r="I482" s="29"/>
      <c r="J482" s="26" t="str">
        <f aca="false">IF(OR(G482="",I482=""),"",G482-I482)</f>
        <v/>
      </c>
      <c r="K482" s="26" t="str">
        <f aca="false">IF(J482="","",J482*12)</f>
        <v/>
      </c>
      <c r="L482" s="29"/>
      <c r="M482" s="27" t="str">
        <f aca="false">IF(OR(L482="",J482=""),"",IF(J482&lt;=0,"回収不可",L482/J482))</f>
        <v/>
      </c>
      <c r="N482" s="22"/>
      <c r="O482" s="17"/>
      <c r="P482" s="22"/>
      <c r="Q482" s="22"/>
      <c r="R482" s="28" t="str">
        <f aca="true">IF(OR(P482="",Q482&lt;&gt;"",O482="キャンセル"),"",P482-TODAY())</f>
        <v/>
      </c>
      <c r="S482" s="29"/>
      <c r="T482" s="22"/>
      <c r="U482" s="17"/>
      <c r="V482" s="22"/>
      <c r="W482" s="19" t="str">
        <f aca="true">IF(B482="","",IF(OR(O482="開通済",Q482&lt;&gt;""),"完了",IF(O482="キャンセル","―",IF(AND(V482&lt;&gt;"",V482&lt;TODAY()),"対応期限超過",IF(AND(P482&lt;&gt;"",P482&lt;TODAY()),"開通予定日超過",IF(AND(V482&lt;&gt;"",V482=TODAY()),"本日対応",IF(AND(P482&lt;&gt;"",P482-TODAY()&lt;=3),"開通間近","")))))))</f>
        <v/>
      </c>
      <c r="X482" s="17"/>
    </row>
    <row r="483" customFormat="false" ht="15" hidden="false" customHeight="false" outlineLevel="0" collapsed="false">
      <c r="A483" s="12" t="str">
        <f aca="false">IF(B483="","",ROW()-4)</f>
        <v/>
      </c>
      <c r="B483" s="17"/>
      <c r="C483" s="19" t="str">
        <f aca="false">IF(B483="","",IFERROR(INDEX(顧客一覧!$C$5:$C$304,MATCH(B483,顧客一覧!$B$5:$B$304,0)),"※ID未登録"))</f>
        <v/>
      </c>
      <c r="D483" s="12" t="str">
        <f aca="false">IF(B483="","",IFERROR(INDEX(顧客一覧!$K$5:$K$304,MATCH(B483,顧客一覧!$B$5:$B$304,0))&amp;"",""))</f>
        <v/>
      </c>
      <c r="E483" s="17"/>
      <c r="F483" s="17"/>
      <c r="G483" s="29"/>
      <c r="H483" s="17"/>
      <c r="I483" s="29"/>
      <c r="J483" s="26" t="str">
        <f aca="false">IF(OR(G483="",I483=""),"",G483-I483)</f>
        <v/>
      </c>
      <c r="K483" s="26" t="str">
        <f aca="false">IF(J483="","",J483*12)</f>
        <v/>
      </c>
      <c r="L483" s="29"/>
      <c r="M483" s="27" t="str">
        <f aca="false">IF(OR(L483="",J483=""),"",IF(J483&lt;=0,"回収不可",L483/J483))</f>
        <v/>
      </c>
      <c r="N483" s="22"/>
      <c r="O483" s="17"/>
      <c r="P483" s="22"/>
      <c r="Q483" s="22"/>
      <c r="R483" s="28" t="str">
        <f aca="true">IF(OR(P483="",Q483&lt;&gt;"",O483="キャンセル"),"",P483-TODAY())</f>
        <v/>
      </c>
      <c r="S483" s="29"/>
      <c r="T483" s="22"/>
      <c r="U483" s="17"/>
      <c r="V483" s="22"/>
      <c r="W483" s="19" t="str">
        <f aca="true">IF(B483="","",IF(OR(O483="開通済",Q483&lt;&gt;""),"完了",IF(O483="キャンセル","―",IF(AND(V483&lt;&gt;"",V483&lt;TODAY()),"対応期限超過",IF(AND(P483&lt;&gt;"",P483&lt;TODAY()),"開通予定日超過",IF(AND(V483&lt;&gt;"",V483=TODAY()),"本日対応",IF(AND(P483&lt;&gt;"",P483-TODAY()&lt;=3),"開通間近","")))))))</f>
        <v/>
      </c>
      <c r="X483" s="17"/>
    </row>
    <row r="484" customFormat="false" ht="15" hidden="false" customHeight="false" outlineLevel="0" collapsed="false">
      <c r="A484" s="12" t="str">
        <f aca="false">IF(B484="","",ROW()-4)</f>
        <v/>
      </c>
      <c r="B484" s="17"/>
      <c r="C484" s="19" t="str">
        <f aca="false">IF(B484="","",IFERROR(INDEX(顧客一覧!$C$5:$C$304,MATCH(B484,顧客一覧!$B$5:$B$304,0)),"※ID未登録"))</f>
        <v/>
      </c>
      <c r="D484" s="12" t="str">
        <f aca="false">IF(B484="","",IFERROR(INDEX(顧客一覧!$K$5:$K$304,MATCH(B484,顧客一覧!$B$5:$B$304,0))&amp;"",""))</f>
        <v/>
      </c>
      <c r="E484" s="17"/>
      <c r="F484" s="17"/>
      <c r="G484" s="29"/>
      <c r="H484" s="17"/>
      <c r="I484" s="29"/>
      <c r="J484" s="26" t="str">
        <f aca="false">IF(OR(G484="",I484=""),"",G484-I484)</f>
        <v/>
      </c>
      <c r="K484" s="26" t="str">
        <f aca="false">IF(J484="","",J484*12)</f>
        <v/>
      </c>
      <c r="L484" s="29"/>
      <c r="M484" s="27" t="str">
        <f aca="false">IF(OR(L484="",J484=""),"",IF(J484&lt;=0,"回収不可",L484/J484))</f>
        <v/>
      </c>
      <c r="N484" s="22"/>
      <c r="O484" s="17"/>
      <c r="P484" s="22"/>
      <c r="Q484" s="22"/>
      <c r="R484" s="28" t="str">
        <f aca="true">IF(OR(P484="",Q484&lt;&gt;"",O484="キャンセル"),"",P484-TODAY())</f>
        <v/>
      </c>
      <c r="S484" s="29"/>
      <c r="T484" s="22"/>
      <c r="U484" s="17"/>
      <c r="V484" s="22"/>
      <c r="W484" s="19" t="str">
        <f aca="true">IF(B484="","",IF(OR(O484="開通済",Q484&lt;&gt;""),"完了",IF(O484="キャンセル","―",IF(AND(V484&lt;&gt;"",V484&lt;TODAY()),"対応期限超過",IF(AND(P484&lt;&gt;"",P484&lt;TODAY()),"開通予定日超過",IF(AND(V484&lt;&gt;"",V484=TODAY()),"本日対応",IF(AND(P484&lt;&gt;"",P484-TODAY()&lt;=3),"開通間近","")))))))</f>
        <v/>
      </c>
      <c r="X484" s="17"/>
    </row>
    <row r="485" customFormat="false" ht="15" hidden="false" customHeight="false" outlineLevel="0" collapsed="false">
      <c r="A485" s="12" t="str">
        <f aca="false">IF(B485="","",ROW()-4)</f>
        <v/>
      </c>
      <c r="B485" s="17"/>
      <c r="C485" s="19" t="str">
        <f aca="false">IF(B485="","",IFERROR(INDEX(顧客一覧!$C$5:$C$304,MATCH(B485,顧客一覧!$B$5:$B$304,0)),"※ID未登録"))</f>
        <v/>
      </c>
      <c r="D485" s="12" t="str">
        <f aca="false">IF(B485="","",IFERROR(INDEX(顧客一覧!$K$5:$K$304,MATCH(B485,顧客一覧!$B$5:$B$304,0))&amp;"",""))</f>
        <v/>
      </c>
      <c r="E485" s="17"/>
      <c r="F485" s="17"/>
      <c r="G485" s="29"/>
      <c r="H485" s="17"/>
      <c r="I485" s="29"/>
      <c r="J485" s="26" t="str">
        <f aca="false">IF(OR(G485="",I485=""),"",G485-I485)</f>
        <v/>
      </c>
      <c r="K485" s="26" t="str">
        <f aca="false">IF(J485="","",J485*12)</f>
        <v/>
      </c>
      <c r="L485" s="29"/>
      <c r="M485" s="27" t="str">
        <f aca="false">IF(OR(L485="",J485=""),"",IF(J485&lt;=0,"回収不可",L485/J485))</f>
        <v/>
      </c>
      <c r="N485" s="22"/>
      <c r="O485" s="17"/>
      <c r="P485" s="22"/>
      <c r="Q485" s="22"/>
      <c r="R485" s="28" t="str">
        <f aca="true">IF(OR(P485="",Q485&lt;&gt;"",O485="キャンセル"),"",P485-TODAY())</f>
        <v/>
      </c>
      <c r="S485" s="29"/>
      <c r="T485" s="22"/>
      <c r="U485" s="17"/>
      <c r="V485" s="22"/>
      <c r="W485" s="19" t="str">
        <f aca="true">IF(B485="","",IF(OR(O485="開通済",Q485&lt;&gt;""),"完了",IF(O485="キャンセル","―",IF(AND(V485&lt;&gt;"",V485&lt;TODAY()),"対応期限超過",IF(AND(P485&lt;&gt;"",P485&lt;TODAY()),"開通予定日超過",IF(AND(V485&lt;&gt;"",V485=TODAY()),"本日対応",IF(AND(P485&lt;&gt;"",P485-TODAY()&lt;=3),"開通間近","")))))))</f>
        <v/>
      </c>
      <c r="X485" s="17"/>
    </row>
    <row r="486" customFormat="false" ht="15" hidden="false" customHeight="false" outlineLevel="0" collapsed="false">
      <c r="A486" s="12" t="str">
        <f aca="false">IF(B486="","",ROW()-4)</f>
        <v/>
      </c>
      <c r="B486" s="17"/>
      <c r="C486" s="19" t="str">
        <f aca="false">IF(B486="","",IFERROR(INDEX(顧客一覧!$C$5:$C$304,MATCH(B486,顧客一覧!$B$5:$B$304,0)),"※ID未登録"))</f>
        <v/>
      </c>
      <c r="D486" s="12" t="str">
        <f aca="false">IF(B486="","",IFERROR(INDEX(顧客一覧!$K$5:$K$304,MATCH(B486,顧客一覧!$B$5:$B$304,0))&amp;"",""))</f>
        <v/>
      </c>
      <c r="E486" s="17"/>
      <c r="F486" s="17"/>
      <c r="G486" s="29"/>
      <c r="H486" s="17"/>
      <c r="I486" s="29"/>
      <c r="J486" s="26" t="str">
        <f aca="false">IF(OR(G486="",I486=""),"",G486-I486)</f>
        <v/>
      </c>
      <c r="K486" s="26" t="str">
        <f aca="false">IF(J486="","",J486*12)</f>
        <v/>
      </c>
      <c r="L486" s="29"/>
      <c r="M486" s="27" t="str">
        <f aca="false">IF(OR(L486="",J486=""),"",IF(J486&lt;=0,"回収不可",L486/J486))</f>
        <v/>
      </c>
      <c r="N486" s="22"/>
      <c r="O486" s="17"/>
      <c r="P486" s="22"/>
      <c r="Q486" s="22"/>
      <c r="R486" s="28" t="str">
        <f aca="true">IF(OR(P486="",Q486&lt;&gt;"",O486="キャンセル"),"",P486-TODAY())</f>
        <v/>
      </c>
      <c r="S486" s="29"/>
      <c r="T486" s="22"/>
      <c r="U486" s="17"/>
      <c r="V486" s="22"/>
      <c r="W486" s="19" t="str">
        <f aca="true">IF(B486="","",IF(OR(O486="開通済",Q486&lt;&gt;""),"完了",IF(O486="キャンセル","―",IF(AND(V486&lt;&gt;"",V486&lt;TODAY()),"対応期限超過",IF(AND(P486&lt;&gt;"",P486&lt;TODAY()),"開通予定日超過",IF(AND(V486&lt;&gt;"",V486=TODAY()),"本日対応",IF(AND(P486&lt;&gt;"",P486-TODAY()&lt;=3),"開通間近","")))))))</f>
        <v/>
      </c>
      <c r="X486" s="17"/>
    </row>
    <row r="487" customFormat="false" ht="15" hidden="false" customHeight="false" outlineLevel="0" collapsed="false">
      <c r="A487" s="12" t="str">
        <f aca="false">IF(B487="","",ROW()-4)</f>
        <v/>
      </c>
      <c r="B487" s="17"/>
      <c r="C487" s="19" t="str">
        <f aca="false">IF(B487="","",IFERROR(INDEX(顧客一覧!$C$5:$C$304,MATCH(B487,顧客一覧!$B$5:$B$304,0)),"※ID未登録"))</f>
        <v/>
      </c>
      <c r="D487" s="12" t="str">
        <f aca="false">IF(B487="","",IFERROR(INDEX(顧客一覧!$K$5:$K$304,MATCH(B487,顧客一覧!$B$5:$B$304,0))&amp;"",""))</f>
        <v/>
      </c>
      <c r="E487" s="17"/>
      <c r="F487" s="17"/>
      <c r="G487" s="29"/>
      <c r="H487" s="17"/>
      <c r="I487" s="29"/>
      <c r="J487" s="26" t="str">
        <f aca="false">IF(OR(G487="",I487=""),"",G487-I487)</f>
        <v/>
      </c>
      <c r="K487" s="26" t="str">
        <f aca="false">IF(J487="","",J487*12)</f>
        <v/>
      </c>
      <c r="L487" s="29"/>
      <c r="M487" s="27" t="str">
        <f aca="false">IF(OR(L487="",J487=""),"",IF(J487&lt;=0,"回収不可",L487/J487))</f>
        <v/>
      </c>
      <c r="N487" s="22"/>
      <c r="O487" s="17"/>
      <c r="P487" s="22"/>
      <c r="Q487" s="22"/>
      <c r="R487" s="28" t="str">
        <f aca="true">IF(OR(P487="",Q487&lt;&gt;"",O487="キャンセル"),"",P487-TODAY())</f>
        <v/>
      </c>
      <c r="S487" s="29"/>
      <c r="T487" s="22"/>
      <c r="U487" s="17"/>
      <c r="V487" s="22"/>
      <c r="W487" s="19" t="str">
        <f aca="true">IF(B487="","",IF(OR(O487="開通済",Q487&lt;&gt;""),"完了",IF(O487="キャンセル","―",IF(AND(V487&lt;&gt;"",V487&lt;TODAY()),"対応期限超過",IF(AND(P487&lt;&gt;"",P487&lt;TODAY()),"開通予定日超過",IF(AND(V487&lt;&gt;"",V487=TODAY()),"本日対応",IF(AND(P487&lt;&gt;"",P487-TODAY()&lt;=3),"開通間近","")))))))</f>
        <v/>
      </c>
      <c r="X487" s="17"/>
    </row>
    <row r="488" customFormat="false" ht="15" hidden="false" customHeight="false" outlineLevel="0" collapsed="false">
      <c r="A488" s="12" t="str">
        <f aca="false">IF(B488="","",ROW()-4)</f>
        <v/>
      </c>
      <c r="B488" s="17"/>
      <c r="C488" s="19" t="str">
        <f aca="false">IF(B488="","",IFERROR(INDEX(顧客一覧!$C$5:$C$304,MATCH(B488,顧客一覧!$B$5:$B$304,0)),"※ID未登録"))</f>
        <v/>
      </c>
      <c r="D488" s="12" t="str">
        <f aca="false">IF(B488="","",IFERROR(INDEX(顧客一覧!$K$5:$K$304,MATCH(B488,顧客一覧!$B$5:$B$304,0))&amp;"",""))</f>
        <v/>
      </c>
      <c r="E488" s="17"/>
      <c r="F488" s="17"/>
      <c r="G488" s="29"/>
      <c r="H488" s="17"/>
      <c r="I488" s="29"/>
      <c r="J488" s="26" t="str">
        <f aca="false">IF(OR(G488="",I488=""),"",G488-I488)</f>
        <v/>
      </c>
      <c r="K488" s="26" t="str">
        <f aca="false">IF(J488="","",J488*12)</f>
        <v/>
      </c>
      <c r="L488" s="29"/>
      <c r="M488" s="27" t="str">
        <f aca="false">IF(OR(L488="",J488=""),"",IF(J488&lt;=0,"回収不可",L488/J488))</f>
        <v/>
      </c>
      <c r="N488" s="22"/>
      <c r="O488" s="17"/>
      <c r="P488" s="22"/>
      <c r="Q488" s="22"/>
      <c r="R488" s="28" t="str">
        <f aca="true">IF(OR(P488="",Q488&lt;&gt;"",O488="キャンセル"),"",P488-TODAY())</f>
        <v/>
      </c>
      <c r="S488" s="29"/>
      <c r="T488" s="22"/>
      <c r="U488" s="17"/>
      <c r="V488" s="22"/>
      <c r="W488" s="19" t="str">
        <f aca="true">IF(B488="","",IF(OR(O488="開通済",Q488&lt;&gt;""),"完了",IF(O488="キャンセル","―",IF(AND(V488&lt;&gt;"",V488&lt;TODAY()),"対応期限超過",IF(AND(P488&lt;&gt;"",P488&lt;TODAY()),"開通予定日超過",IF(AND(V488&lt;&gt;"",V488=TODAY()),"本日対応",IF(AND(P488&lt;&gt;"",P488-TODAY()&lt;=3),"開通間近","")))))))</f>
        <v/>
      </c>
      <c r="X488" s="17"/>
    </row>
    <row r="489" customFormat="false" ht="15" hidden="false" customHeight="false" outlineLevel="0" collapsed="false">
      <c r="A489" s="12" t="str">
        <f aca="false">IF(B489="","",ROW()-4)</f>
        <v/>
      </c>
      <c r="B489" s="17"/>
      <c r="C489" s="19" t="str">
        <f aca="false">IF(B489="","",IFERROR(INDEX(顧客一覧!$C$5:$C$304,MATCH(B489,顧客一覧!$B$5:$B$304,0)),"※ID未登録"))</f>
        <v/>
      </c>
      <c r="D489" s="12" t="str">
        <f aca="false">IF(B489="","",IFERROR(INDEX(顧客一覧!$K$5:$K$304,MATCH(B489,顧客一覧!$B$5:$B$304,0))&amp;"",""))</f>
        <v/>
      </c>
      <c r="E489" s="17"/>
      <c r="F489" s="17"/>
      <c r="G489" s="29"/>
      <c r="H489" s="17"/>
      <c r="I489" s="29"/>
      <c r="J489" s="26" t="str">
        <f aca="false">IF(OR(G489="",I489=""),"",G489-I489)</f>
        <v/>
      </c>
      <c r="K489" s="26" t="str">
        <f aca="false">IF(J489="","",J489*12)</f>
        <v/>
      </c>
      <c r="L489" s="29"/>
      <c r="M489" s="27" t="str">
        <f aca="false">IF(OR(L489="",J489=""),"",IF(J489&lt;=0,"回収不可",L489/J489))</f>
        <v/>
      </c>
      <c r="N489" s="22"/>
      <c r="O489" s="17"/>
      <c r="P489" s="22"/>
      <c r="Q489" s="22"/>
      <c r="R489" s="28" t="str">
        <f aca="true">IF(OR(P489="",Q489&lt;&gt;"",O489="キャンセル"),"",P489-TODAY())</f>
        <v/>
      </c>
      <c r="S489" s="29"/>
      <c r="T489" s="22"/>
      <c r="U489" s="17"/>
      <c r="V489" s="22"/>
      <c r="W489" s="19" t="str">
        <f aca="true">IF(B489="","",IF(OR(O489="開通済",Q489&lt;&gt;""),"完了",IF(O489="キャンセル","―",IF(AND(V489&lt;&gt;"",V489&lt;TODAY()),"対応期限超過",IF(AND(P489&lt;&gt;"",P489&lt;TODAY()),"開通予定日超過",IF(AND(V489&lt;&gt;"",V489=TODAY()),"本日対応",IF(AND(P489&lt;&gt;"",P489-TODAY()&lt;=3),"開通間近","")))))))</f>
        <v/>
      </c>
      <c r="X489" s="17"/>
    </row>
    <row r="490" customFormat="false" ht="15" hidden="false" customHeight="false" outlineLevel="0" collapsed="false">
      <c r="A490" s="12" t="str">
        <f aca="false">IF(B490="","",ROW()-4)</f>
        <v/>
      </c>
      <c r="B490" s="17"/>
      <c r="C490" s="19" t="str">
        <f aca="false">IF(B490="","",IFERROR(INDEX(顧客一覧!$C$5:$C$304,MATCH(B490,顧客一覧!$B$5:$B$304,0)),"※ID未登録"))</f>
        <v/>
      </c>
      <c r="D490" s="12" t="str">
        <f aca="false">IF(B490="","",IFERROR(INDEX(顧客一覧!$K$5:$K$304,MATCH(B490,顧客一覧!$B$5:$B$304,0))&amp;"",""))</f>
        <v/>
      </c>
      <c r="E490" s="17"/>
      <c r="F490" s="17"/>
      <c r="G490" s="29"/>
      <c r="H490" s="17"/>
      <c r="I490" s="29"/>
      <c r="J490" s="26" t="str">
        <f aca="false">IF(OR(G490="",I490=""),"",G490-I490)</f>
        <v/>
      </c>
      <c r="K490" s="26" t="str">
        <f aca="false">IF(J490="","",J490*12)</f>
        <v/>
      </c>
      <c r="L490" s="29"/>
      <c r="M490" s="27" t="str">
        <f aca="false">IF(OR(L490="",J490=""),"",IF(J490&lt;=0,"回収不可",L490/J490))</f>
        <v/>
      </c>
      <c r="N490" s="22"/>
      <c r="O490" s="17"/>
      <c r="P490" s="22"/>
      <c r="Q490" s="22"/>
      <c r="R490" s="28" t="str">
        <f aca="true">IF(OR(P490="",Q490&lt;&gt;"",O490="キャンセル"),"",P490-TODAY())</f>
        <v/>
      </c>
      <c r="S490" s="29"/>
      <c r="T490" s="22"/>
      <c r="U490" s="17"/>
      <c r="V490" s="22"/>
      <c r="W490" s="19" t="str">
        <f aca="true">IF(B490="","",IF(OR(O490="開通済",Q490&lt;&gt;""),"完了",IF(O490="キャンセル","―",IF(AND(V490&lt;&gt;"",V490&lt;TODAY()),"対応期限超過",IF(AND(P490&lt;&gt;"",P490&lt;TODAY()),"開通予定日超過",IF(AND(V490&lt;&gt;"",V490=TODAY()),"本日対応",IF(AND(P490&lt;&gt;"",P490-TODAY()&lt;=3),"開通間近","")))))))</f>
        <v/>
      </c>
      <c r="X490" s="17"/>
    </row>
    <row r="491" customFormat="false" ht="15" hidden="false" customHeight="false" outlineLevel="0" collapsed="false">
      <c r="A491" s="12" t="str">
        <f aca="false">IF(B491="","",ROW()-4)</f>
        <v/>
      </c>
      <c r="B491" s="17"/>
      <c r="C491" s="19" t="str">
        <f aca="false">IF(B491="","",IFERROR(INDEX(顧客一覧!$C$5:$C$304,MATCH(B491,顧客一覧!$B$5:$B$304,0)),"※ID未登録"))</f>
        <v/>
      </c>
      <c r="D491" s="12" t="str">
        <f aca="false">IF(B491="","",IFERROR(INDEX(顧客一覧!$K$5:$K$304,MATCH(B491,顧客一覧!$B$5:$B$304,0))&amp;"",""))</f>
        <v/>
      </c>
      <c r="E491" s="17"/>
      <c r="F491" s="17"/>
      <c r="G491" s="29"/>
      <c r="H491" s="17"/>
      <c r="I491" s="29"/>
      <c r="J491" s="26" t="str">
        <f aca="false">IF(OR(G491="",I491=""),"",G491-I491)</f>
        <v/>
      </c>
      <c r="K491" s="26" t="str">
        <f aca="false">IF(J491="","",J491*12)</f>
        <v/>
      </c>
      <c r="L491" s="29"/>
      <c r="M491" s="27" t="str">
        <f aca="false">IF(OR(L491="",J491=""),"",IF(J491&lt;=0,"回収不可",L491/J491))</f>
        <v/>
      </c>
      <c r="N491" s="22"/>
      <c r="O491" s="17"/>
      <c r="P491" s="22"/>
      <c r="Q491" s="22"/>
      <c r="R491" s="28" t="str">
        <f aca="true">IF(OR(P491="",Q491&lt;&gt;"",O491="キャンセル"),"",P491-TODAY())</f>
        <v/>
      </c>
      <c r="S491" s="29"/>
      <c r="T491" s="22"/>
      <c r="U491" s="17"/>
      <c r="V491" s="22"/>
      <c r="W491" s="19" t="str">
        <f aca="true">IF(B491="","",IF(OR(O491="開通済",Q491&lt;&gt;""),"完了",IF(O491="キャンセル","―",IF(AND(V491&lt;&gt;"",V491&lt;TODAY()),"対応期限超過",IF(AND(P491&lt;&gt;"",P491&lt;TODAY()),"開通予定日超過",IF(AND(V491&lt;&gt;"",V491=TODAY()),"本日対応",IF(AND(P491&lt;&gt;"",P491-TODAY()&lt;=3),"開通間近","")))))))</f>
        <v/>
      </c>
      <c r="X491" s="17"/>
    </row>
    <row r="492" customFormat="false" ht="15" hidden="false" customHeight="false" outlineLevel="0" collapsed="false">
      <c r="A492" s="12" t="str">
        <f aca="false">IF(B492="","",ROW()-4)</f>
        <v/>
      </c>
      <c r="B492" s="17"/>
      <c r="C492" s="19" t="str">
        <f aca="false">IF(B492="","",IFERROR(INDEX(顧客一覧!$C$5:$C$304,MATCH(B492,顧客一覧!$B$5:$B$304,0)),"※ID未登録"))</f>
        <v/>
      </c>
      <c r="D492" s="12" t="str">
        <f aca="false">IF(B492="","",IFERROR(INDEX(顧客一覧!$K$5:$K$304,MATCH(B492,顧客一覧!$B$5:$B$304,0))&amp;"",""))</f>
        <v/>
      </c>
      <c r="E492" s="17"/>
      <c r="F492" s="17"/>
      <c r="G492" s="29"/>
      <c r="H492" s="17"/>
      <c r="I492" s="29"/>
      <c r="J492" s="26" t="str">
        <f aca="false">IF(OR(G492="",I492=""),"",G492-I492)</f>
        <v/>
      </c>
      <c r="K492" s="26" t="str">
        <f aca="false">IF(J492="","",J492*12)</f>
        <v/>
      </c>
      <c r="L492" s="29"/>
      <c r="M492" s="27" t="str">
        <f aca="false">IF(OR(L492="",J492=""),"",IF(J492&lt;=0,"回収不可",L492/J492))</f>
        <v/>
      </c>
      <c r="N492" s="22"/>
      <c r="O492" s="17"/>
      <c r="P492" s="22"/>
      <c r="Q492" s="22"/>
      <c r="R492" s="28" t="str">
        <f aca="true">IF(OR(P492="",Q492&lt;&gt;"",O492="キャンセル"),"",P492-TODAY())</f>
        <v/>
      </c>
      <c r="S492" s="29"/>
      <c r="T492" s="22"/>
      <c r="U492" s="17"/>
      <c r="V492" s="22"/>
      <c r="W492" s="19" t="str">
        <f aca="true">IF(B492="","",IF(OR(O492="開通済",Q492&lt;&gt;""),"完了",IF(O492="キャンセル","―",IF(AND(V492&lt;&gt;"",V492&lt;TODAY()),"対応期限超過",IF(AND(P492&lt;&gt;"",P492&lt;TODAY()),"開通予定日超過",IF(AND(V492&lt;&gt;"",V492=TODAY()),"本日対応",IF(AND(P492&lt;&gt;"",P492-TODAY()&lt;=3),"開通間近","")))))))</f>
        <v/>
      </c>
      <c r="X492" s="17"/>
    </row>
    <row r="493" customFormat="false" ht="15" hidden="false" customHeight="false" outlineLevel="0" collapsed="false">
      <c r="A493" s="12" t="str">
        <f aca="false">IF(B493="","",ROW()-4)</f>
        <v/>
      </c>
      <c r="B493" s="17"/>
      <c r="C493" s="19" t="str">
        <f aca="false">IF(B493="","",IFERROR(INDEX(顧客一覧!$C$5:$C$304,MATCH(B493,顧客一覧!$B$5:$B$304,0)),"※ID未登録"))</f>
        <v/>
      </c>
      <c r="D493" s="12" t="str">
        <f aca="false">IF(B493="","",IFERROR(INDEX(顧客一覧!$K$5:$K$304,MATCH(B493,顧客一覧!$B$5:$B$304,0))&amp;"",""))</f>
        <v/>
      </c>
      <c r="E493" s="17"/>
      <c r="F493" s="17"/>
      <c r="G493" s="29"/>
      <c r="H493" s="17"/>
      <c r="I493" s="29"/>
      <c r="J493" s="26" t="str">
        <f aca="false">IF(OR(G493="",I493=""),"",G493-I493)</f>
        <v/>
      </c>
      <c r="K493" s="26" t="str">
        <f aca="false">IF(J493="","",J493*12)</f>
        <v/>
      </c>
      <c r="L493" s="29"/>
      <c r="M493" s="27" t="str">
        <f aca="false">IF(OR(L493="",J493=""),"",IF(J493&lt;=0,"回収不可",L493/J493))</f>
        <v/>
      </c>
      <c r="N493" s="22"/>
      <c r="O493" s="17"/>
      <c r="P493" s="22"/>
      <c r="Q493" s="22"/>
      <c r="R493" s="28" t="str">
        <f aca="true">IF(OR(P493="",Q493&lt;&gt;"",O493="キャンセル"),"",P493-TODAY())</f>
        <v/>
      </c>
      <c r="S493" s="29"/>
      <c r="T493" s="22"/>
      <c r="U493" s="17"/>
      <c r="V493" s="22"/>
      <c r="W493" s="19" t="str">
        <f aca="true">IF(B493="","",IF(OR(O493="開通済",Q493&lt;&gt;""),"完了",IF(O493="キャンセル","―",IF(AND(V493&lt;&gt;"",V493&lt;TODAY()),"対応期限超過",IF(AND(P493&lt;&gt;"",P493&lt;TODAY()),"開通予定日超過",IF(AND(V493&lt;&gt;"",V493=TODAY()),"本日対応",IF(AND(P493&lt;&gt;"",P493-TODAY()&lt;=3),"開通間近","")))))))</f>
        <v/>
      </c>
      <c r="X493" s="17"/>
    </row>
    <row r="494" customFormat="false" ht="15" hidden="false" customHeight="false" outlineLevel="0" collapsed="false">
      <c r="A494" s="12" t="str">
        <f aca="false">IF(B494="","",ROW()-4)</f>
        <v/>
      </c>
      <c r="B494" s="17"/>
      <c r="C494" s="19" t="str">
        <f aca="false">IF(B494="","",IFERROR(INDEX(顧客一覧!$C$5:$C$304,MATCH(B494,顧客一覧!$B$5:$B$304,0)),"※ID未登録"))</f>
        <v/>
      </c>
      <c r="D494" s="12" t="str">
        <f aca="false">IF(B494="","",IFERROR(INDEX(顧客一覧!$K$5:$K$304,MATCH(B494,顧客一覧!$B$5:$B$304,0))&amp;"",""))</f>
        <v/>
      </c>
      <c r="E494" s="17"/>
      <c r="F494" s="17"/>
      <c r="G494" s="29"/>
      <c r="H494" s="17"/>
      <c r="I494" s="29"/>
      <c r="J494" s="26" t="str">
        <f aca="false">IF(OR(G494="",I494=""),"",G494-I494)</f>
        <v/>
      </c>
      <c r="K494" s="26" t="str">
        <f aca="false">IF(J494="","",J494*12)</f>
        <v/>
      </c>
      <c r="L494" s="29"/>
      <c r="M494" s="27" t="str">
        <f aca="false">IF(OR(L494="",J494=""),"",IF(J494&lt;=0,"回収不可",L494/J494))</f>
        <v/>
      </c>
      <c r="N494" s="22"/>
      <c r="O494" s="17"/>
      <c r="P494" s="22"/>
      <c r="Q494" s="22"/>
      <c r="R494" s="28" t="str">
        <f aca="true">IF(OR(P494="",Q494&lt;&gt;"",O494="キャンセル"),"",P494-TODAY())</f>
        <v/>
      </c>
      <c r="S494" s="29"/>
      <c r="T494" s="22"/>
      <c r="U494" s="17"/>
      <c r="V494" s="22"/>
      <c r="W494" s="19" t="str">
        <f aca="true">IF(B494="","",IF(OR(O494="開通済",Q494&lt;&gt;""),"完了",IF(O494="キャンセル","―",IF(AND(V494&lt;&gt;"",V494&lt;TODAY()),"対応期限超過",IF(AND(P494&lt;&gt;"",P494&lt;TODAY()),"開通予定日超過",IF(AND(V494&lt;&gt;"",V494=TODAY()),"本日対応",IF(AND(P494&lt;&gt;"",P494-TODAY()&lt;=3),"開通間近","")))))))</f>
        <v/>
      </c>
      <c r="X494" s="17"/>
    </row>
    <row r="495" customFormat="false" ht="15" hidden="false" customHeight="false" outlineLevel="0" collapsed="false">
      <c r="A495" s="12" t="str">
        <f aca="false">IF(B495="","",ROW()-4)</f>
        <v/>
      </c>
      <c r="B495" s="17"/>
      <c r="C495" s="19" t="str">
        <f aca="false">IF(B495="","",IFERROR(INDEX(顧客一覧!$C$5:$C$304,MATCH(B495,顧客一覧!$B$5:$B$304,0)),"※ID未登録"))</f>
        <v/>
      </c>
      <c r="D495" s="12" t="str">
        <f aca="false">IF(B495="","",IFERROR(INDEX(顧客一覧!$K$5:$K$304,MATCH(B495,顧客一覧!$B$5:$B$304,0))&amp;"",""))</f>
        <v/>
      </c>
      <c r="E495" s="17"/>
      <c r="F495" s="17"/>
      <c r="G495" s="29"/>
      <c r="H495" s="17"/>
      <c r="I495" s="29"/>
      <c r="J495" s="26" t="str">
        <f aca="false">IF(OR(G495="",I495=""),"",G495-I495)</f>
        <v/>
      </c>
      <c r="K495" s="26" t="str">
        <f aca="false">IF(J495="","",J495*12)</f>
        <v/>
      </c>
      <c r="L495" s="29"/>
      <c r="M495" s="27" t="str">
        <f aca="false">IF(OR(L495="",J495=""),"",IF(J495&lt;=0,"回収不可",L495/J495))</f>
        <v/>
      </c>
      <c r="N495" s="22"/>
      <c r="O495" s="17"/>
      <c r="P495" s="22"/>
      <c r="Q495" s="22"/>
      <c r="R495" s="28" t="str">
        <f aca="true">IF(OR(P495="",Q495&lt;&gt;"",O495="キャンセル"),"",P495-TODAY())</f>
        <v/>
      </c>
      <c r="S495" s="29"/>
      <c r="T495" s="22"/>
      <c r="U495" s="17"/>
      <c r="V495" s="22"/>
      <c r="W495" s="19" t="str">
        <f aca="true">IF(B495="","",IF(OR(O495="開通済",Q495&lt;&gt;""),"完了",IF(O495="キャンセル","―",IF(AND(V495&lt;&gt;"",V495&lt;TODAY()),"対応期限超過",IF(AND(P495&lt;&gt;"",P495&lt;TODAY()),"開通予定日超過",IF(AND(V495&lt;&gt;"",V495=TODAY()),"本日対応",IF(AND(P495&lt;&gt;"",P495-TODAY()&lt;=3),"開通間近","")))))))</f>
        <v/>
      </c>
      <c r="X495" s="17"/>
    </row>
    <row r="496" customFormat="false" ht="15" hidden="false" customHeight="false" outlineLevel="0" collapsed="false">
      <c r="A496" s="12" t="str">
        <f aca="false">IF(B496="","",ROW()-4)</f>
        <v/>
      </c>
      <c r="B496" s="17"/>
      <c r="C496" s="19" t="str">
        <f aca="false">IF(B496="","",IFERROR(INDEX(顧客一覧!$C$5:$C$304,MATCH(B496,顧客一覧!$B$5:$B$304,0)),"※ID未登録"))</f>
        <v/>
      </c>
      <c r="D496" s="12" t="str">
        <f aca="false">IF(B496="","",IFERROR(INDEX(顧客一覧!$K$5:$K$304,MATCH(B496,顧客一覧!$B$5:$B$304,0))&amp;"",""))</f>
        <v/>
      </c>
      <c r="E496" s="17"/>
      <c r="F496" s="17"/>
      <c r="G496" s="29"/>
      <c r="H496" s="17"/>
      <c r="I496" s="29"/>
      <c r="J496" s="26" t="str">
        <f aca="false">IF(OR(G496="",I496=""),"",G496-I496)</f>
        <v/>
      </c>
      <c r="K496" s="26" t="str">
        <f aca="false">IF(J496="","",J496*12)</f>
        <v/>
      </c>
      <c r="L496" s="29"/>
      <c r="M496" s="27" t="str">
        <f aca="false">IF(OR(L496="",J496=""),"",IF(J496&lt;=0,"回収不可",L496/J496))</f>
        <v/>
      </c>
      <c r="N496" s="22"/>
      <c r="O496" s="17"/>
      <c r="P496" s="22"/>
      <c r="Q496" s="22"/>
      <c r="R496" s="28" t="str">
        <f aca="true">IF(OR(P496="",Q496&lt;&gt;"",O496="キャンセル"),"",P496-TODAY())</f>
        <v/>
      </c>
      <c r="S496" s="29"/>
      <c r="T496" s="22"/>
      <c r="U496" s="17"/>
      <c r="V496" s="22"/>
      <c r="W496" s="19" t="str">
        <f aca="true">IF(B496="","",IF(OR(O496="開通済",Q496&lt;&gt;""),"完了",IF(O496="キャンセル","―",IF(AND(V496&lt;&gt;"",V496&lt;TODAY()),"対応期限超過",IF(AND(P496&lt;&gt;"",P496&lt;TODAY()),"開通予定日超過",IF(AND(V496&lt;&gt;"",V496=TODAY()),"本日対応",IF(AND(P496&lt;&gt;"",P496-TODAY()&lt;=3),"開通間近","")))))))</f>
        <v/>
      </c>
      <c r="X496" s="17"/>
    </row>
    <row r="497" customFormat="false" ht="15" hidden="false" customHeight="false" outlineLevel="0" collapsed="false">
      <c r="A497" s="12" t="str">
        <f aca="false">IF(B497="","",ROW()-4)</f>
        <v/>
      </c>
      <c r="B497" s="17"/>
      <c r="C497" s="19" t="str">
        <f aca="false">IF(B497="","",IFERROR(INDEX(顧客一覧!$C$5:$C$304,MATCH(B497,顧客一覧!$B$5:$B$304,0)),"※ID未登録"))</f>
        <v/>
      </c>
      <c r="D497" s="12" t="str">
        <f aca="false">IF(B497="","",IFERROR(INDEX(顧客一覧!$K$5:$K$304,MATCH(B497,顧客一覧!$B$5:$B$304,0))&amp;"",""))</f>
        <v/>
      </c>
      <c r="E497" s="17"/>
      <c r="F497" s="17"/>
      <c r="G497" s="29"/>
      <c r="H497" s="17"/>
      <c r="I497" s="29"/>
      <c r="J497" s="26" t="str">
        <f aca="false">IF(OR(G497="",I497=""),"",G497-I497)</f>
        <v/>
      </c>
      <c r="K497" s="26" t="str">
        <f aca="false">IF(J497="","",J497*12)</f>
        <v/>
      </c>
      <c r="L497" s="29"/>
      <c r="M497" s="27" t="str">
        <f aca="false">IF(OR(L497="",J497=""),"",IF(J497&lt;=0,"回収不可",L497/J497))</f>
        <v/>
      </c>
      <c r="N497" s="22"/>
      <c r="O497" s="17"/>
      <c r="P497" s="22"/>
      <c r="Q497" s="22"/>
      <c r="R497" s="28" t="str">
        <f aca="true">IF(OR(P497="",Q497&lt;&gt;"",O497="キャンセル"),"",P497-TODAY())</f>
        <v/>
      </c>
      <c r="S497" s="29"/>
      <c r="T497" s="22"/>
      <c r="U497" s="17"/>
      <c r="V497" s="22"/>
      <c r="W497" s="19" t="str">
        <f aca="true">IF(B497="","",IF(OR(O497="開通済",Q497&lt;&gt;""),"完了",IF(O497="キャンセル","―",IF(AND(V497&lt;&gt;"",V497&lt;TODAY()),"対応期限超過",IF(AND(P497&lt;&gt;"",P497&lt;TODAY()),"開通予定日超過",IF(AND(V497&lt;&gt;"",V497=TODAY()),"本日対応",IF(AND(P497&lt;&gt;"",P497-TODAY()&lt;=3),"開通間近","")))))))</f>
        <v/>
      </c>
      <c r="X497" s="17"/>
    </row>
    <row r="498" customFormat="false" ht="15" hidden="false" customHeight="false" outlineLevel="0" collapsed="false">
      <c r="A498" s="12" t="str">
        <f aca="false">IF(B498="","",ROW()-4)</f>
        <v/>
      </c>
      <c r="B498" s="17"/>
      <c r="C498" s="19" t="str">
        <f aca="false">IF(B498="","",IFERROR(INDEX(顧客一覧!$C$5:$C$304,MATCH(B498,顧客一覧!$B$5:$B$304,0)),"※ID未登録"))</f>
        <v/>
      </c>
      <c r="D498" s="12" t="str">
        <f aca="false">IF(B498="","",IFERROR(INDEX(顧客一覧!$K$5:$K$304,MATCH(B498,顧客一覧!$B$5:$B$304,0))&amp;"",""))</f>
        <v/>
      </c>
      <c r="E498" s="17"/>
      <c r="F498" s="17"/>
      <c r="G498" s="29"/>
      <c r="H498" s="17"/>
      <c r="I498" s="29"/>
      <c r="J498" s="26" t="str">
        <f aca="false">IF(OR(G498="",I498=""),"",G498-I498)</f>
        <v/>
      </c>
      <c r="K498" s="26" t="str">
        <f aca="false">IF(J498="","",J498*12)</f>
        <v/>
      </c>
      <c r="L498" s="29"/>
      <c r="M498" s="27" t="str">
        <f aca="false">IF(OR(L498="",J498=""),"",IF(J498&lt;=0,"回収不可",L498/J498))</f>
        <v/>
      </c>
      <c r="N498" s="22"/>
      <c r="O498" s="17"/>
      <c r="P498" s="22"/>
      <c r="Q498" s="22"/>
      <c r="R498" s="28" t="str">
        <f aca="true">IF(OR(P498="",Q498&lt;&gt;"",O498="キャンセル"),"",P498-TODAY())</f>
        <v/>
      </c>
      <c r="S498" s="29"/>
      <c r="T498" s="22"/>
      <c r="U498" s="17"/>
      <c r="V498" s="22"/>
      <c r="W498" s="19" t="str">
        <f aca="true">IF(B498="","",IF(OR(O498="開通済",Q498&lt;&gt;""),"完了",IF(O498="キャンセル","―",IF(AND(V498&lt;&gt;"",V498&lt;TODAY()),"対応期限超過",IF(AND(P498&lt;&gt;"",P498&lt;TODAY()),"開通予定日超過",IF(AND(V498&lt;&gt;"",V498=TODAY()),"本日対応",IF(AND(P498&lt;&gt;"",P498-TODAY()&lt;=3),"開通間近","")))))))</f>
        <v/>
      </c>
      <c r="X498" s="17"/>
    </row>
    <row r="499" customFormat="false" ht="15" hidden="false" customHeight="false" outlineLevel="0" collapsed="false">
      <c r="A499" s="12" t="str">
        <f aca="false">IF(B499="","",ROW()-4)</f>
        <v/>
      </c>
      <c r="B499" s="17"/>
      <c r="C499" s="19" t="str">
        <f aca="false">IF(B499="","",IFERROR(INDEX(顧客一覧!$C$5:$C$304,MATCH(B499,顧客一覧!$B$5:$B$304,0)),"※ID未登録"))</f>
        <v/>
      </c>
      <c r="D499" s="12" t="str">
        <f aca="false">IF(B499="","",IFERROR(INDEX(顧客一覧!$K$5:$K$304,MATCH(B499,顧客一覧!$B$5:$B$304,0))&amp;"",""))</f>
        <v/>
      </c>
      <c r="E499" s="17"/>
      <c r="F499" s="17"/>
      <c r="G499" s="29"/>
      <c r="H499" s="17"/>
      <c r="I499" s="29"/>
      <c r="J499" s="26" t="str">
        <f aca="false">IF(OR(G499="",I499=""),"",G499-I499)</f>
        <v/>
      </c>
      <c r="K499" s="26" t="str">
        <f aca="false">IF(J499="","",J499*12)</f>
        <v/>
      </c>
      <c r="L499" s="29"/>
      <c r="M499" s="27" t="str">
        <f aca="false">IF(OR(L499="",J499=""),"",IF(J499&lt;=0,"回収不可",L499/J499))</f>
        <v/>
      </c>
      <c r="N499" s="22"/>
      <c r="O499" s="17"/>
      <c r="P499" s="22"/>
      <c r="Q499" s="22"/>
      <c r="R499" s="28" t="str">
        <f aca="true">IF(OR(P499="",Q499&lt;&gt;"",O499="キャンセル"),"",P499-TODAY())</f>
        <v/>
      </c>
      <c r="S499" s="29"/>
      <c r="T499" s="22"/>
      <c r="U499" s="17"/>
      <c r="V499" s="22"/>
      <c r="W499" s="19" t="str">
        <f aca="true">IF(B499="","",IF(OR(O499="開通済",Q499&lt;&gt;""),"完了",IF(O499="キャンセル","―",IF(AND(V499&lt;&gt;"",V499&lt;TODAY()),"対応期限超過",IF(AND(P499&lt;&gt;"",P499&lt;TODAY()),"開通予定日超過",IF(AND(V499&lt;&gt;"",V499=TODAY()),"本日対応",IF(AND(P499&lt;&gt;"",P499-TODAY()&lt;=3),"開通間近","")))))))</f>
        <v/>
      </c>
      <c r="X499" s="17"/>
    </row>
    <row r="500" customFormat="false" ht="15" hidden="false" customHeight="false" outlineLevel="0" collapsed="false">
      <c r="A500" s="12" t="str">
        <f aca="false">IF(B500="","",ROW()-4)</f>
        <v/>
      </c>
      <c r="B500" s="17"/>
      <c r="C500" s="19" t="str">
        <f aca="false">IF(B500="","",IFERROR(INDEX(顧客一覧!$C$5:$C$304,MATCH(B500,顧客一覧!$B$5:$B$304,0)),"※ID未登録"))</f>
        <v/>
      </c>
      <c r="D500" s="12" t="str">
        <f aca="false">IF(B500="","",IFERROR(INDEX(顧客一覧!$K$5:$K$304,MATCH(B500,顧客一覧!$B$5:$B$304,0))&amp;"",""))</f>
        <v/>
      </c>
      <c r="E500" s="17"/>
      <c r="F500" s="17"/>
      <c r="G500" s="29"/>
      <c r="H500" s="17"/>
      <c r="I500" s="29"/>
      <c r="J500" s="26" t="str">
        <f aca="false">IF(OR(G500="",I500=""),"",G500-I500)</f>
        <v/>
      </c>
      <c r="K500" s="26" t="str">
        <f aca="false">IF(J500="","",J500*12)</f>
        <v/>
      </c>
      <c r="L500" s="29"/>
      <c r="M500" s="27" t="str">
        <f aca="false">IF(OR(L500="",J500=""),"",IF(J500&lt;=0,"回収不可",L500/J500))</f>
        <v/>
      </c>
      <c r="N500" s="22"/>
      <c r="O500" s="17"/>
      <c r="P500" s="22"/>
      <c r="Q500" s="22"/>
      <c r="R500" s="28" t="str">
        <f aca="true">IF(OR(P500="",Q500&lt;&gt;"",O500="キャンセル"),"",P500-TODAY())</f>
        <v/>
      </c>
      <c r="S500" s="29"/>
      <c r="T500" s="22"/>
      <c r="U500" s="17"/>
      <c r="V500" s="22"/>
      <c r="W500" s="19" t="str">
        <f aca="true">IF(B500="","",IF(OR(O500="開通済",Q500&lt;&gt;""),"完了",IF(O500="キャンセル","―",IF(AND(V500&lt;&gt;"",V500&lt;TODAY()),"対応期限超過",IF(AND(P500&lt;&gt;"",P500&lt;TODAY()),"開通予定日超過",IF(AND(V500&lt;&gt;"",V500=TODAY()),"本日対応",IF(AND(P500&lt;&gt;"",P500-TODAY()&lt;=3),"開通間近","")))))))</f>
        <v/>
      </c>
      <c r="X500" s="17"/>
    </row>
    <row r="501" customFormat="false" ht="15" hidden="false" customHeight="false" outlineLevel="0" collapsed="false">
      <c r="A501" s="12" t="str">
        <f aca="false">IF(B501="","",ROW()-4)</f>
        <v/>
      </c>
      <c r="B501" s="17"/>
      <c r="C501" s="19" t="str">
        <f aca="false">IF(B501="","",IFERROR(INDEX(顧客一覧!$C$5:$C$304,MATCH(B501,顧客一覧!$B$5:$B$304,0)),"※ID未登録"))</f>
        <v/>
      </c>
      <c r="D501" s="12" t="str">
        <f aca="false">IF(B501="","",IFERROR(INDEX(顧客一覧!$K$5:$K$304,MATCH(B501,顧客一覧!$B$5:$B$304,0))&amp;"",""))</f>
        <v/>
      </c>
      <c r="E501" s="17"/>
      <c r="F501" s="17"/>
      <c r="G501" s="29"/>
      <c r="H501" s="17"/>
      <c r="I501" s="29"/>
      <c r="J501" s="26" t="str">
        <f aca="false">IF(OR(G501="",I501=""),"",G501-I501)</f>
        <v/>
      </c>
      <c r="K501" s="26" t="str">
        <f aca="false">IF(J501="","",J501*12)</f>
        <v/>
      </c>
      <c r="L501" s="29"/>
      <c r="M501" s="27" t="str">
        <f aca="false">IF(OR(L501="",J501=""),"",IF(J501&lt;=0,"回収不可",L501/J501))</f>
        <v/>
      </c>
      <c r="N501" s="22"/>
      <c r="O501" s="17"/>
      <c r="P501" s="22"/>
      <c r="Q501" s="22"/>
      <c r="R501" s="28" t="str">
        <f aca="true">IF(OR(P501="",Q501&lt;&gt;"",O501="キャンセル"),"",P501-TODAY())</f>
        <v/>
      </c>
      <c r="S501" s="29"/>
      <c r="T501" s="22"/>
      <c r="U501" s="17"/>
      <c r="V501" s="22"/>
      <c r="W501" s="19" t="str">
        <f aca="true">IF(B501="","",IF(OR(O501="開通済",Q501&lt;&gt;""),"完了",IF(O501="キャンセル","―",IF(AND(V501&lt;&gt;"",V501&lt;TODAY()),"対応期限超過",IF(AND(P501&lt;&gt;"",P501&lt;TODAY()),"開通予定日超過",IF(AND(V501&lt;&gt;"",V501=TODAY()),"本日対応",IF(AND(P501&lt;&gt;"",P501-TODAY()&lt;=3),"開通間近","")))))))</f>
        <v/>
      </c>
      <c r="X501" s="17"/>
    </row>
    <row r="502" customFormat="false" ht="15" hidden="false" customHeight="false" outlineLevel="0" collapsed="false">
      <c r="A502" s="12" t="str">
        <f aca="false">IF(B502="","",ROW()-4)</f>
        <v/>
      </c>
      <c r="B502" s="17"/>
      <c r="C502" s="19" t="str">
        <f aca="false">IF(B502="","",IFERROR(INDEX(顧客一覧!$C$5:$C$304,MATCH(B502,顧客一覧!$B$5:$B$304,0)),"※ID未登録"))</f>
        <v/>
      </c>
      <c r="D502" s="12" t="str">
        <f aca="false">IF(B502="","",IFERROR(INDEX(顧客一覧!$K$5:$K$304,MATCH(B502,顧客一覧!$B$5:$B$304,0))&amp;"",""))</f>
        <v/>
      </c>
      <c r="E502" s="17"/>
      <c r="F502" s="17"/>
      <c r="G502" s="29"/>
      <c r="H502" s="17"/>
      <c r="I502" s="29"/>
      <c r="J502" s="26" t="str">
        <f aca="false">IF(OR(G502="",I502=""),"",G502-I502)</f>
        <v/>
      </c>
      <c r="K502" s="26" t="str">
        <f aca="false">IF(J502="","",J502*12)</f>
        <v/>
      </c>
      <c r="L502" s="29"/>
      <c r="M502" s="27" t="str">
        <f aca="false">IF(OR(L502="",J502=""),"",IF(J502&lt;=0,"回収不可",L502/J502))</f>
        <v/>
      </c>
      <c r="N502" s="22"/>
      <c r="O502" s="17"/>
      <c r="P502" s="22"/>
      <c r="Q502" s="22"/>
      <c r="R502" s="28" t="str">
        <f aca="true">IF(OR(P502="",Q502&lt;&gt;"",O502="キャンセル"),"",P502-TODAY())</f>
        <v/>
      </c>
      <c r="S502" s="29"/>
      <c r="T502" s="22"/>
      <c r="U502" s="17"/>
      <c r="V502" s="22"/>
      <c r="W502" s="19" t="str">
        <f aca="true">IF(B502="","",IF(OR(O502="開通済",Q502&lt;&gt;""),"完了",IF(O502="キャンセル","―",IF(AND(V502&lt;&gt;"",V502&lt;TODAY()),"対応期限超過",IF(AND(P502&lt;&gt;"",P502&lt;TODAY()),"開通予定日超過",IF(AND(V502&lt;&gt;"",V502=TODAY()),"本日対応",IF(AND(P502&lt;&gt;"",P502-TODAY()&lt;=3),"開通間近","")))))))</f>
        <v/>
      </c>
      <c r="X502" s="17"/>
    </row>
    <row r="503" customFormat="false" ht="15" hidden="false" customHeight="false" outlineLevel="0" collapsed="false">
      <c r="A503" s="12" t="str">
        <f aca="false">IF(B503="","",ROW()-4)</f>
        <v/>
      </c>
      <c r="B503" s="17"/>
      <c r="C503" s="19" t="str">
        <f aca="false">IF(B503="","",IFERROR(INDEX(顧客一覧!$C$5:$C$304,MATCH(B503,顧客一覧!$B$5:$B$304,0)),"※ID未登録"))</f>
        <v/>
      </c>
      <c r="D503" s="12" t="str">
        <f aca="false">IF(B503="","",IFERROR(INDEX(顧客一覧!$K$5:$K$304,MATCH(B503,顧客一覧!$B$5:$B$304,0))&amp;"",""))</f>
        <v/>
      </c>
      <c r="E503" s="17"/>
      <c r="F503" s="17"/>
      <c r="G503" s="29"/>
      <c r="H503" s="17"/>
      <c r="I503" s="29"/>
      <c r="J503" s="26" t="str">
        <f aca="false">IF(OR(G503="",I503=""),"",G503-I503)</f>
        <v/>
      </c>
      <c r="K503" s="26" t="str">
        <f aca="false">IF(J503="","",J503*12)</f>
        <v/>
      </c>
      <c r="L503" s="29"/>
      <c r="M503" s="27" t="str">
        <f aca="false">IF(OR(L503="",J503=""),"",IF(J503&lt;=0,"回収不可",L503/J503))</f>
        <v/>
      </c>
      <c r="N503" s="22"/>
      <c r="O503" s="17"/>
      <c r="P503" s="22"/>
      <c r="Q503" s="22"/>
      <c r="R503" s="28" t="str">
        <f aca="true">IF(OR(P503="",Q503&lt;&gt;"",O503="キャンセル"),"",P503-TODAY())</f>
        <v/>
      </c>
      <c r="S503" s="29"/>
      <c r="T503" s="22"/>
      <c r="U503" s="17"/>
      <c r="V503" s="22"/>
      <c r="W503" s="19" t="str">
        <f aca="true">IF(B503="","",IF(OR(O503="開通済",Q503&lt;&gt;""),"完了",IF(O503="キャンセル","―",IF(AND(V503&lt;&gt;"",V503&lt;TODAY()),"対応期限超過",IF(AND(P503&lt;&gt;"",P503&lt;TODAY()),"開通予定日超過",IF(AND(V503&lt;&gt;"",V503=TODAY()),"本日対応",IF(AND(P503&lt;&gt;"",P503-TODAY()&lt;=3),"開通間近","")))))))</f>
        <v/>
      </c>
      <c r="X503" s="17"/>
    </row>
    <row r="504" customFormat="false" ht="15" hidden="false" customHeight="false" outlineLevel="0" collapsed="false">
      <c r="A504" s="12" t="str">
        <f aca="false">IF(B504="","",ROW()-4)</f>
        <v/>
      </c>
      <c r="B504" s="17"/>
      <c r="C504" s="19" t="str">
        <f aca="false">IF(B504="","",IFERROR(INDEX(顧客一覧!$C$5:$C$304,MATCH(B504,顧客一覧!$B$5:$B$304,0)),"※ID未登録"))</f>
        <v/>
      </c>
      <c r="D504" s="12" t="str">
        <f aca="false">IF(B504="","",IFERROR(INDEX(顧客一覧!$K$5:$K$304,MATCH(B504,顧客一覧!$B$5:$B$304,0))&amp;"",""))</f>
        <v/>
      </c>
      <c r="E504" s="17"/>
      <c r="F504" s="17"/>
      <c r="G504" s="29"/>
      <c r="H504" s="17"/>
      <c r="I504" s="29"/>
      <c r="J504" s="26" t="str">
        <f aca="false">IF(OR(G504="",I504=""),"",G504-I504)</f>
        <v/>
      </c>
      <c r="K504" s="26" t="str">
        <f aca="false">IF(J504="","",J504*12)</f>
        <v/>
      </c>
      <c r="L504" s="29"/>
      <c r="M504" s="27" t="str">
        <f aca="false">IF(OR(L504="",J504=""),"",IF(J504&lt;=0,"回収不可",L504/J504))</f>
        <v/>
      </c>
      <c r="N504" s="22"/>
      <c r="O504" s="17"/>
      <c r="P504" s="22"/>
      <c r="Q504" s="22"/>
      <c r="R504" s="28" t="str">
        <f aca="true">IF(OR(P504="",Q504&lt;&gt;"",O504="キャンセル"),"",P504-TODAY())</f>
        <v/>
      </c>
      <c r="S504" s="29"/>
      <c r="T504" s="22"/>
      <c r="U504" s="17"/>
      <c r="V504" s="22"/>
      <c r="W504" s="19" t="str">
        <f aca="true">IF(B504="","",IF(OR(O504="開通済",Q504&lt;&gt;""),"完了",IF(O504="キャンセル","―",IF(AND(V504&lt;&gt;"",V504&lt;TODAY()),"対応期限超過",IF(AND(P504&lt;&gt;"",P504&lt;TODAY()),"開通予定日超過",IF(AND(V504&lt;&gt;"",V504=TODAY()),"本日対応",IF(AND(P504&lt;&gt;"",P504-TODAY()&lt;=3),"開通間近","")))))))</f>
        <v/>
      </c>
      <c r="X504" s="17"/>
    </row>
    <row r="505" customFormat="false" ht="15" hidden="false" customHeight="false" outlineLevel="0" collapsed="false">
      <c r="A505" s="12" t="str">
        <f aca="false">IF(B505="","",ROW()-4)</f>
        <v/>
      </c>
      <c r="B505" s="17"/>
      <c r="C505" s="19" t="str">
        <f aca="false">IF(B505="","",IFERROR(INDEX(顧客一覧!$C$5:$C$304,MATCH(B505,顧客一覧!$B$5:$B$304,0)),"※ID未登録"))</f>
        <v/>
      </c>
      <c r="D505" s="12" t="str">
        <f aca="false">IF(B505="","",IFERROR(INDEX(顧客一覧!$K$5:$K$304,MATCH(B505,顧客一覧!$B$5:$B$304,0))&amp;"",""))</f>
        <v/>
      </c>
      <c r="E505" s="17"/>
      <c r="F505" s="17"/>
      <c r="G505" s="29"/>
      <c r="H505" s="17"/>
      <c r="I505" s="29"/>
      <c r="J505" s="26" t="str">
        <f aca="false">IF(OR(G505="",I505=""),"",G505-I505)</f>
        <v/>
      </c>
      <c r="K505" s="26" t="str">
        <f aca="false">IF(J505="","",J505*12)</f>
        <v/>
      </c>
      <c r="L505" s="29"/>
      <c r="M505" s="27" t="str">
        <f aca="false">IF(OR(L505="",J505=""),"",IF(J505&lt;=0,"回収不可",L505/J505))</f>
        <v/>
      </c>
      <c r="N505" s="22"/>
      <c r="O505" s="17"/>
      <c r="P505" s="22"/>
      <c r="Q505" s="22"/>
      <c r="R505" s="28" t="str">
        <f aca="true">IF(OR(P505="",Q505&lt;&gt;"",O505="キャンセル"),"",P505-TODAY())</f>
        <v/>
      </c>
      <c r="S505" s="29"/>
      <c r="T505" s="22"/>
      <c r="U505" s="17"/>
      <c r="V505" s="22"/>
      <c r="W505" s="19" t="str">
        <f aca="true">IF(B505="","",IF(OR(O505="開通済",Q505&lt;&gt;""),"完了",IF(O505="キャンセル","―",IF(AND(V505&lt;&gt;"",V505&lt;TODAY()),"対応期限超過",IF(AND(P505&lt;&gt;"",P505&lt;TODAY()),"開通予定日超過",IF(AND(V505&lt;&gt;"",V505=TODAY()),"本日対応",IF(AND(P505&lt;&gt;"",P505-TODAY()&lt;=3),"開通間近","")))))))</f>
        <v/>
      </c>
      <c r="X505" s="17"/>
    </row>
    <row r="506" customFormat="false" ht="15" hidden="false" customHeight="false" outlineLevel="0" collapsed="false">
      <c r="A506" s="12" t="str">
        <f aca="false">IF(B506="","",ROW()-4)</f>
        <v/>
      </c>
      <c r="B506" s="17"/>
      <c r="C506" s="19" t="str">
        <f aca="false">IF(B506="","",IFERROR(INDEX(顧客一覧!$C$5:$C$304,MATCH(B506,顧客一覧!$B$5:$B$304,0)),"※ID未登録"))</f>
        <v/>
      </c>
      <c r="D506" s="12" t="str">
        <f aca="false">IF(B506="","",IFERROR(INDEX(顧客一覧!$K$5:$K$304,MATCH(B506,顧客一覧!$B$5:$B$304,0))&amp;"",""))</f>
        <v/>
      </c>
      <c r="E506" s="17"/>
      <c r="F506" s="17"/>
      <c r="G506" s="29"/>
      <c r="H506" s="17"/>
      <c r="I506" s="29"/>
      <c r="J506" s="26" t="str">
        <f aca="false">IF(OR(G506="",I506=""),"",G506-I506)</f>
        <v/>
      </c>
      <c r="K506" s="26" t="str">
        <f aca="false">IF(J506="","",J506*12)</f>
        <v/>
      </c>
      <c r="L506" s="29"/>
      <c r="M506" s="27" t="str">
        <f aca="false">IF(OR(L506="",J506=""),"",IF(J506&lt;=0,"回収不可",L506/J506))</f>
        <v/>
      </c>
      <c r="N506" s="22"/>
      <c r="O506" s="17"/>
      <c r="P506" s="22"/>
      <c r="Q506" s="22"/>
      <c r="R506" s="28" t="str">
        <f aca="true">IF(OR(P506="",Q506&lt;&gt;"",O506="キャンセル"),"",P506-TODAY())</f>
        <v/>
      </c>
      <c r="S506" s="29"/>
      <c r="T506" s="22"/>
      <c r="U506" s="17"/>
      <c r="V506" s="22"/>
      <c r="W506" s="19" t="str">
        <f aca="true">IF(B506="","",IF(OR(O506="開通済",Q506&lt;&gt;""),"完了",IF(O506="キャンセル","―",IF(AND(V506&lt;&gt;"",V506&lt;TODAY()),"対応期限超過",IF(AND(P506&lt;&gt;"",P506&lt;TODAY()),"開通予定日超過",IF(AND(V506&lt;&gt;"",V506=TODAY()),"本日対応",IF(AND(P506&lt;&gt;"",P506-TODAY()&lt;=3),"開通間近","")))))))</f>
        <v/>
      </c>
      <c r="X506" s="17"/>
    </row>
    <row r="507" customFormat="false" ht="15" hidden="false" customHeight="false" outlineLevel="0" collapsed="false">
      <c r="A507" s="12" t="str">
        <f aca="false">IF(B507="","",ROW()-4)</f>
        <v/>
      </c>
      <c r="B507" s="17"/>
      <c r="C507" s="19" t="str">
        <f aca="false">IF(B507="","",IFERROR(INDEX(顧客一覧!$C$5:$C$304,MATCH(B507,顧客一覧!$B$5:$B$304,0)),"※ID未登録"))</f>
        <v/>
      </c>
      <c r="D507" s="12" t="str">
        <f aca="false">IF(B507="","",IFERROR(INDEX(顧客一覧!$K$5:$K$304,MATCH(B507,顧客一覧!$B$5:$B$304,0))&amp;"",""))</f>
        <v/>
      </c>
      <c r="E507" s="17"/>
      <c r="F507" s="17"/>
      <c r="G507" s="29"/>
      <c r="H507" s="17"/>
      <c r="I507" s="29"/>
      <c r="J507" s="26" t="str">
        <f aca="false">IF(OR(G507="",I507=""),"",G507-I507)</f>
        <v/>
      </c>
      <c r="K507" s="26" t="str">
        <f aca="false">IF(J507="","",J507*12)</f>
        <v/>
      </c>
      <c r="L507" s="29"/>
      <c r="M507" s="27" t="str">
        <f aca="false">IF(OR(L507="",J507=""),"",IF(J507&lt;=0,"回収不可",L507/J507))</f>
        <v/>
      </c>
      <c r="N507" s="22"/>
      <c r="O507" s="17"/>
      <c r="P507" s="22"/>
      <c r="Q507" s="22"/>
      <c r="R507" s="28" t="str">
        <f aca="true">IF(OR(P507="",Q507&lt;&gt;"",O507="キャンセル"),"",P507-TODAY())</f>
        <v/>
      </c>
      <c r="S507" s="29"/>
      <c r="T507" s="22"/>
      <c r="U507" s="17"/>
      <c r="V507" s="22"/>
      <c r="W507" s="19" t="str">
        <f aca="true">IF(B507="","",IF(OR(O507="開通済",Q507&lt;&gt;""),"完了",IF(O507="キャンセル","―",IF(AND(V507&lt;&gt;"",V507&lt;TODAY()),"対応期限超過",IF(AND(P507&lt;&gt;"",P507&lt;TODAY()),"開通予定日超過",IF(AND(V507&lt;&gt;"",V507=TODAY()),"本日対応",IF(AND(P507&lt;&gt;"",P507-TODAY()&lt;=3),"開通間近","")))))))</f>
        <v/>
      </c>
      <c r="X507" s="17"/>
    </row>
    <row r="508" customFormat="false" ht="15" hidden="false" customHeight="false" outlineLevel="0" collapsed="false">
      <c r="A508" s="12" t="str">
        <f aca="false">IF(B508="","",ROW()-4)</f>
        <v/>
      </c>
      <c r="B508" s="17"/>
      <c r="C508" s="19" t="str">
        <f aca="false">IF(B508="","",IFERROR(INDEX(顧客一覧!$C$5:$C$304,MATCH(B508,顧客一覧!$B$5:$B$304,0)),"※ID未登録"))</f>
        <v/>
      </c>
      <c r="D508" s="12" t="str">
        <f aca="false">IF(B508="","",IFERROR(INDEX(顧客一覧!$K$5:$K$304,MATCH(B508,顧客一覧!$B$5:$B$304,0))&amp;"",""))</f>
        <v/>
      </c>
      <c r="E508" s="17"/>
      <c r="F508" s="17"/>
      <c r="G508" s="29"/>
      <c r="H508" s="17"/>
      <c r="I508" s="29"/>
      <c r="J508" s="26" t="str">
        <f aca="false">IF(OR(G508="",I508=""),"",G508-I508)</f>
        <v/>
      </c>
      <c r="K508" s="26" t="str">
        <f aca="false">IF(J508="","",J508*12)</f>
        <v/>
      </c>
      <c r="L508" s="29"/>
      <c r="M508" s="27" t="str">
        <f aca="false">IF(OR(L508="",J508=""),"",IF(J508&lt;=0,"回収不可",L508/J508))</f>
        <v/>
      </c>
      <c r="N508" s="22"/>
      <c r="O508" s="17"/>
      <c r="P508" s="22"/>
      <c r="Q508" s="22"/>
      <c r="R508" s="28" t="str">
        <f aca="true">IF(OR(P508="",Q508&lt;&gt;"",O508="キャンセル"),"",P508-TODAY())</f>
        <v/>
      </c>
      <c r="S508" s="29"/>
      <c r="T508" s="22"/>
      <c r="U508" s="17"/>
      <c r="V508" s="22"/>
      <c r="W508" s="19" t="str">
        <f aca="true">IF(B508="","",IF(OR(O508="開通済",Q508&lt;&gt;""),"完了",IF(O508="キャンセル","―",IF(AND(V508&lt;&gt;"",V508&lt;TODAY()),"対応期限超過",IF(AND(P508&lt;&gt;"",P508&lt;TODAY()),"開通予定日超過",IF(AND(V508&lt;&gt;"",V508=TODAY()),"本日対応",IF(AND(P508&lt;&gt;"",P508-TODAY()&lt;=3),"開通間近","")))))))</f>
        <v/>
      </c>
      <c r="X508" s="17"/>
    </row>
    <row r="509" customFormat="false" ht="15" hidden="false" customHeight="false" outlineLevel="0" collapsed="false">
      <c r="A509" s="12" t="str">
        <f aca="false">IF(B509="","",ROW()-4)</f>
        <v/>
      </c>
      <c r="B509" s="17"/>
      <c r="C509" s="19" t="str">
        <f aca="false">IF(B509="","",IFERROR(INDEX(顧客一覧!$C$5:$C$304,MATCH(B509,顧客一覧!$B$5:$B$304,0)),"※ID未登録"))</f>
        <v/>
      </c>
      <c r="D509" s="12" t="str">
        <f aca="false">IF(B509="","",IFERROR(INDEX(顧客一覧!$K$5:$K$304,MATCH(B509,顧客一覧!$B$5:$B$304,0))&amp;"",""))</f>
        <v/>
      </c>
      <c r="E509" s="17"/>
      <c r="F509" s="17"/>
      <c r="G509" s="29"/>
      <c r="H509" s="17"/>
      <c r="I509" s="29"/>
      <c r="J509" s="26" t="str">
        <f aca="false">IF(OR(G509="",I509=""),"",G509-I509)</f>
        <v/>
      </c>
      <c r="K509" s="26" t="str">
        <f aca="false">IF(J509="","",J509*12)</f>
        <v/>
      </c>
      <c r="L509" s="29"/>
      <c r="M509" s="27" t="str">
        <f aca="false">IF(OR(L509="",J509=""),"",IF(J509&lt;=0,"回収不可",L509/J509))</f>
        <v/>
      </c>
      <c r="N509" s="22"/>
      <c r="O509" s="17"/>
      <c r="P509" s="22"/>
      <c r="Q509" s="22"/>
      <c r="R509" s="28" t="str">
        <f aca="true">IF(OR(P509="",Q509&lt;&gt;"",O509="キャンセル"),"",P509-TODAY())</f>
        <v/>
      </c>
      <c r="S509" s="29"/>
      <c r="T509" s="22"/>
      <c r="U509" s="17"/>
      <c r="V509" s="22"/>
      <c r="W509" s="19" t="str">
        <f aca="true">IF(B509="","",IF(OR(O509="開通済",Q509&lt;&gt;""),"完了",IF(O509="キャンセル","―",IF(AND(V509&lt;&gt;"",V509&lt;TODAY()),"対応期限超過",IF(AND(P509&lt;&gt;"",P509&lt;TODAY()),"開通予定日超過",IF(AND(V509&lt;&gt;"",V509=TODAY()),"本日対応",IF(AND(P509&lt;&gt;"",P509-TODAY()&lt;=3),"開通間近","")))))))</f>
        <v/>
      </c>
      <c r="X509" s="17"/>
    </row>
    <row r="510" customFormat="false" ht="15" hidden="false" customHeight="false" outlineLevel="0" collapsed="false">
      <c r="A510" s="12" t="str">
        <f aca="false">IF(B510="","",ROW()-4)</f>
        <v/>
      </c>
      <c r="B510" s="17"/>
      <c r="C510" s="19" t="str">
        <f aca="false">IF(B510="","",IFERROR(INDEX(顧客一覧!$C$5:$C$304,MATCH(B510,顧客一覧!$B$5:$B$304,0)),"※ID未登録"))</f>
        <v/>
      </c>
      <c r="D510" s="12" t="str">
        <f aca="false">IF(B510="","",IFERROR(INDEX(顧客一覧!$K$5:$K$304,MATCH(B510,顧客一覧!$B$5:$B$304,0))&amp;"",""))</f>
        <v/>
      </c>
      <c r="E510" s="17"/>
      <c r="F510" s="17"/>
      <c r="G510" s="29"/>
      <c r="H510" s="17"/>
      <c r="I510" s="29"/>
      <c r="J510" s="26" t="str">
        <f aca="false">IF(OR(G510="",I510=""),"",G510-I510)</f>
        <v/>
      </c>
      <c r="K510" s="26" t="str">
        <f aca="false">IF(J510="","",J510*12)</f>
        <v/>
      </c>
      <c r="L510" s="29"/>
      <c r="M510" s="27" t="str">
        <f aca="false">IF(OR(L510="",J510=""),"",IF(J510&lt;=0,"回収不可",L510/J510))</f>
        <v/>
      </c>
      <c r="N510" s="22"/>
      <c r="O510" s="17"/>
      <c r="P510" s="22"/>
      <c r="Q510" s="22"/>
      <c r="R510" s="28" t="str">
        <f aca="true">IF(OR(P510="",Q510&lt;&gt;"",O510="キャンセル"),"",P510-TODAY())</f>
        <v/>
      </c>
      <c r="S510" s="29"/>
      <c r="T510" s="22"/>
      <c r="U510" s="17"/>
      <c r="V510" s="22"/>
      <c r="W510" s="19" t="str">
        <f aca="true">IF(B510="","",IF(OR(O510="開通済",Q510&lt;&gt;""),"完了",IF(O510="キャンセル","―",IF(AND(V510&lt;&gt;"",V510&lt;TODAY()),"対応期限超過",IF(AND(P510&lt;&gt;"",P510&lt;TODAY()),"開通予定日超過",IF(AND(V510&lt;&gt;"",V510=TODAY()),"本日対応",IF(AND(P510&lt;&gt;"",P510-TODAY()&lt;=3),"開通間近","")))))))</f>
        <v/>
      </c>
      <c r="X510" s="17"/>
    </row>
    <row r="511" customFormat="false" ht="15" hidden="false" customHeight="false" outlineLevel="0" collapsed="false">
      <c r="A511" s="12" t="str">
        <f aca="false">IF(B511="","",ROW()-4)</f>
        <v/>
      </c>
      <c r="B511" s="17"/>
      <c r="C511" s="19" t="str">
        <f aca="false">IF(B511="","",IFERROR(INDEX(顧客一覧!$C$5:$C$304,MATCH(B511,顧客一覧!$B$5:$B$304,0)),"※ID未登録"))</f>
        <v/>
      </c>
      <c r="D511" s="12" t="str">
        <f aca="false">IF(B511="","",IFERROR(INDEX(顧客一覧!$K$5:$K$304,MATCH(B511,顧客一覧!$B$5:$B$304,0))&amp;"",""))</f>
        <v/>
      </c>
      <c r="E511" s="17"/>
      <c r="F511" s="17"/>
      <c r="G511" s="29"/>
      <c r="H511" s="17"/>
      <c r="I511" s="29"/>
      <c r="J511" s="26" t="str">
        <f aca="false">IF(OR(G511="",I511=""),"",G511-I511)</f>
        <v/>
      </c>
      <c r="K511" s="26" t="str">
        <f aca="false">IF(J511="","",J511*12)</f>
        <v/>
      </c>
      <c r="L511" s="29"/>
      <c r="M511" s="27" t="str">
        <f aca="false">IF(OR(L511="",J511=""),"",IF(J511&lt;=0,"回収不可",L511/J511))</f>
        <v/>
      </c>
      <c r="N511" s="22"/>
      <c r="O511" s="17"/>
      <c r="P511" s="22"/>
      <c r="Q511" s="22"/>
      <c r="R511" s="28" t="str">
        <f aca="true">IF(OR(P511="",Q511&lt;&gt;"",O511="キャンセル"),"",P511-TODAY())</f>
        <v/>
      </c>
      <c r="S511" s="29"/>
      <c r="T511" s="22"/>
      <c r="U511" s="17"/>
      <c r="V511" s="22"/>
      <c r="W511" s="19" t="str">
        <f aca="true">IF(B511="","",IF(OR(O511="開通済",Q511&lt;&gt;""),"完了",IF(O511="キャンセル","―",IF(AND(V511&lt;&gt;"",V511&lt;TODAY()),"対応期限超過",IF(AND(P511&lt;&gt;"",P511&lt;TODAY()),"開通予定日超過",IF(AND(V511&lt;&gt;"",V511=TODAY()),"本日対応",IF(AND(P511&lt;&gt;"",P511-TODAY()&lt;=3),"開通間近","")))))))</f>
        <v/>
      </c>
      <c r="X511" s="17"/>
    </row>
    <row r="512" customFormat="false" ht="15" hidden="false" customHeight="false" outlineLevel="0" collapsed="false">
      <c r="A512" s="12" t="str">
        <f aca="false">IF(B512="","",ROW()-4)</f>
        <v/>
      </c>
      <c r="B512" s="17"/>
      <c r="C512" s="19" t="str">
        <f aca="false">IF(B512="","",IFERROR(INDEX(顧客一覧!$C$5:$C$304,MATCH(B512,顧客一覧!$B$5:$B$304,0)),"※ID未登録"))</f>
        <v/>
      </c>
      <c r="D512" s="12" t="str">
        <f aca="false">IF(B512="","",IFERROR(INDEX(顧客一覧!$K$5:$K$304,MATCH(B512,顧客一覧!$B$5:$B$304,0))&amp;"",""))</f>
        <v/>
      </c>
      <c r="E512" s="17"/>
      <c r="F512" s="17"/>
      <c r="G512" s="29"/>
      <c r="H512" s="17"/>
      <c r="I512" s="29"/>
      <c r="J512" s="26" t="str">
        <f aca="false">IF(OR(G512="",I512=""),"",G512-I512)</f>
        <v/>
      </c>
      <c r="K512" s="26" t="str">
        <f aca="false">IF(J512="","",J512*12)</f>
        <v/>
      </c>
      <c r="L512" s="29"/>
      <c r="M512" s="27" t="str">
        <f aca="false">IF(OR(L512="",J512=""),"",IF(J512&lt;=0,"回収不可",L512/J512))</f>
        <v/>
      </c>
      <c r="N512" s="22"/>
      <c r="O512" s="17"/>
      <c r="P512" s="22"/>
      <c r="Q512" s="22"/>
      <c r="R512" s="28" t="str">
        <f aca="true">IF(OR(P512="",Q512&lt;&gt;"",O512="キャンセル"),"",P512-TODAY())</f>
        <v/>
      </c>
      <c r="S512" s="29"/>
      <c r="T512" s="22"/>
      <c r="U512" s="17"/>
      <c r="V512" s="22"/>
      <c r="W512" s="19" t="str">
        <f aca="true">IF(B512="","",IF(OR(O512="開通済",Q512&lt;&gt;""),"完了",IF(O512="キャンセル","―",IF(AND(V512&lt;&gt;"",V512&lt;TODAY()),"対応期限超過",IF(AND(P512&lt;&gt;"",P512&lt;TODAY()),"開通予定日超過",IF(AND(V512&lt;&gt;"",V512=TODAY()),"本日対応",IF(AND(P512&lt;&gt;"",P512-TODAY()&lt;=3),"開通間近","")))))))</f>
        <v/>
      </c>
      <c r="X512" s="17"/>
    </row>
    <row r="513" customFormat="false" ht="15" hidden="false" customHeight="false" outlineLevel="0" collapsed="false">
      <c r="A513" s="12" t="str">
        <f aca="false">IF(B513="","",ROW()-4)</f>
        <v/>
      </c>
      <c r="B513" s="17"/>
      <c r="C513" s="19" t="str">
        <f aca="false">IF(B513="","",IFERROR(INDEX(顧客一覧!$C$5:$C$304,MATCH(B513,顧客一覧!$B$5:$B$304,0)),"※ID未登録"))</f>
        <v/>
      </c>
      <c r="D513" s="12" t="str">
        <f aca="false">IF(B513="","",IFERROR(INDEX(顧客一覧!$K$5:$K$304,MATCH(B513,顧客一覧!$B$5:$B$304,0))&amp;"",""))</f>
        <v/>
      </c>
      <c r="E513" s="17"/>
      <c r="F513" s="17"/>
      <c r="G513" s="29"/>
      <c r="H513" s="17"/>
      <c r="I513" s="29"/>
      <c r="J513" s="26" t="str">
        <f aca="false">IF(OR(G513="",I513=""),"",G513-I513)</f>
        <v/>
      </c>
      <c r="K513" s="26" t="str">
        <f aca="false">IF(J513="","",J513*12)</f>
        <v/>
      </c>
      <c r="L513" s="29"/>
      <c r="M513" s="27" t="str">
        <f aca="false">IF(OR(L513="",J513=""),"",IF(J513&lt;=0,"回収不可",L513/J513))</f>
        <v/>
      </c>
      <c r="N513" s="22"/>
      <c r="O513" s="17"/>
      <c r="P513" s="22"/>
      <c r="Q513" s="22"/>
      <c r="R513" s="28" t="str">
        <f aca="true">IF(OR(P513="",Q513&lt;&gt;"",O513="キャンセル"),"",P513-TODAY())</f>
        <v/>
      </c>
      <c r="S513" s="29"/>
      <c r="T513" s="22"/>
      <c r="U513" s="17"/>
      <c r="V513" s="22"/>
      <c r="W513" s="19" t="str">
        <f aca="true">IF(B513="","",IF(OR(O513="開通済",Q513&lt;&gt;""),"完了",IF(O513="キャンセル","―",IF(AND(V513&lt;&gt;"",V513&lt;TODAY()),"対応期限超過",IF(AND(P513&lt;&gt;"",P513&lt;TODAY()),"開通予定日超過",IF(AND(V513&lt;&gt;"",V513=TODAY()),"本日対応",IF(AND(P513&lt;&gt;"",P513-TODAY()&lt;=3),"開通間近","")))))))</f>
        <v/>
      </c>
      <c r="X513" s="17"/>
    </row>
    <row r="514" customFormat="false" ht="15" hidden="false" customHeight="false" outlineLevel="0" collapsed="false">
      <c r="A514" s="12" t="str">
        <f aca="false">IF(B514="","",ROW()-4)</f>
        <v/>
      </c>
      <c r="B514" s="17"/>
      <c r="C514" s="19" t="str">
        <f aca="false">IF(B514="","",IFERROR(INDEX(顧客一覧!$C$5:$C$304,MATCH(B514,顧客一覧!$B$5:$B$304,0)),"※ID未登録"))</f>
        <v/>
      </c>
      <c r="D514" s="12" t="str">
        <f aca="false">IF(B514="","",IFERROR(INDEX(顧客一覧!$K$5:$K$304,MATCH(B514,顧客一覧!$B$5:$B$304,0))&amp;"",""))</f>
        <v/>
      </c>
      <c r="E514" s="17"/>
      <c r="F514" s="17"/>
      <c r="G514" s="29"/>
      <c r="H514" s="17"/>
      <c r="I514" s="29"/>
      <c r="J514" s="26" t="str">
        <f aca="false">IF(OR(G514="",I514=""),"",G514-I514)</f>
        <v/>
      </c>
      <c r="K514" s="26" t="str">
        <f aca="false">IF(J514="","",J514*12)</f>
        <v/>
      </c>
      <c r="L514" s="29"/>
      <c r="M514" s="27" t="str">
        <f aca="false">IF(OR(L514="",J514=""),"",IF(J514&lt;=0,"回収不可",L514/J514))</f>
        <v/>
      </c>
      <c r="N514" s="22"/>
      <c r="O514" s="17"/>
      <c r="P514" s="22"/>
      <c r="Q514" s="22"/>
      <c r="R514" s="28" t="str">
        <f aca="true">IF(OR(P514="",Q514&lt;&gt;"",O514="キャンセル"),"",P514-TODAY())</f>
        <v/>
      </c>
      <c r="S514" s="29"/>
      <c r="T514" s="22"/>
      <c r="U514" s="17"/>
      <c r="V514" s="22"/>
      <c r="W514" s="19" t="str">
        <f aca="true">IF(B514="","",IF(OR(O514="開通済",Q514&lt;&gt;""),"完了",IF(O514="キャンセル","―",IF(AND(V514&lt;&gt;"",V514&lt;TODAY()),"対応期限超過",IF(AND(P514&lt;&gt;"",P514&lt;TODAY()),"開通予定日超過",IF(AND(V514&lt;&gt;"",V514=TODAY()),"本日対応",IF(AND(P514&lt;&gt;"",P514-TODAY()&lt;=3),"開通間近","")))))))</f>
        <v/>
      </c>
      <c r="X514" s="17"/>
    </row>
    <row r="515" customFormat="false" ht="15" hidden="false" customHeight="false" outlineLevel="0" collapsed="false">
      <c r="A515" s="12" t="str">
        <f aca="false">IF(B515="","",ROW()-4)</f>
        <v/>
      </c>
      <c r="B515" s="17"/>
      <c r="C515" s="19" t="str">
        <f aca="false">IF(B515="","",IFERROR(INDEX(顧客一覧!$C$5:$C$304,MATCH(B515,顧客一覧!$B$5:$B$304,0)),"※ID未登録"))</f>
        <v/>
      </c>
      <c r="D515" s="12" t="str">
        <f aca="false">IF(B515="","",IFERROR(INDEX(顧客一覧!$K$5:$K$304,MATCH(B515,顧客一覧!$B$5:$B$304,0))&amp;"",""))</f>
        <v/>
      </c>
      <c r="E515" s="17"/>
      <c r="F515" s="17"/>
      <c r="G515" s="29"/>
      <c r="H515" s="17"/>
      <c r="I515" s="29"/>
      <c r="J515" s="26" t="str">
        <f aca="false">IF(OR(G515="",I515=""),"",G515-I515)</f>
        <v/>
      </c>
      <c r="K515" s="26" t="str">
        <f aca="false">IF(J515="","",J515*12)</f>
        <v/>
      </c>
      <c r="L515" s="29"/>
      <c r="M515" s="27" t="str">
        <f aca="false">IF(OR(L515="",J515=""),"",IF(J515&lt;=0,"回収不可",L515/J515))</f>
        <v/>
      </c>
      <c r="N515" s="22"/>
      <c r="O515" s="17"/>
      <c r="P515" s="22"/>
      <c r="Q515" s="22"/>
      <c r="R515" s="28" t="str">
        <f aca="true">IF(OR(P515="",Q515&lt;&gt;"",O515="キャンセル"),"",P515-TODAY())</f>
        <v/>
      </c>
      <c r="S515" s="29"/>
      <c r="T515" s="22"/>
      <c r="U515" s="17"/>
      <c r="V515" s="22"/>
      <c r="W515" s="19" t="str">
        <f aca="true">IF(B515="","",IF(OR(O515="開通済",Q515&lt;&gt;""),"完了",IF(O515="キャンセル","―",IF(AND(V515&lt;&gt;"",V515&lt;TODAY()),"対応期限超過",IF(AND(P515&lt;&gt;"",P515&lt;TODAY()),"開通予定日超過",IF(AND(V515&lt;&gt;"",V515=TODAY()),"本日対応",IF(AND(P515&lt;&gt;"",P515-TODAY()&lt;=3),"開通間近","")))))))</f>
        <v/>
      </c>
      <c r="X515" s="17"/>
    </row>
    <row r="516" customFormat="false" ht="15" hidden="false" customHeight="false" outlineLevel="0" collapsed="false">
      <c r="A516" s="12" t="str">
        <f aca="false">IF(B516="","",ROW()-4)</f>
        <v/>
      </c>
      <c r="B516" s="17"/>
      <c r="C516" s="19" t="str">
        <f aca="false">IF(B516="","",IFERROR(INDEX(顧客一覧!$C$5:$C$304,MATCH(B516,顧客一覧!$B$5:$B$304,0)),"※ID未登録"))</f>
        <v/>
      </c>
      <c r="D516" s="12" t="str">
        <f aca="false">IF(B516="","",IFERROR(INDEX(顧客一覧!$K$5:$K$304,MATCH(B516,顧客一覧!$B$5:$B$304,0))&amp;"",""))</f>
        <v/>
      </c>
      <c r="E516" s="17"/>
      <c r="F516" s="17"/>
      <c r="G516" s="29"/>
      <c r="H516" s="17"/>
      <c r="I516" s="29"/>
      <c r="J516" s="26" t="str">
        <f aca="false">IF(OR(G516="",I516=""),"",G516-I516)</f>
        <v/>
      </c>
      <c r="K516" s="26" t="str">
        <f aca="false">IF(J516="","",J516*12)</f>
        <v/>
      </c>
      <c r="L516" s="29"/>
      <c r="M516" s="27" t="str">
        <f aca="false">IF(OR(L516="",J516=""),"",IF(J516&lt;=0,"回収不可",L516/J516))</f>
        <v/>
      </c>
      <c r="N516" s="22"/>
      <c r="O516" s="17"/>
      <c r="P516" s="22"/>
      <c r="Q516" s="22"/>
      <c r="R516" s="28" t="str">
        <f aca="true">IF(OR(P516="",Q516&lt;&gt;"",O516="キャンセル"),"",P516-TODAY())</f>
        <v/>
      </c>
      <c r="S516" s="29"/>
      <c r="T516" s="22"/>
      <c r="U516" s="17"/>
      <c r="V516" s="22"/>
      <c r="W516" s="19" t="str">
        <f aca="true">IF(B516="","",IF(OR(O516="開通済",Q516&lt;&gt;""),"完了",IF(O516="キャンセル","―",IF(AND(V516&lt;&gt;"",V516&lt;TODAY()),"対応期限超過",IF(AND(P516&lt;&gt;"",P516&lt;TODAY()),"開通予定日超過",IF(AND(V516&lt;&gt;"",V516=TODAY()),"本日対応",IF(AND(P516&lt;&gt;"",P516-TODAY()&lt;=3),"開通間近","")))))))</f>
        <v/>
      </c>
      <c r="X516" s="17"/>
    </row>
    <row r="517" customFormat="false" ht="15" hidden="false" customHeight="false" outlineLevel="0" collapsed="false">
      <c r="A517" s="12" t="str">
        <f aca="false">IF(B517="","",ROW()-4)</f>
        <v/>
      </c>
      <c r="B517" s="17"/>
      <c r="C517" s="19" t="str">
        <f aca="false">IF(B517="","",IFERROR(INDEX(顧客一覧!$C$5:$C$304,MATCH(B517,顧客一覧!$B$5:$B$304,0)),"※ID未登録"))</f>
        <v/>
      </c>
      <c r="D517" s="12" t="str">
        <f aca="false">IF(B517="","",IFERROR(INDEX(顧客一覧!$K$5:$K$304,MATCH(B517,顧客一覧!$B$5:$B$304,0))&amp;"",""))</f>
        <v/>
      </c>
      <c r="E517" s="17"/>
      <c r="F517" s="17"/>
      <c r="G517" s="29"/>
      <c r="H517" s="17"/>
      <c r="I517" s="29"/>
      <c r="J517" s="26" t="str">
        <f aca="false">IF(OR(G517="",I517=""),"",G517-I517)</f>
        <v/>
      </c>
      <c r="K517" s="26" t="str">
        <f aca="false">IF(J517="","",J517*12)</f>
        <v/>
      </c>
      <c r="L517" s="29"/>
      <c r="M517" s="27" t="str">
        <f aca="false">IF(OR(L517="",J517=""),"",IF(J517&lt;=0,"回収不可",L517/J517))</f>
        <v/>
      </c>
      <c r="N517" s="22"/>
      <c r="O517" s="17"/>
      <c r="P517" s="22"/>
      <c r="Q517" s="22"/>
      <c r="R517" s="28" t="str">
        <f aca="true">IF(OR(P517="",Q517&lt;&gt;"",O517="キャンセル"),"",P517-TODAY())</f>
        <v/>
      </c>
      <c r="S517" s="29"/>
      <c r="T517" s="22"/>
      <c r="U517" s="17"/>
      <c r="V517" s="22"/>
      <c r="W517" s="19" t="str">
        <f aca="true">IF(B517="","",IF(OR(O517="開通済",Q517&lt;&gt;""),"完了",IF(O517="キャンセル","―",IF(AND(V517&lt;&gt;"",V517&lt;TODAY()),"対応期限超過",IF(AND(P517&lt;&gt;"",P517&lt;TODAY()),"開通予定日超過",IF(AND(V517&lt;&gt;"",V517=TODAY()),"本日対応",IF(AND(P517&lt;&gt;"",P517-TODAY()&lt;=3),"開通間近","")))))))</f>
        <v/>
      </c>
      <c r="X517" s="17"/>
    </row>
    <row r="518" customFormat="false" ht="15" hidden="false" customHeight="false" outlineLevel="0" collapsed="false">
      <c r="A518" s="12" t="str">
        <f aca="false">IF(B518="","",ROW()-4)</f>
        <v/>
      </c>
      <c r="B518" s="17"/>
      <c r="C518" s="19" t="str">
        <f aca="false">IF(B518="","",IFERROR(INDEX(顧客一覧!$C$5:$C$304,MATCH(B518,顧客一覧!$B$5:$B$304,0)),"※ID未登録"))</f>
        <v/>
      </c>
      <c r="D518" s="12" t="str">
        <f aca="false">IF(B518="","",IFERROR(INDEX(顧客一覧!$K$5:$K$304,MATCH(B518,顧客一覧!$B$5:$B$304,0))&amp;"",""))</f>
        <v/>
      </c>
      <c r="E518" s="17"/>
      <c r="F518" s="17"/>
      <c r="G518" s="29"/>
      <c r="H518" s="17"/>
      <c r="I518" s="29"/>
      <c r="J518" s="26" t="str">
        <f aca="false">IF(OR(G518="",I518=""),"",G518-I518)</f>
        <v/>
      </c>
      <c r="K518" s="26" t="str">
        <f aca="false">IF(J518="","",J518*12)</f>
        <v/>
      </c>
      <c r="L518" s="29"/>
      <c r="M518" s="27" t="str">
        <f aca="false">IF(OR(L518="",J518=""),"",IF(J518&lt;=0,"回収不可",L518/J518))</f>
        <v/>
      </c>
      <c r="N518" s="22"/>
      <c r="O518" s="17"/>
      <c r="P518" s="22"/>
      <c r="Q518" s="22"/>
      <c r="R518" s="28" t="str">
        <f aca="true">IF(OR(P518="",Q518&lt;&gt;"",O518="キャンセル"),"",P518-TODAY())</f>
        <v/>
      </c>
      <c r="S518" s="29"/>
      <c r="T518" s="22"/>
      <c r="U518" s="17"/>
      <c r="V518" s="22"/>
      <c r="W518" s="19" t="str">
        <f aca="true">IF(B518="","",IF(OR(O518="開通済",Q518&lt;&gt;""),"完了",IF(O518="キャンセル","―",IF(AND(V518&lt;&gt;"",V518&lt;TODAY()),"対応期限超過",IF(AND(P518&lt;&gt;"",P518&lt;TODAY()),"開通予定日超過",IF(AND(V518&lt;&gt;"",V518=TODAY()),"本日対応",IF(AND(P518&lt;&gt;"",P518-TODAY()&lt;=3),"開通間近","")))))))</f>
        <v/>
      </c>
      <c r="X518" s="17"/>
    </row>
    <row r="519" customFormat="false" ht="15" hidden="false" customHeight="false" outlineLevel="0" collapsed="false">
      <c r="A519" s="12" t="str">
        <f aca="false">IF(B519="","",ROW()-4)</f>
        <v/>
      </c>
      <c r="B519" s="17"/>
      <c r="C519" s="19" t="str">
        <f aca="false">IF(B519="","",IFERROR(INDEX(顧客一覧!$C$5:$C$304,MATCH(B519,顧客一覧!$B$5:$B$304,0)),"※ID未登録"))</f>
        <v/>
      </c>
      <c r="D519" s="12" t="str">
        <f aca="false">IF(B519="","",IFERROR(INDEX(顧客一覧!$K$5:$K$304,MATCH(B519,顧客一覧!$B$5:$B$304,0))&amp;"",""))</f>
        <v/>
      </c>
      <c r="E519" s="17"/>
      <c r="F519" s="17"/>
      <c r="G519" s="29"/>
      <c r="H519" s="17"/>
      <c r="I519" s="29"/>
      <c r="J519" s="26" t="str">
        <f aca="false">IF(OR(G519="",I519=""),"",G519-I519)</f>
        <v/>
      </c>
      <c r="K519" s="26" t="str">
        <f aca="false">IF(J519="","",J519*12)</f>
        <v/>
      </c>
      <c r="L519" s="29"/>
      <c r="M519" s="27" t="str">
        <f aca="false">IF(OR(L519="",J519=""),"",IF(J519&lt;=0,"回収不可",L519/J519))</f>
        <v/>
      </c>
      <c r="N519" s="22"/>
      <c r="O519" s="17"/>
      <c r="P519" s="22"/>
      <c r="Q519" s="22"/>
      <c r="R519" s="28" t="str">
        <f aca="true">IF(OR(P519="",Q519&lt;&gt;"",O519="キャンセル"),"",P519-TODAY())</f>
        <v/>
      </c>
      <c r="S519" s="29"/>
      <c r="T519" s="22"/>
      <c r="U519" s="17"/>
      <c r="V519" s="22"/>
      <c r="W519" s="19" t="str">
        <f aca="true">IF(B519="","",IF(OR(O519="開通済",Q519&lt;&gt;""),"完了",IF(O519="キャンセル","―",IF(AND(V519&lt;&gt;"",V519&lt;TODAY()),"対応期限超過",IF(AND(P519&lt;&gt;"",P519&lt;TODAY()),"開通予定日超過",IF(AND(V519&lt;&gt;"",V519=TODAY()),"本日対応",IF(AND(P519&lt;&gt;"",P519-TODAY()&lt;=3),"開通間近","")))))))</f>
        <v/>
      </c>
      <c r="X519" s="17"/>
    </row>
    <row r="520" customFormat="false" ht="15" hidden="false" customHeight="false" outlineLevel="0" collapsed="false">
      <c r="A520" s="12" t="str">
        <f aca="false">IF(B520="","",ROW()-4)</f>
        <v/>
      </c>
      <c r="B520" s="17"/>
      <c r="C520" s="19" t="str">
        <f aca="false">IF(B520="","",IFERROR(INDEX(顧客一覧!$C$5:$C$304,MATCH(B520,顧客一覧!$B$5:$B$304,0)),"※ID未登録"))</f>
        <v/>
      </c>
      <c r="D520" s="12" t="str">
        <f aca="false">IF(B520="","",IFERROR(INDEX(顧客一覧!$K$5:$K$304,MATCH(B520,顧客一覧!$B$5:$B$304,0))&amp;"",""))</f>
        <v/>
      </c>
      <c r="E520" s="17"/>
      <c r="F520" s="17"/>
      <c r="G520" s="29"/>
      <c r="H520" s="17"/>
      <c r="I520" s="29"/>
      <c r="J520" s="26" t="str">
        <f aca="false">IF(OR(G520="",I520=""),"",G520-I520)</f>
        <v/>
      </c>
      <c r="K520" s="26" t="str">
        <f aca="false">IF(J520="","",J520*12)</f>
        <v/>
      </c>
      <c r="L520" s="29"/>
      <c r="M520" s="27" t="str">
        <f aca="false">IF(OR(L520="",J520=""),"",IF(J520&lt;=0,"回収不可",L520/J520))</f>
        <v/>
      </c>
      <c r="N520" s="22"/>
      <c r="O520" s="17"/>
      <c r="P520" s="22"/>
      <c r="Q520" s="22"/>
      <c r="R520" s="28" t="str">
        <f aca="true">IF(OR(P520="",Q520&lt;&gt;"",O520="キャンセル"),"",P520-TODAY())</f>
        <v/>
      </c>
      <c r="S520" s="29"/>
      <c r="T520" s="22"/>
      <c r="U520" s="17"/>
      <c r="V520" s="22"/>
      <c r="W520" s="19" t="str">
        <f aca="true">IF(B520="","",IF(OR(O520="開通済",Q520&lt;&gt;""),"完了",IF(O520="キャンセル","―",IF(AND(V520&lt;&gt;"",V520&lt;TODAY()),"対応期限超過",IF(AND(P520&lt;&gt;"",P520&lt;TODAY()),"開通予定日超過",IF(AND(V520&lt;&gt;"",V520=TODAY()),"本日対応",IF(AND(P520&lt;&gt;"",P520-TODAY()&lt;=3),"開通間近","")))))))</f>
        <v/>
      </c>
      <c r="X520" s="17"/>
    </row>
    <row r="521" customFormat="false" ht="15" hidden="false" customHeight="false" outlineLevel="0" collapsed="false">
      <c r="A521" s="12" t="str">
        <f aca="false">IF(B521="","",ROW()-4)</f>
        <v/>
      </c>
      <c r="B521" s="17"/>
      <c r="C521" s="19" t="str">
        <f aca="false">IF(B521="","",IFERROR(INDEX(顧客一覧!$C$5:$C$304,MATCH(B521,顧客一覧!$B$5:$B$304,0)),"※ID未登録"))</f>
        <v/>
      </c>
      <c r="D521" s="12" t="str">
        <f aca="false">IF(B521="","",IFERROR(INDEX(顧客一覧!$K$5:$K$304,MATCH(B521,顧客一覧!$B$5:$B$304,0))&amp;"",""))</f>
        <v/>
      </c>
      <c r="E521" s="17"/>
      <c r="F521" s="17"/>
      <c r="G521" s="29"/>
      <c r="H521" s="17"/>
      <c r="I521" s="29"/>
      <c r="J521" s="26" t="str">
        <f aca="false">IF(OR(G521="",I521=""),"",G521-I521)</f>
        <v/>
      </c>
      <c r="K521" s="26" t="str">
        <f aca="false">IF(J521="","",J521*12)</f>
        <v/>
      </c>
      <c r="L521" s="29"/>
      <c r="M521" s="27" t="str">
        <f aca="false">IF(OR(L521="",J521=""),"",IF(J521&lt;=0,"回収不可",L521/J521))</f>
        <v/>
      </c>
      <c r="N521" s="22"/>
      <c r="O521" s="17"/>
      <c r="P521" s="22"/>
      <c r="Q521" s="22"/>
      <c r="R521" s="28" t="str">
        <f aca="true">IF(OR(P521="",Q521&lt;&gt;"",O521="キャンセル"),"",P521-TODAY())</f>
        <v/>
      </c>
      <c r="S521" s="29"/>
      <c r="T521" s="22"/>
      <c r="U521" s="17"/>
      <c r="V521" s="22"/>
      <c r="W521" s="19" t="str">
        <f aca="true">IF(B521="","",IF(OR(O521="開通済",Q521&lt;&gt;""),"完了",IF(O521="キャンセル","―",IF(AND(V521&lt;&gt;"",V521&lt;TODAY()),"対応期限超過",IF(AND(P521&lt;&gt;"",P521&lt;TODAY()),"開通予定日超過",IF(AND(V521&lt;&gt;"",V521=TODAY()),"本日対応",IF(AND(P521&lt;&gt;"",P521-TODAY()&lt;=3),"開通間近","")))))))</f>
        <v/>
      </c>
      <c r="X521" s="17"/>
    </row>
    <row r="522" customFormat="false" ht="15" hidden="false" customHeight="false" outlineLevel="0" collapsed="false">
      <c r="A522" s="12" t="str">
        <f aca="false">IF(B522="","",ROW()-4)</f>
        <v/>
      </c>
      <c r="B522" s="17"/>
      <c r="C522" s="19" t="str">
        <f aca="false">IF(B522="","",IFERROR(INDEX(顧客一覧!$C$5:$C$304,MATCH(B522,顧客一覧!$B$5:$B$304,0)),"※ID未登録"))</f>
        <v/>
      </c>
      <c r="D522" s="12" t="str">
        <f aca="false">IF(B522="","",IFERROR(INDEX(顧客一覧!$K$5:$K$304,MATCH(B522,顧客一覧!$B$5:$B$304,0))&amp;"",""))</f>
        <v/>
      </c>
      <c r="E522" s="17"/>
      <c r="F522" s="17"/>
      <c r="G522" s="29"/>
      <c r="H522" s="17"/>
      <c r="I522" s="29"/>
      <c r="J522" s="26" t="str">
        <f aca="false">IF(OR(G522="",I522=""),"",G522-I522)</f>
        <v/>
      </c>
      <c r="K522" s="26" t="str">
        <f aca="false">IF(J522="","",J522*12)</f>
        <v/>
      </c>
      <c r="L522" s="29"/>
      <c r="M522" s="27" t="str">
        <f aca="false">IF(OR(L522="",J522=""),"",IF(J522&lt;=0,"回収不可",L522/J522))</f>
        <v/>
      </c>
      <c r="N522" s="22"/>
      <c r="O522" s="17"/>
      <c r="P522" s="22"/>
      <c r="Q522" s="22"/>
      <c r="R522" s="28" t="str">
        <f aca="true">IF(OR(P522="",Q522&lt;&gt;"",O522="キャンセル"),"",P522-TODAY())</f>
        <v/>
      </c>
      <c r="S522" s="29"/>
      <c r="T522" s="22"/>
      <c r="U522" s="17"/>
      <c r="V522" s="22"/>
      <c r="W522" s="19" t="str">
        <f aca="true">IF(B522="","",IF(OR(O522="開通済",Q522&lt;&gt;""),"完了",IF(O522="キャンセル","―",IF(AND(V522&lt;&gt;"",V522&lt;TODAY()),"対応期限超過",IF(AND(P522&lt;&gt;"",P522&lt;TODAY()),"開通予定日超過",IF(AND(V522&lt;&gt;"",V522=TODAY()),"本日対応",IF(AND(P522&lt;&gt;"",P522-TODAY()&lt;=3),"開通間近","")))))))</f>
        <v/>
      </c>
      <c r="X522" s="17"/>
    </row>
    <row r="523" customFormat="false" ht="15" hidden="false" customHeight="false" outlineLevel="0" collapsed="false">
      <c r="A523" s="12" t="str">
        <f aca="false">IF(B523="","",ROW()-4)</f>
        <v/>
      </c>
      <c r="B523" s="17"/>
      <c r="C523" s="19" t="str">
        <f aca="false">IF(B523="","",IFERROR(INDEX(顧客一覧!$C$5:$C$304,MATCH(B523,顧客一覧!$B$5:$B$304,0)),"※ID未登録"))</f>
        <v/>
      </c>
      <c r="D523" s="12" t="str">
        <f aca="false">IF(B523="","",IFERROR(INDEX(顧客一覧!$K$5:$K$304,MATCH(B523,顧客一覧!$B$5:$B$304,0))&amp;"",""))</f>
        <v/>
      </c>
      <c r="E523" s="17"/>
      <c r="F523" s="17"/>
      <c r="G523" s="29"/>
      <c r="H523" s="17"/>
      <c r="I523" s="29"/>
      <c r="J523" s="26" t="str">
        <f aca="false">IF(OR(G523="",I523=""),"",G523-I523)</f>
        <v/>
      </c>
      <c r="K523" s="26" t="str">
        <f aca="false">IF(J523="","",J523*12)</f>
        <v/>
      </c>
      <c r="L523" s="29"/>
      <c r="M523" s="27" t="str">
        <f aca="false">IF(OR(L523="",J523=""),"",IF(J523&lt;=0,"回収不可",L523/J523))</f>
        <v/>
      </c>
      <c r="N523" s="22"/>
      <c r="O523" s="17"/>
      <c r="P523" s="22"/>
      <c r="Q523" s="22"/>
      <c r="R523" s="28" t="str">
        <f aca="true">IF(OR(P523="",Q523&lt;&gt;"",O523="キャンセル"),"",P523-TODAY())</f>
        <v/>
      </c>
      <c r="S523" s="29"/>
      <c r="T523" s="22"/>
      <c r="U523" s="17"/>
      <c r="V523" s="22"/>
      <c r="W523" s="19" t="str">
        <f aca="true">IF(B523="","",IF(OR(O523="開通済",Q523&lt;&gt;""),"完了",IF(O523="キャンセル","―",IF(AND(V523&lt;&gt;"",V523&lt;TODAY()),"対応期限超過",IF(AND(P523&lt;&gt;"",P523&lt;TODAY()),"開通予定日超過",IF(AND(V523&lt;&gt;"",V523=TODAY()),"本日対応",IF(AND(P523&lt;&gt;"",P523-TODAY()&lt;=3),"開通間近","")))))))</f>
        <v/>
      </c>
      <c r="X523" s="17"/>
    </row>
    <row r="524" customFormat="false" ht="15" hidden="false" customHeight="false" outlineLevel="0" collapsed="false">
      <c r="A524" s="12" t="str">
        <f aca="false">IF(B524="","",ROW()-4)</f>
        <v/>
      </c>
      <c r="B524" s="17"/>
      <c r="C524" s="19" t="str">
        <f aca="false">IF(B524="","",IFERROR(INDEX(顧客一覧!$C$5:$C$304,MATCH(B524,顧客一覧!$B$5:$B$304,0)),"※ID未登録"))</f>
        <v/>
      </c>
      <c r="D524" s="12" t="str">
        <f aca="false">IF(B524="","",IFERROR(INDEX(顧客一覧!$K$5:$K$304,MATCH(B524,顧客一覧!$B$5:$B$304,0))&amp;"",""))</f>
        <v/>
      </c>
      <c r="E524" s="17"/>
      <c r="F524" s="17"/>
      <c r="G524" s="29"/>
      <c r="H524" s="17"/>
      <c r="I524" s="29"/>
      <c r="J524" s="26" t="str">
        <f aca="false">IF(OR(G524="",I524=""),"",G524-I524)</f>
        <v/>
      </c>
      <c r="K524" s="26" t="str">
        <f aca="false">IF(J524="","",J524*12)</f>
        <v/>
      </c>
      <c r="L524" s="29"/>
      <c r="M524" s="27" t="str">
        <f aca="false">IF(OR(L524="",J524=""),"",IF(J524&lt;=0,"回収不可",L524/J524))</f>
        <v/>
      </c>
      <c r="N524" s="22"/>
      <c r="O524" s="17"/>
      <c r="P524" s="22"/>
      <c r="Q524" s="22"/>
      <c r="R524" s="28" t="str">
        <f aca="true">IF(OR(P524="",Q524&lt;&gt;"",O524="キャンセル"),"",P524-TODAY())</f>
        <v/>
      </c>
      <c r="S524" s="29"/>
      <c r="T524" s="22"/>
      <c r="U524" s="17"/>
      <c r="V524" s="22"/>
      <c r="W524" s="19" t="str">
        <f aca="true">IF(B524="","",IF(OR(O524="開通済",Q524&lt;&gt;""),"完了",IF(O524="キャンセル","―",IF(AND(V524&lt;&gt;"",V524&lt;TODAY()),"対応期限超過",IF(AND(P524&lt;&gt;"",P524&lt;TODAY()),"開通予定日超過",IF(AND(V524&lt;&gt;"",V524=TODAY()),"本日対応",IF(AND(P524&lt;&gt;"",P524-TODAY()&lt;=3),"開通間近","")))))))</f>
        <v/>
      </c>
      <c r="X524" s="17"/>
    </row>
    <row r="525" customFormat="false" ht="15" hidden="false" customHeight="false" outlineLevel="0" collapsed="false">
      <c r="A525" s="12" t="str">
        <f aca="false">IF(B525="","",ROW()-4)</f>
        <v/>
      </c>
      <c r="B525" s="17"/>
      <c r="C525" s="19" t="str">
        <f aca="false">IF(B525="","",IFERROR(INDEX(顧客一覧!$C$5:$C$304,MATCH(B525,顧客一覧!$B$5:$B$304,0)),"※ID未登録"))</f>
        <v/>
      </c>
      <c r="D525" s="12" t="str">
        <f aca="false">IF(B525="","",IFERROR(INDEX(顧客一覧!$K$5:$K$304,MATCH(B525,顧客一覧!$B$5:$B$304,0))&amp;"",""))</f>
        <v/>
      </c>
      <c r="E525" s="17"/>
      <c r="F525" s="17"/>
      <c r="G525" s="29"/>
      <c r="H525" s="17"/>
      <c r="I525" s="29"/>
      <c r="J525" s="26" t="str">
        <f aca="false">IF(OR(G525="",I525=""),"",G525-I525)</f>
        <v/>
      </c>
      <c r="K525" s="26" t="str">
        <f aca="false">IF(J525="","",J525*12)</f>
        <v/>
      </c>
      <c r="L525" s="29"/>
      <c r="M525" s="27" t="str">
        <f aca="false">IF(OR(L525="",J525=""),"",IF(J525&lt;=0,"回収不可",L525/J525))</f>
        <v/>
      </c>
      <c r="N525" s="22"/>
      <c r="O525" s="17"/>
      <c r="P525" s="22"/>
      <c r="Q525" s="22"/>
      <c r="R525" s="28" t="str">
        <f aca="true">IF(OR(P525="",Q525&lt;&gt;"",O525="キャンセル"),"",P525-TODAY())</f>
        <v/>
      </c>
      <c r="S525" s="29"/>
      <c r="T525" s="22"/>
      <c r="U525" s="17"/>
      <c r="V525" s="22"/>
      <c r="W525" s="19" t="str">
        <f aca="true">IF(B525="","",IF(OR(O525="開通済",Q525&lt;&gt;""),"完了",IF(O525="キャンセル","―",IF(AND(V525&lt;&gt;"",V525&lt;TODAY()),"対応期限超過",IF(AND(P525&lt;&gt;"",P525&lt;TODAY()),"開通予定日超過",IF(AND(V525&lt;&gt;"",V525=TODAY()),"本日対応",IF(AND(P525&lt;&gt;"",P525-TODAY()&lt;=3),"開通間近","")))))))</f>
        <v/>
      </c>
      <c r="X525" s="17"/>
    </row>
    <row r="526" customFormat="false" ht="15" hidden="false" customHeight="false" outlineLevel="0" collapsed="false">
      <c r="A526" s="12" t="str">
        <f aca="false">IF(B526="","",ROW()-4)</f>
        <v/>
      </c>
      <c r="B526" s="17"/>
      <c r="C526" s="19" t="str">
        <f aca="false">IF(B526="","",IFERROR(INDEX(顧客一覧!$C$5:$C$304,MATCH(B526,顧客一覧!$B$5:$B$304,0)),"※ID未登録"))</f>
        <v/>
      </c>
      <c r="D526" s="12" t="str">
        <f aca="false">IF(B526="","",IFERROR(INDEX(顧客一覧!$K$5:$K$304,MATCH(B526,顧客一覧!$B$5:$B$304,0))&amp;"",""))</f>
        <v/>
      </c>
      <c r="E526" s="17"/>
      <c r="F526" s="17"/>
      <c r="G526" s="29"/>
      <c r="H526" s="17"/>
      <c r="I526" s="29"/>
      <c r="J526" s="26" t="str">
        <f aca="false">IF(OR(G526="",I526=""),"",G526-I526)</f>
        <v/>
      </c>
      <c r="K526" s="26" t="str">
        <f aca="false">IF(J526="","",J526*12)</f>
        <v/>
      </c>
      <c r="L526" s="29"/>
      <c r="M526" s="27" t="str">
        <f aca="false">IF(OR(L526="",J526=""),"",IF(J526&lt;=0,"回収不可",L526/J526))</f>
        <v/>
      </c>
      <c r="N526" s="22"/>
      <c r="O526" s="17"/>
      <c r="P526" s="22"/>
      <c r="Q526" s="22"/>
      <c r="R526" s="28" t="str">
        <f aca="true">IF(OR(P526="",Q526&lt;&gt;"",O526="キャンセル"),"",P526-TODAY())</f>
        <v/>
      </c>
      <c r="S526" s="29"/>
      <c r="T526" s="22"/>
      <c r="U526" s="17"/>
      <c r="V526" s="22"/>
      <c r="W526" s="19" t="str">
        <f aca="true">IF(B526="","",IF(OR(O526="開通済",Q526&lt;&gt;""),"完了",IF(O526="キャンセル","―",IF(AND(V526&lt;&gt;"",V526&lt;TODAY()),"対応期限超過",IF(AND(P526&lt;&gt;"",P526&lt;TODAY()),"開通予定日超過",IF(AND(V526&lt;&gt;"",V526=TODAY()),"本日対応",IF(AND(P526&lt;&gt;"",P526-TODAY()&lt;=3),"開通間近","")))))))</f>
        <v/>
      </c>
      <c r="X526" s="17"/>
    </row>
    <row r="527" customFormat="false" ht="15" hidden="false" customHeight="false" outlineLevel="0" collapsed="false">
      <c r="A527" s="12" t="str">
        <f aca="false">IF(B527="","",ROW()-4)</f>
        <v/>
      </c>
      <c r="B527" s="17"/>
      <c r="C527" s="19" t="str">
        <f aca="false">IF(B527="","",IFERROR(INDEX(顧客一覧!$C$5:$C$304,MATCH(B527,顧客一覧!$B$5:$B$304,0)),"※ID未登録"))</f>
        <v/>
      </c>
      <c r="D527" s="12" t="str">
        <f aca="false">IF(B527="","",IFERROR(INDEX(顧客一覧!$K$5:$K$304,MATCH(B527,顧客一覧!$B$5:$B$304,0))&amp;"",""))</f>
        <v/>
      </c>
      <c r="E527" s="17"/>
      <c r="F527" s="17"/>
      <c r="G527" s="29"/>
      <c r="H527" s="17"/>
      <c r="I527" s="29"/>
      <c r="J527" s="26" t="str">
        <f aca="false">IF(OR(G527="",I527=""),"",G527-I527)</f>
        <v/>
      </c>
      <c r="K527" s="26" t="str">
        <f aca="false">IF(J527="","",J527*12)</f>
        <v/>
      </c>
      <c r="L527" s="29"/>
      <c r="M527" s="27" t="str">
        <f aca="false">IF(OR(L527="",J527=""),"",IF(J527&lt;=0,"回収不可",L527/J527))</f>
        <v/>
      </c>
      <c r="N527" s="22"/>
      <c r="O527" s="17"/>
      <c r="P527" s="22"/>
      <c r="Q527" s="22"/>
      <c r="R527" s="28" t="str">
        <f aca="true">IF(OR(P527="",Q527&lt;&gt;"",O527="キャンセル"),"",P527-TODAY())</f>
        <v/>
      </c>
      <c r="S527" s="29"/>
      <c r="T527" s="22"/>
      <c r="U527" s="17"/>
      <c r="V527" s="22"/>
      <c r="W527" s="19" t="str">
        <f aca="true">IF(B527="","",IF(OR(O527="開通済",Q527&lt;&gt;""),"完了",IF(O527="キャンセル","―",IF(AND(V527&lt;&gt;"",V527&lt;TODAY()),"対応期限超過",IF(AND(P527&lt;&gt;"",P527&lt;TODAY()),"開通予定日超過",IF(AND(V527&lt;&gt;"",V527=TODAY()),"本日対応",IF(AND(P527&lt;&gt;"",P527-TODAY()&lt;=3),"開通間近","")))))))</f>
        <v/>
      </c>
      <c r="X527" s="17"/>
    </row>
    <row r="528" customFormat="false" ht="15" hidden="false" customHeight="false" outlineLevel="0" collapsed="false">
      <c r="A528" s="12" t="str">
        <f aca="false">IF(B528="","",ROW()-4)</f>
        <v/>
      </c>
      <c r="B528" s="17"/>
      <c r="C528" s="19" t="str">
        <f aca="false">IF(B528="","",IFERROR(INDEX(顧客一覧!$C$5:$C$304,MATCH(B528,顧客一覧!$B$5:$B$304,0)),"※ID未登録"))</f>
        <v/>
      </c>
      <c r="D528" s="12" t="str">
        <f aca="false">IF(B528="","",IFERROR(INDEX(顧客一覧!$K$5:$K$304,MATCH(B528,顧客一覧!$B$5:$B$304,0))&amp;"",""))</f>
        <v/>
      </c>
      <c r="E528" s="17"/>
      <c r="F528" s="17"/>
      <c r="G528" s="29"/>
      <c r="H528" s="17"/>
      <c r="I528" s="29"/>
      <c r="J528" s="26" t="str">
        <f aca="false">IF(OR(G528="",I528=""),"",G528-I528)</f>
        <v/>
      </c>
      <c r="K528" s="26" t="str">
        <f aca="false">IF(J528="","",J528*12)</f>
        <v/>
      </c>
      <c r="L528" s="29"/>
      <c r="M528" s="27" t="str">
        <f aca="false">IF(OR(L528="",J528=""),"",IF(J528&lt;=0,"回収不可",L528/J528))</f>
        <v/>
      </c>
      <c r="N528" s="22"/>
      <c r="O528" s="17"/>
      <c r="P528" s="22"/>
      <c r="Q528" s="22"/>
      <c r="R528" s="28" t="str">
        <f aca="true">IF(OR(P528="",Q528&lt;&gt;"",O528="キャンセル"),"",P528-TODAY())</f>
        <v/>
      </c>
      <c r="S528" s="29"/>
      <c r="T528" s="22"/>
      <c r="U528" s="17"/>
      <c r="V528" s="22"/>
      <c r="W528" s="19" t="str">
        <f aca="true">IF(B528="","",IF(OR(O528="開通済",Q528&lt;&gt;""),"完了",IF(O528="キャンセル","―",IF(AND(V528&lt;&gt;"",V528&lt;TODAY()),"対応期限超過",IF(AND(P528&lt;&gt;"",P528&lt;TODAY()),"開通予定日超過",IF(AND(V528&lt;&gt;"",V528=TODAY()),"本日対応",IF(AND(P528&lt;&gt;"",P528-TODAY()&lt;=3),"開通間近","")))))))</f>
        <v/>
      </c>
      <c r="X528" s="17"/>
    </row>
    <row r="529" customFormat="false" ht="15" hidden="false" customHeight="false" outlineLevel="0" collapsed="false">
      <c r="A529" s="12" t="str">
        <f aca="false">IF(B529="","",ROW()-4)</f>
        <v/>
      </c>
      <c r="B529" s="17"/>
      <c r="C529" s="19" t="str">
        <f aca="false">IF(B529="","",IFERROR(INDEX(顧客一覧!$C$5:$C$304,MATCH(B529,顧客一覧!$B$5:$B$304,0)),"※ID未登録"))</f>
        <v/>
      </c>
      <c r="D529" s="12" t="str">
        <f aca="false">IF(B529="","",IFERROR(INDEX(顧客一覧!$K$5:$K$304,MATCH(B529,顧客一覧!$B$5:$B$304,0))&amp;"",""))</f>
        <v/>
      </c>
      <c r="E529" s="17"/>
      <c r="F529" s="17"/>
      <c r="G529" s="29"/>
      <c r="H529" s="17"/>
      <c r="I529" s="29"/>
      <c r="J529" s="26" t="str">
        <f aca="false">IF(OR(G529="",I529=""),"",G529-I529)</f>
        <v/>
      </c>
      <c r="K529" s="26" t="str">
        <f aca="false">IF(J529="","",J529*12)</f>
        <v/>
      </c>
      <c r="L529" s="29"/>
      <c r="M529" s="27" t="str">
        <f aca="false">IF(OR(L529="",J529=""),"",IF(J529&lt;=0,"回収不可",L529/J529))</f>
        <v/>
      </c>
      <c r="N529" s="22"/>
      <c r="O529" s="17"/>
      <c r="P529" s="22"/>
      <c r="Q529" s="22"/>
      <c r="R529" s="28" t="str">
        <f aca="true">IF(OR(P529="",Q529&lt;&gt;"",O529="キャンセル"),"",P529-TODAY())</f>
        <v/>
      </c>
      <c r="S529" s="29"/>
      <c r="T529" s="22"/>
      <c r="U529" s="17"/>
      <c r="V529" s="22"/>
      <c r="W529" s="19" t="str">
        <f aca="true">IF(B529="","",IF(OR(O529="開通済",Q529&lt;&gt;""),"完了",IF(O529="キャンセル","―",IF(AND(V529&lt;&gt;"",V529&lt;TODAY()),"対応期限超過",IF(AND(P529&lt;&gt;"",P529&lt;TODAY()),"開通予定日超過",IF(AND(V529&lt;&gt;"",V529=TODAY()),"本日対応",IF(AND(P529&lt;&gt;"",P529-TODAY()&lt;=3),"開通間近","")))))))</f>
        <v/>
      </c>
      <c r="X529" s="17"/>
    </row>
    <row r="530" customFormat="false" ht="15" hidden="false" customHeight="false" outlineLevel="0" collapsed="false">
      <c r="A530" s="12" t="str">
        <f aca="false">IF(B530="","",ROW()-4)</f>
        <v/>
      </c>
      <c r="B530" s="17"/>
      <c r="C530" s="19" t="str">
        <f aca="false">IF(B530="","",IFERROR(INDEX(顧客一覧!$C$5:$C$304,MATCH(B530,顧客一覧!$B$5:$B$304,0)),"※ID未登録"))</f>
        <v/>
      </c>
      <c r="D530" s="12" t="str">
        <f aca="false">IF(B530="","",IFERROR(INDEX(顧客一覧!$K$5:$K$304,MATCH(B530,顧客一覧!$B$5:$B$304,0))&amp;"",""))</f>
        <v/>
      </c>
      <c r="E530" s="17"/>
      <c r="F530" s="17"/>
      <c r="G530" s="29"/>
      <c r="H530" s="17"/>
      <c r="I530" s="29"/>
      <c r="J530" s="26" t="str">
        <f aca="false">IF(OR(G530="",I530=""),"",G530-I530)</f>
        <v/>
      </c>
      <c r="K530" s="26" t="str">
        <f aca="false">IF(J530="","",J530*12)</f>
        <v/>
      </c>
      <c r="L530" s="29"/>
      <c r="M530" s="27" t="str">
        <f aca="false">IF(OR(L530="",J530=""),"",IF(J530&lt;=0,"回収不可",L530/J530))</f>
        <v/>
      </c>
      <c r="N530" s="22"/>
      <c r="O530" s="17"/>
      <c r="P530" s="22"/>
      <c r="Q530" s="22"/>
      <c r="R530" s="28" t="str">
        <f aca="true">IF(OR(P530="",Q530&lt;&gt;"",O530="キャンセル"),"",P530-TODAY())</f>
        <v/>
      </c>
      <c r="S530" s="29"/>
      <c r="T530" s="22"/>
      <c r="U530" s="17"/>
      <c r="V530" s="22"/>
      <c r="W530" s="19" t="str">
        <f aca="true">IF(B530="","",IF(OR(O530="開通済",Q530&lt;&gt;""),"完了",IF(O530="キャンセル","―",IF(AND(V530&lt;&gt;"",V530&lt;TODAY()),"対応期限超過",IF(AND(P530&lt;&gt;"",P530&lt;TODAY()),"開通予定日超過",IF(AND(V530&lt;&gt;"",V530=TODAY()),"本日対応",IF(AND(P530&lt;&gt;"",P530-TODAY()&lt;=3),"開通間近","")))))))</f>
        <v/>
      </c>
      <c r="X530" s="17"/>
    </row>
    <row r="531" customFormat="false" ht="15" hidden="false" customHeight="false" outlineLevel="0" collapsed="false">
      <c r="A531" s="12" t="str">
        <f aca="false">IF(B531="","",ROW()-4)</f>
        <v/>
      </c>
      <c r="B531" s="17"/>
      <c r="C531" s="19" t="str">
        <f aca="false">IF(B531="","",IFERROR(INDEX(顧客一覧!$C$5:$C$304,MATCH(B531,顧客一覧!$B$5:$B$304,0)),"※ID未登録"))</f>
        <v/>
      </c>
      <c r="D531" s="12" t="str">
        <f aca="false">IF(B531="","",IFERROR(INDEX(顧客一覧!$K$5:$K$304,MATCH(B531,顧客一覧!$B$5:$B$304,0))&amp;"",""))</f>
        <v/>
      </c>
      <c r="E531" s="17"/>
      <c r="F531" s="17"/>
      <c r="G531" s="29"/>
      <c r="H531" s="17"/>
      <c r="I531" s="29"/>
      <c r="J531" s="26" t="str">
        <f aca="false">IF(OR(G531="",I531=""),"",G531-I531)</f>
        <v/>
      </c>
      <c r="K531" s="26" t="str">
        <f aca="false">IF(J531="","",J531*12)</f>
        <v/>
      </c>
      <c r="L531" s="29"/>
      <c r="M531" s="27" t="str">
        <f aca="false">IF(OR(L531="",J531=""),"",IF(J531&lt;=0,"回収不可",L531/J531))</f>
        <v/>
      </c>
      <c r="N531" s="22"/>
      <c r="O531" s="17"/>
      <c r="P531" s="22"/>
      <c r="Q531" s="22"/>
      <c r="R531" s="28" t="str">
        <f aca="true">IF(OR(P531="",Q531&lt;&gt;"",O531="キャンセル"),"",P531-TODAY())</f>
        <v/>
      </c>
      <c r="S531" s="29"/>
      <c r="T531" s="22"/>
      <c r="U531" s="17"/>
      <c r="V531" s="22"/>
      <c r="W531" s="19" t="str">
        <f aca="true">IF(B531="","",IF(OR(O531="開通済",Q531&lt;&gt;""),"完了",IF(O531="キャンセル","―",IF(AND(V531&lt;&gt;"",V531&lt;TODAY()),"対応期限超過",IF(AND(P531&lt;&gt;"",P531&lt;TODAY()),"開通予定日超過",IF(AND(V531&lt;&gt;"",V531=TODAY()),"本日対応",IF(AND(P531&lt;&gt;"",P531-TODAY()&lt;=3),"開通間近","")))))))</f>
        <v/>
      </c>
      <c r="X531" s="17"/>
    </row>
    <row r="532" customFormat="false" ht="15" hidden="false" customHeight="false" outlineLevel="0" collapsed="false">
      <c r="A532" s="12" t="str">
        <f aca="false">IF(B532="","",ROW()-4)</f>
        <v/>
      </c>
      <c r="B532" s="17"/>
      <c r="C532" s="19" t="str">
        <f aca="false">IF(B532="","",IFERROR(INDEX(顧客一覧!$C$5:$C$304,MATCH(B532,顧客一覧!$B$5:$B$304,0)),"※ID未登録"))</f>
        <v/>
      </c>
      <c r="D532" s="12" t="str">
        <f aca="false">IF(B532="","",IFERROR(INDEX(顧客一覧!$K$5:$K$304,MATCH(B532,顧客一覧!$B$5:$B$304,0))&amp;"",""))</f>
        <v/>
      </c>
      <c r="E532" s="17"/>
      <c r="F532" s="17"/>
      <c r="G532" s="29"/>
      <c r="H532" s="17"/>
      <c r="I532" s="29"/>
      <c r="J532" s="26" t="str">
        <f aca="false">IF(OR(G532="",I532=""),"",G532-I532)</f>
        <v/>
      </c>
      <c r="K532" s="26" t="str">
        <f aca="false">IF(J532="","",J532*12)</f>
        <v/>
      </c>
      <c r="L532" s="29"/>
      <c r="M532" s="27" t="str">
        <f aca="false">IF(OR(L532="",J532=""),"",IF(J532&lt;=0,"回収不可",L532/J532))</f>
        <v/>
      </c>
      <c r="N532" s="22"/>
      <c r="O532" s="17"/>
      <c r="P532" s="22"/>
      <c r="Q532" s="22"/>
      <c r="R532" s="28" t="str">
        <f aca="true">IF(OR(P532="",Q532&lt;&gt;"",O532="キャンセル"),"",P532-TODAY())</f>
        <v/>
      </c>
      <c r="S532" s="29"/>
      <c r="T532" s="22"/>
      <c r="U532" s="17"/>
      <c r="V532" s="22"/>
      <c r="W532" s="19" t="str">
        <f aca="true">IF(B532="","",IF(OR(O532="開通済",Q532&lt;&gt;""),"完了",IF(O532="キャンセル","―",IF(AND(V532&lt;&gt;"",V532&lt;TODAY()),"対応期限超過",IF(AND(P532&lt;&gt;"",P532&lt;TODAY()),"開通予定日超過",IF(AND(V532&lt;&gt;"",V532=TODAY()),"本日対応",IF(AND(P532&lt;&gt;"",P532-TODAY()&lt;=3),"開通間近","")))))))</f>
        <v/>
      </c>
      <c r="X532" s="17"/>
    </row>
    <row r="533" customFormat="false" ht="15" hidden="false" customHeight="false" outlineLevel="0" collapsed="false">
      <c r="A533" s="12" t="str">
        <f aca="false">IF(B533="","",ROW()-4)</f>
        <v/>
      </c>
      <c r="B533" s="17"/>
      <c r="C533" s="19" t="str">
        <f aca="false">IF(B533="","",IFERROR(INDEX(顧客一覧!$C$5:$C$304,MATCH(B533,顧客一覧!$B$5:$B$304,0)),"※ID未登録"))</f>
        <v/>
      </c>
      <c r="D533" s="12" t="str">
        <f aca="false">IF(B533="","",IFERROR(INDEX(顧客一覧!$K$5:$K$304,MATCH(B533,顧客一覧!$B$5:$B$304,0))&amp;"",""))</f>
        <v/>
      </c>
      <c r="E533" s="17"/>
      <c r="F533" s="17"/>
      <c r="G533" s="29"/>
      <c r="H533" s="17"/>
      <c r="I533" s="29"/>
      <c r="J533" s="26" t="str">
        <f aca="false">IF(OR(G533="",I533=""),"",G533-I533)</f>
        <v/>
      </c>
      <c r="K533" s="26" t="str">
        <f aca="false">IF(J533="","",J533*12)</f>
        <v/>
      </c>
      <c r="L533" s="29"/>
      <c r="M533" s="27" t="str">
        <f aca="false">IF(OR(L533="",J533=""),"",IF(J533&lt;=0,"回収不可",L533/J533))</f>
        <v/>
      </c>
      <c r="N533" s="22"/>
      <c r="O533" s="17"/>
      <c r="P533" s="22"/>
      <c r="Q533" s="22"/>
      <c r="R533" s="28" t="str">
        <f aca="true">IF(OR(P533="",Q533&lt;&gt;"",O533="キャンセル"),"",P533-TODAY())</f>
        <v/>
      </c>
      <c r="S533" s="29"/>
      <c r="T533" s="22"/>
      <c r="U533" s="17"/>
      <c r="V533" s="22"/>
      <c r="W533" s="19" t="str">
        <f aca="true">IF(B533="","",IF(OR(O533="開通済",Q533&lt;&gt;""),"完了",IF(O533="キャンセル","―",IF(AND(V533&lt;&gt;"",V533&lt;TODAY()),"対応期限超過",IF(AND(P533&lt;&gt;"",P533&lt;TODAY()),"開通予定日超過",IF(AND(V533&lt;&gt;"",V533=TODAY()),"本日対応",IF(AND(P533&lt;&gt;"",P533-TODAY()&lt;=3),"開通間近","")))))))</f>
        <v/>
      </c>
      <c r="X533" s="17"/>
    </row>
    <row r="534" customFormat="false" ht="15" hidden="false" customHeight="false" outlineLevel="0" collapsed="false">
      <c r="A534" s="12" t="str">
        <f aca="false">IF(B534="","",ROW()-4)</f>
        <v/>
      </c>
      <c r="B534" s="17"/>
      <c r="C534" s="19" t="str">
        <f aca="false">IF(B534="","",IFERROR(INDEX(顧客一覧!$C$5:$C$304,MATCH(B534,顧客一覧!$B$5:$B$304,0)),"※ID未登録"))</f>
        <v/>
      </c>
      <c r="D534" s="12" t="str">
        <f aca="false">IF(B534="","",IFERROR(INDEX(顧客一覧!$K$5:$K$304,MATCH(B534,顧客一覧!$B$5:$B$304,0))&amp;"",""))</f>
        <v/>
      </c>
      <c r="E534" s="17"/>
      <c r="F534" s="17"/>
      <c r="G534" s="29"/>
      <c r="H534" s="17"/>
      <c r="I534" s="29"/>
      <c r="J534" s="26" t="str">
        <f aca="false">IF(OR(G534="",I534=""),"",G534-I534)</f>
        <v/>
      </c>
      <c r="K534" s="26" t="str">
        <f aca="false">IF(J534="","",J534*12)</f>
        <v/>
      </c>
      <c r="L534" s="29"/>
      <c r="M534" s="27" t="str">
        <f aca="false">IF(OR(L534="",J534=""),"",IF(J534&lt;=0,"回収不可",L534/J534))</f>
        <v/>
      </c>
      <c r="N534" s="22"/>
      <c r="O534" s="17"/>
      <c r="P534" s="22"/>
      <c r="Q534" s="22"/>
      <c r="R534" s="28" t="str">
        <f aca="true">IF(OR(P534="",Q534&lt;&gt;"",O534="キャンセル"),"",P534-TODAY())</f>
        <v/>
      </c>
      <c r="S534" s="29"/>
      <c r="T534" s="22"/>
      <c r="U534" s="17"/>
      <c r="V534" s="22"/>
      <c r="W534" s="19" t="str">
        <f aca="true">IF(B534="","",IF(OR(O534="開通済",Q534&lt;&gt;""),"完了",IF(O534="キャンセル","―",IF(AND(V534&lt;&gt;"",V534&lt;TODAY()),"対応期限超過",IF(AND(P534&lt;&gt;"",P534&lt;TODAY()),"開通予定日超過",IF(AND(V534&lt;&gt;"",V534=TODAY()),"本日対応",IF(AND(P534&lt;&gt;"",P534-TODAY()&lt;=3),"開通間近","")))))))</f>
        <v/>
      </c>
      <c r="X534" s="17"/>
    </row>
    <row r="535" customFormat="false" ht="15" hidden="false" customHeight="false" outlineLevel="0" collapsed="false">
      <c r="A535" s="12" t="str">
        <f aca="false">IF(B535="","",ROW()-4)</f>
        <v/>
      </c>
      <c r="B535" s="17"/>
      <c r="C535" s="19" t="str">
        <f aca="false">IF(B535="","",IFERROR(INDEX(顧客一覧!$C$5:$C$304,MATCH(B535,顧客一覧!$B$5:$B$304,0)),"※ID未登録"))</f>
        <v/>
      </c>
      <c r="D535" s="12" t="str">
        <f aca="false">IF(B535="","",IFERROR(INDEX(顧客一覧!$K$5:$K$304,MATCH(B535,顧客一覧!$B$5:$B$304,0))&amp;"",""))</f>
        <v/>
      </c>
      <c r="E535" s="17"/>
      <c r="F535" s="17"/>
      <c r="G535" s="29"/>
      <c r="H535" s="17"/>
      <c r="I535" s="29"/>
      <c r="J535" s="26" t="str">
        <f aca="false">IF(OR(G535="",I535=""),"",G535-I535)</f>
        <v/>
      </c>
      <c r="K535" s="26" t="str">
        <f aca="false">IF(J535="","",J535*12)</f>
        <v/>
      </c>
      <c r="L535" s="29"/>
      <c r="M535" s="27" t="str">
        <f aca="false">IF(OR(L535="",J535=""),"",IF(J535&lt;=0,"回収不可",L535/J535))</f>
        <v/>
      </c>
      <c r="N535" s="22"/>
      <c r="O535" s="17"/>
      <c r="P535" s="22"/>
      <c r="Q535" s="22"/>
      <c r="R535" s="28" t="str">
        <f aca="true">IF(OR(P535="",Q535&lt;&gt;"",O535="キャンセル"),"",P535-TODAY())</f>
        <v/>
      </c>
      <c r="S535" s="29"/>
      <c r="T535" s="22"/>
      <c r="U535" s="17"/>
      <c r="V535" s="22"/>
      <c r="W535" s="19" t="str">
        <f aca="true">IF(B535="","",IF(OR(O535="開通済",Q535&lt;&gt;""),"完了",IF(O535="キャンセル","―",IF(AND(V535&lt;&gt;"",V535&lt;TODAY()),"対応期限超過",IF(AND(P535&lt;&gt;"",P535&lt;TODAY()),"開通予定日超過",IF(AND(V535&lt;&gt;"",V535=TODAY()),"本日対応",IF(AND(P535&lt;&gt;"",P535-TODAY()&lt;=3),"開通間近","")))))))</f>
        <v/>
      </c>
      <c r="X535" s="17"/>
    </row>
    <row r="536" customFormat="false" ht="15" hidden="false" customHeight="false" outlineLevel="0" collapsed="false">
      <c r="A536" s="12" t="str">
        <f aca="false">IF(B536="","",ROW()-4)</f>
        <v/>
      </c>
      <c r="B536" s="17"/>
      <c r="C536" s="19" t="str">
        <f aca="false">IF(B536="","",IFERROR(INDEX(顧客一覧!$C$5:$C$304,MATCH(B536,顧客一覧!$B$5:$B$304,0)),"※ID未登録"))</f>
        <v/>
      </c>
      <c r="D536" s="12" t="str">
        <f aca="false">IF(B536="","",IFERROR(INDEX(顧客一覧!$K$5:$K$304,MATCH(B536,顧客一覧!$B$5:$B$304,0))&amp;"",""))</f>
        <v/>
      </c>
      <c r="E536" s="17"/>
      <c r="F536" s="17"/>
      <c r="G536" s="29"/>
      <c r="H536" s="17"/>
      <c r="I536" s="29"/>
      <c r="J536" s="26" t="str">
        <f aca="false">IF(OR(G536="",I536=""),"",G536-I536)</f>
        <v/>
      </c>
      <c r="K536" s="26" t="str">
        <f aca="false">IF(J536="","",J536*12)</f>
        <v/>
      </c>
      <c r="L536" s="29"/>
      <c r="M536" s="27" t="str">
        <f aca="false">IF(OR(L536="",J536=""),"",IF(J536&lt;=0,"回収不可",L536/J536))</f>
        <v/>
      </c>
      <c r="N536" s="22"/>
      <c r="O536" s="17"/>
      <c r="P536" s="22"/>
      <c r="Q536" s="22"/>
      <c r="R536" s="28" t="str">
        <f aca="true">IF(OR(P536="",Q536&lt;&gt;"",O536="キャンセル"),"",P536-TODAY())</f>
        <v/>
      </c>
      <c r="S536" s="29"/>
      <c r="T536" s="22"/>
      <c r="U536" s="17"/>
      <c r="V536" s="22"/>
      <c r="W536" s="19" t="str">
        <f aca="true">IF(B536="","",IF(OR(O536="開通済",Q536&lt;&gt;""),"完了",IF(O536="キャンセル","―",IF(AND(V536&lt;&gt;"",V536&lt;TODAY()),"対応期限超過",IF(AND(P536&lt;&gt;"",P536&lt;TODAY()),"開通予定日超過",IF(AND(V536&lt;&gt;"",V536=TODAY()),"本日対応",IF(AND(P536&lt;&gt;"",P536-TODAY()&lt;=3),"開通間近","")))))))</f>
        <v/>
      </c>
      <c r="X536" s="17"/>
    </row>
    <row r="537" customFormat="false" ht="15" hidden="false" customHeight="false" outlineLevel="0" collapsed="false">
      <c r="A537" s="12" t="str">
        <f aca="false">IF(B537="","",ROW()-4)</f>
        <v/>
      </c>
      <c r="B537" s="17"/>
      <c r="C537" s="19" t="str">
        <f aca="false">IF(B537="","",IFERROR(INDEX(顧客一覧!$C$5:$C$304,MATCH(B537,顧客一覧!$B$5:$B$304,0)),"※ID未登録"))</f>
        <v/>
      </c>
      <c r="D537" s="12" t="str">
        <f aca="false">IF(B537="","",IFERROR(INDEX(顧客一覧!$K$5:$K$304,MATCH(B537,顧客一覧!$B$5:$B$304,0))&amp;"",""))</f>
        <v/>
      </c>
      <c r="E537" s="17"/>
      <c r="F537" s="17"/>
      <c r="G537" s="29"/>
      <c r="H537" s="17"/>
      <c r="I537" s="29"/>
      <c r="J537" s="26" t="str">
        <f aca="false">IF(OR(G537="",I537=""),"",G537-I537)</f>
        <v/>
      </c>
      <c r="K537" s="26" t="str">
        <f aca="false">IF(J537="","",J537*12)</f>
        <v/>
      </c>
      <c r="L537" s="29"/>
      <c r="M537" s="27" t="str">
        <f aca="false">IF(OR(L537="",J537=""),"",IF(J537&lt;=0,"回収不可",L537/J537))</f>
        <v/>
      </c>
      <c r="N537" s="22"/>
      <c r="O537" s="17"/>
      <c r="P537" s="22"/>
      <c r="Q537" s="22"/>
      <c r="R537" s="28" t="str">
        <f aca="true">IF(OR(P537="",Q537&lt;&gt;"",O537="キャンセル"),"",P537-TODAY())</f>
        <v/>
      </c>
      <c r="S537" s="29"/>
      <c r="T537" s="22"/>
      <c r="U537" s="17"/>
      <c r="V537" s="22"/>
      <c r="W537" s="19" t="str">
        <f aca="true">IF(B537="","",IF(OR(O537="開通済",Q537&lt;&gt;""),"完了",IF(O537="キャンセル","―",IF(AND(V537&lt;&gt;"",V537&lt;TODAY()),"対応期限超過",IF(AND(P537&lt;&gt;"",P537&lt;TODAY()),"開通予定日超過",IF(AND(V537&lt;&gt;"",V537=TODAY()),"本日対応",IF(AND(P537&lt;&gt;"",P537-TODAY()&lt;=3),"開通間近","")))))))</f>
        <v/>
      </c>
      <c r="X537" s="17"/>
    </row>
    <row r="538" customFormat="false" ht="15" hidden="false" customHeight="false" outlineLevel="0" collapsed="false">
      <c r="A538" s="12" t="str">
        <f aca="false">IF(B538="","",ROW()-4)</f>
        <v/>
      </c>
      <c r="B538" s="17"/>
      <c r="C538" s="19" t="str">
        <f aca="false">IF(B538="","",IFERROR(INDEX(顧客一覧!$C$5:$C$304,MATCH(B538,顧客一覧!$B$5:$B$304,0)),"※ID未登録"))</f>
        <v/>
      </c>
      <c r="D538" s="12" t="str">
        <f aca="false">IF(B538="","",IFERROR(INDEX(顧客一覧!$K$5:$K$304,MATCH(B538,顧客一覧!$B$5:$B$304,0))&amp;"",""))</f>
        <v/>
      </c>
      <c r="E538" s="17"/>
      <c r="F538" s="17"/>
      <c r="G538" s="29"/>
      <c r="H538" s="17"/>
      <c r="I538" s="29"/>
      <c r="J538" s="26" t="str">
        <f aca="false">IF(OR(G538="",I538=""),"",G538-I538)</f>
        <v/>
      </c>
      <c r="K538" s="26" t="str">
        <f aca="false">IF(J538="","",J538*12)</f>
        <v/>
      </c>
      <c r="L538" s="29"/>
      <c r="M538" s="27" t="str">
        <f aca="false">IF(OR(L538="",J538=""),"",IF(J538&lt;=0,"回収不可",L538/J538))</f>
        <v/>
      </c>
      <c r="N538" s="22"/>
      <c r="O538" s="17"/>
      <c r="P538" s="22"/>
      <c r="Q538" s="22"/>
      <c r="R538" s="28" t="str">
        <f aca="true">IF(OR(P538="",Q538&lt;&gt;"",O538="キャンセル"),"",P538-TODAY())</f>
        <v/>
      </c>
      <c r="S538" s="29"/>
      <c r="T538" s="22"/>
      <c r="U538" s="17"/>
      <c r="V538" s="22"/>
      <c r="W538" s="19" t="str">
        <f aca="true">IF(B538="","",IF(OR(O538="開通済",Q538&lt;&gt;""),"完了",IF(O538="キャンセル","―",IF(AND(V538&lt;&gt;"",V538&lt;TODAY()),"対応期限超過",IF(AND(P538&lt;&gt;"",P538&lt;TODAY()),"開通予定日超過",IF(AND(V538&lt;&gt;"",V538=TODAY()),"本日対応",IF(AND(P538&lt;&gt;"",P538-TODAY()&lt;=3),"開通間近","")))))))</f>
        <v/>
      </c>
      <c r="X538" s="17"/>
    </row>
    <row r="539" customFormat="false" ht="15" hidden="false" customHeight="false" outlineLevel="0" collapsed="false">
      <c r="A539" s="12" t="str">
        <f aca="false">IF(B539="","",ROW()-4)</f>
        <v/>
      </c>
      <c r="B539" s="17"/>
      <c r="C539" s="19" t="str">
        <f aca="false">IF(B539="","",IFERROR(INDEX(顧客一覧!$C$5:$C$304,MATCH(B539,顧客一覧!$B$5:$B$304,0)),"※ID未登録"))</f>
        <v/>
      </c>
      <c r="D539" s="12" t="str">
        <f aca="false">IF(B539="","",IFERROR(INDEX(顧客一覧!$K$5:$K$304,MATCH(B539,顧客一覧!$B$5:$B$304,0))&amp;"",""))</f>
        <v/>
      </c>
      <c r="E539" s="17"/>
      <c r="F539" s="17"/>
      <c r="G539" s="29"/>
      <c r="H539" s="17"/>
      <c r="I539" s="29"/>
      <c r="J539" s="26" t="str">
        <f aca="false">IF(OR(G539="",I539=""),"",G539-I539)</f>
        <v/>
      </c>
      <c r="K539" s="26" t="str">
        <f aca="false">IF(J539="","",J539*12)</f>
        <v/>
      </c>
      <c r="L539" s="29"/>
      <c r="M539" s="27" t="str">
        <f aca="false">IF(OR(L539="",J539=""),"",IF(J539&lt;=0,"回収不可",L539/J539))</f>
        <v/>
      </c>
      <c r="N539" s="22"/>
      <c r="O539" s="17"/>
      <c r="P539" s="22"/>
      <c r="Q539" s="22"/>
      <c r="R539" s="28" t="str">
        <f aca="true">IF(OR(P539="",Q539&lt;&gt;"",O539="キャンセル"),"",P539-TODAY())</f>
        <v/>
      </c>
      <c r="S539" s="29"/>
      <c r="T539" s="22"/>
      <c r="U539" s="17"/>
      <c r="V539" s="22"/>
      <c r="W539" s="19" t="str">
        <f aca="true">IF(B539="","",IF(OR(O539="開通済",Q539&lt;&gt;""),"完了",IF(O539="キャンセル","―",IF(AND(V539&lt;&gt;"",V539&lt;TODAY()),"対応期限超過",IF(AND(P539&lt;&gt;"",P539&lt;TODAY()),"開通予定日超過",IF(AND(V539&lt;&gt;"",V539=TODAY()),"本日対応",IF(AND(P539&lt;&gt;"",P539-TODAY()&lt;=3),"開通間近","")))))))</f>
        <v/>
      </c>
      <c r="X539" s="17"/>
    </row>
    <row r="540" customFormat="false" ht="15" hidden="false" customHeight="false" outlineLevel="0" collapsed="false">
      <c r="A540" s="12" t="str">
        <f aca="false">IF(B540="","",ROW()-4)</f>
        <v/>
      </c>
      <c r="B540" s="17"/>
      <c r="C540" s="19" t="str">
        <f aca="false">IF(B540="","",IFERROR(INDEX(顧客一覧!$C$5:$C$304,MATCH(B540,顧客一覧!$B$5:$B$304,0)),"※ID未登録"))</f>
        <v/>
      </c>
      <c r="D540" s="12" t="str">
        <f aca="false">IF(B540="","",IFERROR(INDEX(顧客一覧!$K$5:$K$304,MATCH(B540,顧客一覧!$B$5:$B$304,0))&amp;"",""))</f>
        <v/>
      </c>
      <c r="E540" s="17"/>
      <c r="F540" s="17"/>
      <c r="G540" s="29"/>
      <c r="H540" s="17"/>
      <c r="I540" s="29"/>
      <c r="J540" s="26" t="str">
        <f aca="false">IF(OR(G540="",I540=""),"",G540-I540)</f>
        <v/>
      </c>
      <c r="K540" s="26" t="str">
        <f aca="false">IF(J540="","",J540*12)</f>
        <v/>
      </c>
      <c r="L540" s="29"/>
      <c r="M540" s="27" t="str">
        <f aca="false">IF(OR(L540="",J540=""),"",IF(J540&lt;=0,"回収不可",L540/J540))</f>
        <v/>
      </c>
      <c r="N540" s="22"/>
      <c r="O540" s="17"/>
      <c r="P540" s="22"/>
      <c r="Q540" s="22"/>
      <c r="R540" s="28" t="str">
        <f aca="true">IF(OR(P540="",Q540&lt;&gt;"",O540="キャンセル"),"",P540-TODAY())</f>
        <v/>
      </c>
      <c r="S540" s="29"/>
      <c r="T540" s="22"/>
      <c r="U540" s="17"/>
      <c r="V540" s="22"/>
      <c r="W540" s="19" t="str">
        <f aca="true">IF(B540="","",IF(OR(O540="開通済",Q540&lt;&gt;""),"完了",IF(O540="キャンセル","―",IF(AND(V540&lt;&gt;"",V540&lt;TODAY()),"対応期限超過",IF(AND(P540&lt;&gt;"",P540&lt;TODAY()),"開通予定日超過",IF(AND(V540&lt;&gt;"",V540=TODAY()),"本日対応",IF(AND(P540&lt;&gt;"",P540-TODAY()&lt;=3),"開通間近","")))))))</f>
        <v/>
      </c>
      <c r="X540" s="17"/>
    </row>
    <row r="541" customFormat="false" ht="15" hidden="false" customHeight="false" outlineLevel="0" collapsed="false">
      <c r="A541" s="12" t="str">
        <f aca="false">IF(B541="","",ROW()-4)</f>
        <v/>
      </c>
      <c r="B541" s="17"/>
      <c r="C541" s="19" t="str">
        <f aca="false">IF(B541="","",IFERROR(INDEX(顧客一覧!$C$5:$C$304,MATCH(B541,顧客一覧!$B$5:$B$304,0)),"※ID未登録"))</f>
        <v/>
      </c>
      <c r="D541" s="12" t="str">
        <f aca="false">IF(B541="","",IFERROR(INDEX(顧客一覧!$K$5:$K$304,MATCH(B541,顧客一覧!$B$5:$B$304,0))&amp;"",""))</f>
        <v/>
      </c>
      <c r="E541" s="17"/>
      <c r="F541" s="17"/>
      <c r="G541" s="29"/>
      <c r="H541" s="17"/>
      <c r="I541" s="29"/>
      <c r="J541" s="26" t="str">
        <f aca="false">IF(OR(G541="",I541=""),"",G541-I541)</f>
        <v/>
      </c>
      <c r="K541" s="26" t="str">
        <f aca="false">IF(J541="","",J541*12)</f>
        <v/>
      </c>
      <c r="L541" s="29"/>
      <c r="M541" s="27" t="str">
        <f aca="false">IF(OR(L541="",J541=""),"",IF(J541&lt;=0,"回収不可",L541/J541))</f>
        <v/>
      </c>
      <c r="N541" s="22"/>
      <c r="O541" s="17"/>
      <c r="P541" s="22"/>
      <c r="Q541" s="22"/>
      <c r="R541" s="28" t="str">
        <f aca="true">IF(OR(P541="",Q541&lt;&gt;"",O541="キャンセル"),"",P541-TODAY())</f>
        <v/>
      </c>
      <c r="S541" s="29"/>
      <c r="T541" s="22"/>
      <c r="U541" s="17"/>
      <c r="V541" s="22"/>
      <c r="W541" s="19" t="str">
        <f aca="true">IF(B541="","",IF(OR(O541="開通済",Q541&lt;&gt;""),"完了",IF(O541="キャンセル","―",IF(AND(V541&lt;&gt;"",V541&lt;TODAY()),"対応期限超過",IF(AND(P541&lt;&gt;"",P541&lt;TODAY()),"開通予定日超過",IF(AND(V541&lt;&gt;"",V541=TODAY()),"本日対応",IF(AND(P541&lt;&gt;"",P541-TODAY()&lt;=3),"開通間近","")))))))</f>
        <v/>
      </c>
      <c r="X541" s="17"/>
    </row>
    <row r="542" customFormat="false" ht="15" hidden="false" customHeight="false" outlineLevel="0" collapsed="false">
      <c r="A542" s="12" t="str">
        <f aca="false">IF(B542="","",ROW()-4)</f>
        <v/>
      </c>
      <c r="B542" s="17"/>
      <c r="C542" s="19" t="str">
        <f aca="false">IF(B542="","",IFERROR(INDEX(顧客一覧!$C$5:$C$304,MATCH(B542,顧客一覧!$B$5:$B$304,0)),"※ID未登録"))</f>
        <v/>
      </c>
      <c r="D542" s="12" t="str">
        <f aca="false">IF(B542="","",IFERROR(INDEX(顧客一覧!$K$5:$K$304,MATCH(B542,顧客一覧!$B$5:$B$304,0))&amp;"",""))</f>
        <v/>
      </c>
      <c r="E542" s="17"/>
      <c r="F542" s="17"/>
      <c r="G542" s="29"/>
      <c r="H542" s="17"/>
      <c r="I542" s="29"/>
      <c r="J542" s="26" t="str">
        <f aca="false">IF(OR(G542="",I542=""),"",G542-I542)</f>
        <v/>
      </c>
      <c r="K542" s="26" t="str">
        <f aca="false">IF(J542="","",J542*12)</f>
        <v/>
      </c>
      <c r="L542" s="29"/>
      <c r="M542" s="27" t="str">
        <f aca="false">IF(OR(L542="",J542=""),"",IF(J542&lt;=0,"回収不可",L542/J542))</f>
        <v/>
      </c>
      <c r="N542" s="22"/>
      <c r="O542" s="17"/>
      <c r="P542" s="22"/>
      <c r="Q542" s="22"/>
      <c r="R542" s="28" t="str">
        <f aca="true">IF(OR(P542="",Q542&lt;&gt;"",O542="キャンセル"),"",P542-TODAY())</f>
        <v/>
      </c>
      <c r="S542" s="29"/>
      <c r="T542" s="22"/>
      <c r="U542" s="17"/>
      <c r="V542" s="22"/>
      <c r="W542" s="19" t="str">
        <f aca="true">IF(B542="","",IF(OR(O542="開通済",Q542&lt;&gt;""),"完了",IF(O542="キャンセル","―",IF(AND(V542&lt;&gt;"",V542&lt;TODAY()),"対応期限超過",IF(AND(P542&lt;&gt;"",P542&lt;TODAY()),"開通予定日超過",IF(AND(V542&lt;&gt;"",V542=TODAY()),"本日対応",IF(AND(P542&lt;&gt;"",P542-TODAY()&lt;=3),"開通間近","")))))))</f>
        <v/>
      </c>
      <c r="X542" s="17"/>
    </row>
    <row r="543" customFormat="false" ht="15" hidden="false" customHeight="false" outlineLevel="0" collapsed="false">
      <c r="A543" s="12" t="str">
        <f aca="false">IF(B543="","",ROW()-4)</f>
        <v/>
      </c>
      <c r="B543" s="17"/>
      <c r="C543" s="19" t="str">
        <f aca="false">IF(B543="","",IFERROR(INDEX(顧客一覧!$C$5:$C$304,MATCH(B543,顧客一覧!$B$5:$B$304,0)),"※ID未登録"))</f>
        <v/>
      </c>
      <c r="D543" s="12" t="str">
        <f aca="false">IF(B543="","",IFERROR(INDEX(顧客一覧!$K$5:$K$304,MATCH(B543,顧客一覧!$B$5:$B$304,0))&amp;"",""))</f>
        <v/>
      </c>
      <c r="E543" s="17"/>
      <c r="F543" s="17"/>
      <c r="G543" s="29"/>
      <c r="H543" s="17"/>
      <c r="I543" s="29"/>
      <c r="J543" s="26" t="str">
        <f aca="false">IF(OR(G543="",I543=""),"",G543-I543)</f>
        <v/>
      </c>
      <c r="K543" s="26" t="str">
        <f aca="false">IF(J543="","",J543*12)</f>
        <v/>
      </c>
      <c r="L543" s="29"/>
      <c r="M543" s="27" t="str">
        <f aca="false">IF(OR(L543="",J543=""),"",IF(J543&lt;=0,"回収不可",L543/J543))</f>
        <v/>
      </c>
      <c r="N543" s="22"/>
      <c r="O543" s="17"/>
      <c r="P543" s="22"/>
      <c r="Q543" s="22"/>
      <c r="R543" s="28" t="str">
        <f aca="true">IF(OR(P543="",Q543&lt;&gt;"",O543="キャンセル"),"",P543-TODAY())</f>
        <v/>
      </c>
      <c r="S543" s="29"/>
      <c r="T543" s="22"/>
      <c r="U543" s="17"/>
      <c r="V543" s="22"/>
      <c r="W543" s="19" t="str">
        <f aca="true">IF(B543="","",IF(OR(O543="開通済",Q543&lt;&gt;""),"完了",IF(O543="キャンセル","―",IF(AND(V543&lt;&gt;"",V543&lt;TODAY()),"対応期限超過",IF(AND(P543&lt;&gt;"",P543&lt;TODAY()),"開通予定日超過",IF(AND(V543&lt;&gt;"",V543=TODAY()),"本日対応",IF(AND(P543&lt;&gt;"",P543-TODAY()&lt;=3),"開通間近","")))))))</f>
        <v/>
      </c>
      <c r="X543" s="17"/>
    </row>
    <row r="544" customFormat="false" ht="15" hidden="false" customHeight="false" outlineLevel="0" collapsed="false">
      <c r="A544" s="12" t="str">
        <f aca="false">IF(B544="","",ROW()-4)</f>
        <v/>
      </c>
      <c r="B544" s="17"/>
      <c r="C544" s="19" t="str">
        <f aca="false">IF(B544="","",IFERROR(INDEX(顧客一覧!$C$5:$C$304,MATCH(B544,顧客一覧!$B$5:$B$304,0)),"※ID未登録"))</f>
        <v/>
      </c>
      <c r="D544" s="12" t="str">
        <f aca="false">IF(B544="","",IFERROR(INDEX(顧客一覧!$K$5:$K$304,MATCH(B544,顧客一覧!$B$5:$B$304,0))&amp;"",""))</f>
        <v/>
      </c>
      <c r="E544" s="17"/>
      <c r="F544" s="17"/>
      <c r="G544" s="29"/>
      <c r="H544" s="17"/>
      <c r="I544" s="29"/>
      <c r="J544" s="26" t="str">
        <f aca="false">IF(OR(G544="",I544=""),"",G544-I544)</f>
        <v/>
      </c>
      <c r="K544" s="26" t="str">
        <f aca="false">IF(J544="","",J544*12)</f>
        <v/>
      </c>
      <c r="L544" s="29"/>
      <c r="M544" s="27" t="str">
        <f aca="false">IF(OR(L544="",J544=""),"",IF(J544&lt;=0,"回収不可",L544/J544))</f>
        <v/>
      </c>
      <c r="N544" s="22"/>
      <c r="O544" s="17"/>
      <c r="P544" s="22"/>
      <c r="Q544" s="22"/>
      <c r="R544" s="28" t="str">
        <f aca="true">IF(OR(P544="",Q544&lt;&gt;"",O544="キャンセル"),"",P544-TODAY())</f>
        <v/>
      </c>
      <c r="S544" s="29"/>
      <c r="T544" s="22"/>
      <c r="U544" s="17"/>
      <c r="V544" s="22"/>
      <c r="W544" s="19" t="str">
        <f aca="true">IF(B544="","",IF(OR(O544="開通済",Q544&lt;&gt;""),"完了",IF(O544="キャンセル","―",IF(AND(V544&lt;&gt;"",V544&lt;TODAY()),"対応期限超過",IF(AND(P544&lt;&gt;"",P544&lt;TODAY()),"開通予定日超過",IF(AND(V544&lt;&gt;"",V544=TODAY()),"本日対応",IF(AND(P544&lt;&gt;"",P544-TODAY()&lt;=3),"開通間近","")))))))</f>
        <v/>
      </c>
      <c r="X544" s="17"/>
    </row>
    <row r="545" customFormat="false" ht="15" hidden="false" customHeight="false" outlineLevel="0" collapsed="false">
      <c r="A545" s="12" t="str">
        <f aca="false">IF(B545="","",ROW()-4)</f>
        <v/>
      </c>
      <c r="B545" s="17"/>
      <c r="C545" s="19" t="str">
        <f aca="false">IF(B545="","",IFERROR(INDEX(顧客一覧!$C$5:$C$304,MATCH(B545,顧客一覧!$B$5:$B$304,0)),"※ID未登録"))</f>
        <v/>
      </c>
      <c r="D545" s="12" t="str">
        <f aca="false">IF(B545="","",IFERROR(INDEX(顧客一覧!$K$5:$K$304,MATCH(B545,顧客一覧!$B$5:$B$304,0))&amp;"",""))</f>
        <v/>
      </c>
      <c r="E545" s="17"/>
      <c r="F545" s="17"/>
      <c r="G545" s="29"/>
      <c r="H545" s="17"/>
      <c r="I545" s="29"/>
      <c r="J545" s="26" t="str">
        <f aca="false">IF(OR(G545="",I545=""),"",G545-I545)</f>
        <v/>
      </c>
      <c r="K545" s="26" t="str">
        <f aca="false">IF(J545="","",J545*12)</f>
        <v/>
      </c>
      <c r="L545" s="29"/>
      <c r="M545" s="27" t="str">
        <f aca="false">IF(OR(L545="",J545=""),"",IF(J545&lt;=0,"回収不可",L545/J545))</f>
        <v/>
      </c>
      <c r="N545" s="22"/>
      <c r="O545" s="17"/>
      <c r="P545" s="22"/>
      <c r="Q545" s="22"/>
      <c r="R545" s="28" t="str">
        <f aca="true">IF(OR(P545="",Q545&lt;&gt;"",O545="キャンセル"),"",P545-TODAY())</f>
        <v/>
      </c>
      <c r="S545" s="29"/>
      <c r="T545" s="22"/>
      <c r="U545" s="17"/>
      <c r="V545" s="22"/>
      <c r="W545" s="19" t="str">
        <f aca="true">IF(B545="","",IF(OR(O545="開通済",Q545&lt;&gt;""),"完了",IF(O545="キャンセル","―",IF(AND(V545&lt;&gt;"",V545&lt;TODAY()),"対応期限超過",IF(AND(P545&lt;&gt;"",P545&lt;TODAY()),"開通予定日超過",IF(AND(V545&lt;&gt;"",V545=TODAY()),"本日対応",IF(AND(P545&lt;&gt;"",P545-TODAY()&lt;=3),"開通間近","")))))))</f>
        <v/>
      </c>
      <c r="X545" s="17"/>
    </row>
    <row r="546" customFormat="false" ht="15" hidden="false" customHeight="false" outlineLevel="0" collapsed="false">
      <c r="A546" s="12" t="str">
        <f aca="false">IF(B546="","",ROW()-4)</f>
        <v/>
      </c>
      <c r="B546" s="17"/>
      <c r="C546" s="19" t="str">
        <f aca="false">IF(B546="","",IFERROR(INDEX(顧客一覧!$C$5:$C$304,MATCH(B546,顧客一覧!$B$5:$B$304,0)),"※ID未登録"))</f>
        <v/>
      </c>
      <c r="D546" s="12" t="str">
        <f aca="false">IF(B546="","",IFERROR(INDEX(顧客一覧!$K$5:$K$304,MATCH(B546,顧客一覧!$B$5:$B$304,0))&amp;"",""))</f>
        <v/>
      </c>
      <c r="E546" s="17"/>
      <c r="F546" s="17"/>
      <c r="G546" s="29"/>
      <c r="H546" s="17"/>
      <c r="I546" s="29"/>
      <c r="J546" s="26" t="str">
        <f aca="false">IF(OR(G546="",I546=""),"",G546-I546)</f>
        <v/>
      </c>
      <c r="K546" s="26" t="str">
        <f aca="false">IF(J546="","",J546*12)</f>
        <v/>
      </c>
      <c r="L546" s="29"/>
      <c r="M546" s="27" t="str">
        <f aca="false">IF(OR(L546="",J546=""),"",IF(J546&lt;=0,"回収不可",L546/J546))</f>
        <v/>
      </c>
      <c r="N546" s="22"/>
      <c r="O546" s="17"/>
      <c r="P546" s="22"/>
      <c r="Q546" s="22"/>
      <c r="R546" s="28" t="str">
        <f aca="true">IF(OR(P546="",Q546&lt;&gt;"",O546="キャンセル"),"",P546-TODAY())</f>
        <v/>
      </c>
      <c r="S546" s="29"/>
      <c r="T546" s="22"/>
      <c r="U546" s="17"/>
      <c r="V546" s="22"/>
      <c r="W546" s="19" t="str">
        <f aca="true">IF(B546="","",IF(OR(O546="開通済",Q546&lt;&gt;""),"完了",IF(O546="キャンセル","―",IF(AND(V546&lt;&gt;"",V546&lt;TODAY()),"対応期限超過",IF(AND(P546&lt;&gt;"",P546&lt;TODAY()),"開通予定日超過",IF(AND(V546&lt;&gt;"",V546=TODAY()),"本日対応",IF(AND(P546&lt;&gt;"",P546-TODAY()&lt;=3),"開通間近","")))))))</f>
        <v/>
      </c>
      <c r="X546" s="17"/>
    </row>
    <row r="547" customFormat="false" ht="15" hidden="false" customHeight="false" outlineLevel="0" collapsed="false">
      <c r="A547" s="12" t="str">
        <f aca="false">IF(B547="","",ROW()-4)</f>
        <v/>
      </c>
      <c r="B547" s="17"/>
      <c r="C547" s="19" t="str">
        <f aca="false">IF(B547="","",IFERROR(INDEX(顧客一覧!$C$5:$C$304,MATCH(B547,顧客一覧!$B$5:$B$304,0)),"※ID未登録"))</f>
        <v/>
      </c>
      <c r="D547" s="12" t="str">
        <f aca="false">IF(B547="","",IFERROR(INDEX(顧客一覧!$K$5:$K$304,MATCH(B547,顧客一覧!$B$5:$B$304,0))&amp;"",""))</f>
        <v/>
      </c>
      <c r="E547" s="17"/>
      <c r="F547" s="17"/>
      <c r="G547" s="29"/>
      <c r="H547" s="17"/>
      <c r="I547" s="29"/>
      <c r="J547" s="26" t="str">
        <f aca="false">IF(OR(G547="",I547=""),"",G547-I547)</f>
        <v/>
      </c>
      <c r="K547" s="26" t="str">
        <f aca="false">IF(J547="","",J547*12)</f>
        <v/>
      </c>
      <c r="L547" s="29"/>
      <c r="M547" s="27" t="str">
        <f aca="false">IF(OR(L547="",J547=""),"",IF(J547&lt;=0,"回収不可",L547/J547))</f>
        <v/>
      </c>
      <c r="N547" s="22"/>
      <c r="O547" s="17"/>
      <c r="P547" s="22"/>
      <c r="Q547" s="22"/>
      <c r="R547" s="28" t="str">
        <f aca="true">IF(OR(P547="",Q547&lt;&gt;"",O547="キャンセル"),"",P547-TODAY())</f>
        <v/>
      </c>
      <c r="S547" s="29"/>
      <c r="T547" s="22"/>
      <c r="U547" s="17"/>
      <c r="V547" s="22"/>
      <c r="W547" s="19" t="str">
        <f aca="true">IF(B547="","",IF(OR(O547="開通済",Q547&lt;&gt;""),"完了",IF(O547="キャンセル","―",IF(AND(V547&lt;&gt;"",V547&lt;TODAY()),"対応期限超過",IF(AND(P547&lt;&gt;"",P547&lt;TODAY()),"開通予定日超過",IF(AND(V547&lt;&gt;"",V547=TODAY()),"本日対応",IF(AND(P547&lt;&gt;"",P547-TODAY()&lt;=3),"開通間近","")))))))</f>
        <v/>
      </c>
      <c r="X547" s="17"/>
    </row>
    <row r="548" customFormat="false" ht="15" hidden="false" customHeight="false" outlineLevel="0" collapsed="false">
      <c r="A548" s="12" t="str">
        <f aca="false">IF(B548="","",ROW()-4)</f>
        <v/>
      </c>
      <c r="B548" s="17"/>
      <c r="C548" s="19" t="str">
        <f aca="false">IF(B548="","",IFERROR(INDEX(顧客一覧!$C$5:$C$304,MATCH(B548,顧客一覧!$B$5:$B$304,0)),"※ID未登録"))</f>
        <v/>
      </c>
      <c r="D548" s="12" t="str">
        <f aca="false">IF(B548="","",IFERROR(INDEX(顧客一覧!$K$5:$K$304,MATCH(B548,顧客一覧!$B$5:$B$304,0))&amp;"",""))</f>
        <v/>
      </c>
      <c r="E548" s="17"/>
      <c r="F548" s="17"/>
      <c r="G548" s="29"/>
      <c r="H548" s="17"/>
      <c r="I548" s="29"/>
      <c r="J548" s="26" t="str">
        <f aca="false">IF(OR(G548="",I548=""),"",G548-I548)</f>
        <v/>
      </c>
      <c r="K548" s="26" t="str">
        <f aca="false">IF(J548="","",J548*12)</f>
        <v/>
      </c>
      <c r="L548" s="29"/>
      <c r="M548" s="27" t="str">
        <f aca="false">IF(OR(L548="",J548=""),"",IF(J548&lt;=0,"回収不可",L548/J548))</f>
        <v/>
      </c>
      <c r="N548" s="22"/>
      <c r="O548" s="17"/>
      <c r="P548" s="22"/>
      <c r="Q548" s="22"/>
      <c r="R548" s="28" t="str">
        <f aca="true">IF(OR(P548="",Q548&lt;&gt;"",O548="キャンセル"),"",P548-TODAY())</f>
        <v/>
      </c>
      <c r="S548" s="29"/>
      <c r="T548" s="22"/>
      <c r="U548" s="17"/>
      <c r="V548" s="22"/>
      <c r="W548" s="19" t="str">
        <f aca="true">IF(B548="","",IF(OR(O548="開通済",Q548&lt;&gt;""),"完了",IF(O548="キャンセル","―",IF(AND(V548&lt;&gt;"",V548&lt;TODAY()),"対応期限超過",IF(AND(P548&lt;&gt;"",P548&lt;TODAY()),"開通予定日超過",IF(AND(V548&lt;&gt;"",V548=TODAY()),"本日対応",IF(AND(P548&lt;&gt;"",P548-TODAY()&lt;=3),"開通間近","")))))))</f>
        <v/>
      </c>
      <c r="X548" s="17"/>
    </row>
    <row r="549" customFormat="false" ht="15" hidden="false" customHeight="false" outlineLevel="0" collapsed="false">
      <c r="A549" s="12" t="str">
        <f aca="false">IF(B549="","",ROW()-4)</f>
        <v/>
      </c>
      <c r="B549" s="17"/>
      <c r="C549" s="19" t="str">
        <f aca="false">IF(B549="","",IFERROR(INDEX(顧客一覧!$C$5:$C$304,MATCH(B549,顧客一覧!$B$5:$B$304,0)),"※ID未登録"))</f>
        <v/>
      </c>
      <c r="D549" s="12" t="str">
        <f aca="false">IF(B549="","",IFERROR(INDEX(顧客一覧!$K$5:$K$304,MATCH(B549,顧客一覧!$B$5:$B$304,0))&amp;"",""))</f>
        <v/>
      </c>
      <c r="E549" s="17"/>
      <c r="F549" s="17"/>
      <c r="G549" s="29"/>
      <c r="H549" s="17"/>
      <c r="I549" s="29"/>
      <c r="J549" s="26" t="str">
        <f aca="false">IF(OR(G549="",I549=""),"",G549-I549)</f>
        <v/>
      </c>
      <c r="K549" s="26" t="str">
        <f aca="false">IF(J549="","",J549*12)</f>
        <v/>
      </c>
      <c r="L549" s="29"/>
      <c r="M549" s="27" t="str">
        <f aca="false">IF(OR(L549="",J549=""),"",IF(J549&lt;=0,"回収不可",L549/J549))</f>
        <v/>
      </c>
      <c r="N549" s="22"/>
      <c r="O549" s="17"/>
      <c r="P549" s="22"/>
      <c r="Q549" s="22"/>
      <c r="R549" s="28" t="str">
        <f aca="true">IF(OR(P549="",Q549&lt;&gt;"",O549="キャンセル"),"",P549-TODAY())</f>
        <v/>
      </c>
      <c r="S549" s="29"/>
      <c r="T549" s="22"/>
      <c r="U549" s="17"/>
      <c r="V549" s="22"/>
      <c r="W549" s="19" t="str">
        <f aca="true">IF(B549="","",IF(OR(O549="開通済",Q549&lt;&gt;""),"完了",IF(O549="キャンセル","―",IF(AND(V549&lt;&gt;"",V549&lt;TODAY()),"対応期限超過",IF(AND(P549&lt;&gt;"",P549&lt;TODAY()),"開通予定日超過",IF(AND(V549&lt;&gt;"",V549=TODAY()),"本日対応",IF(AND(P549&lt;&gt;"",P549-TODAY()&lt;=3),"開通間近","")))))))</f>
        <v/>
      </c>
      <c r="X549" s="17"/>
    </row>
    <row r="550" customFormat="false" ht="15" hidden="false" customHeight="false" outlineLevel="0" collapsed="false">
      <c r="A550" s="12" t="str">
        <f aca="false">IF(B550="","",ROW()-4)</f>
        <v/>
      </c>
      <c r="B550" s="17"/>
      <c r="C550" s="19" t="str">
        <f aca="false">IF(B550="","",IFERROR(INDEX(顧客一覧!$C$5:$C$304,MATCH(B550,顧客一覧!$B$5:$B$304,0)),"※ID未登録"))</f>
        <v/>
      </c>
      <c r="D550" s="12" t="str">
        <f aca="false">IF(B550="","",IFERROR(INDEX(顧客一覧!$K$5:$K$304,MATCH(B550,顧客一覧!$B$5:$B$304,0))&amp;"",""))</f>
        <v/>
      </c>
      <c r="E550" s="17"/>
      <c r="F550" s="17"/>
      <c r="G550" s="29"/>
      <c r="H550" s="17"/>
      <c r="I550" s="29"/>
      <c r="J550" s="26" t="str">
        <f aca="false">IF(OR(G550="",I550=""),"",G550-I550)</f>
        <v/>
      </c>
      <c r="K550" s="26" t="str">
        <f aca="false">IF(J550="","",J550*12)</f>
        <v/>
      </c>
      <c r="L550" s="29"/>
      <c r="M550" s="27" t="str">
        <f aca="false">IF(OR(L550="",J550=""),"",IF(J550&lt;=0,"回収不可",L550/J550))</f>
        <v/>
      </c>
      <c r="N550" s="22"/>
      <c r="O550" s="17"/>
      <c r="P550" s="22"/>
      <c r="Q550" s="22"/>
      <c r="R550" s="28" t="str">
        <f aca="true">IF(OR(P550="",Q550&lt;&gt;"",O550="キャンセル"),"",P550-TODAY())</f>
        <v/>
      </c>
      <c r="S550" s="29"/>
      <c r="T550" s="22"/>
      <c r="U550" s="17"/>
      <c r="V550" s="22"/>
      <c r="W550" s="19" t="str">
        <f aca="true">IF(B550="","",IF(OR(O550="開通済",Q550&lt;&gt;""),"完了",IF(O550="キャンセル","―",IF(AND(V550&lt;&gt;"",V550&lt;TODAY()),"対応期限超過",IF(AND(P550&lt;&gt;"",P550&lt;TODAY()),"開通予定日超過",IF(AND(V550&lt;&gt;"",V550=TODAY()),"本日対応",IF(AND(P550&lt;&gt;"",P550-TODAY()&lt;=3),"開通間近","")))))))</f>
        <v/>
      </c>
      <c r="X550" s="17"/>
    </row>
    <row r="551" customFormat="false" ht="15" hidden="false" customHeight="false" outlineLevel="0" collapsed="false">
      <c r="A551" s="12" t="str">
        <f aca="false">IF(B551="","",ROW()-4)</f>
        <v/>
      </c>
      <c r="B551" s="17"/>
      <c r="C551" s="19" t="str">
        <f aca="false">IF(B551="","",IFERROR(INDEX(顧客一覧!$C$5:$C$304,MATCH(B551,顧客一覧!$B$5:$B$304,0)),"※ID未登録"))</f>
        <v/>
      </c>
      <c r="D551" s="12" t="str">
        <f aca="false">IF(B551="","",IFERROR(INDEX(顧客一覧!$K$5:$K$304,MATCH(B551,顧客一覧!$B$5:$B$304,0))&amp;"",""))</f>
        <v/>
      </c>
      <c r="E551" s="17"/>
      <c r="F551" s="17"/>
      <c r="G551" s="29"/>
      <c r="H551" s="17"/>
      <c r="I551" s="29"/>
      <c r="J551" s="26" t="str">
        <f aca="false">IF(OR(G551="",I551=""),"",G551-I551)</f>
        <v/>
      </c>
      <c r="K551" s="26" t="str">
        <f aca="false">IF(J551="","",J551*12)</f>
        <v/>
      </c>
      <c r="L551" s="29"/>
      <c r="M551" s="27" t="str">
        <f aca="false">IF(OR(L551="",J551=""),"",IF(J551&lt;=0,"回収不可",L551/J551))</f>
        <v/>
      </c>
      <c r="N551" s="22"/>
      <c r="O551" s="17"/>
      <c r="P551" s="22"/>
      <c r="Q551" s="22"/>
      <c r="R551" s="28" t="str">
        <f aca="true">IF(OR(P551="",Q551&lt;&gt;"",O551="キャンセル"),"",P551-TODAY())</f>
        <v/>
      </c>
      <c r="S551" s="29"/>
      <c r="T551" s="22"/>
      <c r="U551" s="17"/>
      <c r="V551" s="22"/>
      <c r="W551" s="19" t="str">
        <f aca="true">IF(B551="","",IF(OR(O551="開通済",Q551&lt;&gt;""),"完了",IF(O551="キャンセル","―",IF(AND(V551&lt;&gt;"",V551&lt;TODAY()),"対応期限超過",IF(AND(P551&lt;&gt;"",P551&lt;TODAY()),"開通予定日超過",IF(AND(V551&lt;&gt;"",V551=TODAY()),"本日対応",IF(AND(P551&lt;&gt;"",P551-TODAY()&lt;=3),"開通間近","")))))))</f>
        <v/>
      </c>
      <c r="X551" s="17"/>
    </row>
    <row r="552" customFormat="false" ht="15" hidden="false" customHeight="false" outlineLevel="0" collapsed="false">
      <c r="A552" s="12" t="str">
        <f aca="false">IF(B552="","",ROW()-4)</f>
        <v/>
      </c>
      <c r="B552" s="17"/>
      <c r="C552" s="19" t="str">
        <f aca="false">IF(B552="","",IFERROR(INDEX(顧客一覧!$C$5:$C$304,MATCH(B552,顧客一覧!$B$5:$B$304,0)),"※ID未登録"))</f>
        <v/>
      </c>
      <c r="D552" s="12" t="str">
        <f aca="false">IF(B552="","",IFERROR(INDEX(顧客一覧!$K$5:$K$304,MATCH(B552,顧客一覧!$B$5:$B$304,0))&amp;"",""))</f>
        <v/>
      </c>
      <c r="E552" s="17"/>
      <c r="F552" s="17"/>
      <c r="G552" s="29"/>
      <c r="H552" s="17"/>
      <c r="I552" s="29"/>
      <c r="J552" s="26" t="str">
        <f aca="false">IF(OR(G552="",I552=""),"",G552-I552)</f>
        <v/>
      </c>
      <c r="K552" s="26" t="str">
        <f aca="false">IF(J552="","",J552*12)</f>
        <v/>
      </c>
      <c r="L552" s="29"/>
      <c r="M552" s="27" t="str">
        <f aca="false">IF(OR(L552="",J552=""),"",IF(J552&lt;=0,"回収不可",L552/J552))</f>
        <v/>
      </c>
      <c r="N552" s="22"/>
      <c r="O552" s="17"/>
      <c r="P552" s="22"/>
      <c r="Q552" s="22"/>
      <c r="R552" s="28" t="str">
        <f aca="true">IF(OR(P552="",Q552&lt;&gt;"",O552="キャンセル"),"",P552-TODAY())</f>
        <v/>
      </c>
      <c r="S552" s="29"/>
      <c r="T552" s="22"/>
      <c r="U552" s="17"/>
      <c r="V552" s="22"/>
      <c r="W552" s="19" t="str">
        <f aca="true">IF(B552="","",IF(OR(O552="開通済",Q552&lt;&gt;""),"完了",IF(O552="キャンセル","―",IF(AND(V552&lt;&gt;"",V552&lt;TODAY()),"対応期限超過",IF(AND(P552&lt;&gt;"",P552&lt;TODAY()),"開通予定日超過",IF(AND(V552&lt;&gt;"",V552=TODAY()),"本日対応",IF(AND(P552&lt;&gt;"",P552-TODAY()&lt;=3),"開通間近","")))))))</f>
        <v/>
      </c>
      <c r="X552" s="17"/>
    </row>
    <row r="553" customFormat="false" ht="15" hidden="false" customHeight="false" outlineLevel="0" collapsed="false">
      <c r="A553" s="12" t="str">
        <f aca="false">IF(B553="","",ROW()-4)</f>
        <v/>
      </c>
      <c r="B553" s="17"/>
      <c r="C553" s="19" t="str">
        <f aca="false">IF(B553="","",IFERROR(INDEX(顧客一覧!$C$5:$C$304,MATCH(B553,顧客一覧!$B$5:$B$304,0)),"※ID未登録"))</f>
        <v/>
      </c>
      <c r="D553" s="12" t="str">
        <f aca="false">IF(B553="","",IFERROR(INDEX(顧客一覧!$K$5:$K$304,MATCH(B553,顧客一覧!$B$5:$B$304,0))&amp;"",""))</f>
        <v/>
      </c>
      <c r="E553" s="17"/>
      <c r="F553" s="17"/>
      <c r="G553" s="29"/>
      <c r="H553" s="17"/>
      <c r="I553" s="29"/>
      <c r="J553" s="26" t="str">
        <f aca="false">IF(OR(G553="",I553=""),"",G553-I553)</f>
        <v/>
      </c>
      <c r="K553" s="26" t="str">
        <f aca="false">IF(J553="","",J553*12)</f>
        <v/>
      </c>
      <c r="L553" s="29"/>
      <c r="M553" s="27" t="str">
        <f aca="false">IF(OR(L553="",J553=""),"",IF(J553&lt;=0,"回収不可",L553/J553))</f>
        <v/>
      </c>
      <c r="N553" s="22"/>
      <c r="O553" s="17"/>
      <c r="P553" s="22"/>
      <c r="Q553" s="22"/>
      <c r="R553" s="28" t="str">
        <f aca="true">IF(OR(P553="",Q553&lt;&gt;"",O553="キャンセル"),"",P553-TODAY())</f>
        <v/>
      </c>
      <c r="S553" s="29"/>
      <c r="T553" s="22"/>
      <c r="U553" s="17"/>
      <c r="V553" s="22"/>
      <c r="W553" s="19" t="str">
        <f aca="true">IF(B553="","",IF(OR(O553="開通済",Q553&lt;&gt;""),"完了",IF(O553="キャンセル","―",IF(AND(V553&lt;&gt;"",V553&lt;TODAY()),"対応期限超過",IF(AND(P553&lt;&gt;"",P553&lt;TODAY()),"開通予定日超過",IF(AND(V553&lt;&gt;"",V553=TODAY()),"本日対応",IF(AND(P553&lt;&gt;"",P553-TODAY()&lt;=3),"開通間近","")))))))</f>
        <v/>
      </c>
      <c r="X553" s="17"/>
    </row>
    <row r="554" customFormat="false" ht="15" hidden="false" customHeight="false" outlineLevel="0" collapsed="false">
      <c r="A554" s="12" t="str">
        <f aca="false">IF(B554="","",ROW()-4)</f>
        <v/>
      </c>
      <c r="B554" s="17"/>
      <c r="C554" s="19" t="str">
        <f aca="false">IF(B554="","",IFERROR(INDEX(顧客一覧!$C$5:$C$304,MATCH(B554,顧客一覧!$B$5:$B$304,0)),"※ID未登録"))</f>
        <v/>
      </c>
      <c r="D554" s="12" t="str">
        <f aca="false">IF(B554="","",IFERROR(INDEX(顧客一覧!$K$5:$K$304,MATCH(B554,顧客一覧!$B$5:$B$304,0))&amp;"",""))</f>
        <v/>
      </c>
      <c r="E554" s="17"/>
      <c r="F554" s="17"/>
      <c r="G554" s="29"/>
      <c r="H554" s="17"/>
      <c r="I554" s="29"/>
      <c r="J554" s="26" t="str">
        <f aca="false">IF(OR(G554="",I554=""),"",G554-I554)</f>
        <v/>
      </c>
      <c r="K554" s="26" t="str">
        <f aca="false">IF(J554="","",J554*12)</f>
        <v/>
      </c>
      <c r="L554" s="29"/>
      <c r="M554" s="27" t="str">
        <f aca="false">IF(OR(L554="",J554=""),"",IF(J554&lt;=0,"回収不可",L554/J554))</f>
        <v/>
      </c>
      <c r="N554" s="22"/>
      <c r="O554" s="17"/>
      <c r="P554" s="22"/>
      <c r="Q554" s="22"/>
      <c r="R554" s="28" t="str">
        <f aca="true">IF(OR(P554="",Q554&lt;&gt;"",O554="キャンセル"),"",P554-TODAY())</f>
        <v/>
      </c>
      <c r="S554" s="29"/>
      <c r="T554" s="22"/>
      <c r="U554" s="17"/>
      <c r="V554" s="22"/>
      <c r="W554" s="19" t="str">
        <f aca="true">IF(B554="","",IF(OR(O554="開通済",Q554&lt;&gt;""),"完了",IF(O554="キャンセル","―",IF(AND(V554&lt;&gt;"",V554&lt;TODAY()),"対応期限超過",IF(AND(P554&lt;&gt;"",P554&lt;TODAY()),"開通予定日超過",IF(AND(V554&lt;&gt;"",V554=TODAY()),"本日対応",IF(AND(P554&lt;&gt;"",P554-TODAY()&lt;=3),"開通間近","")))))))</f>
        <v/>
      </c>
      <c r="X554" s="17"/>
    </row>
    <row r="555" customFormat="false" ht="15" hidden="false" customHeight="false" outlineLevel="0" collapsed="false">
      <c r="A555" s="12" t="str">
        <f aca="false">IF(B555="","",ROW()-4)</f>
        <v/>
      </c>
      <c r="B555" s="17"/>
      <c r="C555" s="19" t="str">
        <f aca="false">IF(B555="","",IFERROR(INDEX(顧客一覧!$C$5:$C$304,MATCH(B555,顧客一覧!$B$5:$B$304,0)),"※ID未登録"))</f>
        <v/>
      </c>
      <c r="D555" s="12" t="str">
        <f aca="false">IF(B555="","",IFERROR(INDEX(顧客一覧!$K$5:$K$304,MATCH(B555,顧客一覧!$B$5:$B$304,0))&amp;"",""))</f>
        <v/>
      </c>
      <c r="E555" s="17"/>
      <c r="F555" s="17"/>
      <c r="G555" s="29"/>
      <c r="H555" s="17"/>
      <c r="I555" s="29"/>
      <c r="J555" s="26" t="str">
        <f aca="false">IF(OR(G555="",I555=""),"",G555-I555)</f>
        <v/>
      </c>
      <c r="K555" s="26" t="str">
        <f aca="false">IF(J555="","",J555*12)</f>
        <v/>
      </c>
      <c r="L555" s="29"/>
      <c r="M555" s="27" t="str">
        <f aca="false">IF(OR(L555="",J555=""),"",IF(J555&lt;=0,"回収不可",L555/J555))</f>
        <v/>
      </c>
      <c r="N555" s="22"/>
      <c r="O555" s="17"/>
      <c r="P555" s="22"/>
      <c r="Q555" s="22"/>
      <c r="R555" s="28" t="str">
        <f aca="true">IF(OR(P555="",Q555&lt;&gt;"",O555="キャンセル"),"",P555-TODAY())</f>
        <v/>
      </c>
      <c r="S555" s="29"/>
      <c r="T555" s="22"/>
      <c r="U555" s="17"/>
      <c r="V555" s="22"/>
      <c r="W555" s="19" t="str">
        <f aca="true">IF(B555="","",IF(OR(O555="開通済",Q555&lt;&gt;""),"完了",IF(O555="キャンセル","―",IF(AND(V555&lt;&gt;"",V555&lt;TODAY()),"対応期限超過",IF(AND(P555&lt;&gt;"",P555&lt;TODAY()),"開通予定日超過",IF(AND(V555&lt;&gt;"",V555=TODAY()),"本日対応",IF(AND(P555&lt;&gt;"",P555-TODAY()&lt;=3),"開通間近","")))))))</f>
        <v/>
      </c>
      <c r="X555" s="17"/>
    </row>
    <row r="556" customFormat="false" ht="15" hidden="false" customHeight="false" outlineLevel="0" collapsed="false">
      <c r="A556" s="12" t="str">
        <f aca="false">IF(B556="","",ROW()-4)</f>
        <v/>
      </c>
      <c r="B556" s="17"/>
      <c r="C556" s="19" t="str">
        <f aca="false">IF(B556="","",IFERROR(INDEX(顧客一覧!$C$5:$C$304,MATCH(B556,顧客一覧!$B$5:$B$304,0)),"※ID未登録"))</f>
        <v/>
      </c>
      <c r="D556" s="12" t="str">
        <f aca="false">IF(B556="","",IFERROR(INDEX(顧客一覧!$K$5:$K$304,MATCH(B556,顧客一覧!$B$5:$B$304,0))&amp;"",""))</f>
        <v/>
      </c>
      <c r="E556" s="17"/>
      <c r="F556" s="17"/>
      <c r="G556" s="29"/>
      <c r="H556" s="17"/>
      <c r="I556" s="29"/>
      <c r="J556" s="26" t="str">
        <f aca="false">IF(OR(G556="",I556=""),"",G556-I556)</f>
        <v/>
      </c>
      <c r="K556" s="26" t="str">
        <f aca="false">IF(J556="","",J556*12)</f>
        <v/>
      </c>
      <c r="L556" s="29"/>
      <c r="M556" s="27" t="str">
        <f aca="false">IF(OR(L556="",J556=""),"",IF(J556&lt;=0,"回収不可",L556/J556))</f>
        <v/>
      </c>
      <c r="N556" s="22"/>
      <c r="O556" s="17"/>
      <c r="P556" s="22"/>
      <c r="Q556" s="22"/>
      <c r="R556" s="28" t="str">
        <f aca="true">IF(OR(P556="",Q556&lt;&gt;"",O556="キャンセル"),"",P556-TODAY())</f>
        <v/>
      </c>
      <c r="S556" s="29"/>
      <c r="T556" s="22"/>
      <c r="U556" s="17"/>
      <c r="V556" s="22"/>
      <c r="W556" s="19" t="str">
        <f aca="true">IF(B556="","",IF(OR(O556="開通済",Q556&lt;&gt;""),"完了",IF(O556="キャンセル","―",IF(AND(V556&lt;&gt;"",V556&lt;TODAY()),"対応期限超過",IF(AND(P556&lt;&gt;"",P556&lt;TODAY()),"開通予定日超過",IF(AND(V556&lt;&gt;"",V556=TODAY()),"本日対応",IF(AND(P556&lt;&gt;"",P556-TODAY()&lt;=3),"開通間近","")))))))</f>
        <v/>
      </c>
      <c r="X556" s="17"/>
    </row>
    <row r="557" customFormat="false" ht="15" hidden="false" customHeight="false" outlineLevel="0" collapsed="false">
      <c r="A557" s="12" t="str">
        <f aca="false">IF(B557="","",ROW()-4)</f>
        <v/>
      </c>
      <c r="B557" s="17"/>
      <c r="C557" s="19" t="str">
        <f aca="false">IF(B557="","",IFERROR(INDEX(顧客一覧!$C$5:$C$304,MATCH(B557,顧客一覧!$B$5:$B$304,0)),"※ID未登録"))</f>
        <v/>
      </c>
      <c r="D557" s="12" t="str">
        <f aca="false">IF(B557="","",IFERROR(INDEX(顧客一覧!$K$5:$K$304,MATCH(B557,顧客一覧!$B$5:$B$304,0))&amp;"",""))</f>
        <v/>
      </c>
      <c r="E557" s="17"/>
      <c r="F557" s="17"/>
      <c r="G557" s="29"/>
      <c r="H557" s="17"/>
      <c r="I557" s="29"/>
      <c r="J557" s="26" t="str">
        <f aca="false">IF(OR(G557="",I557=""),"",G557-I557)</f>
        <v/>
      </c>
      <c r="K557" s="26" t="str">
        <f aca="false">IF(J557="","",J557*12)</f>
        <v/>
      </c>
      <c r="L557" s="29"/>
      <c r="M557" s="27" t="str">
        <f aca="false">IF(OR(L557="",J557=""),"",IF(J557&lt;=0,"回収不可",L557/J557))</f>
        <v/>
      </c>
      <c r="N557" s="22"/>
      <c r="O557" s="17"/>
      <c r="P557" s="22"/>
      <c r="Q557" s="22"/>
      <c r="R557" s="28" t="str">
        <f aca="true">IF(OR(P557="",Q557&lt;&gt;"",O557="キャンセル"),"",P557-TODAY())</f>
        <v/>
      </c>
      <c r="S557" s="29"/>
      <c r="T557" s="22"/>
      <c r="U557" s="17"/>
      <c r="V557" s="22"/>
      <c r="W557" s="19" t="str">
        <f aca="true">IF(B557="","",IF(OR(O557="開通済",Q557&lt;&gt;""),"完了",IF(O557="キャンセル","―",IF(AND(V557&lt;&gt;"",V557&lt;TODAY()),"対応期限超過",IF(AND(P557&lt;&gt;"",P557&lt;TODAY()),"開通予定日超過",IF(AND(V557&lt;&gt;"",V557=TODAY()),"本日対応",IF(AND(P557&lt;&gt;"",P557-TODAY()&lt;=3),"開通間近","")))))))</f>
        <v/>
      </c>
      <c r="X557" s="17"/>
    </row>
    <row r="558" customFormat="false" ht="15" hidden="false" customHeight="false" outlineLevel="0" collapsed="false">
      <c r="A558" s="12" t="str">
        <f aca="false">IF(B558="","",ROW()-4)</f>
        <v/>
      </c>
      <c r="B558" s="17"/>
      <c r="C558" s="19" t="str">
        <f aca="false">IF(B558="","",IFERROR(INDEX(顧客一覧!$C$5:$C$304,MATCH(B558,顧客一覧!$B$5:$B$304,0)),"※ID未登録"))</f>
        <v/>
      </c>
      <c r="D558" s="12" t="str">
        <f aca="false">IF(B558="","",IFERROR(INDEX(顧客一覧!$K$5:$K$304,MATCH(B558,顧客一覧!$B$5:$B$304,0))&amp;"",""))</f>
        <v/>
      </c>
      <c r="E558" s="17"/>
      <c r="F558" s="17"/>
      <c r="G558" s="29"/>
      <c r="H558" s="17"/>
      <c r="I558" s="29"/>
      <c r="J558" s="26" t="str">
        <f aca="false">IF(OR(G558="",I558=""),"",G558-I558)</f>
        <v/>
      </c>
      <c r="K558" s="26" t="str">
        <f aca="false">IF(J558="","",J558*12)</f>
        <v/>
      </c>
      <c r="L558" s="29"/>
      <c r="M558" s="27" t="str">
        <f aca="false">IF(OR(L558="",J558=""),"",IF(J558&lt;=0,"回収不可",L558/J558))</f>
        <v/>
      </c>
      <c r="N558" s="22"/>
      <c r="O558" s="17"/>
      <c r="P558" s="22"/>
      <c r="Q558" s="22"/>
      <c r="R558" s="28" t="str">
        <f aca="true">IF(OR(P558="",Q558&lt;&gt;"",O558="キャンセル"),"",P558-TODAY())</f>
        <v/>
      </c>
      <c r="S558" s="29"/>
      <c r="T558" s="22"/>
      <c r="U558" s="17"/>
      <c r="V558" s="22"/>
      <c r="W558" s="19" t="str">
        <f aca="true">IF(B558="","",IF(OR(O558="開通済",Q558&lt;&gt;""),"完了",IF(O558="キャンセル","―",IF(AND(V558&lt;&gt;"",V558&lt;TODAY()),"対応期限超過",IF(AND(P558&lt;&gt;"",P558&lt;TODAY()),"開通予定日超過",IF(AND(V558&lt;&gt;"",V558=TODAY()),"本日対応",IF(AND(P558&lt;&gt;"",P558-TODAY()&lt;=3),"開通間近","")))))))</f>
        <v/>
      </c>
      <c r="X558" s="17"/>
    </row>
    <row r="559" customFormat="false" ht="15" hidden="false" customHeight="false" outlineLevel="0" collapsed="false">
      <c r="A559" s="12" t="str">
        <f aca="false">IF(B559="","",ROW()-4)</f>
        <v/>
      </c>
      <c r="B559" s="17"/>
      <c r="C559" s="19" t="str">
        <f aca="false">IF(B559="","",IFERROR(INDEX(顧客一覧!$C$5:$C$304,MATCH(B559,顧客一覧!$B$5:$B$304,0)),"※ID未登録"))</f>
        <v/>
      </c>
      <c r="D559" s="12" t="str">
        <f aca="false">IF(B559="","",IFERROR(INDEX(顧客一覧!$K$5:$K$304,MATCH(B559,顧客一覧!$B$5:$B$304,0))&amp;"",""))</f>
        <v/>
      </c>
      <c r="E559" s="17"/>
      <c r="F559" s="17"/>
      <c r="G559" s="29"/>
      <c r="H559" s="17"/>
      <c r="I559" s="29"/>
      <c r="J559" s="26" t="str">
        <f aca="false">IF(OR(G559="",I559=""),"",G559-I559)</f>
        <v/>
      </c>
      <c r="K559" s="26" t="str">
        <f aca="false">IF(J559="","",J559*12)</f>
        <v/>
      </c>
      <c r="L559" s="29"/>
      <c r="M559" s="27" t="str">
        <f aca="false">IF(OR(L559="",J559=""),"",IF(J559&lt;=0,"回収不可",L559/J559))</f>
        <v/>
      </c>
      <c r="N559" s="22"/>
      <c r="O559" s="17"/>
      <c r="P559" s="22"/>
      <c r="Q559" s="22"/>
      <c r="R559" s="28" t="str">
        <f aca="true">IF(OR(P559="",Q559&lt;&gt;"",O559="キャンセル"),"",P559-TODAY())</f>
        <v/>
      </c>
      <c r="S559" s="29"/>
      <c r="T559" s="22"/>
      <c r="U559" s="17"/>
      <c r="V559" s="22"/>
      <c r="W559" s="19" t="str">
        <f aca="true">IF(B559="","",IF(OR(O559="開通済",Q559&lt;&gt;""),"完了",IF(O559="キャンセル","―",IF(AND(V559&lt;&gt;"",V559&lt;TODAY()),"対応期限超過",IF(AND(P559&lt;&gt;"",P559&lt;TODAY()),"開通予定日超過",IF(AND(V559&lt;&gt;"",V559=TODAY()),"本日対応",IF(AND(P559&lt;&gt;"",P559-TODAY()&lt;=3),"開通間近","")))))))</f>
        <v/>
      </c>
      <c r="X559" s="17"/>
    </row>
    <row r="560" customFormat="false" ht="15" hidden="false" customHeight="false" outlineLevel="0" collapsed="false">
      <c r="A560" s="12" t="str">
        <f aca="false">IF(B560="","",ROW()-4)</f>
        <v/>
      </c>
      <c r="B560" s="17"/>
      <c r="C560" s="19" t="str">
        <f aca="false">IF(B560="","",IFERROR(INDEX(顧客一覧!$C$5:$C$304,MATCH(B560,顧客一覧!$B$5:$B$304,0)),"※ID未登録"))</f>
        <v/>
      </c>
      <c r="D560" s="12" t="str">
        <f aca="false">IF(B560="","",IFERROR(INDEX(顧客一覧!$K$5:$K$304,MATCH(B560,顧客一覧!$B$5:$B$304,0))&amp;"",""))</f>
        <v/>
      </c>
      <c r="E560" s="17"/>
      <c r="F560" s="17"/>
      <c r="G560" s="29"/>
      <c r="H560" s="17"/>
      <c r="I560" s="29"/>
      <c r="J560" s="26" t="str">
        <f aca="false">IF(OR(G560="",I560=""),"",G560-I560)</f>
        <v/>
      </c>
      <c r="K560" s="26" t="str">
        <f aca="false">IF(J560="","",J560*12)</f>
        <v/>
      </c>
      <c r="L560" s="29"/>
      <c r="M560" s="27" t="str">
        <f aca="false">IF(OR(L560="",J560=""),"",IF(J560&lt;=0,"回収不可",L560/J560))</f>
        <v/>
      </c>
      <c r="N560" s="22"/>
      <c r="O560" s="17"/>
      <c r="P560" s="22"/>
      <c r="Q560" s="22"/>
      <c r="R560" s="28" t="str">
        <f aca="true">IF(OR(P560="",Q560&lt;&gt;"",O560="キャンセル"),"",P560-TODAY())</f>
        <v/>
      </c>
      <c r="S560" s="29"/>
      <c r="T560" s="22"/>
      <c r="U560" s="17"/>
      <c r="V560" s="22"/>
      <c r="W560" s="19" t="str">
        <f aca="true">IF(B560="","",IF(OR(O560="開通済",Q560&lt;&gt;""),"完了",IF(O560="キャンセル","―",IF(AND(V560&lt;&gt;"",V560&lt;TODAY()),"対応期限超過",IF(AND(P560&lt;&gt;"",P560&lt;TODAY()),"開通予定日超過",IF(AND(V560&lt;&gt;"",V560=TODAY()),"本日対応",IF(AND(P560&lt;&gt;"",P560-TODAY()&lt;=3),"開通間近","")))))))</f>
        <v/>
      </c>
      <c r="X560" s="17"/>
    </row>
    <row r="561" customFormat="false" ht="15" hidden="false" customHeight="false" outlineLevel="0" collapsed="false">
      <c r="A561" s="12" t="str">
        <f aca="false">IF(B561="","",ROW()-4)</f>
        <v/>
      </c>
      <c r="B561" s="17"/>
      <c r="C561" s="19" t="str">
        <f aca="false">IF(B561="","",IFERROR(INDEX(顧客一覧!$C$5:$C$304,MATCH(B561,顧客一覧!$B$5:$B$304,0)),"※ID未登録"))</f>
        <v/>
      </c>
      <c r="D561" s="12" t="str">
        <f aca="false">IF(B561="","",IFERROR(INDEX(顧客一覧!$K$5:$K$304,MATCH(B561,顧客一覧!$B$5:$B$304,0))&amp;"",""))</f>
        <v/>
      </c>
      <c r="E561" s="17"/>
      <c r="F561" s="17"/>
      <c r="G561" s="29"/>
      <c r="H561" s="17"/>
      <c r="I561" s="29"/>
      <c r="J561" s="26" t="str">
        <f aca="false">IF(OR(G561="",I561=""),"",G561-I561)</f>
        <v/>
      </c>
      <c r="K561" s="26" t="str">
        <f aca="false">IF(J561="","",J561*12)</f>
        <v/>
      </c>
      <c r="L561" s="29"/>
      <c r="M561" s="27" t="str">
        <f aca="false">IF(OR(L561="",J561=""),"",IF(J561&lt;=0,"回収不可",L561/J561))</f>
        <v/>
      </c>
      <c r="N561" s="22"/>
      <c r="O561" s="17"/>
      <c r="P561" s="22"/>
      <c r="Q561" s="22"/>
      <c r="R561" s="28" t="str">
        <f aca="true">IF(OR(P561="",Q561&lt;&gt;"",O561="キャンセル"),"",P561-TODAY())</f>
        <v/>
      </c>
      <c r="S561" s="29"/>
      <c r="T561" s="22"/>
      <c r="U561" s="17"/>
      <c r="V561" s="22"/>
      <c r="W561" s="19" t="str">
        <f aca="true">IF(B561="","",IF(OR(O561="開通済",Q561&lt;&gt;""),"完了",IF(O561="キャンセル","―",IF(AND(V561&lt;&gt;"",V561&lt;TODAY()),"対応期限超過",IF(AND(P561&lt;&gt;"",P561&lt;TODAY()),"開通予定日超過",IF(AND(V561&lt;&gt;"",V561=TODAY()),"本日対応",IF(AND(P561&lt;&gt;"",P561-TODAY()&lt;=3),"開通間近","")))))))</f>
        <v/>
      </c>
      <c r="X561" s="17"/>
    </row>
    <row r="562" customFormat="false" ht="15" hidden="false" customHeight="false" outlineLevel="0" collapsed="false">
      <c r="A562" s="12" t="str">
        <f aca="false">IF(B562="","",ROW()-4)</f>
        <v/>
      </c>
      <c r="B562" s="17"/>
      <c r="C562" s="19" t="str">
        <f aca="false">IF(B562="","",IFERROR(INDEX(顧客一覧!$C$5:$C$304,MATCH(B562,顧客一覧!$B$5:$B$304,0)),"※ID未登録"))</f>
        <v/>
      </c>
      <c r="D562" s="12" t="str">
        <f aca="false">IF(B562="","",IFERROR(INDEX(顧客一覧!$K$5:$K$304,MATCH(B562,顧客一覧!$B$5:$B$304,0))&amp;"",""))</f>
        <v/>
      </c>
      <c r="E562" s="17"/>
      <c r="F562" s="17"/>
      <c r="G562" s="29"/>
      <c r="H562" s="17"/>
      <c r="I562" s="29"/>
      <c r="J562" s="26" t="str">
        <f aca="false">IF(OR(G562="",I562=""),"",G562-I562)</f>
        <v/>
      </c>
      <c r="K562" s="26" t="str">
        <f aca="false">IF(J562="","",J562*12)</f>
        <v/>
      </c>
      <c r="L562" s="29"/>
      <c r="M562" s="27" t="str">
        <f aca="false">IF(OR(L562="",J562=""),"",IF(J562&lt;=0,"回収不可",L562/J562))</f>
        <v/>
      </c>
      <c r="N562" s="22"/>
      <c r="O562" s="17"/>
      <c r="P562" s="22"/>
      <c r="Q562" s="22"/>
      <c r="R562" s="28" t="str">
        <f aca="true">IF(OR(P562="",Q562&lt;&gt;"",O562="キャンセル"),"",P562-TODAY())</f>
        <v/>
      </c>
      <c r="S562" s="29"/>
      <c r="T562" s="22"/>
      <c r="U562" s="17"/>
      <c r="V562" s="22"/>
      <c r="W562" s="19" t="str">
        <f aca="true">IF(B562="","",IF(OR(O562="開通済",Q562&lt;&gt;""),"完了",IF(O562="キャンセル","―",IF(AND(V562&lt;&gt;"",V562&lt;TODAY()),"対応期限超過",IF(AND(P562&lt;&gt;"",P562&lt;TODAY()),"開通予定日超過",IF(AND(V562&lt;&gt;"",V562=TODAY()),"本日対応",IF(AND(P562&lt;&gt;"",P562-TODAY()&lt;=3),"開通間近","")))))))</f>
        <v/>
      </c>
      <c r="X562" s="17"/>
    </row>
    <row r="563" customFormat="false" ht="15" hidden="false" customHeight="false" outlineLevel="0" collapsed="false">
      <c r="A563" s="12" t="str">
        <f aca="false">IF(B563="","",ROW()-4)</f>
        <v/>
      </c>
      <c r="B563" s="17"/>
      <c r="C563" s="19" t="str">
        <f aca="false">IF(B563="","",IFERROR(INDEX(顧客一覧!$C$5:$C$304,MATCH(B563,顧客一覧!$B$5:$B$304,0)),"※ID未登録"))</f>
        <v/>
      </c>
      <c r="D563" s="12" t="str">
        <f aca="false">IF(B563="","",IFERROR(INDEX(顧客一覧!$K$5:$K$304,MATCH(B563,顧客一覧!$B$5:$B$304,0))&amp;"",""))</f>
        <v/>
      </c>
      <c r="E563" s="17"/>
      <c r="F563" s="17"/>
      <c r="G563" s="29"/>
      <c r="H563" s="17"/>
      <c r="I563" s="29"/>
      <c r="J563" s="26" t="str">
        <f aca="false">IF(OR(G563="",I563=""),"",G563-I563)</f>
        <v/>
      </c>
      <c r="K563" s="26" t="str">
        <f aca="false">IF(J563="","",J563*12)</f>
        <v/>
      </c>
      <c r="L563" s="29"/>
      <c r="M563" s="27" t="str">
        <f aca="false">IF(OR(L563="",J563=""),"",IF(J563&lt;=0,"回収不可",L563/J563))</f>
        <v/>
      </c>
      <c r="N563" s="22"/>
      <c r="O563" s="17"/>
      <c r="P563" s="22"/>
      <c r="Q563" s="22"/>
      <c r="R563" s="28" t="str">
        <f aca="true">IF(OR(P563="",Q563&lt;&gt;"",O563="キャンセル"),"",P563-TODAY())</f>
        <v/>
      </c>
      <c r="S563" s="29"/>
      <c r="T563" s="22"/>
      <c r="U563" s="17"/>
      <c r="V563" s="22"/>
      <c r="W563" s="19" t="str">
        <f aca="true">IF(B563="","",IF(OR(O563="開通済",Q563&lt;&gt;""),"完了",IF(O563="キャンセル","―",IF(AND(V563&lt;&gt;"",V563&lt;TODAY()),"対応期限超過",IF(AND(P563&lt;&gt;"",P563&lt;TODAY()),"開通予定日超過",IF(AND(V563&lt;&gt;"",V563=TODAY()),"本日対応",IF(AND(P563&lt;&gt;"",P563-TODAY()&lt;=3),"開通間近","")))))))</f>
        <v/>
      </c>
      <c r="X563" s="17"/>
    </row>
    <row r="564" customFormat="false" ht="15" hidden="false" customHeight="false" outlineLevel="0" collapsed="false">
      <c r="A564" s="12" t="str">
        <f aca="false">IF(B564="","",ROW()-4)</f>
        <v/>
      </c>
      <c r="B564" s="17"/>
      <c r="C564" s="19" t="str">
        <f aca="false">IF(B564="","",IFERROR(INDEX(顧客一覧!$C$5:$C$304,MATCH(B564,顧客一覧!$B$5:$B$304,0)),"※ID未登録"))</f>
        <v/>
      </c>
      <c r="D564" s="12" t="str">
        <f aca="false">IF(B564="","",IFERROR(INDEX(顧客一覧!$K$5:$K$304,MATCH(B564,顧客一覧!$B$5:$B$304,0))&amp;"",""))</f>
        <v/>
      </c>
      <c r="E564" s="17"/>
      <c r="F564" s="17"/>
      <c r="G564" s="29"/>
      <c r="H564" s="17"/>
      <c r="I564" s="29"/>
      <c r="J564" s="26" t="str">
        <f aca="false">IF(OR(G564="",I564=""),"",G564-I564)</f>
        <v/>
      </c>
      <c r="K564" s="26" t="str">
        <f aca="false">IF(J564="","",J564*12)</f>
        <v/>
      </c>
      <c r="L564" s="29"/>
      <c r="M564" s="27" t="str">
        <f aca="false">IF(OR(L564="",J564=""),"",IF(J564&lt;=0,"回収不可",L564/J564))</f>
        <v/>
      </c>
      <c r="N564" s="22"/>
      <c r="O564" s="17"/>
      <c r="P564" s="22"/>
      <c r="Q564" s="22"/>
      <c r="R564" s="28" t="str">
        <f aca="true">IF(OR(P564="",Q564&lt;&gt;"",O564="キャンセル"),"",P564-TODAY())</f>
        <v/>
      </c>
      <c r="S564" s="29"/>
      <c r="T564" s="22"/>
      <c r="U564" s="17"/>
      <c r="V564" s="22"/>
      <c r="W564" s="19" t="str">
        <f aca="true">IF(B564="","",IF(OR(O564="開通済",Q564&lt;&gt;""),"完了",IF(O564="キャンセル","―",IF(AND(V564&lt;&gt;"",V564&lt;TODAY()),"対応期限超過",IF(AND(P564&lt;&gt;"",P564&lt;TODAY()),"開通予定日超過",IF(AND(V564&lt;&gt;"",V564=TODAY()),"本日対応",IF(AND(P564&lt;&gt;"",P564-TODAY()&lt;=3),"開通間近","")))))))</f>
        <v/>
      </c>
      <c r="X564" s="17"/>
    </row>
    <row r="565" customFormat="false" ht="15" hidden="false" customHeight="false" outlineLevel="0" collapsed="false">
      <c r="A565" s="12" t="str">
        <f aca="false">IF(B565="","",ROW()-4)</f>
        <v/>
      </c>
      <c r="B565" s="17"/>
      <c r="C565" s="19" t="str">
        <f aca="false">IF(B565="","",IFERROR(INDEX(顧客一覧!$C$5:$C$304,MATCH(B565,顧客一覧!$B$5:$B$304,0)),"※ID未登録"))</f>
        <v/>
      </c>
      <c r="D565" s="12" t="str">
        <f aca="false">IF(B565="","",IFERROR(INDEX(顧客一覧!$K$5:$K$304,MATCH(B565,顧客一覧!$B$5:$B$304,0))&amp;"",""))</f>
        <v/>
      </c>
      <c r="E565" s="17"/>
      <c r="F565" s="17"/>
      <c r="G565" s="29"/>
      <c r="H565" s="17"/>
      <c r="I565" s="29"/>
      <c r="J565" s="26" t="str">
        <f aca="false">IF(OR(G565="",I565=""),"",G565-I565)</f>
        <v/>
      </c>
      <c r="K565" s="26" t="str">
        <f aca="false">IF(J565="","",J565*12)</f>
        <v/>
      </c>
      <c r="L565" s="29"/>
      <c r="M565" s="27" t="str">
        <f aca="false">IF(OR(L565="",J565=""),"",IF(J565&lt;=0,"回収不可",L565/J565))</f>
        <v/>
      </c>
      <c r="N565" s="22"/>
      <c r="O565" s="17"/>
      <c r="P565" s="22"/>
      <c r="Q565" s="22"/>
      <c r="R565" s="28" t="str">
        <f aca="true">IF(OR(P565="",Q565&lt;&gt;"",O565="キャンセル"),"",P565-TODAY())</f>
        <v/>
      </c>
      <c r="S565" s="29"/>
      <c r="T565" s="22"/>
      <c r="U565" s="17"/>
      <c r="V565" s="22"/>
      <c r="W565" s="19" t="str">
        <f aca="true">IF(B565="","",IF(OR(O565="開通済",Q565&lt;&gt;""),"完了",IF(O565="キャンセル","―",IF(AND(V565&lt;&gt;"",V565&lt;TODAY()),"対応期限超過",IF(AND(P565&lt;&gt;"",P565&lt;TODAY()),"開通予定日超過",IF(AND(V565&lt;&gt;"",V565=TODAY()),"本日対応",IF(AND(P565&lt;&gt;"",P565-TODAY()&lt;=3),"開通間近","")))))))</f>
        <v/>
      </c>
      <c r="X565" s="17"/>
    </row>
    <row r="566" customFormat="false" ht="15" hidden="false" customHeight="false" outlineLevel="0" collapsed="false">
      <c r="A566" s="12" t="str">
        <f aca="false">IF(B566="","",ROW()-4)</f>
        <v/>
      </c>
      <c r="B566" s="17"/>
      <c r="C566" s="19" t="str">
        <f aca="false">IF(B566="","",IFERROR(INDEX(顧客一覧!$C$5:$C$304,MATCH(B566,顧客一覧!$B$5:$B$304,0)),"※ID未登録"))</f>
        <v/>
      </c>
      <c r="D566" s="12" t="str">
        <f aca="false">IF(B566="","",IFERROR(INDEX(顧客一覧!$K$5:$K$304,MATCH(B566,顧客一覧!$B$5:$B$304,0))&amp;"",""))</f>
        <v/>
      </c>
      <c r="E566" s="17"/>
      <c r="F566" s="17"/>
      <c r="G566" s="29"/>
      <c r="H566" s="17"/>
      <c r="I566" s="29"/>
      <c r="J566" s="26" t="str">
        <f aca="false">IF(OR(G566="",I566=""),"",G566-I566)</f>
        <v/>
      </c>
      <c r="K566" s="26" t="str">
        <f aca="false">IF(J566="","",J566*12)</f>
        <v/>
      </c>
      <c r="L566" s="29"/>
      <c r="M566" s="27" t="str">
        <f aca="false">IF(OR(L566="",J566=""),"",IF(J566&lt;=0,"回収不可",L566/J566))</f>
        <v/>
      </c>
      <c r="N566" s="22"/>
      <c r="O566" s="17"/>
      <c r="P566" s="22"/>
      <c r="Q566" s="22"/>
      <c r="R566" s="28" t="str">
        <f aca="true">IF(OR(P566="",Q566&lt;&gt;"",O566="キャンセル"),"",P566-TODAY())</f>
        <v/>
      </c>
      <c r="S566" s="29"/>
      <c r="T566" s="22"/>
      <c r="U566" s="17"/>
      <c r="V566" s="22"/>
      <c r="W566" s="19" t="str">
        <f aca="true">IF(B566="","",IF(OR(O566="開通済",Q566&lt;&gt;""),"完了",IF(O566="キャンセル","―",IF(AND(V566&lt;&gt;"",V566&lt;TODAY()),"対応期限超過",IF(AND(P566&lt;&gt;"",P566&lt;TODAY()),"開通予定日超過",IF(AND(V566&lt;&gt;"",V566=TODAY()),"本日対応",IF(AND(P566&lt;&gt;"",P566-TODAY()&lt;=3),"開通間近","")))))))</f>
        <v/>
      </c>
      <c r="X566" s="17"/>
    </row>
    <row r="567" customFormat="false" ht="15" hidden="false" customHeight="false" outlineLevel="0" collapsed="false">
      <c r="A567" s="12" t="str">
        <f aca="false">IF(B567="","",ROW()-4)</f>
        <v/>
      </c>
      <c r="B567" s="17"/>
      <c r="C567" s="19" t="str">
        <f aca="false">IF(B567="","",IFERROR(INDEX(顧客一覧!$C$5:$C$304,MATCH(B567,顧客一覧!$B$5:$B$304,0)),"※ID未登録"))</f>
        <v/>
      </c>
      <c r="D567" s="12" t="str">
        <f aca="false">IF(B567="","",IFERROR(INDEX(顧客一覧!$K$5:$K$304,MATCH(B567,顧客一覧!$B$5:$B$304,0))&amp;"",""))</f>
        <v/>
      </c>
      <c r="E567" s="17"/>
      <c r="F567" s="17"/>
      <c r="G567" s="29"/>
      <c r="H567" s="17"/>
      <c r="I567" s="29"/>
      <c r="J567" s="26" t="str">
        <f aca="false">IF(OR(G567="",I567=""),"",G567-I567)</f>
        <v/>
      </c>
      <c r="K567" s="26" t="str">
        <f aca="false">IF(J567="","",J567*12)</f>
        <v/>
      </c>
      <c r="L567" s="29"/>
      <c r="M567" s="27" t="str">
        <f aca="false">IF(OR(L567="",J567=""),"",IF(J567&lt;=0,"回収不可",L567/J567))</f>
        <v/>
      </c>
      <c r="N567" s="22"/>
      <c r="O567" s="17"/>
      <c r="P567" s="22"/>
      <c r="Q567" s="22"/>
      <c r="R567" s="28" t="str">
        <f aca="true">IF(OR(P567="",Q567&lt;&gt;"",O567="キャンセル"),"",P567-TODAY())</f>
        <v/>
      </c>
      <c r="S567" s="29"/>
      <c r="T567" s="22"/>
      <c r="U567" s="17"/>
      <c r="V567" s="22"/>
      <c r="W567" s="19" t="str">
        <f aca="true">IF(B567="","",IF(OR(O567="開通済",Q567&lt;&gt;""),"完了",IF(O567="キャンセル","―",IF(AND(V567&lt;&gt;"",V567&lt;TODAY()),"対応期限超過",IF(AND(P567&lt;&gt;"",P567&lt;TODAY()),"開通予定日超過",IF(AND(V567&lt;&gt;"",V567=TODAY()),"本日対応",IF(AND(P567&lt;&gt;"",P567-TODAY()&lt;=3),"開通間近","")))))))</f>
        <v/>
      </c>
      <c r="X567" s="17"/>
    </row>
    <row r="568" customFormat="false" ht="15" hidden="false" customHeight="false" outlineLevel="0" collapsed="false">
      <c r="A568" s="12" t="str">
        <f aca="false">IF(B568="","",ROW()-4)</f>
        <v/>
      </c>
      <c r="B568" s="17"/>
      <c r="C568" s="19" t="str">
        <f aca="false">IF(B568="","",IFERROR(INDEX(顧客一覧!$C$5:$C$304,MATCH(B568,顧客一覧!$B$5:$B$304,0)),"※ID未登録"))</f>
        <v/>
      </c>
      <c r="D568" s="12" t="str">
        <f aca="false">IF(B568="","",IFERROR(INDEX(顧客一覧!$K$5:$K$304,MATCH(B568,顧客一覧!$B$5:$B$304,0))&amp;"",""))</f>
        <v/>
      </c>
      <c r="E568" s="17"/>
      <c r="F568" s="17"/>
      <c r="G568" s="29"/>
      <c r="H568" s="17"/>
      <c r="I568" s="29"/>
      <c r="J568" s="26" t="str">
        <f aca="false">IF(OR(G568="",I568=""),"",G568-I568)</f>
        <v/>
      </c>
      <c r="K568" s="26" t="str">
        <f aca="false">IF(J568="","",J568*12)</f>
        <v/>
      </c>
      <c r="L568" s="29"/>
      <c r="M568" s="27" t="str">
        <f aca="false">IF(OR(L568="",J568=""),"",IF(J568&lt;=0,"回収不可",L568/J568))</f>
        <v/>
      </c>
      <c r="N568" s="22"/>
      <c r="O568" s="17"/>
      <c r="P568" s="22"/>
      <c r="Q568" s="22"/>
      <c r="R568" s="28" t="str">
        <f aca="true">IF(OR(P568="",Q568&lt;&gt;"",O568="キャンセル"),"",P568-TODAY())</f>
        <v/>
      </c>
      <c r="S568" s="29"/>
      <c r="T568" s="22"/>
      <c r="U568" s="17"/>
      <c r="V568" s="22"/>
      <c r="W568" s="19" t="str">
        <f aca="true">IF(B568="","",IF(OR(O568="開通済",Q568&lt;&gt;""),"完了",IF(O568="キャンセル","―",IF(AND(V568&lt;&gt;"",V568&lt;TODAY()),"対応期限超過",IF(AND(P568&lt;&gt;"",P568&lt;TODAY()),"開通予定日超過",IF(AND(V568&lt;&gt;"",V568=TODAY()),"本日対応",IF(AND(P568&lt;&gt;"",P568-TODAY()&lt;=3),"開通間近","")))))))</f>
        <v/>
      </c>
      <c r="X568" s="17"/>
    </row>
    <row r="569" customFormat="false" ht="15" hidden="false" customHeight="false" outlineLevel="0" collapsed="false">
      <c r="A569" s="12" t="str">
        <f aca="false">IF(B569="","",ROW()-4)</f>
        <v/>
      </c>
      <c r="B569" s="17"/>
      <c r="C569" s="19" t="str">
        <f aca="false">IF(B569="","",IFERROR(INDEX(顧客一覧!$C$5:$C$304,MATCH(B569,顧客一覧!$B$5:$B$304,0)),"※ID未登録"))</f>
        <v/>
      </c>
      <c r="D569" s="12" t="str">
        <f aca="false">IF(B569="","",IFERROR(INDEX(顧客一覧!$K$5:$K$304,MATCH(B569,顧客一覧!$B$5:$B$304,0))&amp;"",""))</f>
        <v/>
      </c>
      <c r="E569" s="17"/>
      <c r="F569" s="17"/>
      <c r="G569" s="29"/>
      <c r="H569" s="17"/>
      <c r="I569" s="29"/>
      <c r="J569" s="26" t="str">
        <f aca="false">IF(OR(G569="",I569=""),"",G569-I569)</f>
        <v/>
      </c>
      <c r="K569" s="26" t="str">
        <f aca="false">IF(J569="","",J569*12)</f>
        <v/>
      </c>
      <c r="L569" s="29"/>
      <c r="M569" s="27" t="str">
        <f aca="false">IF(OR(L569="",J569=""),"",IF(J569&lt;=0,"回収不可",L569/J569))</f>
        <v/>
      </c>
      <c r="N569" s="22"/>
      <c r="O569" s="17"/>
      <c r="P569" s="22"/>
      <c r="Q569" s="22"/>
      <c r="R569" s="28" t="str">
        <f aca="true">IF(OR(P569="",Q569&lt;&gt;"",O569="キャンセル"),"",P569-TODAY())</f>
        <v/>
      </c>
      <c r="S569" s="29"/>
      <c r="T569" s="22"/>
      <c r="U569" s="17"/>
      <c r="V569" s="22"/>
      <c r="W569" s="19" t="str">
        <f aca="true">IF(B569="","",IF(OR(O569="開通済",Q569&lt;&gt;""),"完了",IF(O569="キャンセル","―",IF(AND(V569&lt;&gt;"",V569&lt;TODAY()),"対応期限超過",IF(AND(P569&lt;&gt;"",P569&lt;TODAY()),"開通予定日超過",IF(AND(V569&lt;&gt;"",V569=TODAY()),"本日対応",IF(AND(P569&lt;&gt;"",P569-TODAY()&lt;=3),"開通間近","")))))))</f>
        <v/>
      </c>
      <c r="X569" s="17"/>
    </row>
    <row r="570" customFormat="false" ht="15" hidden="false" customHeight="false" outlineLevel="0" collapsed="false">
      <c r="A570" s="12" t="str">
        <f aca="false">IF(B570="","",ROW()-4)</f>
        <v/>
      </c>
      <c r="B570" s="17"/>
      <c r="C570" s="19" t="str">
        <f aca="false">IF(B570="","",IFERROR(INDEX(顧客一覧!$C$5:$C$304,MATCH(B570,顧客一覧!$B$5:$B$304,0)),"※ID未登録"))</f>
        <v/>
      </c>
      <c r="D570" s="12" t="str">
        <f aca="false">IF(B570="","",IFERROR(INDEX(顧客一覧!$K$5:$K$304,MATCH(B570,顧客一覧!$B$5:$B$304,0))&amp;"",""))</f>
        <v/>
      </c>
      <c r="E570" s="17"/>
      <c r="F570" s="17"/>
      <c r="G570" s="29"/>
      <c r="H570" s="17"/>
      <c r="I570" s="29"/>
      <c r="J570" s="26" t="str">
        <f aca="false">IF(OR(G570="",I570=""),"",G570-I570)</f>
        <v/>
      </c>
      <c r="K570" s="26" t="str">
        <f aca="false">IF(J570="","",J570*12)</f>
        <v/>
      </c>
      <c r="L570" s="29"/>
      <c r="M570" s="27" t="str">
        <f aca="false">IF(OR(L570="",J570=""),"",IF(J570&lt;=0,"回収不可",L570/J570))</f>
        <v/>
      </c>
      <c r="N570" s="22"/>
      <c r="O570" s="17"/>
      <c r="P570" s="22"/>
      <c r="Q570" s="22"/>
      <c r="R570" s="28" t="str">
        <f aca="true">IF(OR(P570="",Q570&lt;&gt;"",O570="キャンセル"),"",P570-TODAY())</f>
        <v/>
      </c>
      <c r="S570" s="29"/>
      <c r="T570" s="22"/>
      <c r="U570" s="17"/>
      <c r="V570" s="22"/>
      <c r="W570" s="19" t="str">
        <f aca="true">IF(B570="","",IF(OR(O570="開通済",Q570&lt;&gt;""),"完了",IF(O570="キャンセル","―",IF(AND(V570&lt;&gt;"",V570&lt;TODAY()),"対応期限超過",IF(AND(P570&lt;&gt;"",P570&lt;TODAY()),"開通予定日超過",IF(AND(V570&lt;&gt;"",V570=TODAY()),"本日対応",IF(AND(P570&lt;&gt;"",P570-TODAY()&lt;=3),"開通間近","")))))))</f>
        <v/>
      </c>
      <c r="X570" s="17"/>
    </row>
    <row r="571" customFormat="false" ht="15" hidden="false" customHeight="false" outlineLevel="0" collapsed="false">
      <c r="A571" s="12" t="str">
        <f aca="false">IF(B571="","",ROW()-4)</f>
        <v/>
      </c>
      <c r="B571" s="17"/>
      <c r="C571" s="19" t="str">
        <f aca="false">IF(B571="","",IFERROR(INDEX(顧客一覧!$C$5:$C$304,MATCH(B571,顧客一覧!$B$5:$B$304,0)),"※ID未登録"))</f>
        <v/>
      </c>
      <c r="D571" s="12" t="str">
        <f aca="false">IF(B571="","",IFERROR(INDEX(顧客一覧!$K$5:$K$304,MATCH(B571,顧客一覧!$B$5:$B$304,0))&amp;"",""))</f>
        <v/>
      </c>
      <c r="E571" s="17"/>
      <c r="F571" s="17"/>
      <c r="G571" s="29"/>
      <c r="H571" s="17"/>
      <c r="I571" s="29"/>
      <c r="J571" s="26" t="str">
        <f aca="false">IF(OR(G571="",I571=""),"",G571-I571)</f>
        <v/>
      </c>
      <c r="K571" s="26" t="str">
        <f aca="false">IF(J571="","",J571*12)</f>
        <v/>
      </c>
      <c r="L571" s="29"/>
      <c r="M571" s="27" t="str">
        <f aca="false">IF(OR(L571="",J571=""),"",IF(J571&lt;=0,"回収不可",L571/J571))</f>
        <v/>
      </c>
      <c r="N571" s="22"/>
      <c r="O571" s="17"/>
      <c r="P571" s="22"/>
      <c r="Q571" s="22"/>
      <c r="R571" s="28" t="str">
        <f aca="true">IF(OR(P571="",Q571&lt;&gt;"",O571="キャンセル"),"",P571-TODAY())</f>
        <v/>
      </c>
      <c r="S571" s="29"/>
      <c r="T571" s="22"/>
      <c r="U571" s="17"/>
      <c r="V571" s="22"/>
      <c r="W571" s="19" t="str">
        <f aca="true">IF(B571="","",IF(OR(O571="開通済",Q571&lt;&gt;""),"完了",IF(O571="キャンセル","―",IF(AND(V571&lt;&gt;"",V571&lt;TODAY()),"対応期限超過",IF(AND(P571&lt;&gt;"",P571&lt;TODAY()),"開通予定日超過",IF(AND(V571&lt;&gt;"",V571=TODAY()),"本日対応",IF(AND(P571&lt;&gt;"",P571-TODAY()&lt;=3),"開通間近","")))))))</f>
        <v/>
      </c>
      <c r="X571" s="17"/>
    </row>
    <row r="572" customFormat="false" ht="15" hidden="false" customHeight="false" outlineLevel="0" collapsed="false">
      <c r="A572" s="12" t="str">
        <f aca="false">IF(B572="","",ROW()-4)</f>
        <v/>
      </c>
      <c r="B572" s="17"/>
      <c r="C572" s="19" t="str">
        <f aca="false">IF(B572="","",IFERROR(INDEX(顧客一覧!$C$5:$C$304,MATCH(B572,顧客一覧!$B$5:$B$304,0)),"※ID未登録"))</f>
        <v/>
      </c>
      <c r="D572" s="12" t="str">
        <f aca="false">IF(B572="","",IFERROR(INDEX(顧客一覧!$K$5:$K$304,MATCH(B572,顧客一覧!$B$5:$B$304,0))&amp;"",""))</f>
        <v/>
      </c>
      <c r="E572" s="17"/>
      <c r="F572" s="17"/>
      <c r="G572" s="29"/>
      <c r="H572" s="17"/>
      <c r="I572" s="29"/>
      <c r="J572" s="26" t="str">
        <f aca="false">IF(OR(G572="",I572=""),"",G572-I572)</f>
        <v/>
      </c>
      <c r="K572" s="26" t="str">
        <f aca="false">IF(J572="","",J572*12)</f>
        <v/>
      </c>
      <c r="L572" s="29"/>
      <c r="M572" s="27" t="str">
        <f aca="false">IF(OR(L572="",J572=""),"",IF(J572&lt;=0,"回収不可",L572/J572))</f>
        <v/>
      </c>
      <c r="N572" s="22"/>
      <c r="O572" s="17"/>
      <c r="P572" s="22"/>
      <c r="Q572" s="22"/>
      <c r="R572" s="28" t="str">
        <f aca="true">IF(OR(P572="",Q572&lt;&gt;"",O572="キャンセル"),"",P572-TODAY())</f>
        <v/>
      </c>
      <c r="S572" s="29"/>
      <c r="T572" s="22"/>
      <c r="U572" s="17"/>
      <c r="V572" s="22"/>
      <c r="W572" s="19" t="str">
        <f aca="true">IF(B572="","",IF(OR(O572="開通済",Q572&lt;&gt;""),"完了",IF(O572="キャンセル","―",IF(AND(V572&lt;&gt;"",V572&lt;TODAY()),"対応期限超過",IF(AND(P572&lt;&gt;"",P572&lt;TODAY()),"開通予定日超過",IF(AND(V572&lt;&gt;"",V572=TODAY()),"本日対応",IF(AND(P572&lt;&gt;"",P572-TODAY()&lt;=3),"開通間近","")))))))</f>
        <v/>
      </c>
      <c r="X572" s="17"/>
    </row>
    <row r="573" customFormat="false" ht="15" hidden="false" customHeight="false" outlineLevel="0" collapsed="false">
      <c r="A573" s="12" t="str">
        <f aca="false">IF(B573="","",ROW()-4)</f>
        <v/>
      </c>
      <c r="B573" s="17"/>
      <c r="C573" s="19" t="str">
        <f aca="false">IF(B573="","",IFERROR(INDEX(顧客一覧!$C$5:$C$304,MATCH(B573,顧客一覧!$B$5:$B$304,0)),"※ID未登録"))</f>
        <v/>
      </c>
      <c r="D573" s="12" t="str">
        <f aca="false">IF(B573="","",IFERROR(INDEX(顧客一覧!$K$5:$K$304,MATCH(B573,顧客一覧!$B$5:$B$304,0))&amp;"",""))</f>
        <v/>
      </c>
      <c r="E573" s="17"/>
      <c r="F573" s="17"/>
      <c r="G573" s="29"/>
      <c r="H573" s="17"/>
      <c r="I573" s="29"/>
      <c r="J573" s="26" t="str">
        <f aca="false">IF(OR(G573="",I573=""),"",G573-I573)</f>
        <v/>
      </c>
      <c r="K573" s="26" t="str">
        <f aca="false">IF(J573="","",J573*12)</f>
        <v/>
      </c>
      <c r="L573" s="29"/>
      <c r="M573" s="27" t="str">
        <f aca="false">IF(OR(L573="",J573=""),"",IF(J573&lt;=0,"回収不可",L573/J573))</f>
        <v/>
      </c>
      <c r="N573" s="22"/>
      <c r="O573" s="17"/>
      <c r="P573" s="22"/>
      <c r="Q573" s="22"/>
      <c r="R573" s="28" t="str">
        <f aca="true">IF(OR(P573="",Q573&lt;&gt;"",O573="キャンセル"),"",P573-TODAY())</f>
        <v/>
      </c>
      <c r="S573" s="29"/>
      <c r="T573" s="22"/>
      <c r="U573" s="17"/>
      <c r="V573" s="22"/>
      <c r="W573" s="19" t="str">
        <f aca="true">IF(B573="","",IF(OR(O573="開通済",Q573&lt;&gt;""),"完了",IF(O573="キャンセル","―",IF(AND(V573&lt;&gt;"",V573&lt;TODAY()),"対応期限超過",IF(AND(P573&lt;&gt;"",P573&lt;TODAY()),"開通予定日超過",IF(AND(V573&lt;&gt;"",V573=TODAY()),"本日対応",IF(AND(P573&lt;&gt;"",P573-TODAY()&lt;=3),"開通間近","")))))))</f>
        <v/>
      </c>
      <c r="X573" s="17"/>
    </row>
    <row r="574" customFormat="false" ht="15" hidden="false" customHeight="false" outlineLevel="0" collapsed="false">
      <c r="A574" s="12" t="str">
        <f aca="false">IF(B574="","",ROW()-4)</f>
        <v/>
      </c>
      <c r="B574" s="17"/>
      <c r="C574" s="19" t="str">
        <f aca="false">IF(B574="","",IFERROR(INDEX(顧客一覧!$C$5:$C$304,MATCH(B574,顧客一覧!$B$5:$B$304,0)),"※ID未登録"))</f>
        <v/>
      </c>
      <c r="D574" s="12" t="str">
        <f aca="false">IF(B574="","",IFERROR(INDEX(顧客一覧!$K$5:$K$304,MATCH(B574,顧客一覧!$B$5:$B$304,0))&amp;"",""))</f>
        <v/>
      </c>
      <c r="E574" s="17"/>
      <c r="F574" s="17"/>
      <c r="G574" s="29"/>
      <c r="H574" s="17"/>
      <c r="I574" s="29"/>
      <c r="J574" s="26" t="str">
        <f aca="false">IF(OR(G574="",I574=""),"",G574-I574)</f>
        <v/>
      </c>
      <c r="K574" s="26" t="str">
        <f aca="false">IF(J574="","",J574*12)</f>
        <v/>
      </c>
      <c r="L574" s="29"/>
      <c r="M574" s="27" t="str">
        <f aca="false">IF(OR(L574="",J574=""),"",IF(J574&lt;=0,"回収不可",L574/J574))</f>
        <v/>
      </c>
      <c r="N574" s="22"/>
      <c r="O574" s="17"/>
      <c r="P574" s="22"/>
      <c r="Q574" s="22"/>
      <c r="R574" s="28" t="str">
        <f aca="true">IF(OR(P574="",Q574&lt;&gt;"",O574="キャンセル"),"",P574-TODAY())</f>
        <v/>
      </c>
      <c r="S574" s="29"/>
      <c r="T574" s="22"/>
      <c r="U574" s="17"/>
      <c r="V574" s="22"/>
      <c r="W574" s="19" t="str">
        <f aca="true">IF(B574="","",IF(OR(O574="開通済",Q574&lt;&gt;""),"完了",IF(O574="キャンセル","―",IF(AND(V574&lt;&gt;"",V574&lt;TODAY()),"対応期限超過",IF(AND(P574&lt;&gt;"",P574&lt;TODAY()),"開通予定日超過",IF(AND(V574&lt;&gt;"",V574=TODAY()),"本日対応",IF(AND(P574&lt;&gt;"",P574-TODAY()&lt;=3),"開通間近","")))))))</f>
        <v/>
      </c>
      <c r="X574" s="17"/>
    </row>
    <row r="575" customFormat="false" ht="15" hidden="false" customHeight="false" outlineLevel="0" collapsed="false">
      <c r="A575" s="12" t="str">
        <f aca="false">IF(B575="","",ROW()-4)</f>
        <v/>
      </c>
      <c r="B575" s="17"/>
      <c r="C575" s="19" t="str">
        <f aca="false">IF(B575="","",IFERROR(INDEX(顧客一覧!$C$5:$C$304,MATCH(B575,顧客一覧!$B$5:$B$304,0)),"※ID未登録"))</f>
        <v/>
      </c>
      <c r="D575" s="12" t="str">
        <f aca="false">IF(B575="","",IFERROR(INDEX(顧客一覧!$K$5:$K$304,MATCH(B575,顧客一覧!$B$5:$B$304,0))&amp;"",""))</f>
        <v/>
      </c>
      <c r="E575" s="17"/>
      <c r="F575" s="17"/>
      <c r="G575" s="29"/>
      <c r="H575" s="17"/>
      <c r="I575" s="29"/>
      <c r="J575" s="26" t="str">
        <f aca="false">IF(OR(G575="",I575=""),"",G575-I575)</f>
        <v/>
      </c>
      <c r="K575" s="26" t="str">
        <f aca="false">IF(J575="","",J575*12)</f>
        <v/>
      </c>
      <c r="L575" s="29"/>
      <c r="M575" s="27" t="str">
        <f aca="false">IF(OR(L575="",J575=""),"",IF(J575&lt;=0,"回収不可",L575/J575))</f>
        <v/>
      </c>
      <c r="N575" s="22"/>
      <c r="O575" s="17"/>
      <c r="P575" s="22"/>
      <c r="Q575" s="22"/>
      <c r="R575" s="28" t="str">
        <f aca="true">IF(OR(P575="",Q575&lt;&gt;"",O575="キャンセル"),"",P575-TODAY())</f>
        <v/>
      </c>
      <c r="S575" s="29"/>
      <c r="T575" s="22"/>
      <c r="U575" s="17"/>
      <c r="V575" s="22"/>
      <c r="W575" s="19" t="str">
        <f aca="true">IF(B575="","",IF(OR(O575="開通済",Q575&lt;&gt;""),"完了",IF(O575="キャンセル","―",IF(AND(V575&lt;&gt;"",V575&lt;TODAY()),"対応期限超過",IF(AND(P575&lt;&gt;"",P575&lt;TODAY()),"開通予定日超過",IF(AND(V575&lt;&gt;"",V575=TODAY()),"本日対応",IF(AND(P575&lt;&gt;"",P575-TODAY()&lt;=3),"開通間近","")))))))</f>
        <v/>
      </c>
      <c r="X575" s="17"/>
    </row>
    <row r="576" customFormat="false" ht="15" hidden="false" customHeight="false" outlineLevel="0" collapsed="false">
      <c r="A576" s="12" t="str">
        <f aca="false">IF(B576="","",ROW()-4)</f>
        <v/>
      </c>
      <c r="B576" s="17"/>
      <c r="C576" s="19" t="str">
        <f aca="false">IF(B576="","",IFERROR(INDEX(顧客一覧!$C$5:$C$304,MATCH(B576,顧客一覧!$B$5:$B$304,0)),"※ID未登録"))</f>
        <v/>
      </c>
      <c r="D576" s="12" t="str">
        <f aca="false">IF(B576="","",IFERROR(INDEX(顧客一覧!$K$5:$K$304,MATCH(B576,顧客一覧!$B$5:$B$304,0))&amp;"",""))</f>
        <v/>
      </c>
      <c r="E576" s="17"/>
      <c r="F576" s="17"/>
      <c r="G576" s="29"/>
      <c r="H576" s="17"/>
      <c r="I576" s="29"/>
      <c r="J576" s="26" t="str">
        <f aca="false">IF(OR(G576="",I576=""),"",G576-I576)</f>
        <v/>
      </c>
      <c r="K576" s="26" t="str">
        <f aca="false">IF(J576="","",J576*12)</f>
        <v/>
      </c>
      <c r="L576" s="29"/>
      <c r="M576" s="27" t="str">
        <f aca="false">IF(OR(L576="",J576=""),"",IF(J576&lt;=0,"回収不可",L576/J576))</f>
        <v/>
      </c>
      <c r="N576" s="22"/>
      <c r="O576" s="17"/>
      <c r="P576" s="22"/>
      <c r="Q576" s="22"/>
      <c r="R576" s="28" t="str">
        <f aca="true">IF(OR(P576="",Q576&lt;&gt;"",O576="キャンセル"),"",P576-TODAY())</f>
        <v/>
      </c>
      <c r="S576" s="29"/>
      <c r="T576" s="22"/>
      <c r="U576" s="17"/>
      <c r="V576" s="22"/>
      <c r="W576" s="19" t="str">
        <f aca="true">IF(B576="","",IF(OR(O576="開通済",Q576&lt;&gt;""),"完了",IF(O576="キャンセル","―",IF(AND(V576&lt;&gt;"",V576&lt;TODAY()),"対応期限超過",IF(AND(P576&lt;&gt;"",P576&lt;TODAY()),"開通予定日超過",IF(AND(V576&lt;&gt;"",V576=TODAY()),"本日対応",IF(AND(P576&lt;&gt;"",P576-TODAY()&lt;=3),"開通間近","")))))))</f>
        <v/>
      </c>
      <c r="X576" s="17"/>
    </row>
    <row r="577" customFormat="false" ht="15" hidden="false" customHeight="false" outlineLevel="0" collapsed="false">
      <c r="A577" s="12" t="str">
        <f aca="false">IF(B577="","",ROW()-4)</f>
        <v/>
      </c>
      <c r="B577" s="17"/>
      <c r="C577" s="19" t="str">
        <f aca="false">IF(B577="","",IFERROR(INDEX(顧客一覧!$C$5:$C$304,MATCH(B577,顧客一覧!$B$5:$B$304,0)),"※ID未登録"))</f>
        <v/>
      </c>
      <c r="D577" s="12" t="str">
        <f aca="false">IF(B577="","",IFERROR(INDEX(顧客一覧!$K$5:$K$304,MATCH(B577,顧客一覧!$B$5:$B$304,0))&amp;"",""))</f>
        <v/>
      </c>
      <c r="E577" s="17"/>
      <c r="F577" s="17"/>
      <c r="G577" s="29"/>
      <c r="H577" s="17"/>
      <c r="I577" s="29"/>
      <c r="J577" s="26" t="str">
        <f aca="false">IF(OR(G577="",I577=""),"",G577-I577)</f>
        <v/>
      </c>
      <c r="K577" s="26" t="str">
        <f aca="false">IF(J577="","",J577*12)</f>
        <v/>
      </c>
      <c r="L577" s="29"/>
      <c r="M577" s="27" t="str">
        <f aca="false">IF(OR(L577="",J577=""),"",IF(J577&lt;=0,"回収不可",L577/J577))</f>
        <v/>
      </c>
      <c r="N577" s="22"/>
      <c r="O577" s="17"/>
      <c r="P577" s="22"/>
      <c r="Q577" s="22"/>
      <c r="R577" s="28" t="str">
        <f aca="true">IF(OR(P577="",Q577&lt;&gt;"",O577="キャンセル"),"",P577-TODAY())</f>
        <v/>
      </c>
      <c r="S577" s="29"/>
      <c r="T577" s="22"/>
      <c r="U577" s="17"/>
      <c r="V577" s="22"/>
      <c r="W577" s="19" t="str">
        <f aca="true">IF(B577="","",IF(OR(O577="開通済",Q577&lt;&gt;""),"完了",IF(O577="キャンセル","―",IF(AND(V577&lt;&gt;"",V577&lt;TODAY()),"対応期限超過",IF(AND(P577&lt;&gt;"",P577&lt;TODAY()),"開通予定日超過",IF(AND(V577&lt;&gt;"",V577=TODAY()),"本日対応",IF(AND(P577&lt;&gt;"",P577-TODAY()&lt;=3),"開通間近","")))))))</f>
        <v/>
      </c>
      <c r="X577" s="17"/>
    </row>
    <row r="578" customFormat="false" ht="15" hidden="false" customHeight="false" outlineLevel="0" collapsed="false">
      <c r="A578" s="12" t="str">
        <f aca="false">IF(B578="","",ROW()-4)</f>
        <v/>
      </c>
      <c r="B578" s="17"/>
      <c r="C578" s="19" t="str">
        <f aca="false">IF(B578="","",IFERROR(INDEX(顧客一覧!$C$5:$C$304,MATCH(B578,顧客一覧!$B$5:$B$304,0)),"※ID未登録"))</f>
        <v/>
      </c>
      <c r="D578" s="12" t="str">
        <f aca="false">IF(B578="","",IFERROR(INDEX(顧客一覧!$K$5:$K$304,MATCH(B578,顧客一覧!$B$5:$B$304,0))&amp;"",""))</f>
        <v/>
      </c>
      <c r="E578" s="17"/>
      <c r="F578" s="17"/>
      <c r="G578" s="29"/>
      <c r="H578" s="17"/>
      <c r="I578" s="29"/>
      <c r="J578" s="26" t="str">
        <f aca="false">IF(OR(G578="",I578=""),"",G578-I578)</f>
        <v/>
      </c>
      <c r="K578" s="26" t="str">
        <f aca="false">IF(J578="","",J578*12)</f>
        <v/>
      </c>
      <c r="L578" s="29"/>
      <c r="M578" s="27" t="str">
        <f aca="false">IF(OR(L578="",J578=""),"",IF(J578&lt;=0,"回収不可",L578/J578))</f>
        <v/>
      </c>
      <c r="N578" s="22"/>
      <c r="O578" s="17"/>
      <c r="P578" s="22"/>
      <c r="Q578" s="22"/>
      <c r="R578" s="28" t="str">
        <f aca="true">IF(OR(P578="",Q578&lt;&gt;"",O578="キャンセル"),"",P578-TODAY())</f>
        <v/>
      </c>
      <c r="S578" s="29"/>
      <c r="T578" s="22"/>
      <c r="U578" s="17"/>
      <c r="V578" s="22"/>
      <c r="W578" s="19" t="str">
        <f aca="true">IF(B578="","",IF(OR(O578="開通済",Q578&lt;&gt;""),"完了",IF(O578="キャンセル","―",IF(AND(V578&lt;&gt;"",V578&lt;TODAY()),"対応期限超過",IF(AND(P578&lt;&gt;"",P578&lt;TODAY()),"開通予定日超過",IF(AND(V578&lt;&gt;"",V578=TODAY()),"本日対応",IF(AND(P578&lt;&gt;"",P578-TODAY()&lt;=3),"開通間近","")))))))</f>
        <v/>
      </c>
      <c r="X578" s="17"/>
    </row>
    <row r="579" customFormat="false" ht="15" hidden="false" customHeight="false" outlineLevel="0" collapsed="false">
      <c r="A579" s="12" t="str">
        <f aca="false">IF(B579="","",ROW()-4)</f>
        <v/>
      </c>
      <c r="B579" s="17"/>
      <c r="C579" s="19" t="str">
        <f aca="false">IF(B579="","",IFERROR(INDEX(顧客一覧!$C$5:$C$304,MATCH(B579,顧客一覧!$B$5:$B$304,0)),"※ID未登録"))</f>
        <v/>
      </c>
      <c r="D579" s="12" t="str">
        <f aca="false">IF(B579="","",IFERROR(INDEX(顧客一覧!$K$5:$K$304,MATCH(B579,顧客一覧!$B$5:$B$304,0))&amp;"",""))</f>
        <v/>
      </c>
      <c r="E579" s="17"/>
      <c r="F579" s="17"/>
      <c r="G579" s="29"/>
      <c r="H579" s="17"/>
      <c r="I579" s="29"/>
      <c r="J579" s="26" t="str">
        <f aca="false">IF(OR(G579="",I579=""),"",G579-I579)</f>
        <v/>
      </c>
      <c r="K579" s="26" t="str">
        <f aca="false">IF(J579="","",J579*12)</f>
        <v/>
      </c>
      <c r="L579" s="29"/>
      <c r="M579" s="27" t="str">
        <f aca="false">IF(OR(L579="",J579=""),"",IF(J579&lt;=0,"回収不可",L579/J579))</f>
        <v/>
      </c>
      <c r="N579" s="22"/>
      <c r="O579" s="17"/>
      <c r="P579" s="22"/>
      <c r="Q579" s="22"/>
      <c r="R579" s="28" t="str">
        <f aca="true">IF(OR(P579="",Q579&lt;&gt;"",O579="キャンセル"),"",P579-TODAY())</f>
        <v/>
      </c>
      <c r="S579" s="29"/>
      <c r="T579" s="22"/>
      <c r="U579" s="17"/>
      <c r="V579" s="22"/>
      <c r="W579" s="19" t="str">
        <f aca="true">IF(B579="","",IF(OR(O579="開通済",Q579&lt;&gt;""),"完了",IF(O579="キャンセル","―",IF(AND(V579&lt;&gt;"",V579&lt;TODAY()),"対応期限超過",IF(AND(P579&lt;&gt;"",P579&lt;TODAY()),"開通予定日超過",IF(AND(V579&lt;&gt;"",V579=TODAY()),"本日対応",IF(AND(P579&lt;&gt;"",P579-TODAY()&lt;=3),"開通間近","")))))))</f>
        <v/>
      </c>
      <c r="X579" s="17"/>
    </row>
    <row r="580" customFormat="false" ht="15" hidden="false" customHeight="false" outlineLevel="0" collapsed="false">
      <c r="A580" s="12" t="str">
        <f aca="false">IF(B580="","",ROW()-4)</f>
        <v/>
      </c>
      <c r="B580" s="17"/>
      <c r="C580" s="19" t="str">
        <f aca="false">IF(B580="","",IFERROR(INDEX(顧客一覧!$C$5:$C$304,MATCH(B580,顧客一覧!$B$5:$B$304,0)),"※ID未登録"))</f>
        <v/>
      </c>
      <c r="D580" s="12" t="str">
        <f aca="false">IF(B580="","",IFERROR(INDEX(顧客一覧!$K$5:$K$304,MATCH(B580,顧客一覧!$B$5:$B$304,0))&amp;"",""))</f>
        <v/>
      </c>
      <c r="E580" s="17"/>
      <c r="F580" s="17"/>
      <c r="G580" s="29"/>
      <c r="H580" s="17"/>
      <c r="I580" s="29"/>
      <c r="J580" s="26" t="str">
        <f aca="false">IF(OR(G580="",I580=""),"",G580-I580)</f>
        <v/>
      </c>
      <c r="K580" s="26" t="str">
        <f aca="false">IF(J580="","",J580*12)</f>
        <v/>
      </c>
      <c r="L580" s="29"/>
      <c r="M580" s="27" t="str">
        <f aca="false">IF(OR(L580="",J580=""),"",IF(J580&lt;=0,"回収不可",L580/J580))</f>
        <v/>
      </c>
      <c r="N580" s="22"/>
      <c r="O580" s="17"/>
      <c r="P580" s="22"/>
      <c r="Q580" s="22"/>
      <c r="R580" s="28" t="str">
        <f aca="true">IF(OR(P580="",Q580&lt;&gt;"",O580="キャンセル"),"",P580-TODAY())</f>
        <v/>
      </c>
      <c r="S580" s="29"/>
      <c r="T580" s="22"/>
      <c r="U580" s="17"/>
      <c r="V580" s="22"/>
      <c r="W580" s="19" t="str">
        <f aca="true">IF(B580="","",IF(OR(O580="開通済",Q580&lt;&gt;""),"完了",IF(O580="キャンセル","―",IF(AND(V580&lt;&gt;"",V580&lt;TODAY()),"対応期限超過",IF(AND(P580&lt;&gt;"",P580&lt;TODAY()),"開通予定日超過",IF(AND(V580&lt;&gt;"",V580=TODAY()),"本日対応",IF(AND(P580&lt;&gt;"",P580-TODAY()&lt;=3),"開通間近","")))))))</f>
        <v/>
      </c>
      <c r="X580" s="17"/>
    </row>
    <row r="581" customFormat="false" ht="15" hidden="false" customHeight="false" outlineLevel="0" collapsed="false">
      <c r="A581" s="12" t="str">
        <f aca="false">IF(B581="","",ROW()-4)</f>
        <v/>
      </c>
      <c r="B581" s="17"/>
      <c r="C581" s="19" t="str">
        <f aca="false">IF(B581="","",IFERROR(INDEX(顧客一覧!$C$5:$C$304,MATCH(B581,顧客一覧!$B$5:$B$304,0)),"※ID未登録"))</f>
        <v/>
      </c>
      <c r="D581" s="12" t="str">
        <f aca="false">IF(B581="","",IFERROR(INDEX(顧客一覧!$K$5:$K$304,MATCH(B581,顧客一覧!$B$5:$B$304,0))&amp;"",""))</f>
        <v/>
      </c>
      <c r="E581" s="17"/>
      <c r="F581" s="17"/>
      <c r="G581" s="29"/>
      <c r="H581" s="17"/>
      <c r="I581" s="29"/>
      <c r="J581" s="26" t="str">
        <f aca="false">IF(OR(G581="",I581=""),"",G581-I581)</f>
        <v/>
      </c>
      <c r="K581" s="26" t="str">
        <f aca="false">IF(J581="","",J581*12)</f>
        <v/>
      </c>
      <c r="L581" s="29"/>
      <c r="M581" s="27" t="str">
        <f aca="false">IF(OR(L581="",J581=""),"",IF(J581&lt;=0,"回収不可",L581/J581))</f>
        <v/>
      </c>
      <c r="N581" s="22"/>
      <c r="O581" s="17"/>
      <c r="P581" s="22"/>
      <c r="Q581" s="22"/>
      <c r="R581" s="28" t="str">
        <f aca="true">IF(OR(P581="",Q581&lt;&gt;"",O581="キャンセル"),"",P581-TODAY())</f>
        <v/>
      </c>
      <c r="S581" s="29"/>
      <c r="T581" s="22"/>
      <c r="U581" s="17"/>
      <c r="V581" s="22"/>
      <c r="W581" s="19" t="str">
        <f aca="true">IF(B581="","",IF(OR(O581="開通済",Q581&lt;&gt;""),"完了",IF(O581="キャンセル","―",IF(AND(V581&lt;&gt;"",V581&lt;TODAY()),"対応期限超過",IF(AND(P581&lt;&gt;"",P581&lt;TODAY()),"開通予定日超過",IF(AND(V581&lt;&gt;"",V581=TODAY()),"本日対応",IF(AND(P581&lt;&gt;"",P581-TODAY()&lt;=3),"開通間近","")))))))</f>
        <v/>
      </c>
      <c r="X581" s="17"/>
    </row>
    <row r="582" customFormat="false" ht="15" hidden="false" customHeight="false" outlineLevel="0" collapsed="false">
      <c r="A582" s="12" t="str">
        <f aca="false">IF(B582="","",ROW()-4)</f>
        <v/>
      </c>
      <c r="B582" s="17"/>
      <c r="C582" s="19" t="str">
        <f aca="false">IF(B582="","",IFERROR(INDEX(顧客一覧!$C$5:$C$304,MATCH(B582,顧客一覧!$B$5:$B$304,0)),"※ID未登録"))</f>
        <v/>
      </c>
      <c r="D582" s="12" t="str">
        <f aca="false">IF(B582="","",IFERROR(INDEX(顧客一覧!$K$5:$K$304,MATCH(B582,顧客一覧!$B$5:$B$304,0))&amp;"",""))</f>
        <v/>
      </c>
      <c r="E582" s="17"/>
      <c r="F582" s="17"/>
      <c r="G582" s="29"/>
      <c r="H582" s="17"/>
      <c r="I582" s="29"/>
      <c r="J582" s="26" t="str">
        <f aca="false">IF(OR(G582="",I582=""),"",G582-I582)</f>
        <v/>
      </c>
      <c r="K582" s="26" t="str">
        <f aca="false">IF(J582="","",J582*12)</f>
        <v/>
      </c>
      <c r="L582" s="29"/>
      <c r="M582" s="27" t="str">
        <f aca="false">IF(OR(L582="",J582=""),"",IF(J582&lt;=0,"回収不可",L582/J582))</f>
        <v/>
      </c>
      <c r="N582" s="22"/>
      <c r="O582" s="17"/>
      <c r="P582" s="22"/>
      <c r="Q582" s="22"/>
      <c r="R582" s="28" t="str">
        <f aca="true">IF(OR(P582="",Q582&lt;&gt;"",O582="キャンセル"),"",P582-TODAY())</f>
        <v/>
      </c>
      <c r="S582" s="29"/>
      <c r="T582" s="22"/>
      <c r="U582" s="17"/>
      <c r="V582" s="22"/>
      <c r="W582" s="19" t="str">
        <f aca="true">IF(B582="","",IF(OR(O582="開通済",Q582&lt;&gt;""),"完了",IF(O582="キャンセル","―",IF(AND(V582&lt;&gt;"",V582&lt;TODAY()),"対応期限超過",IF(AND(P582&lt;&gt;"",P582&lt;TODAY()),"開通予定日超過",IF(AND(V582&lt;&gt;"",V582=TODAY()),"本日対応",IF(AND(P582&lt;&gt;"",P582-TODAY()&lt;=3),"開通間近","")))))))</f>
        <v/>
      </c>
      <c r="X582" s="17"/>
    </row>
    <row r="583" customFormat="false" ht="15" hidden="false" customHeight="false" outlineLevel="0" collapsed="false">
      <c r="A583" s="12" t="str">
        <f aca="false">IF(B583="","",ROW()-4)</f>
        <v/>
      </c>
      <c r="B583" s="17"/>
      <c r="C583" s="19" t="str">
        <f aca="false">IF(B583="","",IFERROR(INDEX(顧客一覧!$C$5:$C$304,MATCH(B583,顧客一覧!$B$5:$B$304,0)),"※ID未登録"))</f>
        <v/>
      </c>
      <c r="D583" s="12" t="str">
        <f aca="false">IF(B583="","",IFERROR(INDEX(顧客一覧!$K$5:$K$304,MATCH(B583,顧客一覧!$B$5:$B$304,0))&amp;"",""))</f>
        <v/>
      </c>
      <c r="E583" s="17"/>
      <c r="F583" s="17"/>
      <c r="G583" s="29"/>
      <c r="H583" s="17"/>
      <c r="I583" s="29"/>
      <c r="J583" s="26" t="str">
        <f aca="false">IF(OR(G583="",I583=""),"",G583-I583)</f>
        <v/>
      </c>
      <c r="K583" s="26" t="str">
        <f aca="false">IF(J583="","",J583*12)</f>
        <v/>
      </c>
      <c r="L583" s="29"/>
      <c r="M583" s="27" t="str">
        <f aca="false">IF(OR(L583="",J583=""),"",IF(J583&lt;=0,"回収不可",L583/J583))</f>
        <v/>
      </c>
      <c r="N583" s="22"/>
      <c r="O583" s="17"/>
      <c r="P583" s="22"/>
      <c r="Q583" s="22"/>
      <c r="R583" s="28" t="str">
        <f aca="true">IF(OR(P583="",Q583&lt;&gt;"",O583="キャンセル"),"",P583-TODAY())</f>
        <v/>
      </c>
      <c r="S583" s="29"/>
      <c r="T583" s="22"/>
      <c r="U583" s="17"/>
      <c r="V583" s="22"/>
      <c r="W583" s="19" t="str">
        <f aca="true">IF(B583="","",IF(OR(O583="開通済",Q583&lt;&gt;""),"完了",IF(O583="キャンセル","―",IF(AND(V583&lt;&gt;"",V583&lt;TODAY()),"対応期限超過",IF(AND(P583&lt;&gt;"",P583&lt;TODAY()),"開通予定日超過",IF(AND(V583&lt;&gt;"",V583=TODAY()),"本日対応",IF(AND(P583&lt;&gt;"",P583-TODAY()&lt;=3),"開通間近","")))))))</f>
        <v/>
      </c>
      <c r="X583" s="17"/>
    </row>
    <row r="584" customFormat="false" ht="15" hidden="false" customHeight="false" outlineLevel="0" collapsed="false">
      <c r="A584" s="12" t="str">
        <f aca="false">IF(B584="","",ROW()-4)</f>
        <v/>
      </c>
      <c r="B584" s="17"/>
      <c r="C584" s="19" t="str">
        <f aca="false">IF(B584="","",IFERROR(INDEX(顧客一覧!$C$5:$C$304,MATCH(B584,顧客一覧!$B$5:$B$304,0)),"※ID未登録"))</f>
        <v/>
      </c>
      <c r="D584" s="12" t="str">
        <f aca="false">IF(B584="","",IFERROR(INDEX(顧客一覧!$K$5:$K$304,MATCH(B584,顧客一覧!$B$5:$B$304,0))&amp;"",""))</f>
        <v/>
      </c>
      <c r="E584" s="17"/>
      <c r="F584" s="17"/>
      <c r="G584" s="29"/>
      <c r="H584" s="17"/>
      <c r="I584" s="29"/>
      <c r="J584" s="26" t="str">
        <f aca="false">IF(OR(G584="",I584=""),"",G584-I584)</f>
        <v/>
      </c>
      <c r="K584" s="26" t="str">
        <f aca="false">IF(J584="","",J584*12)</f>
        <v/>
      </c>
      <c r="L584" s="29"/>
      <c r="M584" s="27" t="str">
        <f aca="false">IF(OR(L584="",J584=""),"",IF(J584&lt;=0,"回収不可",L584/J584))</f>
        <v/>
      </c>
      <c r="N584" s="22"/>
      <c r="O584" s="17"/>
      <c r="P584" s="22"/>
      <c r="Q584" s="22"/>
      <c r="R584" s="28" t="str">
        <f aca="true">IF(OR(P584="",Q584&lt;&gt;"",O584="キャンセル"),"",P584-TODAY())</f>
        <v/>
      </c>
      <c r="S584" s="29"/>
      <c r="T584" s="22"/>
      <c r="U584" s="17"/>
      <c r="V584" s="22"/>
      <c r="W584" s="19" t="str">
        <f aca="true">IF(B584="","",IF(OR(O584="開通済",Q584&lt;&gt;""),"完了",IF(O584="キャンセル","―",IF(AND(V584&lt;&gt;"",V584&lt;TODAY()),"対応期限超過",IF(AND(P584&lt;&gt;"",P584&lt;TODAY()),"開通予定日超過",IF(AND(V584&lt;&gt;"",V584=TODAY()),"本日対応",IF(AND(P584&lt;&gt;"",P584-TODAY()&lt;=3),"開通間近","")))))))</f>
        <v/>
      </c>
      <c r="X584" s="17"/>
    </row>
    <row r="585" customFormat="false" ht="15" hidden="false" customHeight="false" outlineLevel="0" collapsed="false">
      <c r="A585" s="12" t="str">
        <f aca="false">IF(B585="","",ROW()-4)</f>
        <v/>
      </c>
      <c r="B585" s="17"/>
      <c r="C585" s="19" t="str">
        <f aca="false">IF(B585="","",IFERROR(INDEX(顧客一覧!$C$5:$C$304,MATCH(B585,顧客一覧!$B$5:$B$304,0)),"※ID未登録"))</f>
        <v/>
      </c>
      <c r="D585" s="12" t="str">
        <f aca="false">IF(B585="","",IFERROR(INDEX(顧客一覧!$K$5:$K$304,MATCH(B585,顧客一覧!$B$5:$B$304,0))&amp;"",""))</f>
        <v/>
      </c>
      <c r="E585" s="17"/>
      <c r="F585" s="17"/>
      <c r="G585" s="29"/>
      <c r="H585" s="17"/>
      <c r="I585" s="29"/>
      <c r="J585" s="26" t="str">
        <f aca="false">IF(OR(G585="",I585=""),"",G585-I585)</f>
        <v/>
      </c>
      <c r="K585" s="26" t="str">
        <f aca="false">IF(J585="","",J585*12)</f>
        <v/>
      </c>
      <c r="L585" s="29"/>
      <c r="M585" s="27" t="str">
        <f aca="false">IF(OR(L585="",J585=""),"",IF(J585&lt;=0,"回収不可",L585/J585))</f>
        <v/>
      </c>
      <c r="N585" s="22"/>
      <c r="O585" s="17"/>
      <c r="P585" s="22"/>
      <c r="Q585" s="22"/>
      <c r="R585" s="28" t="str">
        <f aca="true">IF(OR(P585="",Q585&lt;&gt;"",O585="キャンセル"),"",P585-TODAY())</f>
        <v/>
      </c>
      <c r="S585" s="29"/>
      <c r="T585" s="22"/>
      <c r="U585" s="17"/>
      <c r="V585" s="22"/>
      <c r="W585" s="19" t="str">
        <f aca="true">IF(B585="","",IF(OR(O585="開通済",Q585&lt;&gt;""),"完了",IF(O585="キャンセル","―",IF(AND(V585&lt;&gt;"",V585&lt;TODAY()),"対応期限超過",IF(AND(P585&lt;&gt;"",P585&lt;TODAY()),"開通予定日超過",IF(AND(V585&lt;&gt;"",V585=TODAY()),"本日対応",IF(AND(P585&lt;&gt;"",P585-TODAY()&lt;=3),"開通間近","")))))))</f>
        <v/>
      </c>
      <c r="X585" s="17"/>
    </row>
    <row r="586" customFormat="false" ht="15" hidden="false" customHeight="false" outlineLevel="0" collapsed="false">
      <c r="A586" s="12" t="str">
        <f aca="false">IF(B586="","",ROW()-4)</f>
        <v/>
      </c>
      <c r="B586" s="17"/>
      <c r="C586" s="19" t="str">
        <f aca="false">IF(B586="","",IFERROR(INDEX(顧客一覧!$C$5:$C$304,MATCH(B586,顧客一覧!$B$5:$B$304,0)),"※ID未登録"))</f>
        <v/>
      </c>
      <c r="D586" s="12" t="str">
        <f aca="false">IF(B586="","",IFERROR(INDEX(顧客一覧!$K$5:$K$304,MATCH(B586,顧客一覧!$B$5:$B$304,0))&amp;"",""))</f>
        <v/>
      </c>
      <c r="E586" s="17"/>
      <c r="F586" s="17"/>
      <c r="G586" s="29"/>
      <c r="H586" s="17"/>
      <c r="I586" s="29"/>
      <c r="J586" s="26" t="str">
        <f aca="false">IF(OR(G586="",I586=""),"",G586-I586)</f>
        <v/>
      </c>
      <c r="K586" s="26" t="str">
        <f aca="false">IF(J586="","",J586*12)</f>
        <v/>
      </c>
      <c r="L586" s="29"/>
      <c r="M586" s="27" t="str">
        <f aca="false">IF(OR(L586="",J586=""),"",IF(J586&lt;=0,"回収不可",L586/J586))</f>
        <v/>
      </c>
      <c r="N586" s="22"/>
      <c r="O586" s="17"/>
      <c r="P586" s="22"/>
      <c r="Q586" s="22"/>
      <c r="R586" s="28" t="str">
        <f aca="true">IF(OR(P586="",Q586&lt;&gt;"",O586="キャンセル"),"",P586-TODAY())</f>
        <v/>
      </c>
      <c r="S586" s="29"/>
      <c r="T586" s="22"/>
      <c r="U586" s="17"/>
      <c r="V586" s="22"/>
      <c r="W586" s="19" t="str">
        <f aca="true">IF(B586="","",IF(OR(O586="開通済",Q586&lt;&gt;""),"完了",IF(O586="キャンセル","―",IF(AND(V586&lt;&gt;"",V586&lt;TODAY()),"対応期限超過",IF(AND(P586&lt;&gt;"",P586&lt;TODAY()),"開通予定日超過",IF(AND(V586&lt;&gt;"",V586=TODAY()),"本日対応",IF(AND(P586&lt;&gt;"",P586-TODAY()&lt;=3),"開通間近","")))))))</f>
        <v/>
      </c>
      <c r="X586" s="17"/>
    </row>
    <row r="587" customFormat="false" ht="15" hidden="false" customHeight="false" outlineLevel="0" collapsed="false">
      <c r="A587" s="12" t="str">
        <f aca="false">IF(B587="","",ROW()-4)</f>
        <v/>
      </c>
      <c r="B587" s="17"/>
      <c r="C587" s="19" t="str">
        <f aca="false">IF(B587="","",IFERROR(INDEX(顧客一覧!$C$5:$C$304,MATCH(B587,顧客一覧!$B$5:$B$304,0)),"※ID未登録"))</f>
        <v/>
      </c>
      <c r="D587" s="12" t="str">
        <f aca="false">IF(B587="","",IFERROR(INDEX(顧客一覧!$K$5:$K$304,MATCH(B587,顧客一覧!$B$5:$B$304,0))&amp;"",""))</f>
        <v/>
      </c>
      <c r="E587" s="17"/>
      <c r="F587" s="17"/>
      <c r="G587" s="29"/>
      <c r="H587" s="17"/>
      <c r="I587" s="29"/>
      <c r="J587" s="26" t="str">
        <f aca="false">IF(OR(G587="",I587=""),"",G587-I587)</f>
        <v/>
      </c>
      <c r="K587" s="26" t="str">
        <f aca="false">IF(J587="","",J587*12)</f>
        <v/>
      </c>
      <c r="L587" s="29"/>
      <c r="M587" s="27" t="str">
        <f aca="false">IF(OR(L587="",J587=""),"",IF(J587&lt;=0,"回収不可",L587/J587))</f>
        <v/>
      </c>
      <c r="N587" s="22"/>
      <c r="O587" s="17"/>
      <c r="P587" s="22"/>
      <c r="Q587" s="22"/>
      <c r="R587" s="28" t="str">
        <f aca="true">IF(OR(P587="",Q587&lt;&gt;"",O587="キャンセル"),"",P587-TODAY())</f>
        <v/>
      </c>
      <c r="S587" s="29"/>
      <c r="T587" s="22"/>
      <c r="U587" s="17"/>
      <c r="V587" s="22"/>
      <c r="W587" s="19" t="str">
        <f aca="true">IF(B587="","",IF(OR(O587="開通済",Q587&lt;&gt;""),"完了",IF(O587="キャンセル","―",IF(AND(V587&lt;&gt;"",V587&lt;TODAY()),"対応期限超過",IF(AND(P587&lt;&gt;"",P587&lt;TODAY()),"開通予定日超過",IF(AND(V587&lt;&gt;"",V587=TODAY()),"本日対応",IF(AND(P587&lt;&gt;"",P587-TODAY()&lt;=3),"開通間近","")))))))</f>
        <v/>
      </c>
      <c r="X587" s="17"/>
    </row>
    <row r="588" customFormat="false" ht="15" hidden="false" customHeight="false" outlineLevel="0" collapsed="false">
      <c r="A588" s="12" t="str">
        <f aca="false">IF(B588="","",ROW()-4)</f>
        <v/>
      </c>
      <c r="B588" s="17"/>
      <c r="C588" s="19" t="str">
        <f aca="false">IF(B588="","",IFERROR(INDEX(顧客一覧!$C$5:$C$304,MATCH(B588,顧客一覧!$B$5:$B$304,0)),"※ID未登録"))</f>
        <v/>
      </c>
      <c r="D588" s="12" t="str">
        <f aca="false">IF(B588="","",IFERROR(INDEX(顧客一覧!$K$5:$K$304,MATCH(B588,顧客一覧!$B$5:$B$304,0))&amp;"",""))</f>
        <v/>
      </c>
      <c r="E588" s="17"/>
      <c r="F588" s="17"/>
      <c r="G588" s="29"/>
      <c r="H588" s="17"/>
      <c r="I588" s="29"/>
      <c r="J588" s="26" t="str">
        <f aca="false">IF(OR(G588="",I588=""),"",G588-I588)</f>
        <v/>
      </c>
      <c r="K588" s="26" t="str">
        <f aca="false">IF(J588="","",J588*12)</f>
        <v/>
      </c>
      <c r="L588" s="29"/>
      <c r="M588" s="27" t="str">
        <f aca="false">IF(OR(L588="",J588=""),"",IF(J588&lt;=0,"回収不可",L588/J588))</f>
        <v/>
      </c>
      <c r="N588" s="22"/>
      <c r="O588" s="17"/>
      <c r="P588" s="22"/>
      <c r="Q588" s="22"/>
      <c r="R588" s="28" t="str">
        <f aca="true">IF(OR(P588="",Q588&lt;&gt;"",O588="キャンセル"),"",P588-TODAY())</f>
        <v/>
      </c>
      <c r="S588" s="29"/>
      <c r="T588" s="22"/>
      <c r="U588" s="17"/>
      <c r="V588" s="22"/>
      <c r="W588" s="19" t="str">
        <f aca="true">IF(B588="","",IF(OR(O588="開通済",Q588&lt;&gt;""),"完了",IF(O588="キャンセル","―",IF(AND(V588&lt;&gt;"",V588&lt;TODAY()),"対応期限超過",IF(AND(P588&lt;&gt;"",P588&lt;TODAY()),"開通予定日超過",IF(AND(V588&lt;&gt;"",V588=TODAY()),"本日対応",IF(AND(P588&lt;&gt;"",P588-TODAY()&lt;=3),"開通間近","")))))))</f>
        <v/>
      </c>
      <c r="X588" s="17"/>
    </row>
    <row r="589" customFormat="false" ht="15" hidden="false" customHeight="false" outlineLevel="0" collapsed="false">
      <c r="A589" s="12" t="str">
        <f aca="false">IF(B589="","",ROW()-4)</f>
        <v/>
      </c>
      <c r="B589" s="17"/>
      <c r="C589" s="19" t="str">
        <f aca="false">IF(B589="","",IFERROR(INDEX(顧客一覧!$C$5:$C$304,MATCH(B589,顧客一覧!$B$5:$B$304,0)),"※ID未登録"))</f>
        <v/>
      </c>
      <c r="D589" s="12" t="str">
        <f aca="false">IF(B589="","",IFERROR(INDEX(顧客一覧!$K$5:$K$304,MATCH(B589,顧客一覧!$B$5:$B$304,0))&amp;"",""))</f>
        <v/>
      </c>
      <c r="E589" s="17"/>
      <c r="F589" s="17"/>
      <c r="G589" s="29"/>
      <c r="H589" s="17"/>
      <c r="I589" s="29"/>
      <c r="J589" s="26" t="str">
        <f aca="false">IF(OR(G589="",I589=""),"",G589-I589)</f>
        <v/>
      </c>
      <c r="K589" s="26" t="str">
        <f aca="false">IF(J589="","",J589*12)</f>
        <v/>
      </c>
      <c r="L589" s="29"/>
      <c r="M589" s="27" t="str">
        <f aca="false">IF(OR(L589="",J589=""),"",IF(J589&lt;=0,"回収不可",L589/J589))</f>
        <v/>
      </c>
      <c r="N589" s="22"/>
      <c r="O589" s="17"/>
      <c r="P589" s="22"/>
      <c r="Q589" s="22"/>
      <c r="R589" s="28" t="str">
        <f aca="true">IF(OR(P589="",Q589&lt;&gt;"",O589="キャンセル"),"",P589-TODAY())</f>
        <v/>
      </c>
      <c r="S589" s="29"/>
      <c r="T589" s="22"/>
      <c r="U589" s="17"/>
      <c r="V589" s="22"/>
      <c r="W589" s="19" t="str">
        <f aca="true">IF(B589="","",IF(OR(O589="開通済",Q589&lt;&gt;""),"完了",IF(O589="キャンセル","―",IF(AND(V589&lt;&gt;"",V589&lt;TODAY()),"対応期限超過",IF(AND(P589&lt;&gt;"",P589&lt;TODAY()),"開通予定日超過",IF(AND(V589&lt;&gt;"",V589=TODAY()),"本日対応",IF(AND(P589&lt;&gt;"",P589-TODAY()&lt;=3),"開通間近","")))))))</f>
        <v/>
      </c>
      <c r="X589" s="17"/>
    </row>
    <row r="590" customFormat="false" ht="15" hidden="false" customHeight="false" outlineLevel="0" collapsed="false">
      <c r="A590" s="12" t="str">
        <f aca="false">IF(B590="","",ROW()-4)</f>
        <v/>
      </c>
      <c r="B590" s="17"/>
      <c r="C590" s="19" t="str">
        <f aca="false">IF(B590="","",IFERROR(INDEX(顧客一覧!$C$5:$C$304,MATCH(B590,顧客一覧!$B$5:$B$304,0)),"※ID未登録"))</f>
        <v/>
      </c>
      <c r="D590" s="12" t="str">
        <f aca="false">IF(B590="","",IFERROR(INDEX(顧客一覧!$K$5:$K$304,MATCH(B590,顧客一覧!$B$5:$B$304,0))&amp;"",""))</f>
        <v/>
      </c>
      <c r="E590" s="17"/>
      <c r="F590" s="17"/>
      <c r="G590" s="29"/>
      <c r="H590" s="17"/>
      <c r="I590" s="29"/>
      <c r="J590" s="26" t="str">
        <f aca="false">IF(OR(G590="",I590=""),"",G590-I590)</f>
        <v/>
      </c>
      <c r="K590" s="26" t="str">
        <f aca="false">IF(J590="","",J590*12)</f>
        <v/>
      </c>
      <c r="L590" s="29"/>
      <c r="M590" s="27" t="str">
        <f aca="false">IF(OR(L590="",J590=""),"",IF(J590&lt;=0,"回収不可",L590/J590))</f>
        <v/>
      </c>
      <c r="N590" s="22"/>
      <c r="O590" s="17"/>
      <c r="P590" s="22"/>
      <c r="Q590" s="22"/>
      <c r="R590" s="28" t="str">
        <f aca="true">IF(OR(P590="",Q590&lt;&gt;"",O590="キャンセル"),"",P590-TODAY())</f>
        <v/>
      </c>
      <c r="S590" s="29"/>
      <c r="T590" s="22"/>
      <c r="U590" s="17"/>
      <c r="V590" s="22"/>
      <c r="W590" s="19" t="str">
        <f aca="true">IF(B590="","",IF(OR(O590="開通済",Q590&lt;&gt;""),"完了",IF(O590="キャンセル","―",IF(AND(V590&lt;&gt;"",V590&lt;TODAY()),"対応期限超過",IF(AND(P590&lt;&gt;"",P590&lt;TODAY()),"開通予定日超過",IF(AND(V590&lt;&gt;"",V590=TODAY()),"本日対応",IF(AND(P590&lt;&gt;"",P590-TODAY()&lt;=3),"開通間近","")))))))</f>
        <v/>
      </c>
      <c r="X590" s="17"/>
    </row>
    <row r="591" customFormat="false" ht="15" hidden="false" customHeight="false" outlineLevel="0" collapsed="false">
      <c r="A591" s="12" t="str">
        <f aca="false">IF(B591="","",ROW()-4)</f>
        <v/>
      </c>
      <c r="B591" s="17"/>
      <c r="C591" s="19" t="str">
        <f aca="false">IF(B591="","",IFERROR(INDEX(顧客一覧!$C$5:$C$304,MATCH(B591,顧客一覧!$B$5:$B$304,0)),"※ID未登録"))</f>
        <v/>
      </c>
      <c r="D591" s="12" t="str">
        <f aca="false">IF(B591="","",IFERROR(INDEX(顧客一覧!$K$5:$K$304,MATCH(B591,顧客一覧!$B$5:$B$304,0))&amp;"",""))</f>
        <v/>
      </c>
      <c r="E591" s="17"/>
      <c r="F591" s="17"/>
      <c r="G591" s="29"/>
      <c r="H591" s="17"/>
      <c r="I591" s="29"/>
      <c r="J591" s="26" t="str">
        <f aca="false">IF(OR(G591="",I591=""),"",G591-I591)</f>
        <v/>
      </c>
      <c r="K591" s="26" t="str">
        <f aca="false">IF(J591="","",J591*12)</f>
        <v/>
      </c>
      <c r="L591" s="29"/>
      <c r="M591" s="27" t="str">
        <f aca="false">IF(OR(L591="",J591=""),"",IF(J591&lt;=0,"回収不可",L591/J591))</f>
        <v/>
      </c>
      <c r="N591" s="22"/>
      <c r="O591" s="17"/>
      <c r="P591" s="22"/>
      <c r="Q591" s="22"/>
      <c r="R591" s="28" t="str">
        <f aca="true">IF(OR(P591="",Q591&lt;&gt;"",O591="キャンセル"),"",P591-TODAY())</f>
        <v/>
      </c>
      <c r="S591" s="29"/>
      <c r="T591" s="22"/>
      <c r="U591" s="17"/>
      <c r="V591" s="22"/>
      <c r="W591" s="19" t="str">
        <f aca="true">IF(B591="","",IF(OR(O591="開通済",Q591&lt;&gt;""),"完了",IF(O591="キャンセル","―",IF(AND(V591&lt;&gt;"",V591&lt;TODAY()),"対応期限超過",IF(AND(P591&lt;&gt;"",P591&lt;TODAY()),"開通予定日超過",IF(AND(V591&lt;&gt;"",V591=TODAY()),"本日対応",IF(AND(P591&lt;&gt;"",P591-TODAY()&lt;=3),"開通間近","")))))))</f>
        <v/>
      </c>
      <c r="X591" s="17"/>
    </row>
    <row r="592" customFormat="false" ht="15" hidden="false" customHeight="false" outlineLevel="0" collapsed="false">
      <c r="A592" s="12" t="str">
        <f aca="false">IF(B592="","",ROW()-4)</f>
        <v/>
      </c>
      <c r="B592" s="17"/>
      <c r="C592" s="19" t="str">
        <f aca="false">IF(B592="","",IFERROR(INDEX(顧客一覧!$C$5:$C$304,MATCH(B592,顧客一覧!$B$5:$B$304,0)),"※ID未登録"))</f>
        <v/>
      </c>
      <c r="D592" s="12" t="str">
        <f aca="false">IF(B592="","",IFERROR(INDEX(顧客一覧!$K$5:$K$304,MATCH(B592,顧客一覧!$B$5:$B$304,0))&amp;"",""))</f>
        <v/>
      </c>
      <c r="E592" s="17"/>
      <c r="F592" s="17"/>
      <c r="G592" s="29"/>
      <c r="H592" s="17"/>
      <c r="I592" s="29"/>
      <c r="J592" s="26" t="str">
        <f aca="false">IF(OR(G592="",I592=""),"",G592-I592)</f>
        <v/>
      </c>
      <c r="K592" s="26" t="str">
        <f aca="false">IF(J592="","",J592*12)</f>
        <v/>
      </c>
      <c r="L592" s="29"/>
      <c r="M592" s="27" t="str">
        <f aca="false">IF(OR(L592="",J592=""),"",IF(J592&lt;=0,"回収不可",L592/J592))</f>
        <v/>
      </c>
      <c r="N592" s="22"/>
      <c r="O592" s="17"/>
      <c r="P592" s="22"/>
      <c r="Q592" s="22"/>
      <c r="R592" s="28" t="str">
        <f aca="true">IF(OR(P592="",Q592&lt;&gt;"",O592="キャンセル"),"",P592-TODAY())</f>
        <v/>
      </c>
      <c r="S592" s="29"/>
      <c r="T592" s="22"/>
      <c r="U592" s="17"/>
      <c r="V592" s="22"/>
      <c r="W592" s="19" t="str">
        <f aca="true">IF(B592="","",IF(OR(O592="開通済",Q592&lt;&gt;""),"完了",IF(O592="キャンセル","―",IF(AND(V592&lt;&gt;"",V592&lt;TODAY()),"対応期限超過",IF(AND(P592&lt;&gt;"",P592&lt;TODAY()),"開通予定日超過",IF(AND(V592&lt;&gt;"",V592=TODAY()),"本日対応",IF(AND(P592&lt;&gt;"",P592-TODAY()&lt;=3),"開通間近","")))))))</f>
        <v/>
      </c>
      <c r="X592" s="17"/>
    </row>
    <row r="593" customFormat="false" ht="15" hidden="false" customHeight="false" outlineLevel="0" collapsed="false">
      <c r="A593" s="12" t="str">
        <f aca="false">IF(B593="","",ROW()-4)</f>
        <v/>
      </c>
      <c r="B593" s="17"/>
      <c r="C593" s="19" t="str">
        <f aca="false">IF(B593="","",IFERROR(INDEX(顧客一覧!$C$5:$C$304,MATCH(B593,顧客一覧!$B$5:$B$304,0)),"※ID未登録"))</f>
        <v/>
      </c>
      <c r="D593" s="12" t="str">
        <f aca="false">IF(B593="","",IFERROR(INDEX(顧客一覧!$K$5:$K$304,MATCH(B593,顧客一覧!$B$5:$B$304,0))&amp;"",""))</f>
        <v/>
      </c>
      <c r="E593" s="17"/>
      <c r="F593" s="17"/>
      <c r="G593" s="29"/>
      <c r="H593" s="17"/>
      <c r="I593" s="29"/>
      <c r="J593" s="26" t="str">
        <f aca="false">IF(OR(G593="",I593=""),"",G593-I593)</f>
        <v/>
      </c>
      <c r="K593" s="26" t="str">
        <f aca="false">IF(J593="","",J593*12)</f>
        <v/>
      </c>
      <c r="L593" s="29"/>
      <c r="M593" s="27" t="str">
        <f aca="false">IF(OR(L593="",J593=""),"",IF(J593&lt;=0,"回収不可",L593/J593))</f>
        <v/>
      </c>
      <c r="N593" s="22"/>
      <c r="O593" s="17"/>
      <c r="P593" s="22"/>
      <c r="Q593" s="22"/>
      <c r="R593" s="28" t="str">
        <f aca="true">IF(OR(P593="",Q593&lt;&gt;"",O593="キャンセル"),"",P593-TODAY())</f>
        <v/>
      </c>
      <c r="S593" s="29"/>
      <c r="T593" s="22"/>
      <c r="U593" s="17"/>
      <c r="V593" s="22"/>
      <c r="W593" s="19" t="str">
        <f aca="true">IF(B593="","",IF(OR(O593="開通済",Q593&lt;&gt;""),"完了",IF(O593="キャンセル","―",IF(AND(V593&lt;&gt;"",V593&lt;TODAY()),"対応期限超過",IF(AND(P593&lt;&gt;"",P593&lt;TODAY()),"開通予定日超過",IF(AND(V593&lt;&gt;"",V593=TODAY()),"本日対応",IF(AND(P593&lt;&gt;"",P593-TODAY()&lt;=3),"開通間近","")))))))</f>
        <v/>
      </c>
      <c r="X593" s="17"/>
    </row>
    <row r="594" customFormat="false" ht="15" hidden="false" customHeight="false" outlineLevel="0" collapsed="false">
      <c r="A594" s="12" t="str">
        <f aca="false">IF(B594="","",ROW()-4)</f>
        <v/>
      </c>
      <c r="B594" s="17"/>
      <c r="C594" s="19" t="str">
        <f aca="false">IF(B594="","",IFERROR(INDEX(顧客一覧!$C$5:$C$304,MATCH(B594,顧客一覧!$B$5:$B$304,0)),"※ID未登録"))</f>
        <v/>
      </c>
      <c r="D594" s="12" t="str">
        <f aca="false">IF(B594="","",IFERROR(INDEX(顧客一覧!$K$5:$K$304,MATCH(B594,顧客一覧!$B$5:$B$304,0))&amp;"",""))</f>
        <v/>
      </c>
      <c r="E594" s="17"/>
      <c r="F594" s="17"/>
      <c r="G594" s="29"/>
      <c r="H594" s="17"/>
      <c r="I594" s="29"/>
      <c r="J594" s="26" t="str">
        <f aca="false">IF(OR(G594="",I594=""),"",G594-I594)</f>
        <v/>
      </c>
      <c r="K594" s="26" t="str">
        <f aca="false">IF(J594="","",J594*12)</f>
        <v/>
      </c>
      <c r="L594" s="29"/>
      <c r="M594" s="27" t="str">
        <f aca="false">IF(OR(L594="",J594=""),"",IF(J594&lt;=0,"回収不可",L594/J594))</f>
        <v/>
      </c>
      <c r="N594" s="22"/>
      <c r="O594" s="17"/>
      <c r="P594" s="22"/>
      <c r="Q594" s="22"/>
      <c r="R594" s="28" t="str">
        <f aca="true">IF(OR(P594="",Q594&lt;&gt;"",O594="キャンセル"),"",P594-TODAY())</f>
        <v/>
      </c>
      <c r="S594" s="29"/>
      <c r="T594" s="22"/>
      <c r="U594" s="17"/>
      <c r="V594" s="22"/>
      <c r="W594" s="19" t="str">
        <f aca="true">IF(B594="","",IF(OR(O594="開通済",Q594&lt;&gt;""),"完了",IF(O594="キャンセル","―",IF(AND(V594&lt;&gt;"",V594&lt;TODAY()),"対応期限超過",IF(AND(P594&lt;&gt;"",P594&lt;TODAY()),"開通予定日超過",IF(AND(V594&lt;&gt;"",V594=TODAY()),"本日対応",IF(AND(P594&lt;&gt;"",P594-TODAY()&lt;=3),"開通間近","")))))))</f>
        <v/>
      </c>
      <c r="X594" s="17"/>
    </row>
    <row r="595" customFormat="false" ht="15" hidden="false" customHeight="false" outlineLevel="0" collapsed="false">
      <c r="A595" s="12" t="str">
        <f aca="false">IF(B595="","",ROW()-4)</f>
        <v/>
      </c>
      <c r="B595" s="17"/>
      <c r="C595" s="19" t="str">
        <f aca="false">IF(B595="","",IFERROR(INDEX(顧客一覧!$C$5:$C$304,MATCH(B595,顧客一覧!$B$5:$B$304,0)),"※ID未登録"))</f>
        <v/>
      </c>
      <c r="D595" s="12" t="str">
        <f aca="false">IF(B595="","",IFERROR(INDEX(顧客一覧!$K$5:$K$304,MATCH(B595,顧客一覧!$B$5:$B$304,0))&amp;"",""))</f>
        <v/>
      </c>
      <c r="E595" s="17"/>
      <c r="F595" s="17"/>
      <c r="G595" s="29"/>
      <c r="H595" s="17"/>
      <c r="I595" s="29"/>
      <c r="J595" s="26" t="str">
        <f aca="false">IF(OR(G595="",I595=""),"",G595-I595)</f>
        <v/>
      </c>
      <c r="K595" s="26" t="str">
        <f aca="false">IF(J595="","",J595*12)</f>
        <v/>
      </c>
      <c r="L595" s="29"/>
      <c r="M595" s="27" t="str">
        <f aca="false">IF(OR(L595="",J595=""),"",IF(J595&lt;=0,"回収不可",L595/J595))</f>
        <v/>
      </c>
      <c r="N595" s="22"/>
      <c r="O595" s="17"/>
      <c r="P595" s="22"/>
      <c r="Q595" s="22"/>
      <c r="R595" s="28" t="str">
        <f aca="true">IF(OR(P595="",Q595&lt;&gt;"",O595="キャンセル"),"",P595-TODAY())</f>
        <v/>
      </c>
      <c r="S595" s="29"/>
      <c r="T595" s="22"/>
      <c r="U595" s="17"/>
      <c r="V595" s="22"/>
      <c r="W595" s="19" t="str">
        <f aca="true">IF(B595="","",IF(OR(O595="開通済",Q595&lt;&gt;""),"完了",IF(O595="キャンセル","―",IF(AND(V595&lt;&gt;"",V595&lt;TODAY()),"対応期限超過",IF(AND(P595&lt;&gt;"",P595&lt;TODAY()),"開通予定日超過",IF(AND(V595&lt;&gt;"",V595=TODAY()),"本日対応",IF(AND(P595&lt;&gt;"",P595-TODAY()&lt;=3),"開通間近","")))))))</f>
        <v/>
      </c>
      <c r="X595" s="17"/>
    </row>
    <row r="596" customFormat="false" ht="15" hidden="false" customHeight="false" outlineLevel="0" collapsed="false">
      <c r="A596" s="12" t="str">
        <f aca="false">IF(B596="","",ROW()-4)</f>
        <v/>
      </c>
      <c r="B596" s="17"/>
      <c r="C596" s="19" t="str">
        <f aca="false">IF(B596="","",IFERROR(INDEX(顧客一覧!$C$5:$C$304,MATCH(B596,顧客一覧!$B$5:$B$304,0)),"※ID未登録"))</f>
        <v/>
      </c>
      <c r="D596" s="12" t="str">
        <f aca="false">IF(B596="","",IFERROR(INDEX(顧客一覧!$K$5:$K$304,MATCH(B596,顧客一覧!$B$5:$B$304,0))&amp;"",""))</f>
        <v/>
      </c>
      <c r="E596" s="17"/>
      <c r="F596" s="17"/>
      <c r="G596" s="29"/>
      <c r="H596" s="17"/>
      <c r="I596" s="29"/>
      <c r="J596" s="26" t="str">
        <f aca="false">IF(OR(G596="",I596=""),"",G596-I596)</f>
        <v/>
      </c>
      <c r="K596" s="26" t="str">
        <f aca="false">IF(J596="","",J596*12)</f>
        <v/>
      </c>
      <c r="L596" s="29"/>
      <c r="M596" s="27" t="str">
        <f aca="false">IF(OR(L596="",J596=""),"",IF(J596&lt;=0,"回収不可",L596/J596))</f>
        <v/>
      </c>
      <c r="N596" s="22"/>
      <c r="O596" s="17"/>
      <c r="P596" s="22"/>
      <c r="Q596" s="22"/>
      <c r="R596" s="28" t="str">
        <f aca="true">IF(OR(P596="",Q596&lt;&gt;"",O596="キャンセル"),"",P596-TODAY())</f>
        <v/>
      </c>
      <c r="S596" s="29"/>
      <c r="T596" s="22"/>
      <c r="U596" s="17"/>
      <c r="V596" s="22"/>
      <c r="W596" s="19" t="str">
        <f aca="true">IF(B596="","",IF(OR(O596="開通済",Q596&lt;&gt;""),"完了",IF(O596="キャンセル","―",IF(AND(V596&lt;&gt;"",V596&lt;TODAY()),"対応期限超過",IF(AND(P596&lt;&gt;"",P596&lt;TODAY()),"開通予定日超過",IF(AND(V596&lt;&gt;"",V596=TODAY()),"本日対応",IF(AND(P596&lt;&gt;"",P596-TODAY()&lt;=3),"開通間近","")))))))</f>
        <v/>
      </c>
      <c r="X596" s="17"/>
    </row>
    <row r="597" customFormat="false" ht="15" hidden="false" customHeight="false" outlineLevel="0" collapsed="false">
      <c r="A597" s="12" t="str">
        <f aca="false">IF(B597="","",ROW()-4)</f>
        <v/>
      </c>
      <c r="B597" s="17"/>
      <c r="C597" s="19" t="str">
        <f aca="false">IF(B597="","",IFERROR(INDEX(顧客一覧!$C$5:$C$304,MATCH(B597,顧客一覧!$B$5:$B$304,0)),"※ID未登録"))</f>
        <v/>
      </c>
      <c r="D597" s="12" t="str">
        <f aca="false">IF(B597="","",IFERROR(INDEX(顧客一覧!$K$5:$K$304,MATCH(B597,顧客一覧!$B$5:$B$304,0))&amp;"",""))</f>
        <v/>
      </c>
      <c r="E597" s="17"/>
      <c r="F597" s="17"/>
      <c r="G597" s="29"/>
      <c r="H597" s="17"/>
      <c r="I597" s="29"/>
      <c r="J597" s="26" t="str">
        <f aca="false">IF(OR(G597="",I597=""),"",G597-I597)</f>
        <v/>
      </c>
      <c r="K597" s="26" t="str">
        <f aca="false">IF(J597="","",J597*12)</f>
        <v/>
      </c>
      <c r="L597" s="29"/>
      <c r="M597" s="27" t="str">
        <f aca="false">IF(OR(L597="",J597=""),"",IF(J597&lt;=0,"回収不可",L597/J597))</f>
        <v/>
      </c>
      <c r="N597" s="22"/>
      <c r="O597" s="17"/>
      <c r="P597" s="22"/>
      <c r="Q597" s="22"/>
      <c r="R597" s="28" t="str">
        <f aca="true">IF(OR(P597="",Q597&lt;&gt;"",O597="キャンセル"),"",P597-TODAY())</f>
        <v/>
      </c>
      <c r="S597" s="29"/>
      <c r="T597" s="22"/>
      <c r="U597" s="17"/>
      <c r="V597" s="22"/>
      <c r="W597" s="19" t="str">
        <f aca="true">IF(B597="","",IF(OR(O597="開通済",Q597&lt;&gt;""),"完了",IF(O597="キャンセル","―",IF(AND(V597&lt;&gt;"",V597&lt;TODAY()),"対応期限超過",IF(AND(P597&lt;&gt;"",P597&lt;TODAY()),"開通予定日超過",IF(AND(V597&lt;&gt;"",V597=TODAY()),"本日対応",IF(AND(P597&lt;&gt;"",P597-TODAY()&lt;=3),"開通間近","")))))))</f>
        <v/>
      </c>
      <c r="X597" s="17"/>
    </row>
    <row r="598" customFormat="false" ht="15" hidden="false" customHeight="false" outlineLevel="0" collapsed="false">
      <c r="A598" s="12" t="str">
        <f aca="false">IF(B598="","",ROW()-4)</f>
        <v/>
      </c>
      <c r="B598" s="17"/>
      <c r="C598" s="19" t="str">
        <f aca="false">IF(B598="","",IFERROR(INDEX(顧客一覧!$C$5:$C$304,MATCH(B598,顧客一覧!$B$5:$B$304,0)),"※ID未登録"))</f>
        <v/>
      </c>
      <c r="D598" s="12" t="str">
        <f aca="false">IF(B598="","",IFERROR(INDEX(顧客一覧!$K$5:$K$304,MATCH(B598,顧客一覧!$B$5:$B$304,0))&amp;"",""))</f>
        <v/>
      </c>
      <c r="E598" s="17"/>
      <c r="F598" s="17"/>
      <c r="G598" s="29"/>
      <c r="H598" s="17"/>
      <c r="I598" s="29"/>
      <c r="J598" s="26" t="str">
        <f aca="false">IF(OR(G598="",I598=""),"",G598-I598)</f>
        <v/>
      </c>
      <c r="K598" s="26" t="str">
        <f aca="false">IF(J598="","",J598*12)</f>
        <v/>
      </c>
      <c r="L598" s="29"/>
      <c r="M598" s="27" t="str">
        <f aca="false">IF(OR(L598="",J598=""),"",IF(J598&lt;=0,"回収不可",L598/J598))</f>
        <v/>
      </c>
      <c r="N598" s="22"/>
      <c r="O598" s="17"/>
      <c r="P598" s="22"/>
      <c r="Q598" s="22"/>
      <c r="R598" s="28" t="str">
        <f aca="true">IF(OR(P598="",Q598&lt;&gt;"",O598="キャンセル"),"",P598-TODAY())</f>
        <v/>
      </c>
      <c r="S598" s="29"/>
      <c r="T598" s="22"/>
      <c r="U598" s="17"/>
      <c r="V598" s="22"/>
      <c r="W598" s="19" t="str">
        <f aca="true">IF(B598="","",IF(OR(O598="開通済",Q598&lt;&gt;""),"完了",IF(O598="キャンセル","―",IF(AND(V598&lt;&gt;"",V598&lt;TODAY()),"対応期限超過",IF(AND(P598&lt;&gt;"",P598&lt;TODAY()),"開通予定日超過",IF(AND(V598&lt;&gt;"",V598=TODAY()),"本日対応",IF(AND(P598&lt;&gt;"",P598-TODAY()&lt;=3),"開通間近","")))))))</f>
        <v/>
      </c>
      <c r="X598" s="17"/>
    </row>
    <row r="599" customFormat="false" ht="15" hidden="false" customHeight="false" outlineLevel="0" collapsed="false">
      <c r="A599" s="12" t="str">
        <f aca="false">IF(B599="","",ROW()-4)</f>
        <v/>
      </c>
      <c r="B599" s="17"/>
      <c r="C599" s="19" t="str">
        <f aca="false">IF(B599="","",IFERROR(INDEX(顧客一覧!$C$5:$C$304,MATCH(B599,顧客一覧!$B$5:$B$304,0)),"※ID未登録"))</f>
        <v/>
      </c>
      <c r="D599" s="12" t="str">
        <f aca="false">IF(B599="","",IFERROR(INDEX(顧客一覧!$K$5:$K$304,MATCH(B599,顧客一覧!$B$5:$B$304,0))&amp;"",""))</f>
        <v/>
      </c>
      <c r="E599" s="17"/>
      <c r="F599" s="17"/>
      <c r="G599" s="29"/>
      <c r="H599" s="17"/>
      <c r="I599" s="29"/>
      <c r="J599" s="26" t="str">
        <f aca="false">IF(OR(G599="",I599=""),"",G599-I599)</f>
        <v/>
      </c>
      <c r="K599" s="26" t="str">
        <f aca="false">IF(J599="","",J599*12)</f>
        <v/>
      </c>
      <c r="L599" s="29"/>
      <c r="M599" s="27" t="str">
        <f aca="false">IF(OR(L599="",J599=""),"",IF(J599&lt;=0,"回収不可",L599/J599))</f>
        <v/>
      </c>
      <c r="N599" s="22"/>
      <c r="O599" s="17"/>
      <c r="P599" s="22"/>
      <c r="Q599" s="22"/>
      <c r="R599" s="28" t="str">
        <f aca="true">IF(OR(P599="",Q599&lt;&gt;"",O599="キャンセル"),"",P599-TODAY())</f>
        <v/>
      </c>
      <c r="S599" s="29"/>
      <c r="T599" s="22"/>
      <c r="U599" s="17"/>
      <c r="V599" s="22"/>
      <c r="W599" s="19" t="str">
        <f aca="true">IF(B599="","",IF(OR(O599="開通済",Q599&lt;&gt;""),"完了",IF(O599="キャンセル","―",IF(AND(V599&lt;&gt;"",V599&lt;TODAY()),"対応期限超過",IF(AND(P599&lt;&gt;"",P599&lt;TODAY()),"開通予定日超過",IF(AND(V599&lt;&gt;"",V599=TODAY()),"本日対応",IF(AND(P599&lt;&gt;"",P599-TODAY()&lt;=3),"開通間近","")))))))</f>
        <v/>
      </c>
      <c r="X599" s="17"/>
    </row>
    <row r="600" customFormat="false" ht="15" hidden="false" customHeight="false" outlineLevel="0" collapsed="false">
      <c r="A600" s="12" t="str">
        <f aca="false">IF(B600="","",ROW()-4)</f>
        <v/>
      </c>
      <c r="B600" s="17"/>
      <c r="C600" s="19" t="str">
        <f aca="false">IF(B600="","",IFERROR(INDEX(顧客一覧!$C$5:$C$304,MATCH(B600,顧客一覧!$B$5:$B$304,0)),"※ID未登録"))</f>
        <v/>
      </c>
      <c r="D600" s="12" t="str">
        <f aca="false">IF(B600="","",IFERROR(INDEX(顧客一覧!$K$5:$K$304,MATCH(B600,顧客一覧!$B$5:$B$304,0))&amp;"",""))</f>
        <v/>
      </c>
      <c r="E600" s="17"/>
      <c r="F600" s="17"/>
      <c r="G600" s="29"/>
      <c r="H600" s="17"/>
      <c r="I600" s="29"/>
      <c r="J600" s="26" t="str">
        <f aca="false">IF(OR(G600="",I600=""),"",G600-I600)</f>
        <v/>
      </c>
      <c r="K600" s="26" t="str">
        <f aca="false">IF(J600="","",J600*12)</f>
        <v/>
      </c>
      <c r="L600" s="29"/>
      <c r="M600" s="27" t="str">
        <f aca="false">IF(OR(L600="",J600=""),"",IF(J600&lt;=0,"回収不可",L600/J600))</f>
        <v/>
      </c>
      <c r="N600" s="22"/>
      <c r="O600" s="17"/>
      <c r="P600" s="22"/>
      <c r="Q600" s="22"/>
      <c r="R600" s="28" t="str">
        <f aca="true">IF(OR(P600="",Q600&lt;&gt;"",O600="キャンセル"),"",P600-TODAY())</f>
        <v/>
      </c>
      <c r="S600" s="29"/>
      <c r="T600" s="22"/>
      <c r="U600" s="17"/>
      <c r="V600" s="22"/>
      <c r="W600" s="19" t="str">
        <f aca="true">IF(B600="","",IF(OR(O600="開通済",Q600&lt;&gt;""),"完了",IF(O600="キャンセル","―",IF(AND(V600&lt;&gt;"",V600&lt;TODAY()),"対応期限超過",IF(AND(P600&lt;&gt;"",P600&lt;TODAY()),"開通予定日超過",IF(AND(V600&lt;&gt;"",V600=TODAY()),"本日対応",IF(AND(P600&lt;&gt;"",P600-TODAY()&lt;=3),"開通間近","")))))))</f>
        <v/>
      </c>
      <c r="X600" s="17"/>
    </row>
    <row r="601" customFormat="false" ht="15" hidden="false" customHeight="false" outlineLevel="0" collapsed="false">
      <c r="A601" s="12" t="str">
        <f aca="false">IF(B601="","",ROW()-4)</f>
        <v/>
      </c>
      <c r="B601" s="17"/>
      <c r="C601" s="19" t="str">
        <f aca="false">IF(B601="","",IFERROR(INDEX(顧客一覧!$C$5:$C$304,MATCH(B601,顧客一覧!$B$5:$B$304,0)),"※ID未登録"))</f>
        <v/>
      </c>
      <c r="D601" s="12" t="str">
        <f aca="false">IF(B601="","",IFERROR(INDEX(顧客一覧!$K$5:$K$304,MATCH(B601,顧客一覧!$B$5:$B$304,0))&amp;"",""))</f>
        <v/>
      </c>
      <c r="E601" s="17"/>
      <c r="F601" s="17"/>
      <c r="G601" s="29"/>
      <c r="H601" s="17"/>
      <c r="I601" s="29"/>
      <c r="J601" s="26" t="str">
        <f aca="false">IF(OR(G601="",I601=""),"",G601-I601)</f>
        <v/>
      </c>
      <c r="K601" s="26" t="str">
        <f aca="false">IF(J601="","",J601*12)</f>
        <v/>
      </c>
      <c r="L601" s="29"/>
      <c r="M601" s="27" t="str">
        <f aca="false">IF(OR(L601="",J601=""),"",IF(J601&lt;=0,"回収不可",L601/J601))</f>
        <v/>
      </c>
      <c r="N601" s="22"/>
      <c r="O601" s="17"/>
      <c r="P601" s="22"/>
      <c r="Q601" s="22"/>
      <c r="R601" s="28" t="str">
        <f aca="true">IF(OR(P601="",Q601&lt;&gt;"",O601="キャンセル"),"",P601-TODAY())</f>
        <v/>
      </c>
      <c r="S601" s="29"/>
      <c r="T601" s="22"/>
      <c r="U601" s="17"/>
      <c r="V601" s="22"/>
      <c r="W601" s="19" t="str">
        <f aca="true">IF(B601="","",IF(OR(O601="開通済",Q601&lt;&gt;""),"完了",IF(O601="キャンセル","―",IF(AND(V601&lt;&gt;"",V601&lt;TODAY()),"対応期限超過",IF(AND(P601&lt;&gt;"",P601&lt;TODAY()),"開通予定日超過",IF(AND(V601&lt;&gt;"",V601=TODAY()),"本日対応",IF(AND(P601&lt;&gt;"",P601-TODAY()&lt;=3),"開通間近","")))))))</f>
        <v/>
      </c>
      <c r="X601" s="17"/>
    </row>
    <row r="602" customFormat="false" ht="15" hidden="false" customHeight="false" outlineLevel="0" collapsed="false">
      <c r="A602" s="12" t="str">
        <f aca="false">IF(B602="","",ROW()-4)</f>
        <v/>
      </c>
      <c r="B602" s="17"/>
      <c r="C602" s="19" t="str">
        <f aca="false">IF(B602="","",IFERROR(INDEX(顧客一覧!$C$5:$C$304,MATCH(B602,顧客一覧!$B$5:$B$304,0)),"※ID未登録"))</f>
        <v/>
      </c>
      <c r="D602" s="12" t="str">
        <f aca="false">IF(B602="","",IFERROR(INDEX(顧客一覧!$K$5:$K$304,MATCH(B602,顧客一覧!$B$5:$B$304,0))&amp;"",""))</f>
        <v/>
      </c>
      <c r="E602" s="17"/>
      <c r="F602" s="17"/>
      <c r="G602" s="29"/>
      <c r="H602" s="17"/>
      <c r="I602" s="29"/>
      <c r="J602" s="26" t="str">
        <f aca="false">IF(OR(G602="",I602=""),"",G602-I602)</f>
        <v/>
      </c>
      <c r="K602" s="26" t="str">
        <f aca="false">IF(J602="","",J602*12)</f>
        <v/>
      </c>
      <c r="L602" s="29"/>
      <c r="M602" s="27" t="str">
        <f aca="false">IF(OR(L602="",J602=""),"",IF(J602&lt;=0,"回収不可",L602/J602))</f>
        <v/>
      </c>
      <c r="N602" s="22"/>
      <c r="O602" s="17"/>
      <c r="P602" s="22"/>
      <c r="Q602" s="22"/>
      <c r="R602" s="28" t="str">
        <f aca="true">IF(OR(P602="",Q602&lt;&gt;"",O602="キャンセル"),"",P602-TODAY())</f>
        <v/>
      </c>
      <c r="S602" s="29"/>
      <c r="T602" s="22"/>
      <c r="U602" s="17"/>
      <c r="V602" s="22"/>
      <c r="W602" s="19" t="str">
        <f aca="true">IF(B602="","",IF(OR(O602="開通済",Q602&lt;&gt;""),"完了",IF(O602="キャンセル","―",IF(AND(V602&lt;&gt;"",V602&lt;TODAY()),"対応期限超過",IF(AND(P602&lt;&gt;"",P602&lt;TODAY()),"開通予定日超過",IF(AND(V602&lt;&gt;"",V602=TODAY()),"本日対応",IF(AND(P602&lt;&gt;"",P602-TODAY()&lt;=3),"開通間近","")))))))</f>
        <v/>
      </c>
      <c r="X602" s="17"/>
    </row>
    <row r="603" customFormat="false" ht="15" hidden="false" customHeight="false" outlineLevel="0" collapsed="false">
      <c r="A603" s="12" t="str">
        <f aca="false">IF(B603="","",ROW()-4)</f>
        <v/>
      </c>
      <c r="B603" s="17"/>
      <c r="C603" s="19" t="str">
        <f aca="false">IF(B603="","",IFERROR(INDEX(顧客一覧!$C$5:$C$304,MATCH(B603,顧客一覧!$B$5:$B$304,0)),"※ID未登録"))</f>
        <v/>
      </c>
      <c r="D603" s="12" t="str">
        <f aca="false">IF(B603="","",IFERROR(INDEX(顧客一覧!$K$5:$K$304,MATCH(B603,顧客一覧!$B$5:$B$304,0))&amp;"",""))</f>
        <v/>
      </c>
      <c r="E603" s="17"/>
      <c r="F603" s="17"/>
      <c r="G603" s="29"/>
      <c r="H603" s="17"/>
      <c r="I603" s="29"/>
      <c r="J603" s="26" t="str">
        <f aca="false">IF(OR(G603="",I603=""),"",G603-I603)</f>
        <v/>
      </c>
      <c r="K603" s="26" t="str">
        <f aca="false">IF(J603="","",J603*12)</f>
        <v/>
      </c>
      <c r="L603" s="29"/>
      <c r="M603" s="27" t="str">
        <f aca="false">IF(OR(L603="",J603=""),"",IF(J603&lt;=0,"回収不可",L603/J603))</f>
        <v/>
      </c>
      <c r="N603" s="22"/>
      <c r="O603" s="17"/>
      <c r="P603" s="22"/>
      <c r="Q603" s="22"/>
      <c r="R603" s="28" t="str">
        <f aca="true">IF(OR(P603="",Q603&lt;&gt;"",O603="キャンセル"),"",P603-TODAY())</f>
        <v/>
      </c>
      <c r="S603" s="29"/>
      <c r="T603" s="22"/>
      <c r="U603" s="17"/>
      <c r="V603" s="22"/>
      <c r="W603" s="19" t="str">
        <f aca="true">IF(B603="","",IF(OR(O603="開通済",Q603&lt;&gt;""),"完了",IF(O603="キャンセル","―",IF(AND(V603&lt;&gt;"",V603&lt;TODAY()),"対応期限超過",IF(AND(P603&lt;&gt;"",P603&lt;TODAY()),"開通予定日超過",IF(AND(V603&lt;&gt;"",V603=TODAY()),"本日対応",IF(AND(P603&lt;&gt;"",P603-TODAY()&lt;=3),"開通間近","")))))))</f>
        <v/>
      </c>
      <c r="X603" s="17"/>
    </row>
    <row r="604" customFormat="false" ht="15" hidden="false" customHeight="false" outlineLevel="0" collapsed="false">
      <c r="A604" s="12" t="str">
        <f aca="false">IF(B604="","",ROW()-4)</f>
        <v/>
      </c>
      <c r="B604" s="17"/>
      <c r="C604" s="19" t="str">
        <f aca="false">IF(B604="","",IFERROR(INDEX(顧客一覧!$C$5:$C$304,MATCH(B604,顧客一覧!$B$5:$B$304,0)),"※ID未登録"))</f>
        <v/>
      </c>
      <c r="D604" s="12" t="str">
        <f aca="false">IF(B604="","",IFERROR(INDEX(顧客一覧!$K$5:$K$304,MATCH(B604,顧客一覧!$B$5:$B$304,0))&amp;"",""))</f>
        <v/>
      </c>
      <c r="E604" s="17"/>
      <c r="F604" s="17"/>
      <c r="G604" s="29"/>
      <c r="H604" s="17"/>
      <c r="I604" s="29"/>
      <c r="J604" s="26" t="str">
        <f aca="false">IF(OR(G604="",I604=""),"",G604-I604)</f>
        <v/>
      </c>
      <c r="K604" s="26" t="str">
        <f aca="false">IF(J604="","",J604*12)</f>
        <v/>
      </c>
      <c r="L604" s="29"/>
      <c r="M604" s="27" t="str">
        <f aca="false">IF(OR(L604="",J604=""),"",IF(J604&lt;=0,"回収不可",L604/J604))</f>
        <v/>
      </c>
      <c r="N604" s="22"/>
      <c r="O604" s="17"/>
      <c r="P604" s="22"/>
      <c r="Q604" s="22"/>
      <c r="R604" s="28" t="str">
        <f aca="true">IF(OR(P604="",Q604&lt;&gt;"",O604="キャンセル"),"",P604-TODAY())</f>
        <v/>
      </c>
      <c r="S604" s="29"/>
      <c r="T604" s="22"/>
      <c r="U604" s="17"/>
      <c r="V604" s="22"/>
      <c r="W604" s="19" t="str">
        <f aca="true">IF(B604="","",IF(OR(O604="開通済",Q604&lt;&gt;""),"完了",IF(O604="キャンセル","―",IF(AND(V604&lt;&gt;"",V604&lt;TODAY()),"対応期限超過",IF(AND(P604&lt;&gt;"",P604&lt;TODAY()),"開通予定日超過",IF(AND(V604&lt;&gt;"",V604=TODAY()),"本日対応",IF(AND(P604&lt;&gt;"",P604-TODAY()&lt;=3),"開通間近","")))))))</f>
        <v/>
      </c>
      <c r="X604" s="17"/>
    </row>
  </sheetData>
  <autoFilter ref="A4:X604"/>
  <mergeCells count="5">
    <mergeCell ref="A3:E3"/>
    <mergeCell ref="F3:M3"/>
    <mergeCell ref="N3:R3"/>
    <mergeCell ref="S3:T3"/>
    <mergeCell ref="U3:X3"/>
  </mergeCells>
  <conditionalFormatting sqref="W5:W604">
    <cfRule type="expression" priority="2" aboveAverage="0" equalAverage="0" bottom="0" percent="0" rank="0" text="" dxfId="8">
      <formula>W5="対応期限超過"</formula>
    </cfRule>
    <cfRule type="expression" priority="3" aboveAverage="0" equalAverage="0" bottom="0" percent="0" rank="0" text="" dxfId="9">
      <formula>W5="開通予定日超過"</formula>
    </cfRule>
    <cfRule type="expression" priority="4" aboveAverage="0" equalAverage="0" bottom="0" percent="0" rank="0" text="" dxfId="10">
      <formula>W5="本日対応"</formula>
    </cfRule>
    <cfRule type="expression" priority="5" aboveAverage="0" equalAverage="0" bottom="0" percent="0" rank="0" text="" dxfId="14">
      <formula>W5="開通間近"</formula>
    </cfRule>
    <cfRule type="expression" priority="6" aboveAverage="0" equalAverage="0" bottom="0" percent="0" rank="0" text="" dxfId="16">
      <formula>W5="完了"</formula>
    </cfRule>
  </conditionalFormatting>
  <conditionalFormatting sqref="A5:X604">
    <cfRule type="expression" priority="7" aboveAverage="0" equalAverage="0" bottom="0" percent="0" rank="0" text="" dxfId="24">
      <formula>$O5="開通済"</formula>
    </cfRule>
    <cfRule type="expression" priority="8" aboveAverage="0" equalAverage="0" bottom="0" percent="0" rank="0" text="" dxfId="25">
      <formula>$O5="キャンセル"</formula>
    </cfRule>
  </conditionalFormatting>
  <conditionalFormatting sqref="C5:C604">
    <cfRule type="expression" priority="9" aboveAverage="0" equalAverage="0" bottom="0" percent="0" rank="0" text="" dxfId="26">
      <formula>C5="※ID未登録"</formula>
    </cfRule>
  </conditionalFormatting>
  <dataValidations count="3">
    <dataValidation allowBlank="true" error="日付を入力してください（例：2026/11/01）" errorStyle="stop" errorTitle="入力エラー" operator="greaterThan" showDropDown="false" showErrorMessage="false" showInputMessage="false" sqref="N5:N604 P5:Q604 T5:T604 V5:V604" type="date">
      <formula1>36526</formula1>
      <formula2>0</formula2>
    </dataValidation>
    <dataValidation allowBlank="true" errorStyle="stop" operator="between" showDropDown="false" showErrorMessage="false" showInputMessage="false" sqref="E5:E604" type="list">
      <formula1>マスタ!$D$2:$D$30</formula1>
      <formula2>0</formula2>
    </dataValidation>
    <dataValidation allowBlank="true" errorStyle="stop" operator="between" showDropDown="false" showErrorMessage="false" showInputMessage="false" sqref="O5:O604" type="list">
      <formula1>マスタ!$B$2:$B$30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40"/>
  </cols>
  <sheetData>
    <row r="1" customFormat="false" ht="20.8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30" t="s">
        <v>129</v>
      </c>
    </row>
    <row r="4" customFormat="false" ht="17.15" hidden="false" customHeight="false" outlineLevel="0" collapsed="false">
      <c r="A4" s="5" t="s">
        <v>130</v>
      </c>
    </row>
    <row r="5" customFormat="false" ht="189.75" hidden="false" customHeight="true" outlineLevel="0" collapsed="false">
      <c r="A5" s="31" t="s">
        <v>131</v>
      </c>
      <c r="B5" s="31"/>
      <c r="C5" s="31"/>
      <c r="D5" s="31"/>
    </row>
    <row r="7" customFormat="false" ht="17.15" hidden="false" customHeight="false" outlineLevel="0" collapsed="false">
      <c r="A7" s="5" t="s">
        <v>132</v>
      </c>
    </row>
    <row r="8" customFormat="false" ht="15" hidden="false" customHeight="false" outlineLevel="0" collapsed="false">
      <c r="A8" s="9" t="s">
        <v>133</v>
      </c>
      <c r="B8" s="9" t="s">
        <v>134</v>
      </c>
      <c r="C8" s="9" t="s">
        <v>135</v>
      </c>
      <c r="D8" s="9" t="s">
        <v>136</v>
      </c>
      <c r="E8" s="9" t="s">
        <v>137</v>
      </c>
    </row>
    <row r="9" customFormat="false" ht="15" hidden="false" customHeight="false" outlineLevel="0" collapsed="false">
      <c r="A9" s="32" t="s">
        <v>138</v>
      </c>
      <c r="B9" s="32" t="s">
        <v>139</v>
      </c>
      <c r="C9" s="32" t="s">
        <v>135</v>
      </c>
      <c r="D9" s="32" t="s">
        <v>140</v>
      </c>
      <c r="E9" s="33" t="s">
        <v>141</v>
      </c>
    </row>
    <row r="10" customFormat="false" ht="15" hidden="false" customHeight="false" outlineLevel="0" collapsed="false">
      <c r="A10" s="33" t="s">
        <v>142</v>
      </c>
      <c r="B10" s="32" t="s">
        <v>143</v>
      </c>
      <c r="C10" s="32" t="s">
        <v>135</v>
      </c>
      <c r="D10" s="32" t="s">
        <v>140</v>
      </c>
      <c r="E10" s="33"/>
    </row>
    <row r="11" customFormat="false" ht="15" hidden="false" customHeight="false" outlineLevel="0" collapsed="false">
      <c r="A11" s="33" t="s">
        <v>144</v>
      </c>
      <c r="B11" s="32" t="s">
        <v>50</v>
      </c>
      <c r="C11" s="32" t="s">
        <v>135</v>
      </c>
      <c r="D11" s="32" t="s">
        <v>140</v>
      </c>
      <c r="E11" s="32" t="s">
        <v>145</v>
      </c>
    </row>
    <row r="12" customFormat="false" ht="15" hidden="false" customHeight="false" outlineLevel="0" collapsed="false">
      <c r="A12" s="33" t="s">
        <v>146</v>
      </c>
      <c r="B12" s="32" t="s">
        <v>147</v>
      </c>
      <c r="C12" s="32" t="s">
        <v>135</v>
      </c>
      <c r="D12" s="32" t="s">
        <v>148</v>
      </c>
      <c r="E12" s="32" t="s">
        <v>149</v>
      </c>
    </row>
    <row r="13" customFormat="false" ht="26.85" hidden="false" customHeight="false" outlineLevel="0" collapsed="false">
      <c r="A13" s="33" t="s">
        <v>150</v>
      </c>
      <c r="B13" s="32" t="s">
        <v>151</v>
      </c>
      <c r="C13" s="33"/>
      <c r="D13" s="32" t="s">
        <v>148</v>
      </c>
      <c r="E13" s="32" t="s">
        <v>152</v>
      </c>
    </row>
    <row r="14" customFormat="false" ht="15" hidden="false" customHeight="false" outlineLevel="0" collapsed="false">
      <c r="A14" s="33" t="s">
        <v>153</v>
      </c>
      <c r="B14" s="32" t="s">
        <v>154</v>
      </c>
      <c r="C14" s="32" t="s">
        <v>135</v>
      </c>
      <c r="D14" s="32" t="s">
        <v>148</v>
      </c>
      <c r="E14" s="32" t="s">
        <v>155</v>
      </c>
    </row>
    <row r="15" customFormat="false" ht="15" hidden="false" customHeight="false" outlineLevel="0" collapsed="false">
      <c r="A15" s="33" t="s">
        <v>156</v>
      </c>
      <c r="B15" s="32" t="s">
        <v>157</v>
      </c>
      <c r="C15" s="32" t="s">
        <v>135</v>
      </c>
      <c r="D15" s="32" t="s">
        <v>148</v>
      </c>
      <c r="E15" s="33" t="s">
        <v>158</v>
      </c>
    </row>
    <row r="16" customFormat="false" ht="15" hidden="false" customHeight="false" outlineLevel="0" collapsed="false">
      <c r="A16" s="33" t="s">
        <v>159</v>
      </c>
      <c r="B16" s="32" t="s">
        <v>49</v>
      </c>
      <c r="C16" s="32" t="s">
        <v>135</v>
      </c>
      <c r="D16" s="32" t="s">
        <v>140</v>
      </c>
      <c r="E16" s="33"/>
    </row>
    <row r="17" customFormat="false" ht="15" hidden="false" customHeight="false" outlineLevel="0" collapsed="false">
      <c r="A17" s="33" t="s">
        <v>160</v>
      </c>
      <c r="B17" s="32" t="s">
        <v>161</v>
      </c>
      <c r="C17" s="32" t="s">
        <v>135</v>
      </c>
      <c r="D17" s="32" t="s">
        <v>140</v>
      </c>
      <c r="E17" s="32" t="s">
        <v>162</v>
      </c>
    </row>
    <row r="18" customFormat="false" ht="15" hidden="false" customHeight="false" outlineLevel="0" collapsed="false">
      <c r="A18" s="33" t="s">
        <v>163</v>
      </c>
      <c r="B18" s="32" t="s">
        <v>164</v>
      </c>
      <c r="C18" s="32" t="s">
        <v>135</v>
      </c>
      <c r="D18" s="32" t="s">
        <v>140</v>
      </c>
      <c r="E18" s="33"/>
    </row>
    <row r="19" customFormat="false" ht="15" hidden="false" customHeight="false" outlineLevel="0" collapsed="false">
      <c r="A19" s="33" t="s">
        <v>165</v>
      </c>
      <c r="B19" s="32" t="s">
        <v>47</v>
      </c>
      <c r="C19" s="32" t="s">
        <v>135</v>
      </c>
      <c r="D19" s="32" t="s">
        <v>140</v>
      </c>
      <c r="E19" s="33"/>
    </row>
    <row r="20" customFormat="false" ht="15" hidden="false" customHeight="false" outlineLevel="0" collapsed="false">
      <c r="A20" s="33" t="s">
        <v>166</v>
      </c>
      <c r="B20" s="32" t="s">
        <v>167</v>
      </c>
      <c r="C20" s="33"/>
      <c r="D20" s="32" t="s">
        <v>140</v>
      </c>
      <c r="E20" s="32" t="s">
        <v>168</v>
      </c>
    </row>
    <row r="21" customFormat="false" ht="15" hidden="false" customHeight="false" outlineLevel="0" collapsed="false">
      <c r="A21" s="33" t="s">
        <v>169</v>
      </c>
      <c r="B21" s="32" t="s">
        <v>170</v>
      </c>
      <c r="C21" s="33"/>
      <c r="D21" s="32" t="s">
        <v>140</v>
      </c>
      <c r="E21" s="32" t="s">
        <v>171</v>
      </c>
    </row>
    <row r="22" customFormat="false" ht="15" hidden="false" customHeight="false" outlineLevel="0" collapsed="false">
      <c r="A22" s="33" t="s">
        <v>172</v>
      </c>
      <c r="B22" s="33" t="s">
        <v>173</v>
      </c>
      <c r="C22" s="33"/>
      <c r="D22" s="32" t="s">
        <v>140</v>
      </c>
      <c r="E22" s="32" t="s">
        <v>171</v>
      </c>
    </row>
    <row r="23" customFormat="false" ht="15" hidden="false" customHeight="false" outlineLevel="0" collapsed="false">
      <c r="A23" s="33" t="s">
        <v>174</v>
      </c>
      <c r="B23" s="32" t="s">
        <v>175</v>
      </c>
      <c r="C23" s="33"/>
      <c r="D23" s="32" t="s">
        <v>148</v>
      </c>
      <c r="E23" s="32" t="s">
        <v>176</v>
      </c>
    </row>
    <row r="24" customFormat="false" ht="15" hidden="false" customHeight="false" outlineLevel="0" collapsed="false">
      <c r="A24" s="32" t="s">
        <v>177</v>
      </c>
      <c r="B24" s="32" t="s">
        <v>178</v>
      </c>
      <c r="C24" s="32" t="s">
        <v>135</v>
      </c>
      <c r="D24" s="32" t="s">
        <v>179</v>
      </c>
      <c r="E24" s="32" t="s">
        <v>180</v>
      </c>
    </row>
    <row r="26" customFormat="false" ht="15" hidden="false" customHeight="false" outlineLevel="0" collapsed="false">
      <c r="A26" s="30" t="s">
        <v>181</v>
      </c>
    </row>
    <row r="27" customFormat="false" ht="15" hidden="false" customHeight="false" outlineLevel="0" collapsed="false">
      <c r="A27" s="30" t="s">
        <v>182</v>
      </c>
    </row>
    <row r="29" customFormat="false" ht="15" hidden="false" customHeight="false" outlineLevel="0" collapsed="false">
      <c r="A29" s="3" t="s">
        <v>183</v>
      </c>
    </row>
    <row r="30" customFormat="false" ht="15" hidden="false" customHeight="false" outlineLevel="0" collapsed="false">
      <c r="A30" s="34" t="s">
        <v>184</v>
      </c>
    </row>
    <row r="31" customFormat="false" ht="15" hidden="false" customHeight="false" outlineLevel="0" collapsed="false">
      <c r="A31" s="34" t="s">
        <v>185</v>
      </c>
    </row>
    <row r="32" customFormat="false" ht="15" hidden="false" customHeight="false" outlineLevel="0" collapsed="false">
      <c r="A32" s="34" t="s">
        <v>186</v>
      </c>
    </row>
  </sheetData>
  <mergeCells count="1">
    <mergeCell ref="A5:D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16"/>
    <col collapsed="false" customWidth="true" hidden="false" outlineLevel="0" max="10" min="5" style="0" width="12"/>
  </cols>
  <sheetData>
    <row r="1" customFormat="false" ht="19.7" hidden="false" customHeight="false" outlineLevel="0" collapsed="false">
      <c r="A1" s="1" t="s">
        <v>187</v>
      </c>
    </row>
    <row r="2" customFormat="false" ht="15" hidden="false" customHeight="false" outlineLevel="0" collapsed="false">
      <c r="A2" s="30" t="s">
        <v>188</v>
      </c>
    </row>
    <row r="4" customFormat="false" ht="15" hidden="false" customHeight="true" outlineLevel="0" collapsed="false">
      <c r="A4" s="7" t="s">
        <v>37</v>
      </c>
      <c r="B4" s="7"/>
      <c r="D4" s="7" t="s">
        <v>189</v>
      </c>
      <c r="E4" s="7"/>
      <c r="F4" s="7"/>
      <c r="G4" s="7"/>
      <c r="H4" s="7"/>
      <c r="I4" s="7"/>
    </row>
    <row r="5" customFormat="false" ht="17.15" hidden="false" customHeight="false" outlineLevel="0" collapsed="false">
      <c r="A5" s="35" t="s">
        <v>190</v>
      </c>
      <c r="B5" s="36" t="n">
        <f aca="false">COUNT(顧客一覧!$L$5:$L$304)</f>
        <v>1</v>
      </c>
      <c r="D5" s="9" t="s">
        <v>52</v>
      </c>
      <c r="E5" s="9" t="s">
        <v>191</v>
      </c>
      <c r="F5" s="9" t="s">
        <v>192</v>
      </c>
      <c r="G5" s="9" t="s">
        <v>91</v>
      </c>
      <c r="H5" s="9" t="s">
        <v>193</v>
      </c>
      <c r="I5" s="9" t="s">
        <v>194</v>
      </c>
    </row>
    <row r="6" customFormat="false" ht="17.15" hidden="false" customHeight="false" outlineLevel="0" collapsed="false">
      <c r="A6" s="35" t="s">
        <v>195</v>
      </c>
      <c r="B6" s="36" t="n">
        <f aca="false">COUNT(顧客一覧!$M$5:$M$304)</f>
        <v>1</v>
      </c>
      <c r="D6" s="37" t="str">
        <f aca="false">IF(マスタ!F2="","",マスタ!F2)</f>
        <v>山田</v>
      </c>
      <c r="E6" s="37" t="n">
        <f aca="false">IF(D6="","",COUNTIFS(顧客一覧!$K$5:$K$304,D6,顧客一覧!$L$5:$L$304,"&lt;&gt;"))</f>
        <v>1</v>
      </c>
      <c r="F6" s="37" t="n">
        <f aca="false">IF(D6="","",COUNTIFS(顧客一覧!$K$5:$K$304,D6,顧客一覧!$M$5:$M$304,"&lt;&gt;"))</f>
        <v>1</v>
      </c>
      <c r="G6" s="37" t="n">
        <f aca="false">IF(D6="","",COUNTIFS(顧客一覧!$K$5:$K$304,D6,顧客一覧!$N$5:$N$304,"成約"))</f>
        <v>1</v>
      </c>
      <c r="H6" s="37" t="n">
        <f aca="false">IF(D6="","",COUNTIFS(顧客一覧!$K$5:$K$304,D6,顧客一覧!$AF$5:$AF$304,"&lt;&gt;"))</f>
        <v>0</v>
      </c>
      <c r="I6" s="38" t="n">
        <f aca="false">IF(D6="","",IFERROR(G6/F6,0))</f>
        <v>1</v>
      </c>
    </row>
    <row r="7" customFormat="false" ht="17.15" hidden="false" customHeight="false" outlineLevel="0" collapsed="false">
      <c r="A7" s="35" t="s">
        <v>196</v>
      </c>
      <c r="B7" s="36" t="n">
        <f aca="false">COUNTIF(顧客一覧!$N$5:$N$304,"成約")</f>
        <v>1</v>
      </c>
      <c r="D7" s="37" t="str">
        <f aca="false">IF(マスタ!F3="","",マスタ!F3)</f>
        <v>佐藤</v>
      </c>
      <c r="E7" s="37" t="n">
        <f aca="false">IF(D7="","",COUNTIFS(顧客一覧!$K$5:$K$304,D7,顧客一覧!$L$5:$L$304,"&lt;&gt;"))</f>
        <v>0</v>
      </c>
      <c r="F7" s="37" t="n">
        <f aca="false">IF(D7="","",COUNTIFS(顧客一覧!$K$5:$K$304,D7,顧客一覧!$M$5:$M$304,"&lt;&gt;"))</f>
        <v>0</v>
      </c>
      <c r="G7" s="37" t="n">
        <f aca="false">IF(D7="","",COUNTIFS(顧客一覧!$K$5:$K$304,D7,顧客一覧!$N$5:$N$304,"成約"))</f>
        <v>0</v>
      </c>
      <c r="H7" s="37" t="n">
        <f aca="false">IF(D7="","",COUNTIFS(顧客一覧!$K$5:$K$304,D7,顧客一覧!$AF$5:$AF$304,"&lt;&gt;"))</f>
        <v>0</v>
      </c>
      <c r="I7" s="38" t="n">
        <f aca="false">IF(D7="","",IFERROR(G7/F7,0))</f>
        <v>0</v>
      </c>
    </row>
    <row r="8" customFormat="false" ht="15" hidden="false" customHeight="false" outlineLevel="0" collapsed="false">
      <c r="A8" s="35" t="s">
        <v>197</v>
      </c>
      <c r="B8" s="39" t="n">
        <f aca="false">IFERROR(B7/B6,0)</f>
        <v>1</v>
      </c>
      <c r="D8" s="37" t="str">
        <f aca="false">IF(マスタ!F4="","",マスタ!F4)</f>
        <v>鈴木</v>
      </c>
      <c r="E8" s="37" t="n">
        <f aca="false">IF(D8="","",COUNTIFS(顧客一覧!$K$5:$K$304,D8,顧客一覧!$L$5:$L$304,"&lt;&gt;"))</f>
        <v>0</v>
      </c>
      <c r="F8" s="37" t="n">
        <f aca="false">IF(D8="","",COUNTIFS(顧客一覧!$K$5:$K$304,D8,顧客一覧!$M$5:$M$304,"&lt;&gt;"))</f>
        <v>0</v>
      </c>
      <c r="G8" s="37" t="n">
        <f aca="false">IF(D8="","",COUNTIFS(顧客一覧!$K$5:$K$304,D8,顧客一覧!$N$5:$N$304,"成約"))</f>
        <v>0</v>
      </c>
      <c r="H8" s="37" t="n">
        <f aca="false">IF(D8="","",COUNTIFS(顧客一覧!$K$5:$K$304,D8,顧客一覧!$AF$5:$AF$304,"&lt;&gt;"))</f>
        <v>0</v>
      </c>
      <c r="I8" s="38" t="n">
        <f aca="false">IF(D8="","",IFERROR(G8/F8,0))</f>
        <v>0</v>
      </c>
    </row>
    <row r="9" customFormat="false" ht="15" hidden="false" customHeight="false" outlineLevel="0" collapsed="false">
      <c r="D9" s="37" t="str">
        <f aca="false">IF(マスタ!F5="","",マスタ!F5)</f>
        <v/>
      </c>
      <c r="E9" s="37" t="str">
        <f aca="false">IF(D9="","",COUNTIFS(顧客一覧!$K$5:$K$304,D9,顧客一覧!$L$5:$L$304,"&lt;&gt;"))</f>
        <v/>
      </c>
      <c r="F9" s="37" t="str">
        <f aca="false">IF(D9="","",COUNTIFS(顧客一覧!$K$5:$K$304,D9,顧客一覧!$M$5:$M$304,"&lt;&gt;"))</f>
        <v/>
      </c>
      <c r="G9" s="37" t="str">
        <f aca="false">IF(D9="","",COUNTIFS(顧客一覧!$K$5:$K$304,D9,顧客一覧!$N$5:$N$304,"成約"))</f>
        <v/>
      </c>
      <c r="H9" s="37" t="str">
        <f aca="false">IF(D9="","",COUNTIFS(顧客一覧!$K$5:$K$304,D9,顧客一覧!$AF$5:$AF$304,"&lt;&gt;"))</f>
        <v/>
      </c>
      <c r="I9" s="38" t="str">
        <f aca="false">IF(D9="","",IFERROR(G9/F9,0))</f>
        <v/>
      </c>
    </row>
    <row r="10" customFormat="false" ht="15" hidden="false" customHeight="true" outlineLevel="0" collapsed="false">
      <c r="A10" s="7" t="s">
        <v>102</v>
      </c>
      <c r="B10" s="7"/>
      <c r="D10" s="37" t="str">
        <f aca="false">IF(マスタ!F6="","",マスタ!F6)</f>
        <v/>
      </c>
      <c r="E10" s="37" t="str">
        <f aca="false">IF(D10="","",COUNTIFS(顧客一覧!$K$5:$K$304,D10,顧客一覧!$L$5:$L$304,"&lt;&gt;"))</f>
        <v/>
      </c>
      <c r="F10" s="37" t="str">
        <f aca="false">IF(D10="","",COUNTIFS(顧客一覧!$K$5:$K$304,D10,顧客一覧!$M$5:$M$304,"&lt;&gt;"))</f>
        <v/>
      </c>
      <c r="G10" s="37" t="str">
        <f aca="false">IF(D10="","",COUNTIFS(顧客一覧!$K$5:$K$304,D10,顧客一覧!$N$5:$N$304,"成約"))</f>
        <v/>
      </c>
      <c r="H10" s="37" t="str">
        <f aca="false">IF(D10="","",COUNTIFS(顧客一覧!$K$5:$K$304,D10,顧客一覧!$AF$5:$AF$304,"&lt;&gt;"))</f>
        <v/>
      </c>
      <c r="I10" s="38" t="str">
        <f aca="false">IF(D10="","",IFERROR(G10/F10,0))</f>
        <v/>
      </c>
    </row>
    <row r="11" customFormat="false" ht="17.15" hidden="false" customHeight="false" outlineLevel="0" collapsed="false">
      <c r="A11" s="35" t="s">
        <v>198</v>
      </c>
      <c r="B11" s="36" t="n">
        <f aca="false">COUNTIF(顧客一覧!$S$5:$S$304,"開通待ち*")</f>
        <v>1</v>
      </c>
      <c r="D11" s="37" t="str">
        <f aca="false">IF(マスタ!F7="","",マスタ!F7)</f>
        <v/>
      </c>
      <c r="E11" s="37" t="str">
        <f aca="false">IF(D11="","",COUNTIFS(顧客一覧!$K$5:$K$304,D11,顧客一覧!$L$5:$L$304,"&lt;&gt;"))</f>
        <v/>
      </c>
      <c r="F11" s="37" t="str">
        <f aca="false">IF(D11="","",COUNTIFS(顧客一覧!$K$5:$K$304,D11,顧客一覧!$M$5:$M$304,"&lt;&gt;"))</f>
        <v/>
      </c>
      <c r="G11" s="37" t="str">
        <f aca="false">IF(D11="","",COUNTIFS(顧客一覧!$K$5:$K$304,D11,顧客一覧!$N$5:$N$304,"成約"))</f>
        <v/>
      </c>
      <c r="H11" s="37" t="str">
        <f aca="false">IF(D11="","",COUNTIFS(顧客一覧!$K$5:$K$304,D11,顧客一覧!$AF$5:$AF$304,"&lt;&gt;"))</f>
        <v/>
      </c>
      <c r="I11" s="38" t="str">
        <f aca="false">IF(D11="","",IFERROR(G11/F11,0))</f>
        <v/>
      </c>
    </row>
    <row r="12" customFormat="false" ht="17.15" hidden="false" customHeight="false" outlineLevel="0" collapsed="false">
      <c r="A12" s="35" t="s">
        <v>199</v>
      </c>
      <c r="B12" s="36" t="n">
        <f aca="false">COUNTIF(顧客一覧!$S$5:$S$304,"全開通")</f>
        <v>0</v>
      </c>
    </row>
    <row r="13" customFormat="false" ht="17.15" hidden="false" customHeight="false" outlineLevel="0" collapsed="false">
      <c r="A13" s="35" t="s">
        <v>200</v>
      </c>
      <c r="B13" s="36" t="n">
        <f aca="false">COUNTIF(開通管理!$W$5:$W$604,"開通予定日超過")</f>
        <v>0</v>
      </c>
    </row>
    <row r="14" customFormat="false" ht="17.15" hidden="false" customHeight="true" outlineLevel="0" collapsed="false">
      <c r="A14" s="35" t="s">
        <v>201</v>
      </c>
      <c r="B14" s="40" t="n">
        <f aca="false">SUM(開通管理!$J$5:$J$604)-SUMIFS(開通管理!$J$5:$J$604,開通管理!$O$5:$O$604,"キャンセル")</f>
        <v>3730</v>
      </c>
      <c r="D14" s="7" t="s">
        <v>202</v>
      </c>
      <c r="E14" s="7"/>
      <c r="F14" s="7"/>
      <c r="G14" s="7"/>
      <c r="H14" s="7"/>
      <c r="I14" s="7"/>
      <c r="J14" s="7"/>
    </row>
    <row r="15" customFormat="false" ht="30" hidden="false" customHeight="true" outlineLevel="0" collapsed="false">
      <c r="D15" s="9" t="s">
        <v>203</v>
      </c>
      <c r="E15" s="9" t="str">
        <f aca="false">マスタ!D2</f>
        <v>電気</v>
      </c>
      <c r="F15" s="9" t="str">
        <f aca="false">マスタ!D3</f>
        <v>Wi-Fi（光回線）</v>
      </c>
      <c r="G15" s="9" t="str">
        <f aca="false">マスタ!D4</f>
        <v>Wi-Fi（ホームルーター）</v>
      </c>
      <c r="H15" s="9" t="str">
        <f aca="false">マスタ!D5</f>
        <v>ガス</v>
      </c>
      <c r="I15" s="9" t="str">
        <f aca="false">マスタ!D6</f>
        <v>その他</v>
      </c>
      <c r="J15" s="9" t="s">
        <v>204</v>
      </c>
    </row>
    <row r="16" customFormat="false" ht="15" hidden="false" customHeight="true" outlineLevel="0" collapsed="false">
      <c r="A16" s="7" t="s">
        <v>205</v>
      </c>
      <c r="B16" s="7"/>
      <c r="D16" s="41" t="str">
        <f aca="false">マスタ!B2</f>
        <v>申込準備</v>
      </c>
      <c r="E16" s="37" t="n">
        <f aca="false">COUNTIFS(開通管理!$O$5:$O$604,$D16,開通管理!$E$5:$E$604,E$15)</f>
        <v>0</v>
      </c>
      <c r="F16" s="37" t="n">
        <f aca="false">COUNTIFS(開通管理!$O$5:$O$604,$D16,開通管理!$E$5:$E$604,F$15)</f>
        <v>0</v>
      </c>
      <c r="G16" s="37" t="n">
        <f aca="false">COUNTIFS(開通管理!$O$5:$O$604,$D16,開通管理!$E$5:$E$604,G$15)</f>
        <v>0</v>
      </c>
      <c r="H16" s="37" t="n">
        <f aca="false">COUNTIFS(開通管理!$O$5:$O$604,$D16,開通管理!$E$5:$E$604,H$15)</f>
        <v>0</v>
      </c>
      <c r="I16" s="37" t="n">
        <f aca="false">COUNTIFS(開通管理!$O$5:$O$604,$D16,開通管理!$E$5:$E$604,I$15)</f>
        <v>0</v>
      </c>
      <c r="J16" s="37" t="n">
        <f aca="false">SUM(E16:I16)</f>
        <v>0</v>
      </c>
    </row>
    <row r="17" customFormat="false" ht="17.15" hidden="false" customHeight="false" outlineLevel="0" collapsed="false">
      <c r="A17" s="35" t="s">
        <v>206</v>
      </c>
      <c r="B17" s="36" t="n">
        <f aca="false">COUNTIF(顧客一覧!$AL$5:$AL$304,"ヒアリング依頼待ち")</f>
        <v>0</v>
      </c>
      <c r="D17" s="41" t="str">
        <f aca="false">マスタ!B3</f>
        <v>書類待ち</v>
      </c>
      <c r="E17" s="37" t="n">
        <f aca="false">COUNTIFS(開通管理!$O$5:$O$604,$D17,開通管理!$E$5:$E$604,E$15)</f>
        <v>0</v>
      </c>
      <c r="F17" s="37" t="n">
        <f aca="false">COUNTIFS(開通管理!$O$5:$O$604,$D17,開通管理!$E$5:$E$604,F$15)</f>
        <v>0</v>
      </c>
      <c r="G17" s="37" t="n">
        <f aca="false">COUNTIFS(開通管理!$O$5:$O$604,$D17,開通管理!$E$5:$E$604,G$15)</f>
        <v>0</v>
      </c>
      <c r="H17" s="37" t="n">
        <f aca="false">COUNTIFS(開通管理!$O$5:$O$604,$D17,開通管理!$E$5:$E$604,H$15)</f>
        <v>0</v>
      </c>
      <c r="I17" s="37" t="n">
        <f aca="false">COUNTIFS(開通管理!$O$5:$O$604,$D17,開通管理!$E$5:$E$604,I$15)</f>
        <v>0</v>
      </c>
      <c r="J17" s="37" t="n">
        <f aca="false">SUM(E17:I17)</f>
        <v>0</v>
      </c>
    </row>
    <row r="18" customFormat="false" ht="17.15" hidden="false" customHeight="false" outlineLevel="0" collapsed="false">
      <c r="A18" s="35" t="s">
        <v>207</v>
      </c>
      <c r="B18" s="36" t="n">
        <f aca="false">COUNTIF(顧客一覧!$AL$5:$AL$304,"ヒアリング未回収")</f>
        <v>0</v>
      </c>
      <c r="D18" s="41" t="str">
        <f aca="false">マスタ!B4</f>
        <v>申込済</v>
      </c>
      <c r="E18" s="37" t="n">
        <f aca="false">COUNTIFS(開通管理!$O$5:$O$604,$D18,開通管理!$E$5:$E$604,E$15)</f>
        <v>0</v>
      </c>
      <c r="F18" s="37" t="n">
        <f aca="false">COUNTIFS(開通管理!$O$5:$O$604,$D18,開通管理!$E$5:$E$604,F$15)</f>
        <v>0</v>
      </c>
      <c r="G18" s="37" t="n">
        <f aca="false">COUNTIFS(開通管理!$O$5:$O$604,$D18,開通管理!$E$5:$E$604,G$15)</f>
        <v>0</v>
      </c>
      <c r="H18" s="37" t="n">
        <f aca="false">COUNTIFS(開通管理!$O$5:$O$604,$D18,開通管理!$E$5:$E$604,H$15)</f>
        <v>0</v>
      </c>
      <c r="I18" s="37" t="n">
        <f aca="false">COUNTIFS(開通管理!$O$5:$O$604,$D18,開通管理!$E$5:$E$604,I$15)</f>
        <v>0</v>
      </c>
      <c r="J18" s="37" t="n">
        <f aca="false">SUM(E18:I18)</f>
        <v>0</v>
      </c>
    </row>
    <row r="19" customFormat="false" ht="17.15" hidden="false" customHeight="false" outlineLevel="0" collapsed="false">
      <c r="A19" s="35" t="s">
        <v>208</v>
      </c>
      <c r="B19" s="36" t="n">
        <f aca="false">COUNTIFS(顧客一覧!$Z$5:$Z$304,"&lt;&gt;",顧客一覧!$AF$5:$AF$304,"")</f>
        <v>0</v>
      </c>
      <c r="D19" s="41" t="str">
        <f aca="false">マスタ!B5</f>
        <v>審査中</v>
      </c>
      <c r="E19" s="37" t="n">
        <f aca="false">COUNTIFS(開通管理!$O$5:$O$604,$D19,開通管理!$E$5:$E$604,E$15)</f>
        <v>0</v>
      </c>
      <c r="F19" s="37" t="n">
        <f aca="false">COUNTIFS(開通管理!$O$5:$O$604,$D19,開通管理!$E$5:$E$604,F$15)</f>
        <v>0</v>
      </c>
      <c r="G19" s="37" t="n">
        <f aca="false">COUNTIFS(開通管理!$O$5:$O$604,$D19,開通管理!$E$5:$E$604,G$15)</f>
        <v>0</v>
      </c>
      <c r="H19" s="37" t="n">
        <f aca="false">COUNTIFS(開通管理!$O$5:$O$604,$D19,開通管理!$E$5:$E$604,H$15)</f>
        <v>0</v>
      </c>
      <c r="I19" s="37" t="n">
        <f aca="false">COUNTIFS(開通管理!$O$5:$O$604,$D19,開通管理!$E$5:$E$604,I$15)</f>
        <v>0</v>
      </c>
      <c r="J19" s="37" t="n">
        <f aca="false">SUM(E19:I19)</f>
        <v>0</v>
      </c>
    </row>
    <row r="20" customFormat="false" ht="17.15" hidden="false" customHeight="false" outlineLevel="0" collapsed="false">
      <c r="A20" s="35" t="s">
        <v>209</v>
      </c>
      <c r="B20" s="36" t="n">
        <f aca="false">COUNTIF(顧客一覧!$AL$5:$AL$304,"納品遅延")</f>
        <v>0</v>
      </c>
      <c r="D20" s="41" t="str">
        <f aca="false">マスタ!B6</f>
        <v>工事日調整中</v>
      </c>
      <c r="E20" s="37" t="n">
        <f aca="false">COUNTIFS(開通管理!$O$5:$O$604,$D20,開通管理!$E$5:$E$604,E$15)</f>
        <v>0</v>
      </c>
      <c r="F20" s="37" t="n">
        <f aca="false">COUNTIFS(開通管理!$O$5:$O$604,$D20,開通管理!$E$5:$E$604,F$15)</f>
        <v>0</v>
      </c>
      <c r="G20" s="37" t="n">
        <f aca="false">COUNTIFS(開通管理!$O$5:$O$604,$D20,開通管理!$E$5:$E$604,G$15)</f>
        <v>0</v>
      </c>
      <c r="H20" s="37" t="n">
        <f aca="false">COUNTIFS(開通管理!$O$5:$O$604,$D20,開通管理!$E$5:$E$604,H$15)</f>
        <v>0</v>
      </c>
      <c r="I20" s="37" t="n">
        <f aca="false">COUNTIFS(開通管理!$O$5:$O$604,$D20,開通管理!$E$5:$E$604,I$15)</f>
        <v>0</v>
      </c>
      <c r="J20" s="37" t="n">
        <f aca="false">SUM(E20:I20)</f>
        <v>0</v>
      </c>
    </row>
    <row r="21" customFormat="false" ht="17.15" hidden="false" customHeight="false" outlineLevel="0" collapsed="false">
      <c r="A21" s="35" t="s">
        <v>210</v>
      </c>
      <c r="B21" s="36" t="n">
        <f aca="true">COUNTIFS(顧客一覧!$AF$5:$AF$304,"&gt;="&amp;DATE(YEAR(TODAY()),MONTH(TODAY()),1),顧客一覧!$AF$5:$AF$304,"&lt;"&amp;DATE(YEAR(TODAY()),MONTH(TODAY())+1,1))</f>
        <v>0</v>
      </c>
      <c r="D21" s="41" t="str">
        <f aca="false">マスタ!B7</f>
        <v>工事・切替日確定</v>
      </c>
      <c r="E21" s="37" t="n">
        <f aca="false">COUNTIFS(開通管理!$O$5:$O$604,$D21,開通管理!$E$5:$E$604,E$15)</f>
        <v>0</v>
      </c>
      <c r="F21" s="37" t="n">
        <f aca="false">COUNTIFS(開通管理!$O$5:$O$604,$D21,開通管理!$E$5:$E$604,F$15)</f>
        <v>1</v>
      </c>
      <c r="G21" s="37" t="n">
        <f aca="false">COUNTIFS(開通管理!$O$5:$O$604,$D21,開通管理!$E$5:$E$604,G$15)</f>
        <v>0</v>
      </c>
      <c r="H21" s="37" t="n">
        <f aca="false">COUNTIFS(開通管理!$O$5:$O$604,$D21,開通管理!$E$5:$E$604,H$15)</f>
        <v>0</v>
      </c>
      <c r="I21" s="37" t="n">
        <f aca="false">COUNTIFS(開通管理!$O$5:$O$604,$D21,開通管理!$E$5:$E$604,I$15)</f>
        <v>0</v>
      </c>
      <c r="J21" s="37" t="n">
        <f aca="false">SUM(E21:I21)</f>
        <v>1</v>
      </c>
    </row>
    <row r="22" customFormat="false" ht="15" hidden="false" customHeight="false" outlineLevel="0" collapsed="false">
      <c r="D22" s="41" t="str">
        <f aca="false">マスタ!B8</f>
        <v>開通済</v>
      </c>
      <c r="E22" s="37" t="n">
        <f aca="false">COUNTIFS(開通管理!$O$5:$O$604,$D22,開通管理!$E$5:$E$604,E$15)</f>
        <v>1</v>
      </c>
      <c r="F22" s="37" t="n">
        <f aca="false">COUNTIFS(開通管理!$O$5:$O$604,$D22,開通管理!$E$5:$E$604,F$15)</f>
        <v>0</v>
      </c>
      <c r="G22" s="37" t="n">
        <f aca="false">COUNTIFS(開通管理!$O$5:$O$604,$D22,開通管理!$E$5:$E$604,G$15)</f>
        <v>0</v>
      </c>
      <c r="H22" s="37" t="n">
        <f aca="false">COUNTIFS(開通管理!$O$5:$O$604,$D22,開通管理!$E$5:$E$604,H$15)</f>
        <v>0</v>
      </c>
      <c r="I22" s="37" t="n">
        <f aca="false">COUNTIFS(開通管理!$O$5:$O$604,$D22,開通管理!$E$5:$E$604,I$15)</f>
        <v>0</v>
      </c>
      <c r="J22" s="37" t="n">
        <f aca="false">SUM(E22:I22)</f>
        <v>1</v>
      </c>
    </row>
    <row r="23" customFormat="false" ht="15" hidden="false" customHeight="true" outlineLevel="0" collapsed="false">
      <c r="A23" s="7" t="s">
        <v>211</v>
      </c>
      <c r="B23" s="7"/>
      <c r="D23" s="41" t="str">
        <f aca="false">マスタ!B9</f>
        <v>保留</v>
      </c>
      <c r="E23" s="37" t="n">
        <f aca="false">COUNTIFS(開通管理!$O$5:$O$604,$D23,開通管理!$E$5:$E$604,E$15)</f>
        <v>0</v>
      </c>
      <c r="F23" s="37" t="n">
        <f aca="false">COUNTIFS(開通管理!$O$5:$O$604,$D23,開通管理!$E$5:$E$604,F$15)</f>
        <v>0</v>
      </c>
      <c r="G23" s="37" t="n">
        <f aca="false">COUNTIFS(開通管理!$O$5:$O$604,$D23,開通管理!$E$5:$E$604,G$15)</f>
        <v>0</v>
      </c>
      <c r="H23" s="37" t="n">
        <f aca="false">COUNTIFS(開通管理!$O$5:$O$604,$D23,開通管理!$E$5:$E$604,H$15)</f>
        <v>0</v>
      </c>
      <c r="I23" s="37" t="n">
        <f aca="false">COUNTIFS(開通管理!$O$5:$O$604,$D23,開通管理!$E$5:$E$604,I$15)</f>
        <v>0</v>
      </c>
      <c r="J23" s="37" t="n">
        <f aca="false">SUM(E23:I23)</f>
        <v>0</v>
      </c>
    </row>
    <row r="24" customFormat="false" ht="17.15" hidden="false" customHeight="false" outlineLevel="0" collapsed="false">
      <c r="A24" s="35" t="s">
        <v>212</v>
      </c>
      <c r="B24" s="40" t="n">
        <f aca="false">SUMIFS(開通管理!$S$5:$S$604,開通管理!$O$5:$O$604,"開通済")</f>
        <v>15000</v>
      </c>
      <c r="D24" s="41" t="str">
        <f aca="false">マスタ!B10</f>
        <v>キャンセル</v>
      </c>
      <c r="E24" s="37" t="n">
        <f aca="false">COUNTIFS(開通管理!$O$5:$O$604,$D24,開通管理!$E$5:$E$604,E$15)</f>
        <v>0</v>
      </c>
      <c r="F24" s="37" t="n">
        <f aca="false">COUNTIFS(開通管理!$O$5:$O$604,$D24,開通管理!$E$5:$E$604,F$15)</f>
        <v>0</v>
      </c>
      <c r="G24" s="37" t="n">
        <f aca="false">COUNTIFS(開通管理!$O$5:$O$604,$D24,開通管理!$E$5:$E$604,G$15)</f>
        <v>0</v>
      </c>
      <c r="H24" s="37" t="n">
        <f aca="false">COUNTIFS(開通管理!$O$5:$O$604,$D24,開通管理!$E$5:$E$604,H$15)</f>
        <v>0</v>
      </c>
      <c r="I24" s="37" t="n">
        <f aca="false">COUNTIFS(開通管理!$O$5:$O$604,$D24,開通管理!$E$5:$E$604,I$15)</f>
        <v>0</v>
      </c>
      <c r="J24" s="37" t="n">
        <f aca="false">SUM(E24:I24)</f>
        <v>0</v>
      </c>
    </row>
    <row r="25" customFormat="false" ht="17.15" hidden="false" customHeight="false" outlineLevel="0" collapsed="false">
      <c r="A25" s="35" t="s">
        <v>213</v>
      </c>
      <c r="B25" s="40" t="n">
        <f aca="false">SUMIFS(開通管理!$S$5:$S$604,開通管理!$O$5:$O$604,"開通済",開通管理!$T$5:$T$604,"")</f>
        <v>15000</v>
      </c>
    </row>
    <row r="26" customFormat="false" ht="17.15" hidden="false" customHeight="false" outlineLevel="0" collapsed="false">
      <c r="A26" s="35" t="s">
        <v>214</v>
      </c>
      <c r="B26" s="36" t="n">
        <f aca="false">COUNTIF(顧客一覧!$AL$5:$AL$304,"解約チェック")</f>
        <v>0</v>
      </c>
    </row>
    <row r="27" customFormat="false" ht="17.15" hidden="false" customHeight="false" outlineLevel="0" collapsed="false">
      <c r="A27" s="35" t="s">
        <v>215</v>
      </c>
      <c r="B27" s="36" t="n">
        <f aca="false">COUNTIF(顧客一覧!$AI$5:$AI$304,"*解約*")</f>
        <v>0</v>
      </c>
    </row>
  </sheetData>
  <mergeCells count="6">
    <mergeCell ref="A4:B4"/>
    <mergeCell ref="D4:I4"/>
    <mergeCell ref="A10:B10"/>
    <mergeCell ref="D14:J14"/>
    <mergeCell ref="A16:B16"/>
    <mergeCell ref="A23:B23"/>
  </mergeCells>
  <conditionalFormatting sqref="B13">
    <cfRule type="expression" priority="2" aboveAverage="0" equalAverage="0" bottom="0" percent="0" rank="0" text="" dxfId="27">
      <formula>B13&gt;0</formula>
    </cfRule>
  </conditionalFormatting>
  <conditionalFormatting sqref="B17">
    <cfRule type="expression" priority="3" aboveAverage="0" equalAverage="0" bottom="0" percent="0" rank="0" text="" dxfId="27">
      <formula>B17&gt;0</formula>
    </cfRule>
  </conditionalFormatting>
  <conditionalFormatting sqref="B18">
    <cfRule type="expression" priority="4" aboveAverage="0" equalAverage="0" bottom="0" percent="0" rank="0" text="" dxfId="27">
      <formula>B18&gt;0</formula>
    </cfRule>
  </conditionalFormatting>
  <conditionalFormatting sqref="B20">
    <cfRule type="expression" priority="5" aboveAverage="0" equalAverage="0" bottom="0" percent="0" rank="0" text="" dxfId="27">
      <formula>B20&gt;0</formula>
    </cfRule>
  </conditionalFormatting>
  <conditionalFormatting sqref="B25">
    <cfRule type="expression" priority="6" aboveAverage="0" equalAverage="0" bottom="0" percent="0" rank="0" text="" dxfId="27">
      <formula>B25&gt;0</formula>
    </cfRule>
  </conditionalFormatting>
  <conditionalFormatting sqref="B27">
    <cfRule type="expression" priority="7" aboveAverage="0" equalAverage="0" bottom="0" percent="0" rank="0" text="" dxfId="27">
      <formula>B27&gt;0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9"/>
    <col collapsed="false" customWidth="true" hidden="false" outlineLevel="0" max="5" min="5" style="0" width="90"/>
  </cols>
  <sheetData>
    <row r="1" customFormat="false" ht="19.7" hidden="false" customHeight="false" outlineLevel="0" collapsed="false">
      <c r="A1" s="1" t="s">
        <v>216</v>
      </c>
    </row>
    <row r="2" customFormat="false" ht="15" hidden="false" customHeight="false" outlineLevel="0" collapsed="false">
      <c r="A2" s="6" t="s">
        <v>217</v>
      </c>
    </row>
    <row r="4" customFormat="false" ht="15" hidden="false" customHeight="false" outlineLevel="0" collapsed="false">
      <c r="A4" s="10" t="s">
        <v>43</v>
      </c>
      <c r="B4" s="10" t="s">
        <v>143</v>
      </c>
      <c r="C4" s="10" t="s">
        <v>218</v>
      </c>
      <c r="D4" s="10" t="s">
        <v>72</v>
      </c>
      <c r="E4" s="10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"/>
    <col collapsed="false" customWidth="true" hidden="false" outlineLevel="0" max="3" min="3" style="0" width="6"/>
    <col collapsed="false" customWidth="true" hidden="false" outlineLevel="0" max="4" min="4" style="0" width="70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2"/>
  </cols>
  <sheetData>
    <row r="1" customFormat="false" ht="19.7" hidden="false" customHeight="false" outlineLevel="0" collapsed="false">
      <c r="A1" s="1" t="s">
        <v>220</v>
      </c>
    </row>
    <row r="2" customFormat="false" ht="15" hidden="false" customHeight="false" outlineLevel="0" collapsed="false">
      <c r="A2" s="30" t="s">
        <v>221</v>
      </c>
    </row>
    <row r="4" customFormat="false" ht="26.85" hidden="false" customHeight="false" outlineLevel="0" collapsed="false">
      <c r="A4" s="9" t="s">
        <v>222</v>
      </c>
      <c r="B4" s="9" t="s">
        <v>223</v>
      </c>
      <c r="C4" s="9" t="s">
        <v>224</v>
      </c>
      <c r="D4" s="9" t="s">
        <v>225</v>
      </c>
      <c r="F4" s="9" t="s">
        <v>226</v>
      </c>
      <c r="G4" s="9" t="s">
        <v>227</v>
      </c>
    </row>
    <row r="5" customFormat="false" ht="15" hidden="false" customHeight="false" outlineLevel="0" collapsed="false">
      <c r="A5" s="42" t="s">
        <v>228</v>
      </c>
      <c r="B5" s="43" t="n">
        <v>10</v>
      </c>
      <c r="C5" s="44" t="s">
        <v>229</v>
      </c>
      <c r="D5" s="45" t="s">
        <v>230</v>
      </c>
      <c r="F5" s="46" t="n">
        <v>46023</v>
      </c>
      <c r="G5" s="47" t="s">
        <v>231</v>
      </c>
      <c r="I5" s="30" t="s">
        <v>232</v>
      </c>
    </row>
    <row r="6" customFormat="false" ht="15" hidden="false" customHeight="false" outlineLevel="0" collapsed="false">
      <c r="A6" s="42" t="s">
        <v>233</v>
      </c>
      <c r="B6" s="43" t="n">
        <v>3</v>
      </c>
      <c r="C6" s="44" t="s">
        <v>229</v>
      </c>
      <c r="D6" s="48" t="s">
        <v>234</v>
      </c>
      <c r="F6" s="46" t="n">
        <v>46034</v>
      </c>
      <c r="G6" s="47" t="s">
        <v>235</v>
      </c>
    </row>
    <row r="7" customFormat="false" ht="15" hidden="false" customHeight="false" outlineLevel="0" collapsed="false">
      <c r="A7" s="42" t="s">
        <v>236</v>
      </c>
      <c r="B7" s="43" t="n">
        <v>2</v>
      </c>
      <c r="C7" s="44" t="s">
        <v>229</v>
      </c>
      <c r="D7" s="45" t="s">
        <v>237</v>
      </c>
      <c r="F7" s="46" t="n">
        <v>46064</v>
      </c>
      <c r="G7" s="47" t="s">
        <v>238</v>
      </c>
    </row>
    <row r="8" customFormat="false" ht="15" hidden="false" customHeight="false" outlineLevel="0" collapsed="false">
      <c r="A8" s="42" t="s">
        <v>239</v>
      </c>
      <c r="B8" s="43" t="n">
        <v>6</v>
      </c>
      <c r="C8" s="44" t="s">
        <v>240</v>
      </c>
      <c r="D8" s="45" t="s">
        <v>241</v>
      </c>
      <c r="F8" s="46" t="n">
        <v>46076</v>
      </c>
      <c r="G8" s="47" t="s">
        <v>242</v>
      </c>
    </row>
    <row r="9" customFormat="false" ht="15" hidden="false" customHeight="false" outlineLevel="0" collapsed="false">
      <c r="F9" s="46" t="n">
        <v>46101</v>
      </c>
      <c r="G9" s="47" t="s">
        <v>243</v>
      </c>
    </row>
    <row r="10" customFormat="false" ht="15" hidden="false" customHeight="false" outlineLevel="0" collapsed="false">
      <c r="F10" s="46" t="n">
        <v>46141</v>
      </c>
      <c r="G10" s="47" t="s">
        <v>244</v>
      </c>
    </row>
    <row r="11" customFormat="false" ht="17.15" hidden="false" customHeight="false" outlineLevel="0" collapsed="false">
      <c r="A11" s="5" t="s">
        <v>245</v>
      </c>
      <c r="F11" s="46" t="n">
        <v>46145</v>
      </c>
      <c r="G11" s="47" t="s">
        <v>246</v>
      </c>
    </row>
    <row r="12" customFormat="false" ht="15" hidden="false" customHeight="false" outlineLevel="0" collapsed="false">
      <c r="A12" s="42" t="s">
        <v>247</v>
      </c>
      <c r="B12" s="49"/>
      <c r="C12" s="49"/>
      <c r="D12" s="45" t="s">
        <v>248</v>
      </c>
      <c r="F12" s="46" t="n">
        <v>46146</v>
      </c>
      <c r="G12" s="47" t="s">
        <v>249</v>
      </c>
    </row>
    <row r="13" customFormat="false" ht="15" hidden="false" customHeight="false" outlineLevel="0" collapsed="false">
      <c r="A13" s="42" t="s">
        <v>250</v>
      </c>
      <c r="B13" s="49"/>
      <c r="C13" s="49"/>
      <c r="D13" s="45" t="s">
        <v>251</v>
      </c>
      <c r="F13" s="46" t="n">
        <v>46147</v>
      </c>
      <c r="G13" s="47" t="s">
        <v>252</v>
      </c>
    </row>
    <row r="14" customFormat="false" ht="15" hidden="false" customHeight="false" outlineLevel="0" collapsed="false">
      <c r="A14" s="42" t="s">
        <v>253</v>
      </c>
      <c r="B14" s="49"/>
      <c r="C14" s="49"/>
      <c r="D14" s="48" t="s">
        <v>254</v>
      </c>
      <c r="F14" s="46" t="n">
        <v>46148</v>
      </c>
      <c r="G14" s="47" t="s">
        <v>255</v>
      </c>
    </row>
    <row r="15" customFormat="false" ht="15" hidden="false" customHeight="false" outlineLevel="0" collapsed="false">
      <c r="F15" s="46" t="n">
        <v>46223</v>
      </c>
      <c r="G15" s="47" t="s">
        <v>256</v>
      </c>
    </row>
    <row r="16" customFormat="false" ht="15" hidden="false" customHeight="false" outlineLevel="0" collapsed="false">
      <c r="F16" s="46" t="n">
        <v>46245</v>
      </c>
      <c r="G16" s="47" t="s">
        <v>257</v>
      </c>
    </row>
    <row r="17" customFormat="false" ht="15" hidden="false" customHeight="false" outlineLevel="0" collapsed="false">
      <c r="F17" s="46" t="n">
        <v>46286</v>
      </c>
      <c r="G17" s="47" t="s">
        <v>258</v>
      </c>
    </row>
    <row r="18" customFormat="false" ht="15" hidden="false" customHeight="false" outlineLevel="0" collapsed="false">
      <c r="F18" s="46" t="n">
        <v>46287</v>
      </c>
      <c r="G18" s="47" t="s">
        <v>259</v>
      </c>
    </row>
    <row r="19" customFormat="false" ht="15" hidden="false" customHeight="false" outlineLevel="0" collapsed="false">
      <c r="F19" s="46" t="n">
        <v>46288</v>
      </c>
      <c r="G19" s="47" t="s">
        <v>260</v>
      </c>
    </row>
    <row r="20" customFormat="false" ht="15" hidden="false" customHeight="false" outlineLevel="0" collapsed="false">
      <c r="F20" s="46" t="n">
        <v>46307</v>
      </c>
      <c r="G20" s="47" t="s">
        <v>261</v>
      </c>
    </row>
    <row r="21" customFormat="false" ht="15" hidden="false" customHeight="false" outlineLevel="0" collapsed="false">
      <c r="F21" s="46" t="n">
        <v>46329</v>
      </c>
      <c r="G21" s="47" t="s">
        <v>262</v>
      </c>
    </row>
    <row r="22" customFormat="false" ht="15" hidden="false" customHeight="false" outlineLevel="0" collapsed="false">
      <c r="F22" s="46" t="n">
        <v>46349</v>
      </c>
      <c r="G22" s="47" t="s">
        <v>263</v>
      </c>
    </row>
    <row r="23" customFormat="false" ht="15" hidden="false" customHeight="false" outlineLevel="0" collapsed="false">
      <c r="F23" s="46" t="n">
        <v>46388</v>
      </c>
      <c r="G23" s="47" t="s">
        <v>231</v>
      </c>
    </row>
    <row r="24" customFormat="false" ht="15" hidden="false" customHeight="false" outlineLevel="0" collapsed="false">
      <c r="F24" s="46" t="n">
        <v>46398</v>
      </c>
      <c r="G24" s="47" t="s">
        <v>235</v>
      </c>
    </row>
    <row r="25" customFormat="false" ht="15" hidden="false" customHeight="false" outlineLevel="0" collapsed="false">
      <c r="F25" s="46" t="n">
        <v>46429</v>
      </c>
      <c r="G25" s="47" t="s">
        <v>238</v>
      </c>
    </row>
    <row r="26" customFormat="false" ht="15" hidden="false" customHeight="false" outlineLevel="0" collapsed="false">
      <c r="F26" s="46" t="n">
        <v>46441</v>
      </c>
      <c r="G26" s="47" t="s">
        <v>242</v>
      </c>
    </row>
    <row r="27" customFormat="false" ht="15" hidden="false" customHeight="false" outlineLevel="0" collapsed="false">
      <c r="F27" s="46" t="n">
        <v>46467</v>
      </c>
      <c r="G27" s="47" t="s">
        <v>243</v>
      </c>
    </row>
    <row r="28" customFormat="false" ht="15" hidden="false" customHeight="false" outlineLevel="0" collapsed="false">
      <c r="F28" s="46" t="n">
        <v>46468</v>
      </c>
      <c r="G28" s="47" t="s">
        <v>255</v>
      </c>
    </row>
    <row r="29" customFormat="false" ht="15" hidden="false" customHeight="false" outlineLevel="0" collapsed="false">
      <c r="F29" s="46" t="n">
        <v>46506</v>
      </c>
      <c r="G29" s="47" t="s">
        <v>244</v>
      </c>
    </row>
    <row r="30" customFormat="false" ht="15" hidden="false" customHeight="false" outlineLevel="0" collapsed="false">
      <c r="F30" s="46" t="n">
        <v>46510</v>
      </c>
      <c r="G30" s="47" t="s">
        <v>246</v>
      </c>
    </row>
    <row r="31" customFormat="false" ht="15" hidden="false" customHeight="false" outlineLevel="0" collapsed="false">
      <c r="F31" s="46" t="n">
        <v>46511</v>
      </c>
      <c r="G31" s="47" t="s">
        <v>249</v>
      </c>
    </row>
    <row r="32" customFormat="false" ht="15" hidden="false" customHeight="false" outlineLevel="0" collapsed="false">
      <c r="F32" s="46" t="n">
        <v>46512</v>
      </c>
      <c r="G32" s="47" t="s">
        <v>252</v>
      </c>
    </row>
    <row r="33" customFormat="false" ht="15" hidden="false" customHeight="false" outlineLevel="0" collapsed="false">
      <c r="F33" s="46" t="n">
        <v>46587</v>
      </c>
      <c r="G33" s="47" t="s">
        <v>256</v>
      </c>
    </row>
    <row r="34" customFormat="false" ht="15" hidden="false" customHeight="false" outlineLevel="0" collapsed="false">
      <c r="F34" s="46" t="n">
        <v>46610</v>
      </c>
      <c r="G34" s="47" t="s">
        <v>257</v>
      </c>
    </row>
    <row r="35" customFormat="false" ht="15" hidden="false" customHeight="false" outlineLevel="0" collapsed="false">
      <c r="F35" s="46" t="n">
        <v>46650</v>
      </c>
      <c r="G35" s="47" t="s">
        <v>258</v>
      </c>
    </row>
    <row r="36" customFormat="false" ht="15" hidden="false" customHeight="false" outlineLevel="0" collapsed="false">
      <c r="F36" s="46" t="n">
        <v>46653</v>
      </c>
      <c r="G36" s="47" t="s">
        <v>260</v>
      </c>
    </row>
    <row r="37" customFormat="false" ht="15" hidden="false" customHeight="false" outlineLevel="0" collapsed="false">
      <c r="F37" s="46" t="n">
        <v>46671</v>
      </c>
      <c r="G37" s="47" t="s">
        <v>261</v>
      </c>
    </row>
    <row r="38" customFormat="false" ht="15" hidden="false" customHeight="false" outlineLevel="0" collapsed="false">
      <c r="F38" s="46" t="n">
        <v>46694</v>
      </c>
      <c r="G38" s="47" t="s">
        <v>262</v>
      </c>
    </row>
    <row r="39" customFormat="false" ht="15" hidden="false" customHeight="false" outlineLevel="0" collapsed="false">
      <c r="F39" s="46" t="n">
        <v>46714</v>
      </c>
      <c r="G39" s="47" t="s">
        <v>263</v>
      </c>
    </row>
    <row r="40" customFormat="false" ht="15" hidden="false" customHeight="false" outlineLevel="0" collapsed="false">
      <c r="F40" s="46" t="n">
        <v>46753</v>
      </c>
      <c r="G40" s="47" t="s">
        <v>231</v>
      </c>
    </row>
    <row r="41" customFormat="false" ht="15" hidden="false" customHeight="false" outlineLevel="0" collapsed="false">
      <c r="F41" s="46" t="n">
        <v>46762</v>
      </c>
      <c r="G41" s="47" t="s">
        <v>235</v>
      </c>
    </row>
    <row r="42" customFormat="false" ht="15" hidden="false" customHeight="false" outlineLevel="0" collapsed="false">
      <c r="F42" s="46" t="n">
        <v>46794</v>
      </c>
      <c r="G42" s="47" t="s">
        <v>238</v>
      </c>
    </row>
    <row r="43" customFormat="false" ht="15" hidden="false" customHeight="false" outlineLevel="0" collapsed="false">
      <c r="F43" s="46" t="n">
        <v>46806</v>
      </c>
      <c r="G43" s="47" t="s">
        <v>242</v>
      </c>
    </row>
    <row r="44" customFormat="false" ht="15" hidden="false" customHeight="false" outlineLevel="0" collapsed="false">
      <c r="F44" s="46" t="n">
        <v>46832</v>
      </c>
      <c r="G44" s="47" t="s">
        <v>243</v>
      </c>
    </row>
    <row r="45" customFormat="false" ht="15" hidden="false" customHeight="false" outlineLevel="0" collapsed="false">
      <c r="F45" s="46" t="n">
        <v>46872</v>
      </c>
      <c r="G45" s="47" t="s">
        <v>244</v>
      </c>
    </row>
    <row r="46" customFormat="false" ht="15" hidden="false" customHeight="false" outlineLevel="0" collapsed="false">
      <c r="F46" s="46" t="n">
        <v>46876</v>
      </c>
      <c r="G46" s="47" t="s">
        <v>246</v>
      </c>
    </row>
    <row r="47" customFormat="false" ht="15" hidden="false" customHeight="false" outlineLevel="0" collapsed="false">
      <c r="F47" s="46" t="n">
        <v>46877</v>
      </c>
      <c r="G47" s="47" t="s">
        <v>249</v>
      </c>
    </row>
    <row r="48" customFormat="false" ht="15" hidden="false" customHeight="false" outlineLevel="0" collapsed="false">
      <c r="F48" s="46" t="n">
        <v>46878</v>
      </c>
      <c r="G48" s="47" t="s">
        <v>252</v>
      </c>
    </row>
    <row r="49" customFormat="false" ht="15" hidden="false" customHeight="false" outlineLevel="0" collapsed="false">
      <c r="F49" s="46" t="n">
        <v>46951</v>
      </c>
      <c r="G49" s="47" t="s">
        <v>256</v>
      </c>
    </row>
    <row r="50" customFormat="false" ht="15" hidden="false" customHeight="false" outlineLevel="0" collapsed="false">
      <c r="F50" s="46" t="n">
        <v>46976</v>
      </c>
      <c r="G50" s="47" t="s">
        <v>257</v>
      </c>
    </row>
    <row r="51" customFormat="false" ht="15" hidden="false" customHeight="false" outlineLevel="0" collapsed="false">
      <c r="F51" s="46" t="n">
        <v>47014</v>
      </c>
      <c r="G51" s="47" t="s">
        <v>258</v>
      </c>
    </row>
    <row r="52" customFormat="false" ht="15" hidden="false" customHeight="false" outlineLevel="0" collapsed="false">
      <c r="F52" s="46" t="n">
        <v>47018</v>
      </c>
      <c r="G52" s="47" t="s">
        <v>260</v>
      </c>
    </row>
    <row r="53" customFormat="false" ht="15" hidden="false" customHeight="false" outlineLevel="0" collapsed="false">
      <c r="F53" s="46" t="n">
        <v>47035</v>
      </c>
      <c r="G53" s="47" t="s">
        <v>261</v>
      </c>
    </row>
    <row r="54" customFormat="false" ht="15" hidden="false" customHeight="false" outlineLevel="0" collapsed="false">
      <c r="F54" s="46" t="n">
        <v>47060</v>
      </c>
      <c r="G54" s="47" t="s">
        <v>262</v>
      </c>
    </row>
    <row r="55" customFormat="false" ht="15" hidden="false" customHeight="false" outlineLevel="0" collapsed="false">
      <c r="F55" s="46" t="n">
        <v>47080</v>
      </c>
      <c r="G55" s="47" t="s">
        <v>263</v>
      </c>
    </row>
  </sheetData>
  <mergeCells count="3">
    <mergeCell ref="B12:C12"/>
    <mergeCell ref="B13:C13"/>
    <mergeCell ref="B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0"/>
  </cols>
  <sheetData>
    <row r="1" customFormat="false" ht="15" hidden="false" customHeight="false" outlineLevel="0" collapsed="false">
      <c r="A1" s="9" t="s">
        <v>55</v>
      </c>
      <c r="B1" s="9" t="s">
        <v>113</v>
      </c>
      <c r="C1" s="9" t="s">
        <v>69</v>
      </c>
      <c r="D1" s="9" t="s">
        <v>104</v>
      </c>
      <c r="E1" s="9" t="s">
        <v>264</v>
      </c>
      <c r="F1" s="9" t="s">
        <v>52</v>
      </c>
      <c r="G1" s="9" t="s">
        <v>51</v>
      </c>
      <c r="H1" s="9" t="s">
        <v>46</v>
      </c>
      <c r="I1" s="9" t="s">
        <v>76</v>
      </c>
      <c r="J1" s="9" t="s">
        <v>72</v>
      </c>
    </row>
    <row r="2" customFormat="false" ht="15" hidden="false" customHeight="false" outlineLevel="0" collapsed="false">
      <c r="A2" s="47" t="s">
        <v>265</v>
      </c>
      <c r="B2" s="47" t="s">
        <v>266</v>
      </c>
      <c r="C2" s="47" t="s">
        <v>93</v>
      </c>
      <c r="D2" s="47" t="s">
        <v>119</v>
      </c>
      <c r="E2" s="50" t="s">
        <v>267</v>
      </c>
      <c r="F2" s="47" t="s">
        <v>90</v>
      </c>
      <c r="G2" s="47" t="s">
        <v>89</v>
      </c>
      <c r="H2" s="47" t="s">
        <v>268</v>
      </c>
      <c r="I2" s="47" t="s">
        <v>269</v>
      </c>
      <c r="J2" s="47" t="s">
        <v>95</v>
      </c>
    </row>
    <row r="3" customFormat="false" ht="15" hidden="false" customHeight="false" outlineLevel="0" collapsed="false">
      <c r="A3" s="47" t="s">
        <v>270</v>
      </c>
      <c r="B3" s="47" t="s">
        <v>271</v>
      </c>
      <c r="C3" s="47" t="s">
        <v>272</v>
      </c>
      <c r="D3" s="50" t="s">
        <v>273</v>
      </c>
      <c r="E3" s="47" t="s">
        <v>92</v>
      </c>
      <c r="F3" s="47" t="s">
        <v>274</v>
      </c>
      <c r="G3" s="47" t="s">
        <v>275</v>
      </c>
      <c r="H3" s="47" t="s">
        <v>84</v>
      </c>
      <c r="I3" s="47" t="s">
        <v>276</v>
      </c>
      <c r="J3" s="47" t="s">
        <v>277</v>
      </c>
    </row>
    <row r="4" customFormat="false" ht="15" hidden="false" customHeight="false" outlineLevel="0" collapsed="false">
      <c r="A4" s="47" t="s">
        <v>91</v>
      </c>
      <c r="B4" s="47" t="s">
        <v>278</v>
      </c>
      <c r="C4" s="47" t="s">
        <v>279</v>
      </c>
      <c r="D4" s="50" t="s">
        <v>280</v>
      </c>
      <c r="E4" s="47" t="s">
        <v>281</v>
      </c>
      <c r="F4" s="47" t="s">
        <v>282</v>
      </c>
      <c r="G4" s="50" t="s">
        <v>283</v>
      </c>
      <c r="H4" s="47" t="s">
        <v>284</v>
      </c>
      <c r="I4" s="47" t="s">
        <v>285</v>
      </c>
    </row>
    <row r="5" customFormat="false" ht="15" hidden="false" customHeight="false" outlineLevel="0" collapsed="false">
      <c r="A5" s="47" t="s">
        <v>286</v>
      </c>
      <c r="B5" s="47" t="s">
        <v>287</v>
      </c>
      <c r="C5" s="47" t="s">
        <v>288</v>
      </c>
      <c r="D5" s="47" t="s">
        <v>289</v>
      </c>
      <c r="E5" s="50" t="s">
        <v>290</v>
      </c>
      <c r="G5" s="47" t="s">
        <v>291</v>
      </c>
    </row>
    <row r="6" customFormat="false" ht="15" hidden="false" customHeight="false" outlineLevel="0" collapsed="false">
      <c r="A6" s="47" t="s">
        <v>292</v>
      </c>
      <c r="B6" s="47" t="s">
        <v>293</v>
      </c>
      <c r="C6" s="47" t="s">
        <v>294</v>
      </c>
      <c r="D6" s="47" t="s">
        <v>295</v>
      </c>
      <c r="E6" s="47" t="s">
        <v>296</v>
      </c>
      <c r="G6" s="50" t="s">
        <v>297</v>
      </c>
    </row>
    <row r="7" customFormat="false" ht="15" hidden="false" customHeight="false" outlineLevel="0" collapsed="false">
      <c r="B7" s="47" t="s">
        <v>126</v>
      </c>
      <c r="C7" s="47" t="s">
        <v>298</v>
      </c>
      <c r="G7" s="47" t="s">
        <v>295</v>
      </c>
    </row>
    <row r="8" customFormat="false" ht="15" hidden="false" customHeight="false" outlineLevel="0" collapsed="false">
      <c r="B8" s="47" t="s">
        <v>122</v>
      </c>
      <c r="C8" s="47" t="s">
        <v>299</v>
      </c>
    </row>
    <row r="9" customFormat="false" ht="15" hidden="false" customHeight="false" outlineLevel="0" collapsed="false">
      <c r="B9" s="47" t="s">
        <v>286</v>
      </c>
      <c r="C9" s="47" t="s">
        <v>193</v>
      </c>
    </row>
    <row r="10" customFormat="false" ht="15" hidden="false" customHeight="false" outlineLevel="0" collapsed="false">
      <c r="B10" s="47" t="s">
        <v>300</v>
      </c>
    </row>
    <row r="33" customFormat="false" ht="15" hidden="false" customHeight="false" outlineLevel="0" collapsed="false">
      <c r="A33" s="30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2026-10-26T07:06:34Z</dcterms:created>
  <dc:creator>openpyxl</dc:creator>
  <dc:description/>
  <dc:language>en-US</dc:language>
  <cp:lastModifiedBy/>
  <dcterms:modified xsi:type="dcterms:W3CDTF">2026-10-26T07:06:36Z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